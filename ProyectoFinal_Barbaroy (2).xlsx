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35d1d2d95c613b8/Escritorio/Tablaue/"/>
    </mc:Choice>
  </mc:AlternateContent>
  <xr:revisionPtr revIDLastSave="0" documentId="8_{2CC5831D-81B0-4D79-A710-F99A29E3DFE1}" xr6:coauthVersionLast="47" xr6:coauthVersionMax="47" xr10:uidLastSave="{00000000-0000-0000-0000-000000000000}"/>
  <bookViews>
    <workbookView xWindow="28680" yWindow="-1095" windowWidth="29040" windowHeight="15720" firstSheet="1" activeTab="1" xr2:uid="{00000000-000D-0000-FFFF-FFFF00000000}"/>
  </bookViews>
  <sheets>
    <sheet name="Introduccion" sheetId="29" r:id="rId1"/>
    <sheet name="DashBoard" sheetId="11" r:id="rId2"/>
    <sheet name="Tabla dinamica 1" sheetId="10" r:id="rId3"/>
    <sheet name="Tabla dinamica 2" sheetId="14" r:id="rId4"/>
    <sheet name="Dashboard 2" sheetId="21" r:id="rId5"/>
    <sheet name="Tabla dinamica 3|4" sheetId="16" r:id="rId6"/>
    <sheet name="Preguntas" sheetId="3" r:id="rId7"/>
    <sheet name="Dataset_original" sheetId="1" r:id="rId8"/>
    <sheet name="Dataset_Csplayers" sheetId="13" r:id="rId9"/>
  </sheets>
  <definedNames>
    <definedName name="_xlnm._FilterDatabase" localSheetId="6" hidden="1">Preguntas!$D$3:$E$22</definedName>
    <definedName name="SegmentaciónDeDatos_age">#N/A</definedName>
    <definedName name="SegmentaciónDeDatos_age1">#N/A</definedName>
    <definedName name="SegmentaciónDeDatos_country">#N/A</definedName>
    <definedName name="SegmentaciónDeDatos_country1">#N/A</definedName>
    <definedName name="SegmentaciónDeDatos_headshot_percentage">#N/A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10" i="3"/>
  <c r="E3" i="3"/>
  <c r="H31" i="3"/>
  <c r="H30" i="3"/>
  <c r="E32" i="3"/>
  <c r="E31" i="3"/>
  <c r="E30" i="3"/>
  <c r="E29" i="3"/>
  <c r="E28" i="3"/>
  <c r="E27" i="3"/>
  <c r="E23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4" i="3"/>
  <c r="B51" i="3"/>
  <c r="AO2" i="13"/>
  <c r="AS2" i="13" s="1"/>
  <c r="AO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O232" i="13"/>
  <c r="AO233" i="13"/>
  <c r="AO234" i="13"/>
  <c r="AO235" i="13"/>
  <c r="AO236" i="13"/>
  <c r="AO237" i="13"/>
  <c r="AO238" i="13"/>
  <c r="AO239" i="13"/>
  <c r="AO240" i="13"/>
  <c r="AO241" i="13"/>
  <c r="AO242" i="13"/>
  <c r="AO243" i="13"/>
  <c r="AO244" i="13"/>
  <c r="AO245" i="13"/>
  <c r="AO246" i="13"/>
  <c r="AO247" i="13"/>
  <c r="AO248" i="13"/>
  <c r="AO249" i="13"/>
  <c r="AO250" i="13"/>
  <c r="AO251" i="13"/>
  <c r="AO252" i="13"/>
  <c r="AO253" i="13"/>
  <c r="AO254" i="13"/>
  <c r="AO255" i="13"/>
  <c r="AO256" i="13"/>
  <c r="AO257" i="13"/>
  <c r="AO258" i="13"/>
  <c r="AO259" i="13"/>
  <c r="AO260" i="13"/>
  <c r="AO261" i="13"/>
  <c r="AO262" i="13"/>
  <c r="AO263" i="13"/>
  <c r="AO264" i="13"/>
  <c r="AO265" i="13"/>
  <c r="AO266" i="13"/>
  <c r="AO267" i="13"/>
  <c r="AO268" i="13"/>
  <c r="AO269" i="13"/>
  <c r="AO270" i="13"/>
  <c r="AO271" i="13"/>
  <c r="AO272" i="13"/>
  <c r="AO273" i="13"/>
  <c r="AO274" i="13"/>
  <c r="AO275" i="13"/>
  <c r="AO276" i="13"/>
  <c r="AO277" i="13"/>
  <c r="AO278" i="13"/>
  <c r="AO279" i="13"/>
  <c r="AO280" i="13"/>
  <c r="AO281" i="13"/>
  <c r="AO282" i="13"/>
  <c r="AO283" i="13"/>
  <c r="AO284" i="13"/>
  <c r="AO285" i="13"/>
  <c r="AO286" i="13"/>
  <c r="AO287" i="13"/>
  <c r="AO288" i="13"/>
  <c r="AO289" i="13"/>
  <c r="AO290" i="13"/>
  <c r="AO291" i="13"/>
  <c r="AO292" i="13"/>
  <c r="AO293" i="13"/>
  <c r="AO294" i="13"/>
  <c r="AO295" i="13"/>
  <c r="AO296" i="13"/>
  <c r="AO297" i="13"/>
  <c r="AO298" i="13"/>
  <c r="AO299" i="13"/>
  <c r="AO300" i="13"/>
  <c r="AO301" i="13"/>
  <c r="AO302" i="13"/>
  <c r="AO303" i="13"/>
  <c r="AO304" i="13"/>
  <c r="AO305" i="13"/>
  <c r="AO306" i="13"/>
  <c r="AO307" i="13"/>
  <c r="AO308" i="13"/>
  <c r="AO309" i="13"/>
  <c r="AO310" i="13"/>
  <c r="AO311" i="13"/>
  <c r="AO312" i="13"/>
  <c r="AO313" i="13"/>
  <c r="AO314" i="13"/>
  <c r="AO315" i="13"/>
  <c r="AO316" i="13"/>
  <c r="AO317" i="13"/>
  <c r="AO318" i="13"/>
  <c r="AO319" i="13"/>
  <c r="AO320" i="13"/>
  <c r="AO321" i="13"/>
  <c r="AO322" i="13"/>
  <c r="AO323" i="13"/>
  <c r="AO324" i="13"/>
  <c r="AO325" i="13"/>
  <c r="AO326" i="13"/>
  <c r="AO327" i="13"/>
  <c r="AO328" i="13"/>
  <c r="AO329" i="13"/>
  <c r="AO330" i="13"/>
  <c r="AO331" i="13"/>
  <c r="AO332" i="13"/>
  <c r="AO333" i="13"/>
  <c r="AO334" i="13"/>
  <c r="AO335" i="13"/>
  <c r="AO336" i="13"/>
  <c r="AO337" i="13"/>
  <c r="AO338" i="13"/>
  <c r="AO339" i="13"/>
  <c r="AO340" i="13"/>
  <c r="AO341" i="13"/>
  <c r="AO342" i="13"/>
  <c r="AO343" i="13"/>
  <c r="AO344" i="13"/>
  <c r="AO345" i="13"/>
  <c r="AO346" i="13"/>
  <c r="AO347" i="13"/>
  <c r="AO348" i="13"/>
  <c r="AO349" i="13"/>
  <c r="AO350" i="13"/>
  <c r="AO351" i="13"/>
  <c r="AO352" i="13"/>
  <c r="AO353" i="13"/>
  <c r="AO354" i="13"/>
  <c r="AO355" i="13"/>
  <c r="AO356" i="13"/>
  <c r="AO357" i="13"/>
  <c r="AO358" i="13"/>
  <c r="AO359" i="13"/>
  <c r="AO360" i="13"/>
  <c r="AO361" i="13"/>
  <c r="AO362" i="13"/>
  <c r="AO363" i="13"/>
  <c r="AO364" i="13"/>
  <c r="AO365" i="13"/>
  <c r="AO366" i="13"/>
  <c r="AO367" i="13"/>
  <c r="AO368" i="13"/>
  <c r="AO369" i="13"/>
  <c r="AO370" i="13"/>
  <c r="AO371" i="13"/>
  <c r="AO372" i="13"/>
  <c r="AO373" i="13"/>
  <c r="AO374" i="13"/>
  <c r="AO375" i="13"/>
  <c r="AO376" i="13"/>
  <c r="AO377" i="13"/>
  <c r="AO378" i="13"/>
  <c r="AO379" i="13"/>
  <c r="AO380" i="13"/>
  <c r="AO381" i="13"/>
  <c r="AO382" i="13"/>
  <c r="AO383" i="13"/>
  <c r="AO384" i="13"/>
  <c r="AO385" i="13"/>
  <c r="AO386" i="13"/>
  <c r="AO387" i="13"/>
  <c r="AO388" i="13"/>
  <c r="AO389" i="13"/>
  <c r="AO390" i="13"/>
  <c r="AO391" i="13"/>
  <c r="AO392" i="13"/>
  <c r="AO393" i="13"/>
  <c r="AO394" i="13"/>
  <c r="AO395" i="13"/>
  <c r="AO396" i="13"/>
  <c r="AO397" i="13"/>
  <c r="AO398" i="13"/>
  <c r="AO399" i="13"/>
  <c r="AO400" i="13"/>
  <c r="AO401" i="13"/>
  <c r="AO402" i="13"/>
  <c r="AO403" i="13"/>
  <c r="AO404" i="13"/>
  <c r="AO405" i="13"/>
  <c r="AO406" i="13"/>
  <c r="AO407" i="13"/>
  <c r="AO408" i="13"/>
  <c r="AO409" i="13"/>
  <c r="AO410" i="13"/>
  <c r="AO411" i="13"/>
  <c r="AO412" i="13"/>
  <c r="AO413" i="13"/>
  <c r="AO414" i="13"/>
  <c r="AO415" i="13"/>
  <c r="AO416" i="13"/>
  <c r="AO417" i="13"/>
  <c r="AO418" i="13"/>
  <c r="AO419" i="13"/>
  <c r="AO420" i="13"/>
  <c r="AO421" i="13"/>
  <c r="AO422" i="13"/>
  <c r="AO423" i="13"/>
  <c r="AO424" i="13"/>
  <c r="AO425" i="13"/>
  <c r="AO426" i="13"/>
  <c r="AO427" i="13"/>
  <c r="AO428" i="13"/>
  <c r="AO429" i="13"/>
  <c r="AO430" i="13"/>
  <c r="AO431" i="13"/>
  <c r="AO432" i="13"/>
  <c r="AO433" i="13"/>
  <c r="AO434" i="13"/>
  <c r="AO435" i="13"/>
  <c r="AO436" i="13"/>
  <c r="AO437" i="13"/>
  <c r="AO438" i="13"/>
  <c r="AO439" i="13"/>
  <c r="AO440" i="13"/>
  <c r="AO441" i="13"/>
  <c r="AO442" i="13"/>
  <c r="AO443" i="13"/>
  <c r="AO444" i="13"/>
  <c r="AO445" i="13"/>
  <c r="AO446" i="13"/>
  <c r="AO447" i="13"/>
  <c r="AO448" i="13"/>
  <c r="AO449" i="13"/>
  <c r="AO450" i="13"/>
  <c r="AO451" i="13"/>
  <c r="AO452" i="13"/>
  <c r="AO453" i="13"/>
  <c r="AO454" i="13"/>
  <c r="AO455" i="13"/>
  <c r="AO456" i="13"/>
  <c r="AO457" i="13"/>
  <c r="AO458" i="13"/>
  <c r="AO459" i="13"/>
  <c r="AO460" i="13"/>
  <c r="AO461" i="13"/>
  <c r="AO462" i="13"/>
  <c r="AO463" i="13"/>
  <c r="AO464" i="13"/>
  <c r="AO465" i="13"/>
  <c r="AO466" i="13"/>
  <c r="AO467" i="13"/>
  <c r="AO468" i="13"/>
  <c r="AO469" i="13"/>
  <c r="AO470" i="13"/>
  <c r="AO471" i="13"/>
  <c r="AO472" i="13"/>
  <c r="AO473" i="13"/>
  <c r="AO474" i="13"/>
  <c r="AO475" i="13"/>
  <c r="AO476" i="13"/>
  <c r="AO477" i="13"/>
  <c r="AO478" i="13"/>
  <c r="AO479" i="13"/>
  <c r="AO480" i="13"/>
  <c r="AO481" i="13"/>
  <c r="AO482" i="13"/>
  <c r="AO483" i="13"/>
  <c r="AO484" i="13"/>
  <c r="AO485" i="13"/>
  <c r="AO486" i="13"/>
  <c r="AO487" i="13"/>
  <c r="AO488" i="13"/>
  <c r="AO489" i="13"/>
  <c r="AO490" i="13"/>
  <c r="AO491" i="13"/>
  <c r="AO492" i="13"/>
  <c r="AO493" i="13"/>
  <c r="AO494" i="13"/>
  <c r="AO495" i="13"/>
  <c r="AO496" i="13"/>
  <c r="AO497" i="13"/>
  <c r="AO498" i="13"/>
  <c r="AO499" i="13"/>
  <c r="AO500" i="13"/>
  <c r="AO501" i="13"/>
  <c r="AO502" i="13"/>
  <c r="AO503" i="13"/>
  <c r="AO504" i="13"/>
  <c r="AO505" i="13"/>
  <c r="AO506" i="13"/>
  <c r="AO507" i="13"/>
  <c r="AO508" i="13"/>
  <c r="AO509" i="13"/>
  <c r="AO510" i="13"/>
  <c r="AO511" i="13"/>
  <c r="AO512" i="13"/>
  <c r="AO513" i="13"/>
  <c r="AO514" i="13"/>
  <c r="AO515" i="13"/>
  <c r="AO516" i="13"/>
  <c r="AO517" i="13"/>
  <c r="AO518" i="13"/>
  <c r="AO519" i="13"/>
  <c r="AO520" i="13"/>
  <c r="AO521" i="13"/>
  <c r="AO522" i="13"/>
  <c r="AO523" i="13"/>
  <c r="AO524" i="13"/>
  <c r="AO525" i="13"/>
  <c r="AO526" i="13"/>
  <c r="AO527" i="13"/>
  <c r="AO528" i="13"/>
  <c r="AO529" i="13"/>
  <c r="AO530" i="13"/>
  <c r="AO531" i="13"/>
  <c r="AO532" i="13"/>
  <c r="AO533" i="13"/>
  <c r="AO534" i="13"/>
  <c r="AO535" i="13"/>
  <c r="AO536" i="13"/>
  <c r="AO537" i="13"/>
  <c r="AO538" i="13"/>
  <c r="AO539" i="13"/>
  <c r="AO540" i="13"/>
  <c r="AO541" i="13"/>
  <c r="AO542" i="13"/>
  <c r="AO543" i="13"/>
  <c r="AO544" i="13"/>
  <c r="AO545" i="13"/>
  <c r="AO546" i="13"/>
  <c r="AO547" i="13"/>
  <c r="AO548" i="13"/>
  <c r="AO549" i="13"/>
  <c r="AO550" i="13"/>
  <c r="AO551" i="13"/>
  <c r="AO552" i="13"/>
  <c r="AO553" i="13"/>
  <c r="AO554" i="13"/>
  <c r="AO555" i="13"/>
  <c r="AO556" i="13"/>
  <c r="AO557" i="13"/>
  <c r="AO558" i="13"/>
  <c r="AO559" i="13"/>
  <c r="AO560" i="13"/>
  <c r="AO561" i="13"/>
  <c r="AO562" i="13"/>
  <c r="AO563" i="13"/>
  <c r="AO564" i="13"/>
  <c r="AO565" i="13"/>
  <c r="AO566" i="13"/>
  <c r="AO567" i="13"/>
  <c r="AO568" i="13"/>
  <c r="AO569" i="13"/>
  <c r="AO570" i="13"/>
  <c r="AO571" i="13"/>
  <c r="AO572" i="13"/>
  <c r="AO573" i="13"/>
  <c r="AO574" i="13"/>
  <c r="AO575" i="13"/>
  <c r="AO576" i="13"/>
  <c r="AO577" i="13"/>
  <c r="AO578" i="13"/>
  <c r="AO579" i="13"/>
  <c r="AO580" i="13"/>
  <c r="AO581" i="13"/>
  <c r="AO582" i="13"/>
  <c r="AO583" i="13"/>
  <c r="AO584" i="13"/>
  <c r="AO585" i="13"/>
  <c r="AO586" i="13"/>
  <c r="AO587" i="13"/>
  <c r="AO588" i="13"/>
  <c r="AO589" i="13"/>
  <c r="AO590" i="13"/>
  <c r="AO591" i="13"/>
  <c r="AO592" i="13"/>
  <c r="AO593" i="13"/>
  <c r="AO594" i="13"/>
  <c r="AO595" i="13"/>
  <c r="AO596" i="13"/>
  <c r="AO597" i="13"/>
  <c r="AO598" i="13"/>
  <c r="AO599" i="13"/>
  <c r="AO600" i="13"/>
  <c r="AO601" i="13"/>
  <c r="AO602" i="13"/>
  <c r="AO603" i="13"/>
  <c r="AO604" i="13"/>
  <c r="AO605" i="13"/>
  <c r="AO606" i="13"/>
  <c r="AO607" i="13"/>
  <c r="AO608" i="13"/>
  <c r="AO609" i="13"/>
  <c r="AO610" i="13"/>
  <c r="AO611" i="13"/>
  <c r="AO612" i="13"/>
  <c r="AO613" i="13"/>
  <c r="AO614" i="13"/>
  <c r="AO615" i="13"/>
  <c r="AO616" i="13"/>
  <c r="AO617" i="13"/>
  <c r="AO618" i="13"/>
  <c r="AO619" i="13"/>
  <c r="AO620" i="13"/>
  <c r="AO621" i="13"/>
  <c r="AO622" i="13"/>
  <c r="AO623" i="13"/>
  <c r="AO624" i="13"/>
  <c r="AO625" i="13"/>
  <c r="AO626" i="13"/>
  <c r="AO627" i="13"/>
  <c r="AO628" i="13"/>
  <c r="AO629" i="13"/>
  <c r="AO630" i="13"/>
  <c r="AO631" i="13"/>
  <c r="AO632" i="13"/>
  <c r="AO633" i="13"/>
  <c r="AO634" i="13"/>
  <c r="AO635" i="13"/>
  <c r="AO636" i="13"/>
  <c r="AO637" i="13"/>
  <c r="AO638" i="13"/>
  <c r="AO639" i="13"/>
  <c r="AO640" i="13"/>
  <c r="AO641" i="13"/>
  <c r="AO642" i="13"/>
  <c r="AO643" i="13"/>
  <c r="AO644" i="13"/>
  <c r="AO645" i="13"/>
  <c r="AO646" i="13"/>
  <c r="AO647" i="13"/>
  <c r="AO648" i="13"/>
  <c r="AO649" i="13"/>
  <c r="AO650" i="13"/>
  <c r="AO651" i="13"/>
  <c r="AO652" i="13"/>
  <c r="AO653" i="13"/>
  <c r="AO654" i="13"/>
  <c r="AO655" i="13"/>
  <c r="AO656" i="13"/>
  <c r="AO657" i="13"/>
  <c r="AO658" i="13"/>
  <c r="AO659" i="13"/>
  <c r="AO660" i="13"/>
  <c r="AO661" i="13"/>
  <c r="AO662" i="13"/>
  <c r="AO663" i="13"/>
  <c r="AO664" i="13"/>
  <c r="AO665" i="13"/>
  <c r="AO666" i="13"/>
  <c r="AO667" i="13"/>
  <c r="AO668" i="13"/>
  <c r="AO669" i="13"/>
  <c r="AO670" i="13"/>
  <c r="AO671" i="13"/>
  <c r="AO672" i="13"/>
  <c r="AO673" i="13"/>
  <c r="AO674" i="13"/>
  <c r="AO675" i="13"/>
  <c r="AO676" i="13"/>
  <c r="AO677" i="13"/>
  <c r="AO678" i="13"/>
  <c r="AO679" i="13"/>
  <c r="AO680" i="13"/>
  <c r="AO681" i="13"/>
  <c r="AO682" i="13"/>
  <c r="AO683" i="13"/>
  <c r="AO684" i="13"/>
  <c r="AO685" i="13"/>
  <c r="AO686" i="13"/>
  <c r="AO687" i="13"/>
  <c r="AO688" i="13"/>
  <c r="AO689" i="13"/>
  <c r="AO690" i="13"/>
  <c r="AO691" i="13"/>
  <c r="AO692" i="13"/>
  <c r="AO693" i="13"/>
  <c r="AO694" i="13"/>
  <c r="AO695" i="13"/>
  <c r="AO696" i="13"/>
  <c r="AO697" i="13"/>
  <c r="AO698" i="13"/>
  <c r="AO699" i="13"/>
  <c r="AO700" i="13"/>
  <c r="AO701" i="13"/>
  <c r="AO702" i="13"/>
  <c r="AO703" i="13"/>
  <c r="AO704" i="13"/>
  <c r="AO705" i="13"/>
  <c r="AO706" i="13"/>
  <c r="AO707" i="13"/>
  <c r="AO708" i="13"/>
  <c r="AO709" i="13"/>
  <c r="AO710" i="13"/>
  <c r="AO711" i="13"/>
  <c r="AO712" i="13"/>
  <c r="AO713" i="13"/>
  <c r="AO714" i="13"/>
  <c r="AO715" i="13"/>
  <c r="AO716" i="13"/>
  <c r="AO717" i="13"/>
  <c r="AO718" i="13"/>
  <c r="AO719" i="13"/>
  <c r="AO720" i="13"/>
  <c r="AO721" i="13"/>
  <c r="AO722" i="13"/>
  <c r="AO723" i="13"/>
  <c r="AO724" i="13"/>
  <c r="AO725" i="13"/>
  <c r="AO726" i="13"/>
  <c r="AO727" i="13"/>
  <c r="AO728" i="13"/>
  <c r="AO729" i="13"/>
  <c r="AO730" i="13"/>
  <c r="AO731" i="13"/>
  <c r="AO732" i="13"/>
  <c r="AO733" i="13"/>
  <c r="AO734" i="13"/>
  <c r="AO735" i="13"/>
  <c r="AO736" i="13"/>
  <c r="AO737" i="13"/>
  <c r="AO738" i="13"/>
  <c r="AO739" i="13"/>
  <c r="AO740" i="13"/>
  <c r="AO741" i="13"/>
  <c r="AO742" i="13"/>
  <c r="AO743" i="13"/>
  <c r="AO744" i="13"/>
  <c r="AO745" i="13"/>
  <c r="AO746" i="13"/>
  <c r="AO747" i="13"/>
  <c r="AO748" i="13"/>
  <c r="AO749" i="13"/>
  <c r="AO750" i="13"/>
  <c r="AO751" i="13"/>
  <c r="AO752" i="13"/>
  <c r="AO753" i="13"/>
  <c r="AO754" i="13"/>
  <c r="AO755" i="13"/>
  <c r="AO756" i="13"/>
  <c r="AO757" i="13"/>
  <c r="AO758" i="13"/>
  <c r="AO759" i="13"/>
  <c r="AO760" i="13"/>
  <c r="AO761" i="13"/>
  <c r="AO762" i="13"/>
  <c r="AO763" i="13"/>
  <c r="AO764" i="13"/>
  <c r="AO765" i="13"/>
  <c r="AO766" i="13"/>
  <c r="AO767" i="13"/>
  <c r="AO768" i="13"/>
  <c r="AO769" i="13"/>
  <c r="AO770" i="13"/>
  <c r="AO771" i="13"/>
  <c r="AO772" i="13"/>
  <c r="AO773" i="13"/>
  <c r="AO774" i="13"/>
  <c r="AO775" i="13"/>
  <c r="AO776" i="13"/>
  <c r="AO777" i="13"/>
  <c r="AO778" i="13"/>
  <c r="AO779" i="13"/>
  <c r="AO780" i="13"/>
  <c r="AO781" i="13"/>
  <c r="AO782" i="13"/>
  <c r="AO783" i="13"/>
  <c r="AO784" i="13"/>
  <c r="AO785" i="13"/>
  <c r="AO786" i="13"/>
  <c r="AO787" i="13"/>
  <c r="AO788" i="13"/>
  <c r="AO789" i="13"/>
  <c r="AO790" i="13"/>
  <c r="AO791" i="13"/>
  <c r="AO792" i="13"/>
  <c r="AO793" i="13"/>
  <c r="AO794" i="13"/>
  <c r="AO795" i="13"/>
  <c r="AO796" i="13"/>
  <c r="AO797" i="13"/>
  <c r="AO798" i="13"/>
  <c r="AO799" i="13"/>
  <c r="AO800" i="13"/>
  <c r="AO801" i="13"/>
  <c r="AO802" i="13"/>
  <c r="AO803" i="13"/>
  <c r="AO804" i="13"/>
  <c r="AO805" i="13"/>
  <c r="AO806" i="13"/>
  <c r="AO807" i="13"/>
  <c r="AO808" i="13"/>
  <c r="AO809" i="13"/>
  <c r="AO810" i="13"/>
  <c r="AO811" i="13"/>
  <c r="AO812" i="13"/>
  <c r="T5" i="11"/>
  <c r="Q5" i="11"/>
  <c r="N5" i="11"/>
  <c r="H5" i="11"/>
  <c r="E5" i="11"/>
  <c r="B5" i="11"/>
  <c r="H3" i="21"/>
  <c r="D3" i="21"/>
  <c r="AS6" i="13" l="1"/>
  <c r="AS5" i="13"/>
  <c r="AS4" i="13"/>
  <c r="AS3" i="13"/>
  <c r="AP805" i="13" s="1"/>
  <c r="K5" i="11"/>
  <c r="AP34" i="13" l="1"/>
  <c r="AP98" i="13"/>
  <c r="AP162" i="13"/>
  <c r="AP226" i="13"/>
  <c r="AP290" i="13"/>
  <c r="AP3" i="13"/>
  <c r="AP67" i="13"/>
  <c r="AP131" i="13"/>
  <c r="AP195" i="13"/>
  <c r="AP259" i="13"/>
  <c r="AP323" i="13"/>
  <c r="AP387" i="13"/>
  <c r="AP44" i="13"/>
  <c r="AP116" i="13"/>
  <c r="AP196" i="13"/>
  <c r="AP284" i="13"/>
  <c r="AP61" i="13"/>
  <c r="AP157" i="13"/>
  <c r="AP269" i="13"/>
  <c r="AP54" i="13"/>
  <c r="AP310" i="13"/>
  <c r="AP216" i="13"/>
  <c r="AP472" i="13"/>
  <c r="AP265" i="13"/>
  <c r="AP673" i="13"/>
  <c r="AP554" i="13"/>
  <c r="AP523" i="13"/>
  <c r="AP787" i="13"/>
  <c r="AP572" i="13"/>
  <c r="AP510" i="13"/>
  <c r="AP766" i="13"/>
  <c r="AP255" i="13"/>
  <c r="AP752" i="13"/>
  <c r="AP217" i="13"/>
  <c r="AP623" i="13"/>
  <c r="AP725" i="13"/>
  <c r="AP605" i="13"/>
  <c r="AP413" i="13"/>
  <c r="AP50" i="13"/>
  <c r="AP114" i="13"/>
  <c r="AP178" i="13"/>
  <c r="AP242" i="13"/>
  <c r="AP306" i="13"/>
  <c r="AP19" i="13"/>
  <c r="AP83" i="13"/>
  <c r="AP147" i="13"/>
  <c r="AP211" i="13"/>
  <c r="AP275" i="13"/>
  <c r="AP339" i="13"/>
  <c r="AP403" i="13"/>
  <c r="AP60" i="13"/>
  <c r="AP132" i="13"/>
  <c r="AP220" i="13"/>
  <c r="AP308" i="13"/>
  <c r="AP85" i="13"/>
  <c r="AP189" i="13"/>
  <c r="AP285" i="13"/>
  <c r="AP118" i="13"/>
  <c r="AP24" i="13"/>
  <c r="AP280" i="13"/>
  <c r="AP544" i="13"/>
  <c r="AP393" i="13"/>
  <c r="AP362" i="13"/>
  <c r="AP618" i="13"/>
  <c r="AP587" i="13"/>
  <c r="AP380" i="13"/>
  <c r="AP636" i="13"/>
  <c r="AP574" i="13"/>
  <c r="AP63" i="13"/>
  <c r="AP591" i="13"/>
  <c r="AP793" i="13"/>
  <c r="AP409" i="13"/>
  <c r="AP714" i="13"/>
  <c r="AP439" i="13"/>
  <c r="AP765" i="13"/>
  <c r="AP597" i="13"/>
  <c r="AP90" i="13"/>
  <c r="AP218" i="13"/>
  <c r="AP346" i="13"/>
  <c r="AP123" i="13"/>
  <c r="AP251" i="13"/>
  <c r="AP379" i="13"/>
  <c r="AP108" i="13"/>
  <c r="AP45" i="13"/>
  <c r="AP253" i="13"/>
  <c r="AP294" i="13"/>
  <c r="AP456" i="13"/>
  <c r="AP649" i="13"/>
  <c r="AP507" i="13"/>
  <c r="AP556" i="13"/>
  <c r="AP239" i="13"/>
  <c r="AP185" i="13"/>
  <c r="AP519" i="13"/>
  <c r="AP557" i="13"/>
  <c r="AP42" i="13"/>
  <c r="AP234" i="13"/>
  <c r="AP139" i="13"/>
  <c r="AP331" i="13"/>
  <c r="AP52" i="13"/>
  <c r="AP77" i="13"/>
  <c r="AP102" i="13"/>
  <c r="AP361" i="13"/>
  <c r="AP571" i="13"/>
  <c r="AP558" i="13"/>
  <c r="AP800" i="13"/>
  <c r="AP335" i="13"/>
  <c r="AP2" i="13"/>
  <c r="AP58" i="13"/>
  <c r="AP122" i="13"/>
  <c r="AP186" i="13"/>
  <c r="AP250" i="13"/>
  <c r="AP314" i="13"/>
  <c r="AP27" i="13"/>
  <c r="AP91" i="13"/>
  <c r="AP155" i="13"/>
  <c r="AP219" i="13"/>
  <c r="AP283" i="13"/>
  <c r="AP347" i="13"/>
  <c r="AP4" i="13"/>
  <c r="AP68" i="13"/>
  <c r="AP148" i="13"/>
  <c r="AP228" i="13"/>
  <c r="AP324" i="13"/>
  <c r="AP93" i="13"/>
  <c r="AP205" i="13"/>
  <c r="AP301" i="13"/>
  <c r="AP166" i="13"/>
  <c r="AP72" i="13"/>
  <c r="AP328" i="13"/>
  <c r="AP608" i="13"/>
  <c r="AP489" i="13"/>
  <c r="AP410" i="13"/>
  <c r="AP666" i="13"/>
  <c r="AP635" i="13"/>
  <c r="AP428" i="13"/>
  <c r="AP366" i="13"/>
  <c r="AP622" i="13"/>
  <c r="AP111" i="13"/>
  <c r="AP552" i="13"/>
  <c r="AP455" i="13"/>
  <c r="AP545" i="13"/>
  <c r="AP762" i="13"/>
  <c r="AP751" i="13"/>
  <c r="AP375" i="13"/>
  <c r="AP757" i="13"/>
  <c r="AP26" i="13"/>
  <c r="AP154" i="13"/>
  <c r="AP282" i="13"/>
  <c r="AP59" i="13"/>
  <c r="AP187" i="13"/>
  <c r="AP315" i="13"/>
  <c r="AP36" i="13"/>
  <c r="AP180" i="13"/>
  <c r="AP276" i="13"/>
  <c r="AP149" i="13"/>
  <c r="AP38" i="13"/>
  <c r="AP200" i="13"/>
  <c r="AP233" i="13"/>
  <c r="AP538" i="13"/>
  <c r="AP763" i="13"/>
  <c r="AP494" i="13"/>
  <c r="AP750" i="13"/>
  <c r="AP736" i="13"/>
  <c r="AP677" i="13"/>
  <c r="AP397" i="13"/>
  <c r="AP106" i="13"/>
  <c r="AP298" i="13"/>
  <c r="AP75" i="13"/>
  <c r="AP203" i="13"/>
  <c r="AP395" i="13"/>
  <c r="AP212" i="13"/>
  <c r="AP292" i="13"/>
  <c r="AP277" i="13"/>
  <c r="AP264" i="13"/>
  <c r="AP721" i="13"/>
  <c r="AP364" i="13"/>
  <c r="AP47" i="13"/>
  <c r="AP345" i="13"/>
  <c r="AP698" i="13"/>
  <c r="AP733" i="13"/>
  <c r="AP66" i="13"/>
  <c r="AP130" i="13"/>
  <c r="AP194" i="13"/>
  <c r="AP258" i="13"/>
  <c r="AP322" i="13"/>
  <c r="AP35" i="13"/>
  <c r="AP99" i="13"/>
  <c r="AP163" i="13"/>
  <c r="AP227" i="13"/>
  <c r="AP291" i="13"/>
  <c r="AP355" i="13"/>
  <c r="AP12" i="13"/>
  <c r="AP84" i="13"/>
  <c r="AP156" i="13"/>
  <c r="AP236" i="13"/>
  <c r="AP13" i="13"/>
  <c r="AP109" i="13"/>
  <c r="AP213" i="13"/>
  <c r="AP333" i="13"/>
  <c r="AP182" i="13"/>
  <c r="AP88" i="13"/>
  <c r="AP344" i="13"/>
  <c r="AP9" i="13"/>
  <c r="AP505" i="13"/>
  <c r="AP426" i="13"/>
  <c r="AP779" i="13"/>
  <c r="AP651" i="13"/>
  <c r="AP444" i="13"/>
  <c r="AP382" i="13"/>
  <c r="AP638" i="13"/>
  <c r="AP127" i="13"/>
  <c r="AP616" i="13"/>
  <c r="AP559" i="13"/>
  <c r="AP729" i="13"/>
  <c r="AP778" i="13"/>
  <c r="AP811" i="13"/>
  <c r="AP463" i="13"/>
  <c r="AP97" i="13"/>
  <c r="AP129" i="13"/>
  <c r="AP593" i="13"/>
  <c r="AP772" i="13"/>
  <c r="AP225" i="13"/>
  <c r="AP657" i="13"/>
  <c r="AP796" i="13"/>
  <c r="AP257" i="13"/>
  <c r="AP676" i="13"/>
  <c r="AP804" i="13"/>
  <c r="AP353" i="13"/>
  <c r="AP700" i="13"/>
  <c r="AP764" i="13"/>
  <c r="AP385" i="13"/>
  <c r="AP708" i="13"/>
  <c r="AP481" i="13"/>
  <c r="AP732" i="13"/>
  <c r="AP573" i="13"/>
  <c r="AP740" i="13"/>
  <c r="AP509" i="13"/>
  <c r="AP431" i="13"/>
  <c r="AP717" i="13"/>
  <c r="AP517" i="13"/>
  <c r="AP389" i="13"/>
  <c r="AP663" i="13"/>
  <c r="AP343" i="13"/>
  <c r="AP709" i="13"/>
  <c r="AP533" i="13"/>
  <c r="AP748" i="13"/>
  <c r="AP703" i="13"/>
  <c r="AP287" i="13"/>
  <c r="AP637" i="13"/>
  <c r="AP788" i="13"/>
  <c r="AP754" i="13"/>
  <c r="AP690" i="13"/>
  <c r="AP471" i="13"/>
  <c r="AP769" i="13"/>
  <c r="AP529" i="13"/>
  <c r="AP321" i="13"/>
  <c r="AP161" i="13"/>
  <c r="AP791" i="13"/>
  <c r="AP407" i="13"/>
  <c r="AP792" i="13"/>
  <c r="AP728" i="13"/>
  <c r="AP664" i="13"/>
  <c r="AP504" i="13"/>
  <c r="AP447" i="13"/>
  <c r="AP231" i="13"/>
  <c r="AP167" i="13"/>
  <c r="AP103" i="13"/>
  <c r="AP39" i="13"/>
  <c r="AP742" i="13"/>
  <c r="AP678" i="13"/>
  <c r="AP614" i="13"/>
  <c r="AP550" i="13"/>
  <c r="AP486" i="13"/>
  <c r="AP422" i="13"/>
  <c r="AP358" i="13"/>
  <c r="AP612" i="13"/>
  <c r="AP548" i="13"/>
  <c r="AP484" i="13"/>
  <c r="AP420" i="13"/>
  <c r="AP356" i="13"/>
  <c r="AP755" i="13"/>
  <c r="AP691" i="13"/>
  <c r="AP627" i="13"/>
  <c r="AP563" i="13"/>
  <c r="AP499" i="13"/>
  <c r="AP435" i="13"/>
  <c r="AP658" i="13"/>
  <c r="AP594" i="13"/>
  <c r="AP530" i="13"/>
  <c r="AP466" i="13"/>
  <c r="AP402" i="13"/>
  <c r="AP713" i="13"/>
  <c r="AP641" i="13"/>
  <c r="AP561" i="13"/>
  <c r="AP465" i="13"/>
  <c r="AP337" i="13"/>
  <c r="AP209" i="13"/>
  <c r="AP81" i="13"/>
  <c r="AP600" i="13"/>
  <c r="AP520" i="13"/>
  <c r="AP448" i="13"/>
  <c r="AP384" i="13"/>
  <c r="AP320" i="13"/>
  <c r="AP256" i="13"/>
  <c r="AP192" i="13"/>
  <c r="AP128" i="13"/>
  <c r="AP64" i="13"/>
  <c r="AP350" i="13"/>
  <c r="AP286" i="13"/>
  <c r="AP222" i="13"/>
  <c r="AP158" i="13"/>
  <c r="AP94" i="13"/>
  <c r="AP30" i="13"/>
  <c r="AP325" i="13"/>
  <c r="AP261" i="13"/>
  <c r="AP197" i="13"/>
  <c r="AP133" i="13"/>
  <c r="AP69" i="13"/>
  <c r="AP5" i="13"/>
  <c r="AP268" i="13"/>
  <c r="AP204" i="13"/>
  <c r="AP140" i="13"/>
  <c r="AP76" i="13"/>
  <c r="AP775" i="13"/>
  <c r="AP383" i="13"/>
  <c r="AP693" i="13"/>
  <c r="AP493" i="13"/>
  <c r="AP381" i="13"/>
  <c r="AP615" i="13"/>
  <c r="AP319" i="13"/>
  <c r="AP685" i="13"/>
  <c r="AP501" i="13"/>
  <c r="AP724" i="13"/>
  <c r="AP655" i="13"/>
  <c r="AP798" i="13"/>
  <c r="AP613" i="13"/>
  <c r="AP810" i="13"/>
  <c r="AP746" i="13"/>
  <c r="AP682" i="13"/>
  <c r="AP415" i="13"/>
  <c r="AP761" i="13"/>
  <c r="AP473" i="13"/>
  <c r="AP313" i="13"/>
  <c r="AP153" i="13"/>
  <c r="AP735" i="13"/>
  <c r="AP359" i="13"/>
  <c r="AP784" i="13"/>
  <c r="AP720" i="13"/>
  <c r="AP656" i="13"/>
  <c r="AP807" i="13"/>
  <c r="AP391" i="13"/>
  <c r="AP223" i="13"/>
  <c r="AP159" i="13"/>
  <c r="AP95" i="13"/>
  <c r="AP31" i="13"/>
  <c r="AP734" i="13"/>
  <c r="AP670" i="13"/>
  <c r="AP606" i="13"/>
  <c r="AP542" i="13"/>
  <c r="AP478" i="13"/>
  <c r="AP414" i="13"/>
  <c r="AP668" i="13"/>
  <c r="AP604" i="13"/>
  <c r="AP540" i="13"/>
  <c r="AP476" i="13"/>
  <c r="AP412" i="13"/>
  <c r="AP348" i="13"/>
  <c r="AP747" i="13"/>
  <c r="AP683" i="13"/>
  <c r="AP619" i="13"/>
  <c r="AP555" i="13"/>
  <c r="AP491" i="13"/>
  <c r="AP427" i="13"/>
  <c r="AP650" i="13"/>
  <c r="AP586" i="13"/>
  <c r="AP522" i="13"/>
  <c r="AP458" i="13"/>
  <c r="AP394" i="13"/>
  <c r="AP705" i="13"/>
  <c r="AP633" i="13"/>
  <c r="AP553" i="13"/>
  <c r="AP457" i="13"/>
  <c r="AP329" i="13"/>
  <c r="AP201" i="13"/>
  <c r="AP73" i="13"/>
  <c r="AP592" i="13"/>
  <c r="AP512" i="13"/>
  <c r="AP440" i="13"/>
  <c r="AP376" i="13"/>
  <c r="AP312" i="13"/>
  <c r="AP248" i="13"/>
  <c r="AP184" i="13"/>
  <c r="AP120" i="13"/>
  <c r="AP56" i="13"/>
  <c r="AP342" i="13"/>
  <c r="AP278" i="13"/>
  <c r="AP214" i="13"/>
  <c r="AP150" i="13"/>
  <c r="AP86" i="13"/>
  <c r="AP22" i="13"/>
  <c r="AP317" i="13"/>
  <c r="AP727" i="13"/>
  <c r="AP327" i="13"/>
  <c r="AP661" i="13"/>
  <c r="AP469" i="13"/>
  <c r="AP373" i="13"/>
  <c r="AP575" i="13"/>
  <c r="AP263" i="13"/>
  <c r="AP669" i="13"/>
  <c r="AP485" i="13"/>
  <c r="AP716" i="13"/>
  <c r="AP599" i="13"/>
  <c r="AP797" i="13"/>
  <c r="AP589" i="13"/>
  <c r="AP802" i="13"/>
  <c r="AP738" i="13"/>
  <c r="AP767" i="13"/>
  <c r="AP367" i="13"/>
  <c r="AP753" i="13"/>
  <c r="AP449" i="13"/>
  <c r="AP289" i="13"/>
  <c r="AP121" i="13"/>
  <c r="AP687" i="13"/>
  <c r="AP303" i="13"/>
  <c r="AP776" i="13"/>
  <c r="AP712" i="13"/>
  <c r="AP648" i="13"/>
  <c r="AP759" i="13"/>
  <c r="AP351" i="13"/>
  <c r="AP215" i="13"/>
  <c r="AP151" i="13"/>
  <c r="AP87" i="13"/>
  <c r="AP23" i="13"/>
  <c r="AP726" i="13"/>
  <c r="AP662" i="13"/>
  <c r="AP598" i="13"/>
  <c r="AP534" i="13"/>
  <c r="AP470" i="13"/>
  <c r="AP406" i="13"/>
  <c r="AP660" i="13"/>
  <c r="AP596" i="13"/>
  <c r="AP532" i="13"/>
  <c r="AP468" i="13"/>
  <c r="AP404" i="13"/>
  <c r="AP340" i="13"/>
  <c r="AP739" i="13"/>
  <c r="AP675" i="13"/>
  <c r="AP611" i="13"/>
  <c r="AP547" i="13"/>
  <c r="AP483" i="13"/>
  <c r="AP419" i="13"/>
  <c r="AP642" i="13"/>
  <c r="AP578" i="13"/>
  <c r="AP514" i="13"/>
  <c r="AP450" i="13"/>
  <c r="AP386" i="13"/>
  <c r="AP697" i="13"/>
  <c r="AP625" i="13"/>
  <c r="AP537" i="13"/>
  <c r="AP433" i="13"/>
  <c r="AP305" i="13"/>
  <c r="AP177" i="13"/>
  <c r="AP49" i="13"/>
  <c r="AP584" i="13"/>
  <c r="AP496" i="13"/>
  <c r="AP432" i="13"/>
  <c r="AP368" i="13"/>
  <c r="AP304" i="13"/>
  <c r="AP240" i="13"/>
  <c r="AP176" i="13"/>
  <c r="AP112" i="13"/>
  <c r="AP48" i="13"/>
  <c r="AP334" i="13"/>
  <c r="AP270" i="13"/>
  <c r="AP206" i="13"/>
  <c r="AP142" i="13"/>
  <c r="AP78" i="13"/>
  <c r="AP14" i="13"/>
  <c r="AP309" i="13"/>
  <c r="AP245" i="13"/>
  <c r="AP181" i="13"/>
  <c r="AP117" i="13"/>
  <c r="AP53" i="13"/>
  <c r="AP316" i="13"/>
  <c r="AP252" i="13"/>
  <c r="AP188" i="13"/>
  <c r="AP679" i="13"/>
  <c r="AP279" i="13"/>
  <c r="AP645" i="13"/>
  <c r="AP445" i="13"/>
  <c r="AP365" i="13"/>
  <c r="AP535" i="13"/>
  <c r="AP774" i="13"/>
  <c r="AP653" i="13"/>
  <c r="AP461" i="13"/>
  <c r="AP692" i="13"/>
  <c r="AP551" i="13"/>
  <c r="AP773" i="13"/>
  <c r="AP549" i="13"/>
  <c r="AP794" i="13"/>
  <c r="AP730" i="13"/>
  <c r="AP719" i="13"/>
  <c r="AP295" i="13"/>
  <c r="AP745" i="13"/>
  <c r="AP441" i="13"/>
  <c r="AP281" i="13"/>
  <c r="AP89" i="13"/>
  <c r="AP639" i="13"/>
  <c r="AP806" i="13"/>
  <c r="AP768" i="13"/>
  <c r="AP704" i="13"/>
  <c r="AP640" i="13"/>
  <c r="AP711" i="13"/>
  <c r="AP311" i="13"/>
  <c r="AP207" i="13"/>
  <c r="AP143" i="13"/>
  <c r="AP79" i="13"/>
  <c r="AP15" i="13"/>
  <c r="AP718" i="13"/>
  <c r="AP654" i="13"/>
  <c r="AP590" i="13"/>
  <c r="AP526" i="13"/>
  <c r="AP462" i="13"/>
  <c r="AP398" i="13"/>
  <c r="AP652" i="13"/>
  <c r="AP588" i="13"/>
  <c r="AP524" i="13"/>
  <c r="AP460" i="13"/>
  <c r="AP396" i="13"/>
  <c r="AP332" i="13"/>
  <c r="AP731" i="13"/>
  <c r="AP667" i="13"/>
  <c r="AP603" i="13"/>
  <c r="AP539" i="13"/>
  <c r="AP475" i="13"/>
  <c r="AP411" i="13"/>
  <c r="AP634" i="13"/>
  <c r="AP570" i="13"/>
  <c r="AP506" i="13"/>
  <c r="AP442" i="13"/>
  <c r="AP378" i="13"/>
  <c r="AP689" i="13"/>
  <c r="AP617" i="13"/>
  <c r="AP521" i="13"/>
  <c r="AP425" i="13"/>
  <c r="AP297" i="13"/>
  <c r="AP169" i="13"/>
  <c r="AP41" i="13"/>
  <c r="AP576" i="13"/>
  <c r="AP488" i="13"/>
  <c r="AP424" i="13"/>
  <c r="AP360" i="13"/>
  <c r="AP296" i="13"/>
  <c r="AP232" i="13"/>
  <c r="AP168" i="13"/>
  <c r="AP104" i="13"/>
  <c r="AP40" i="13"/>
  <c r="AP326" i="13"/>
  <c r="AP262" i="13"/>
  <c r="AP198" i="13"/>
  <c r="AP134" i="13"/>
  <c r="AP70" i="13"/>
  <c r="AP631" i="13"/>
  <c r="AP790" i="13"/>
  <c r="AP621" i="13"/>
  <c r="AP437" i="13"/>
  <c r="AP357" i="13"/>
  <c r="AP487" i="13"/>
  <c r="AP789" i="13"/>
  <c r="AP629" i="13"/>
  <c r="AP429" i="13"/>
  <c r="AP684" i="13"/>
  <c r="AP503" i="13"/>
  <c r="AP741" i="13"/>
  <c r="AP525" i="13"/>
  <c r="AP786" i="13"/>
  <c r="AP722" i="13"/>
  <c r="AP671" i="13"/>
  <c r="AP782" i="13"/>
  <c r="AP737" i="13"/>
  <c r="AP417" i="13"/>
  <c r="AP249" i="13"/>
  <c r="AP65" i="13"/>
  <c r="AP607" i="13"/>
  <c r="AP809" i="13"/>
  <c r="AP760" i="13"/>
  <c r="AP696" i="13"/>
  <c r="AP632" i="13"/>
  <c r="AP647" i="13"/>
  <c r="AP271" i="13"/>
  <c r="AP199" i="13"/>
  <c r="AP135" i="13"/>
  <c r="AP71" i="13"/>
  <c r="AP7" i="13"/>
  <c r="AP710" i="13"/>
  <c r="AP646" i="13"/>
  <c r="AP582" i="13"/>
  <c r="AP518" i="13"/>
  <c r="AP454" i="13"/>
  <c r="AP390" i="13"/>
  <c r="AP644" i="13"/>
  <c r="AP580" i="13"/>
  <c r="AP516" i="13"/>
  <c r="AP452" i="13"/>
  <c r="AP388" i="13"/>
  <c r="AP803" i="13"/>
  <c r="AP723" i="13"/>
  <c r="AP659" i="13"/>
  <c r="AP595" i="13"/>
  <c r="AP531" i="13"/>
  <c r="AP467" i="13"/>
  <c r="AP795" i="13"/>
  <c r="AP626" i="13"/>
  <c r="AP562" i="13"/>
  <c r="AP498" i="13"/>
  <c r="AP434" i="13"/>
  <c r="AP370" i="13"/>
  <c r="AP681" i="13"/>
  <c r="AP601" i="13"/>
  <c r="AP513" i="13"/>
  <c r="AP401" i="13"/>
  <c r="AP273" i="13"/>
  <c r="AP145" i="13"/>
  <c r="AP17" i="13"/>
  <c r="AP560" i="13"/>
  <c r="AP480" i="13"/>
  <c r="AP416" i="13"/>
  <c r="AP352" i="13"/>
  <c r="AP288" i="13"/>
  <c r="AP224" i="13"/>
  <c r="AP160" i="13"/>
  <c r="AP96" i="13"/>
  <c r="AP32" i="13"/>
  <c r="AP318" i="13"/>
  <c r="AP254" i="13"/>
  <c r="AP190" i="13"/>
  <c r="AP126" i="13"/>
  <c r="AP62" i="13"/>
  <c r="AP6" i="13"/>
  <c r="AP293" i="13"/>
  <c r="AP229" i="13"/>
  <c r="AP165" i="13"/>
  <c r="AP101" i="13"/>
  <c r="AP37" i="13"/>
  <c r="AP300" i="13"/>
  <c r="AP527" i="13"/>
  <c r="AP781" i="13"/>
  <c r="AP565" i="13"/>
  <c r="AP405" i="13"/>
  <c r="AP743" i="13"/>
  <c r="AP423" i="13"/>
  <c r="AP749" i="13"/>
  <c r="AP581" i="13"/>
  <c r="AP780" i="13"/>
  <c r="AP799" i="13"/>
  <c r="AP399" i="13"/>
  <c r="AP701" i="13"/>
  <c r="AP453" i="13"/>
  <c r="AP770" i="13"/>
  <c r="AP706" i="13"/>
  <c r="AP567" i="13"/>
  <c r="AP785" i="13"/>
  <c r="AP609" i="13"/>
  <c r="AP377" i="13"/>
  <c r="AP193" i="13"/>
  <c r="AP33" i="13"/>
  <c r="AP511" i="13"/>
  <c r="AP808" i="13"/>
  <c r="AP744" i="13"/>
  <c r="AP680" i="13"/>
  <c r="AP568" i="13"/>
  <c r="AP543" i="13"/>
  <c r="AP247" i="13"/>
  <c r="AP183" i="13"/>
  <c r="AP119" i="13"/>
  <c r="AP55" i="13"/>
  <c r="AP758" i="13"/>
  <c r="AP694" i="13"/>
  <c r="AP630" i="13"/>
  <c r="AP566" i="13"/>
  <c r="AP502" i="13"/>
  <c r="AP438" i="13"/>
  <c r="AP374" i="13"/>
  <c r="AP628" i="13"/>
  <c r="AP564" i="13"/>
  <c r="AP500" i="13"/>
  <c r="AP436" i="13"/>
  <c r="AP372" i="13"/>
  <c r="AP771" i="13"/>
  <c r="AP707" i="13"/>
  <c r="AP643" i="13"/>
  <c r="AP579" i="13"/>
  <c r="AP515" i="13"/>
  <c r="AP451" i="13"/>
  <c r="AP674" i="13"/>
  <c r="AP610" i="13"/>
  <c r="AP546" i="13"/>
  <c r="AP482" i="13"/>
  <c r="AP418" i="13"/>
  <c r="AP354" i="13"/>
  <c r="AP665" i="13"/>
  <c r="AP577" i="13"/>
  <c r="AP497" i="13"/>
  <c r="AP369" i="13"/>
  <c r="AP241" i="13"/>
  <c r="AP113" i="13"/>
  <c r="AP624" i="13"/>
  <c r="AP536" i="13"/>
  <c r="AP464" i="13"/>
  <c r="AP400" i="13"/>
  <c r="AP336" i="13"/>
  <c r="AP272" i="13"/>
  <c r="AP208" i="13"/>
  <c r="AP144" i="13"/>
  <c r="AP80" i="13"/>
  <c r="AP16" i="13"/>
  <c r="AP302" i="13"/>
  <c r="AP238" i="13"/>
  <c r="AP174" i="13"/>
  <c r="AP110" i="13"/>
  <c r="AP46" i="13"/>
  <c r="AP341" i="13"/>
  <c r="AP74" i="13"/>
  <c r="AP202" i="13"/>
  <c r="AP330" i="13"/>
  <c r="AP107" i="13"/>
  <c r="AP171" i="13"/>
  <c r="AP235" i="13"/>
  <c r="AP299" i="13"/>
  <c r="AP363" i="13"/>
  <c r="AP20" i="13"/>
  <c r="AP92" i="13"/>
  <c r="AP164" i="13"/>
  <c r="AP244" i="13"/>
  <c r="AP21" i="13"/>
  <c r="AP125" i="13"/>
  <c r="AP221" i="13"/>
  <c r="AP349" i="13"/>
  <c r="AP230" i="13"/>
  <c r="AP136" i="13"/>
  <c r="AP392" i="13"/>
  <c r="AP105" i="13"/>
  <c r="AP569" i="13"/>
  <c r="AP474" i="13"/>
  <c r="AP443" i="13"/>
  <c r="AP699" i="13"/>
  <c r="AP492" i="13"/>
  <c r="AP430" i="13"/>
  <c r="AP686" i="13"/>
  <c r="AP175" i="13"/>
  <c r="AP672" i="13"/>
  <c r="AP25" i="13"/>
  <c r="AP777" i="13"/>
  <c r="AP421" i="13"/>
  <c r="AP756" i="13"/>
  <c r="AP695" i="13"/>
  <c r="AP479" i="13"/>
  <c r="AP170" i="13"/>
  <c r="AP11" i="13"/>
  <c r="AP267" i="13"/>
  <c r="AP124" i="13"/>
  <c r="AP173" i="13"/>
  <c r="AP8" i="13"/>
  <c r="AP528" i="13"/>
  <c r="AP602" i="13"/>
  <c r="AP620" i="13"/>
  <c r="AP495" i="13"/>
  <c r="AP541" i="13"/>
  <c r="AP10" i="13"/>
  <c r="AP138" i="13"/>
  <c r="AP266" i="13"/>
  <c r="AP43" i="13"/>
  <c r="AP18" i="13"/>
  <c r="AP82" i="13"/>
  <c r="AP146" i="13"/>
  <c r="AP210" i="13"/>
  <c r="AP274" i="13"/>
  <c r="AP338" i="13"/>
  <c r="AP51" i="13"/>
  <c r="AP115" i="13"/>
  <c r="AP179" i="13"/>
  <c r="AP243" i="13"/>
  <c r="AP307" i="13"/>
  <c r="AP371" i="13"/>
  <c r="AP28" i="13"/>
  <c r="AP100" i="13"/>
  <c r="AP172" i="13"/>
  <c r="AP260" i="13"/>
  <c r="AP29" i="13"/>
  <c r="AP141" i="13"/>
  <c r="AP237" i="13"/>
  <c r="AP246" i="13"/>
  <c r="AP152" i="13"/>
  <c r="AP408" i="13"/>
  <c r="AP137" i="13"/>
  <c r="AP585" i="13"/>
  <c r="AP490" i="13"/>
  <c r="AP459" i="13"/>
  <c r="AP715" i="13"/>
  <c r="AP508" i="13"/>
  <c r="AP446" i="13"/>
  <c r="AP702" i="13"/>
  <c r="AP191" i="13"/>
  <c r="AP688" i="13"/>
  <c r="AP57" i="13"/>
  <c r="AP801" i="13"/>
  <c r="AP477" i="13"/>
  <c r="AP812" i="13"/>
  <c r="AP783" i="13"/>
  <c r="AP583" i="13"/>
  <c r="B21" i="3"/>
  <c r="B38" i="3"/>
  <c r="B58" i="3"/>
  <c r="B35" i="3"/>
  <c r="B22" i="3"/>
  <c r="B26" i="3"/>
  <c r="B33" i="3"/>
  <c r="B32" i="3"/>
  <c r="B57" i="3"/>
  <c r="B50" i="3"/>
  <c r="B29" i="3"/>
  <c r="B25" i="3"/>
  <c r="B28" i="3"/>
  <c r="B24" i="3"/>
  <c r="B45" i="3"/>
  <c r="B47" i="3"/>
  <c r="B10" i="3"/>
  <c r="B30" i="3"/>
  <c r="B31" i="3"/>
  <c r="B36" i="3"/>
  <c r="B6" i="3"/>
  <c r="B34" i="3"/>
  <c r="B42" i="3"/>
  <c r="B23" i="3"/>
  <c r="B9" i="3"/>
  <c r="B37" i="3"/>
  <c r="B52" i="3"/>
  <c r="B15" i="3"/>
  <c r="B17" i="3"/>
  <c r="B41" i="3"/>
  <c r="B8" i="3"/>
  <c r="B44" i="3"/>
  <c r="B48" i="3"/>
  <c r="B46" i="3"/>
  <c r="B55" i="3"/>
  <c r="B53" i="3"/>
  <c r="B39" i="3"/>
  <c r="B27" i="3"/>
  <c r="B13" i="3"/>
  <c r="B54" i="3"/>
  <c r="B14" i="3"/>
  <c r="B18" i="3"/>
  <c r="B12" i="3"/>
  <c r="B20" i="3"/>
  <c r="B19" i="3"/>
  <c r="B7" i="3"/>
  <c r="B11" i="3"/>
  <c r="B40" i="3"/>
  <c r="B49" i="3"/>
  <c r="B43" i="3"/>
  <c r="B56" i="3"/>
  <c r="B16" i="3"/>
</calcChain>
</file>

<file path=xl/sharedStrings.xml><?xml version="1.0" encoding="utf-8"?>
<sst xmlns="http://schemas.openxmlformats.org/spreadsheetml/2006/main" count="30724" uniqueCount="3520">
  <si>
    <t>player_id</t>
  </si>
  <si>
    <t>nickname</t>
  </si>
  <si>
    <t>real_name</t>
  </si>
  <si>
    <t>age</t>
  </si>
  <si>
    <t>country</t>
  </si>
  <si>
    <t>current_team</t>
  </si>
  <si>
    <t>teams</t>
  </si>
  <si>
    <t>total_kills</t>
  </si>
  <si>
    <t>total_deaths</t>
  </si>
  <si>
    <t>headshot_percentage</t>
  </si>
  <si>
    <t>damage_per_round</t>
  </si>
  <si>
    <t>grenade_dmg_per_round</t>
  </si>
  <si>
    <t>maps_played</t>
  </si>
  <si>
    <t>rounds_played</t>
  </si>
  <si>
    <t>kills_per_round</t>
  </si>
  <si>
    <t>assists_per_round</t>
  </si>
  <si>
    <t>deaths_per_round</t>
  </si>
  <si>
    <t>saved_by_teammate_per_round</t>
  </si>
  <si>
    <t>saved_teammates_per_round</t>
  </si>
  <si>
    <t>rounds_with_kills</t>
  </si>
  <si>
    <t>kill_to_death_diff</t>
  </si>
  <si>
    <t>total_opening_kills</t>
  </si>
  <si>
    <t>total_opening_deaths</t>
  </si>
  <si>
    <t>opening_kill_ratio</t>
  </si>
  <si>
    <t>opening_kill_rating</t>
  </si>
  <si>
    <t>team_win_percent_after_first_kill</t>
  </si>
  <si>
    <t>first_kill_in_won_rounds</t>
  </si>
  <si>
    <t>0_kill_rounds</t>
  </si>
  <si>
    <t>1_kill_rounds</t>
  </si>
  <si>
    <t>2_kill_rounds</t>
  </si>
  <si>
    <t>3_kill_rounds</t>
  </si>
  <si>
    <t>4_kill_rounds</t>
  </si>
  <si>
    <t>5_kill_rounds</t>
  </si>
  <si>
    <t>rifle_kills</t>
  </si>
  <si>
    <t>sniper_kills</t>
  </si>
  <si>
    <t>smg_kills</t>
  </si>
  <si>
    <t>pistol_kills</t>
  </si>
  <si>
    <t>grenade_kills</t>
  </si>
  <si>
    <t>other_kills</t>
  </si>
  <si>
    <t>rating</t>
  </si>
  <si>
    <t>ZywOo</t>
  </si>
  <si>
    <t>Mathieu Herbaut</t>
  </si>
  <si>
    <t>France</t>
  </si>
  <si>
    <t>Vitality</t>
  </si>
  <si>
    <t>Vitality, aAa</t>
  </si>
  <si>
    <t>41.20%</t>
  </si>
  <si>
    <t>3.6</t>
  </si>
  <si>
    <t>0.84</t>
  </si>
  <si>
    <t>0.12</t>
  </si>
  <si>
    <t>0.61</t>
  </si>
  <si>
    <t>0.1</t>
  </si>
  <si>
    <t>K - D diff.</t>
  </si>
  <si>
    <t>1.6</t>
  </si>
  <si>
    <t>1.28</t>
  </si>
  <si>
    <t>73.10%</t>
  </si>
  <si>
    <t>21.40%</t>
  </si>
  <si>
    <t>1.32</t>
  </si>
  <si>
    <t>s1mple</t>
  </si>
  <si>
    <t>Aleksandr Kostyliev</t>
  </si>
  <si>
    <t>Ukraine</t>
  </si>
  <si>
    <t>Natus Vincere</t>
  </si>
  <si>
    <t>41.30%</t>
  </si>
  <si>
    <t>86.4</t>
  </si>
  <si>
    <t>2.4</t>
  </si>
  <si>
    <t>0.86</t>
  </si>
  <si>
    <t>0.64</t>
  </si>
  <si>
    <t>0.08</t>
  </si>
  <si>
    <t>0.11</t>
  </si>
  <si>
    <t>1.61</t>
  </si>
  <si>
    <t>1.24</t>
  </si>
  <si>
    <t>75.20%</t>
  </si>
  <si>
    <t>20.80%</t>
  </si>
  <si>
    <t>1.25</t>
  </si>
  <si>
    <t>sh1ro</t>
  </si>
  <si>
    <t>Dmitry Sokolov</t>
  </si>
  <si>
    <t>Russia</t>
  </si>
  <si>
    <t>Cloud9</t>
  </si>
  <si>
    <t>Gambit Youngsters, Gambit</t>
  </si>
  <si>
    <t>27.80%</t>
  </si>
  <si>
    <t>78.6</t>
  </si>
  <si>
    <t>3.9</t>
  </si>
  <si>
    <t>0.77</t>
  </si>
  <si>
    <t>0.53</t>
  </si>
  <si>
    <t>1.96</t>
  </si>
  <si>
    <t>1.15</t>
  </si>
  <si>
    <t>77.00%</t>
  </si>
  <si>
    <t>16.20%</t>
  </si>
  <si>
    <t>1.26</t>
  </si>
  <si>
    <t>deko</t>
  </si>
  <si>
    <t>Denis Zhukov</t>
  </si>
  <si>
    <t>1WIN</t>
  </si>
  <si>
    <t>36.70%</t>
  </si>
  <si>
    <t>80.4</t>
  </si>
  <si>
    <t>3.4</t>
  </si>
  <si>
    <t>0.8</t>
  </si>
  <si>
    <t>0.59</t>
  </si>
  <si>
    <t>0.09</t>
  </si>
  <si>
    <t>1.73</t>
  </si>
  <si>
    <t>1.13</t>
  </si>
  <si>
    <t>76.40%</t>
  </si>
  <si>
    <t>16.70%</t>
  </si>
  <si>
    <t>1.23</t>
  </si>
  <si>
    <t>saffee</t>
  </si>
  <si>
    <t>Rafael Costa</t>
  </si>
  <si>
    <t>Brazil</t>
  </si>
  <si>
    <t>FURIA</t>
  </si>
  <si>
    <t>FURIA, paiN</t>
  </si>
  <si>
    <t>30.90%</t>
  </si>
  <si>
    <t>80.2</t>
  </si>
  <si>
    <t>0.79</t>
  </si>
  <si>
    <t>1.47</t>
  </si>
  <si>
    <t>1.14</t>
  </si>
  <si>
    <t>76.10%</t>
  </si>
  <si>
    <t>17.30%</t>
  </si>
  <si>
    <t>1.22</t>
  </si>
  <si>
    <t>Kaze</t>
  </si>
  <si>
    <t>Andrew Khong</t>
  </si>
  <si>
    <t>Malaysia</t>
  </si>
  <si>
    <t>Rare Atom</t>
  </si>
  <si>
    <t>ViCi, Flash, MVP.karnal</t>
  </si>
  <si>
    <t>30.30%</t>
  </si>
  <si>
    <t>80.1</t>
  </si>
  <si>
    <t>2.9</t>
  </si>
  <si>
    <t>0.78</t>
  </si>
  <si>
    <t>1.69</t>
  </si>
  <si>
    <t>76.50%</t>
  </si>
  <si>
    <t>17.00%</t>
  </si>
  <si>
    <t>1.19</t>
  </si>
  <si>
    <t>degster</t>
  </si>
  <si>
    <t>Abdul Gasanov</t>
  </si>
  <si>
    <t>OG</t>
  </si>
  <si>
    <t>Espada, Spirit</t>
  </si>
  <si>
    <t>34.70%</t>
  </si>
  <si>
    <t>79.3</t>
  </si>
  <si>
    <t>0.6</t>
  </si>
  <si>
    <t>0.07</t>
  </si>
  <si>
    <t>1.21</t>
  </si>
  <si>
    <t>73.90%</t>
  </si>
  <si>
    <t>19.20%</t>
  </si>
  <si>
    <t>smooya</t>
  </si>
  <si>
    <t>Owen Butterfield</t>
  </si>
  <si>
    <t>United Kingdom</t>
  </si>
  <si>
    <t>BIG, Movistar Riders, Epsilon</t>
  </si>
  <si>
    <t>2.5</t>
  </si>
  <si>
    <t>0.62</t>
  </si>
  <si>
    <t>1.46</t>
  </si>
  <si>
    <t>19.80%</t>
  </si>
  <si>
    <t>1.2</t>
  </si>
  <si>
    <t>sterling</t>
  </si>
  <si>
    <t>Euan Moore</t>
  </si>
  <si>
    <t>New Zealand</t>
  </si>
  <si>
    <t>Encore</t>
  </si>
  <si>
    <t>AVANT, Looking For Org, Dire Wolves</t>
  </si>
  <si>
    <t>31.60%</t>
  </si>
  <si>
    <t>78.1</t>
  </si>
  <si>
    <t>1.87</t>
  </si>
  <si>
    <t>77.70%</t>
  </si>
  <si>
    <t>XANTARES</t>
  </si>
  <si>
    <t>Ismailcan DÃ¶rtkardeÅŸ</t>
  </si>
  <si>
    <t>Turkey</t>
  </si>
  <si>
    <t>Eternal Fire</t>
  </si>
  <si>
    <t>Eternal Fire, Space Soldiers, BIG</t>
  </si>
  <si>
    <t>53.30%</t>
  </si>
  <si>
    <t>89.1</t>
  </si>
  <si>
    <t>4.6</t>
  </si>
  <si>
    <t>0.81</t>
  </si>
  <si>
    <t>0.15</t>
  </si>
  <si>
    <t>0.68</t>
  </si>
  <si>
    <t>1.29</t>
  </si>
  <si>
    <t>1.18</t>
  </si>
  <si>
    <t>74.80%</t>
  </si>
  <si>
    <t>19.40%</t>
  </si>
  <si>
    <t>1.17</t>
  </si>
  <si>
    <t>SENSEi</t>
  </si>
  <si>
    <t>Dmitriy Shvorak</t>
  </si>
  <si>
    <t>Iron Branch</t>
  </si>
  <si>
    <t>CR4ZY, Project X, Akuma, Run or Die</t>
  </si>
  <si>
    <t>31.30%</t>
  </si>
  <si>
    <t>76.1</t>
  </si>
  <si>
    <t>2.7</t>
  </si>
  <si>
    <t>0.75</t>
  </si>
  <si>
    <t>0.56</t>
  </si>
  <si>
    <t>1.99</t>
  </si>
  <si>
    <t>74.40%</t>
  </si>
  <si>
    <t>19.10%</t>
  </si>
  <si>
    <t>torzsi</t>
  </si>
  <si>
    <t>ÃdÃ¡m TorzsÃ¡s</t>
  </si>
  <si>
    <t>Hungary</t>
  </si>
  <si>
    <t>MOUZ</t>
  </si>
  <si>
    <t>MOUZ, Budapest Five, MOUZ NXT, Salamander</t>
  </si>
  <si>
    <t>29.10%</t>
  </si>
  <si>
    <t>1.54</t>
  </si>
  <si>
    <t>76.20%</t>
  </si>
  <si>
    <t>18.30%</t>
  </si>
  <si>
    <t>device</t>
  </si>
  <si>
    <t>Nicolai Reedtz</t>
  </si>
  <si>
    <t>Denmark</t>
  </si>
  <si>
    <t>NIP</t>
  </si>
  <si>
    <t>Astralis, TSM</t>
  </si>
  <si>
    <t>35.00%</t>
  </si>
  <si>
    <t>80.3</t>
  </si>
  <si>
    <t>4.3</t>
  </si>
  <si>
    <t>0.13</t>
  </si>
  <si>
    <t>1.4</t>
  </si>
  <si>
    <t>78.50%</t>
  </si>
  <si>
    <t>18.90%</t>
  </si>
  <si>
    <t>1.16</t>
  </si>
  <si>
    <t>DANK1NG</t>
  </si>
  <si>
    <t>Zhenghao Lv</t>
  </si>
  <si>
    <t>China</t>
  </si>
  <si>
    <t>TYLOO</t>
  </si>
  <si>
    <t>TYLOO, EHOME</t>
  </si>
  <si>
    <t>39.70%</t>
  </si>
  <si>
    <t>79.8</t>
  </si>
  <si>
    <t>2.3</t>
  </si>
  <si>
    <t>0.63</t>
  </si>
  <si>
    <t>1.5</t>
  </si>
  <si>
    <t>73.30%</t>
  </si>
  <si>
    <t>NiKo</t>
  </si>
  <si>
    <t>Nikola KovaÄ</t>
  </si>
  <si>
    <t>Bosnia and Herzegovina</t>
  </si>
  <si>
    <t>G2</t>
  </si>
  <si>
    <t>G2, FaZe, MOUZ</t>
  </si>
  <si>
    <t>50.40%</t>
  </si>
  <si>
    <t>4.4</t>
  </si>
  <si>
    <t>0.67</t>
  </si>
  <si>
    <t>20.00%</t>
  </si>
  <si>
    <t>blameF</t>
  </si>
  <si>
    <t>Benjamin Bremer</t>
  </si>
  <si>
    <t>Astralis</t>
  </si>
  <si>
    <t>Astralis, Complexity, Heroic, Epsilon</t>
  </si>
  <si>
    <t>39.20%</t>
  </si>
  <si>
    <t>85.6</t>
  </si>
  <si>
    <t>7.1</t>
  </si>
  <si>
    <t>0.76</t>
  </si>
  <si>
    <t>0.14</t>
  </si>
  <si>
    <t>1.43</t>
  </si>
  <si>
    <t>74.10%</t>
  </si>
  <si>
    <t>17.60%</t>
  </si>
  <si>
    <t>BnTeT</t>
  </si>
  <si>
    <t>Hansel Ferdinand</t>
  </si>
  <si>
    <t>Indonesia</t>
  </si>
  <si>
    <t>TYLOO, Gen.G, EXTREMUM</t>
  </si>
  <si>
    <t>39.80%</t>
  </si>
  <si>
    <t>5.1</t>
  </si>
  <si>
    <t>0.98</t>
  </si>
  <si>
    <t>75.70%</t>
  </si>
  <si>
    <t>12.20%</t>
  </si>
  <si>
    <t>coldzera</t>
  </si>
  <si>
    <t>Marcelo David</t>
  </si>
  <si>
    <t>00NATION</t>
  </si>
  <si>
    <t>SK, FaZe, Luminosity, MIBR</t>
  </si>
  <si>
    <t>49.40%</t>
  </si>
  <si>
    <t>79.2</t>
  </si>
  <si>
    <t>1.37</t>
  </si>
  <si>
    <t>1.01</t>
  </si>
  <si>
    <t>74.90%</t>
  </si>
  <si>
    <t>12.50%</t>
  </si>
  <si>
    <t>Sico</t>
  </si>
  <si>
    <t>Simon Williams</t>
  </si>
  <si>
    <t>ORDER</t>
  </si>
  <si>
    <t>ORDER, Renegades, Grayhound, Kings</t>
  </si>
  <si>
    <t>35.40%</t>
  </si>
  <si>
    <t>79.1</t>
  </si>
  <si>
    <t>6.9</t>
  </si>
  <si>
    <t>1.86</t>
  </si>
  <si>
    <t>80.90%</t>
  </si>
  <si>
    <t>16.10%</t>
  </si>
  <si>
    <t>XigN</t>
  </si>
  <si>
    <t>Hyun-Pyo Lee</t>
  </si>
  <si>
    <t>Korea</t>
  </si>
  <si>
    <t>NKT</t>
  </si>
  <si>
    <t>NKT, MVP PK, MVP Project</t>
  </si>
  <si>
    <t>52.40%</t>
  </si>
  <si>
    <t>82.6</t>
  </si>
  <si>
    <t>2.8</t>
  </si>
  <si>
    <t>0.65</t>
  </si>
  <si>
    <t>1.08</t>
  </si>
  <si>
    <t>72.40%</t>
  </si>
  <si>
    <t>15.70%</t>
  </si>
  <si>
    <t>KSCERATO</t>
  </si>
  <si>
    <t>Kaike Cerato</t>
  </si>
  <si>
    <t>5.4</t>
  </si>
  <si>
    <t>0.74</t>
  </si>
  <si>
    <t>0.58</t>
  </si>
  <si>
    <t>0.99</t>
  </si>
  <si>
    <t>75.00%</t>
  </si>
  <si>
    <t>11.70%</t>
  </si>
  <si>
    <t>Benkai</t>
  </si>
  <si>
    <t>Benedict Tan</t>
  </si>
  <si>
    <t>Singapore</t>
  </si>
  <si>
    <t>BOOT-d[S], BOOT, dream[S]cape</t>
  </si>
  <si>
    <t>46.70%</t>
  </si>
  <si>
    <t>85.4</t>
  </si>
  <si>
    <t>4.2</t>
  </si>
  <si>
    <t>1.09</t>
  </si>
  <si>
    <t>75.80%</t>
  </si>
  <si>
    <t>Texta</t>
  </si>
  <si>
    <t>Matthew O'Rourke</t>
  </si>
  <si>
    <t>Australia</t>
  </si>
  <si>
    <t>Chiefs, Athletico, Dark Sided</t>
  </si>
  <si>
    <t>40.30%</t>
  </si>
  <si>
    <t>87.1</t>
  </si>
  <si>
    <t>0.18</t>
  </si>
  <si>
    <t>1.05</t>
  </si>
  <si>
    <t>16.90%</t>
  </si>
  <si>
    <t>Jame</t>
  </si>
  <si>
    <t>Dzhami Ali</t>
  </si>
  <si>
    <t>Outsiders</t>
  </si>
  <si>
    <t>AVANGAR, Virtus.pro</t>
  </si>
  <si>
    <t>25.20%</t>
  </si>
  <si>
    <t>0.72</t>
  </si>
  <si>
    <t>0.55</t>
  </si>
  <si>
    <t>1.8</t>
  </si>
  <si>
    <t>76.00%</t>
  </si>
  <si>
    <t>17.10%</t>
  </si>
  <si>
    <t>XELLOW</t>
  </si>
  <si>
    <t>Adrian GuÈ›Äƒ</t>
  </si>
  <si>
    <t>Romania</t>
  </si>
  <si>
    <t>ECSTATIC</t>
  </si>
  <si>
    <t>Nexus</t>
  </si>
  <si>
    <t>40.40%</t>
  </si>
  <si>
    <t>0.66</t>
  </si>
  <si>
    <t>1.35</t>
  </si>
  <si>
    <t>73.40%</t>
  </si>
  <si>
    <t>mhL</t>
  </si>
  <si>
    <t>MiÅ‚osz Knasiak</t>
  </si>
  <si>
    <t>Poland</t>
  </si>
  <si>
    <t>MOUZ NXT</t>
  </si>
  <si>
    <t>MOUZ NXT, AGO</t>
  </si>
  <si>
    <t>28.50%</t>
  </si>
  <si>
    <t>3.8</t>
  </si>
  <si>
    <t>1.49</t>
  </si>
  <si>
    <t>76.70%</t>
  </si>
  <si>
    <t>18.40%</t>
  </si>
  <si>
    <t>oskar</t>
  </si>
  <si>
    <t>TomÃ¡Å¡ Å Å¥astnÃ½</t>
  </si>
  <si>
    <t>Czech Republic</t>
  </si>
  <si>
    <t>Tokyo Revengers</t>
  </si>
  <si>
    <t>MOUZ, SINNERS, HellRaisers</t>
  </si>
  <si>
    <t>30.50%</t>
  </si>
  <si>
    <t>78.2</t>
  </si>
  <si>
    <t>El1an</t>
  </si>
  <si>
    <t>Aleksei Gusev</t>
  </si>
  <si>
    <t>Entropiq</t>
  </si>
  <si>
    <t>Entropiq, Winstrike, EPG</t>
  </si>
  <si>
    <t>27.10%</t>
  </si>
  <si>
    <t>74.50%</t>
  </si>
  <si>
    <t>19.70%</t>
  </si>
  <si>
    <t>kennyS</t>
  </si>
  <si>
    <t>Kenny Schrub</t>
  </si>
  <si>
    <t>G2, Envy, Titan</t>
  </si>
  <si>
    <t>31.20%</t>
  </si>
  <si>
    <t>74.7</t>
  </si>
  <si>
    <t>17.50%</t>
  </si>
  <si>
    <t>Freeman</t>
  </si>
  <si>
    <t>WingHei Cheung</t>
  </si>
  <si>
    <t>Hong Kong</t>
  </si>
  <si>
    <t>YK</t>
  </si>
  <si>
    <t>ViCi, TYLOO</t>
  </si>
  <si>
    <t>49.10%</t>
  </si>
  <si>
    <t>80.7</t>
  </si>
  <si>
    <t>1.11</t>
  </si>
  <si>
    <t>13.50%</t>
  </si>
  <si>
    <t>mantuu</t>
  </si>
  <si>
    <t>Mateusz Wilczewski</t>
  </si>
  <si>
    <t>OG, ALTERNATE aTTaX, PANTHERS</t>
  </si>
  <si>
    <t>35.70%</t>
  </si>
  <si>
    <t>76.7</t>
  </si>
  <si>
    <t>1.42</t>
  </si>
  <si>
    <t>1.12</t>
  </si>
  <si>
    <t>huNter-</t>
  </si>
  <si>
    <t>Nemanja KovaÄ</t>
  </si>
  <si>
    <t>G2, Valiance, Binary Dragons</t>
  </si>
  <si>
    <t>84.8</t>
  </si>
  <si>
    <t>5.5</t>
  </si>
  <si>
    <t>16.60%</t>
  </si>
  <si>
    <t>frozen</t>
  </si>
  <si>
    <t>David ÄŒerÅˆanskÃ½</t>
  </si>
  <si>
    <t>Slovakia</t>
  </si>
  <si>
    <t>MOUZ, eXtatus</t>
  </si>
  <si>
    <t>54.60%</t>
  </si>
  <si>
    <t>82.9</t>
  </si>
  <si>
    <t>73.50%</t>
  </si>
  <si>
    <t>15.10%</t>
  </si>
  <si>
    <t>vsm</t>
  </si>
  <si>
    <t>Vinicius Moreira</t>
  </si>
  <si>
    <t>DETONA, 00NATION</t>
  </si>
  <si>
    <t>47.00%</t>
  </si>
  <si>
    <t>83.6</t>
  </si>
  <si>
    <t>3.1</t>
  </si>
  <si>
    <t>73.20%</t>
  </si>
  <si>
    <t>17.90%</t>
  </si>
  <si>
    <t>chelleos</t>
  </si>
  <si>
    <t>Michael Hawkins</t>
  </si>
  <si>
    <t>Rooster, madlikewizards, Paradox</t>
  </si>
  <si>
    <t>32.00%</t>
  </si>
  <si>
    <t>84.2</t>
  </si>
  <si>
    <t>4.1</t>
  </si>
  <si>
    <t>72.30%</t>
  </si>
  <si>
    <t>24.80%</t>
  </si>
  <si>
    <t>erkaSt</t>
  </si>
  <si>
    <t>Erdenetsogt Gantulga</t>
  </si>
  <si>
    <t>Mongolia</t>
  </si>
  <si>
    <t>Grayhound, TIGER, Immunity</t>
  </si>
  <si>
    <t>50.10%</t>
  </si>
  <si>
    <t>83.3</t>
  </si>
  <si>
    <t>1.04</t>
  </si>
  <si>
    <t>14.30%</t>
  </si>
  <si>
    <t>yuurih</t>
  </si>
  <si>
    <t>Yuri Santos</t>
  </si>
  <si>
    <t>44.30%</t>
  </si>
  <si>
    <t>1.03</t>
  </si>
  <si>
    <t>13.70%</t>
  </si>
  <si>
    <t>woxic</t>
  </si>
  <si>
    <t>Ã–zgÃ¼r Eker</t>
  </si>
  <si>
    <t>Eternal Fire, HellRaisers, MOUZ, DarkPassage</t>
  </si>
  <si>
    <t>32.10%</t>
  </si>
  <si>
    <t>76.4</t>
  </si>
  <si>
    <t>liTTle</t>
  </si>
  <si>
    <t>Anatoliy Yashin</t>
  </si>
  <si>
    <t>HellRaisers</t>
  </si>
  <si>
    <t>forZe, RuSh3D, Spartak, Enso</t>
  </si>
  <si>
    <t>27.70%</t>
  </si>
  <si>
    <t>78.5</t>
  </si>
  <si>
    <t>2.6</t>
  </si>
  <si>
    <t>1.53</t>
  </si>
  <si>
    <t>71.60%</t>
  </si>
  <si>
    <t>19.00%</t>
  </si>
  <si>
    <t>INS</t>
  </si>
  <si>
    <t>Joshua Potter</t>
  </si>
  <si>
    <t>ORDER, Renegades, Chiefs, Tainted Minds</t>
  </si>
  <si>
    <t>42.50%</t>
  </si>
  <si>
    <t>8.5</t>
  </si>
  <si>
    <t>0.17</t>
  </si>
  <si>
    <t>77.50%</t>
  </si>
  <si>
    <t>15.90%</t>
  </si>
  <si>
    <t>kNgV-</t>
  </si>
  <si>
    <t>Vito Giuseppe</t>
  </si>
  <si>
    <t>MIBR, INTZ</t>
  </si>
  <si>
    <t>32.70%</t>
  </si>
  <si>
    <t>2.1</t>
  </si>
  <si>
    <t>1.33</t>
  </si>
  <si>
    <t>74.60%</t>
  </si>
  <si>
    <t>ropz</t>
  </si>
  <si>
    <t>Robin Kool</t>
  </si>
  <si>
    <t>Estonia</t>
  </si>
  <si>
    <t>FaZe</t>
  </si>
  <si>
    <t>51.60%</t>
  </si>
  <si>
    <t>1.02</t>
  </si>
  <si>
    <t>Jamppi</t>
  </si>
  <si>
    <t>Elias Olkkonen</t>
  </si>
  <si>
    <t>Finland</t>
  </si>
  <si>
    <t>SJ, ENCE</t>
  </si>
  <si>
    <t>31.80%</t>
  </si>
  <si>
    <t>72.50%</t>
  </si>
  <si>
    <t>22.20%</t>
  </si>
  <si>
    <t>wrath</t>
  </si>
  <si>
    <t>Collin McSweegan</t>
  </si>
  <si>
    <t>United States</t>
  </si>
  <si>
    <t>New Identity, Secret Club, BlackOut</t>
  </si>
  <si>
    <t>83.9</t>
  </si>
  <si>
    <t>3.5</t>
  </si>
  <si>
    <t>0.69</t>
  </si>
  <si>
    <t>1.07</t>
  </si>
  <si>
    <t>dream3r</t>
  </si>
  <si>
    <t>Simeon Ganev</t>
  </si>
  <si>
    <t>Bulgaria</t>
  </si>
  <si>
    <t>SKADE</t>
  </si>
  <si>
    <t>SKADE, E-frag.net, Fiend</t>
  </si>
  <si>
    <t>49.70%</t>
  </si>
  <si>
    <t>3.2</t>
  </si>
  <si>
    <t>0.96</t>
  </si>
  <si>
    <t>74.30%</t>
  </si>
  <si>
    <t>11.20%</t>
  </si>
  <si>
    <t>PTC</t>
  </si>
  <si>
    <t>Kitikawin Rattanasukol</t>
  </si>
  <si>
    <t>Thailand</t>
  </si>
  <si>
    <t>Lucid Dream, 5POWER</t>
  </si>
  <si>
    <t>36.10%</t>
  </si>
  <si>
    <t>76.9</t>
  </si>
  <si>
    <t>xsepower</t>
  </si>
  <si>
    <t>Bogdan Chernikov</t>
  </si>
  <si>
    <t>K23</t>
  </si>
  <si>
    <t>K23, forZe</t>
  </si>
  <si>
    <t>24.90%</t>
  </si>
  <si>
    <t>72.4</t>
  </si>
  <si>
    <t>2.2</t>
  </si>
  <si>
    <t>1.63</t>
  </si>
  <si>
    <t>zorte</t>
  </si>
  <si>
    <t>Aleksandr Zagodyrenko</t>
  </si>
  <si>
    <t>forZe</t>
  </si>
  <si>
    <t>forZe, Unique</t>
  </si>
  <si>
    <t>36.50%</t>
  </si>
  <si>
    <t>74.3</t>
  </si>
  <si>
    <t>0.73</t>
  </si>
  <si>
    <t>1.55</t>
  </si>
  <si>
    <t>18.60%</t>
  </si>
  <si>
    <t>Twistzz</t>
  </si>
  <si>
    <t>Russel Van Dulken</t>
  </si>
  <si>
    <t>Canada</t>
  </si>
  <si>
    <t>FaZe, Liquid</t>
  </si>
  <si>
    <t>62.30%</t>
  </si>
  <si>
    <t>0.97</t>
  </si>
  <si>
    <t>splashske</t>
  </si>
  <si>
    <t>Nevin Aw</t>
  </si>
  <si>
    <t>BOOT-d[S], HZ, BOOT, dream[S]cape</t>
  </si>
  <si>
    <t>38.40%</t>
  </si>
  <si>
    <t>73.60%</t>
  </si>
  <si>
    <t>20.10%</t>
  </si>
  <si>
    <t>dgt</t>
  </si>
  <si>
    <t>Franco Garcia</t>
  </si>
  <si>
    <t>Uruguay</t>
  </si>
  <si>
    <t>9z</t>
  </si>
  <si>
    <t>49.50%</t>
  </si>
  <si>
    <t>77.8</t>
  </si>
  <si>
    <t>1.3</t>
  </si>
  <si>
    <t>75.40%</t>
  </si>
  <si>
    <t>12.60%</t>
  </si>
  <si>
    <t>GuardiaN</t>
  </si>
  <si>
    <t>Ladislav KovÃ¡cs</t>
  </si>
  <si>
    <t>Sampi</t>
  </si>
  <si>
    <t>Natus Vincere, FaZe</t>
  </si>
  <si>
    <t>29.60%</t>
  </si>
  <si>
    <t>71.8</t>
  </si>
  <si>
    <t>1.41</t>
  </si>
  <si>
    <t>oSee</t>
  </si>
  <si>
    <t>Josh Ohm</t>
  </si>
  <si>
    <t>Liquid</t>
  </si>
  <si>
    <t>Extra Salt, Singularity, Cloud9</t>
  </si>
  <si>
    <t>31.70%</t>
  </si>
  <si>
    <t>76.5</t>
  </si>
  <si>
    <t>1.39</t>
  </si>
  <si>
    <t>75.50%</t>
  </si>
  <si>
    <t>16.50%</t>
  </si>
  <si>
    <t>ottoNd</t>
  </si>
  <si>
    <t>Otto Sihvo</t>
  </si>
  <si>
    <t>HAVU</t>
  </si>
  <si>
    <t>HAVU, Valiance, CR4ZY, c0ntact</t>
  </si>
  <si>
    <t>26.90%</t>
  </si>
  <si>
    <t>76.2</t>
  </si>
  <si>
    <t>3.3</t>
  </si>
  <si>
    <t>18.00%</t>
  </si>
  <si>
    <t>FREDDyFROG</t>
  </si>
  <si>
    <t>Fredrik Gustafsson</t>
  </si>
  <si>
    <t>Sweden</t>
  </si>
  <si>
    <t>Chaos, Red Reserve, Apeks, Japaleno, Galaxy Racer</t>
  </si>
  <si>
    <t>14.80%</t>
  </si>
  <si>
    <t>NEOFRAG</t>
  </si>
  <si>
    <t>Adam Zouhar</t>
  </si>
  <si>
    <t>SINNERS</t>
  </si>
  <si>
    <t>49.00%</t>
  </si>
  <si>
    <t>86.2</t>
  </si>
  <si>
    <t>0.16</t>
  </si>
  <si>
    <t>72.90%</t>
  </si>
  <si>
    <t>Brehze</t>
  </si>
  <si>
    <t>Vincent Cayonte</t>
  </si>
  <si>
    <t>Evil Geniuses</t>
  </si>
  <si>
    <t>Evil Geniuses, NRG</t>
  </si>
  <si>
    <t>80.5</t>
  </si>
  <si>
    <t>14.40%</t>
  </si>
  <si>
    <t>1.1</t>
  </si>
  <si>
    <t>TenZ</t>
  </si>
  <si>
    <t>Tyson Ngo</t>
  </si>
  <si>
    <t>Bad News Bears, ATK</t>
  </si>
  <si>
    <t>51.30%</t>
  </si>
  <si>
    <t>82.4</t>
  </si>
  <si>
    <t>71.30%</t>
  </si>
  <si>
    <t>15.60%</t>
  </si>
  <si>
    <t>Infinite</t>
  </si>
  <si>
    <t>Gage Green</t>
  </si>
  <si>
    <t>ONET4P</t>
  </si>
  <si>
    <t>Party Astronauts</t>
  </si>
  <si>
    <t>50.80%</t>
  </si>
  <si>
    <t>81.2</t>
  </si>
  <si>
    <t>4.9</t>
  </si>
  <si>
    <t>72.70%</t>
  </si>
  <si>
    <t>14.60%</t>
  </si>
  <si>
    <t>CeRq</t>
  </si>
  <si>
    <t>Tsvetelin Dimitrov</t>
  </si>
  <si>
    <t>Evil Geniuses, NRG, Outlaws</t>
  </si>
  <si>
    <t>27.90%</t>
  </si>
  <si>
    <t>74.2</t>
  </si>
  <si>
    <t>75.10%</t>
  </si>
  <si>
    <t>f0rest</t>
  </si>
  <si>
    <t>Patrik Lindberg</t>
  </si>
  <si>
    <t>NIP, Dignitas</t>
  </si>
  <si>
    <t>51.90%</t>
  </si>
  <si>
    <t>76.3</t>
  </si>
  <si>
    <t>3.7</t>
  </si>
  <si>
    <t>1.06</t>
  </si>
  <si>
    <t>Olivia</t>
  </si>
  <si>
    <t>Peeratch Ingkudanonda</t>
  </si>
  <si>
    <t>LZ</t>
  </si>
  <si>
    <t>Beyond, Alpha Red, Signature</t>
  </si>
  <si>
    <t>37.00%</t>
  </si>
  <si>
    <t>1.36</t>
  </si>
  <si>
    <t>nawwk</t>
  </si>
  <si>
    <t>Tim Jonasson</t>
  </si>
  <si>
    <t>Apeks</t>
  </si>
  <si>
    <t>Apeks, GamerLegion, NIP, x6tence Galaxy</t>
  </si>
  <si>
    <t>73.5</t>
  </si>
  <si>
    <t>15.20%</t>
  </si>
  <si>
    <t>poizon</t>
  </si>
  <si>
    <t>Valentin Vasilev</t>
  </si>
  <si>
    <t>fnatic</t>
  </si>
  <si>
    <t>Complexity, Windigo, Bpro</t>
  </si>
  <si>
    <t>33.60%</t>
  </si>
  <si>
    <t>dumau</t>
  </si>
  <si>
    <t>Eduardo Wolkmer</t>
  </si>
  <si>
    <t>GODSENT, Yeah</t>
  </si>
  <si>
    <t>41.60%</t>
  </si>
  <si>
    <t>4.7</t>
  </si>
  <si>
    <t>mertz</t>
  </si>
  <si>
    <t>Daniel Mertz</t>
  </si>
  <si>
    <t>North Academy, Heroic, North, Nordavind, Singularity</t>
  </si>
  <si>
    <t>32.50%</t>
  </si>
  <si>
    <t>77.4</t>
  </si>
  <si>
    <t>21.20%</t>
  </si>
  <si>
    <t>h4rn</t>
  </si>
  <si>
    <t>Deyvid Benchev</t>
  </si>
  <si>
    <t>Enterprise</t>
  </si>
  <si>
    <t>FATE, Fiend</t>
  </si>
  <si>
    <t>28.60%</t>
  </si>
  <si>
    <t>74.1</t>
  </si>
  <si>
    <t>WARDELL</t>
  </si>
  <si>
    <t>Matthew Yu</t>
  </si>
  <si>
    <t>Ghost, Bee's Money Crew, Orgless</t>
  </si>
  <si>
    <t>27.20%</t>
  </si>
  <si>
    <t>18.50%</t>
  </si>
  <si>
    <t>mir</t>
  </si>
  <si>
    <t>Nikolay Bityukov</t>
  </si>
  <si>
    <t>Spirit, Vega Squadron, Gambit</t>
  </si>
  <si>
    <t>52.10%</t>
  </si>
  <si>
    <t>81.4</t>
  </si>
  <si>
    <t>74.20%</t>
  </si>
  <si>
    <t>swag</t>
  </si>
  <si>
    <t>Braxton Pierce</t>
  </si>
  <si>
    <t>Swole Patrol, Torqued, iBUYPOWER, Lazarus</t>
  </si>
  <si>
    <t>77.6</t>
  </si>
  <si>
    <t>13.60%</t>
  </si>
  <si>
    <t>HEN1</t>
  </si>
  <si>
    <t>Henrique Teles</t>
  </si>
  <si>
    <t>Immortals, FURIA, Luminosity</t>
  </si>
  <si>
    <t>28.80%</t>
  </si>
  <si>
    <t>74.8</t>
  </si>
  <si>
    <t>0.71</t>
  </si>
  <si>
    <t>1.52</t>
  </si>
  <si>
    <t>14.90%</t>
  </si>
  <si>
    <t>ekul</t>
  </si>
  <si>
    <t>Luke Blakey</t>
  </si>
  <si>
    <t>Paradox, SYF</t>
  </si>
  <si>
    <t>36.60%</t>
  </si>
  <si>
    <t>71.80%</t>
  </si>
  <si>
    <t>21.70%</t>
  </si>
  <si>
    <t>Ax1Le</t>
  </si>
  <si>
    <t>Sergey Rykhtorov</t>
  </si>
  <si>
    <t>48.60%</t>
  </si>
  <si>
    <t>5.2</t>
  </si>
  <si>
    <t>15.40%</t>
  </si>
  <si>
    <t>nython</t>
  </si>
  <si>
    <t>Gabriel Lino</t>
  </si>
  <si>
    <t>paiN</t>
  </si>
  <si>
    <t>RED Canids, PaquetÃ¡, paiN</t>
  </si>
  <si>
    <t>37.60%</t>
  </si>
  <si>
    <t>17.80%</t>
  </si>
  <si>
    <t>aliStair</t>
  </si>
  <si>
    <t>Alistair Johnston</t>
  </si>
  <si>
    <t>ORDER, Chiefs, Renegades</t>
  </si>
  <si>
    <t>35.10%</t>
  </si>
  <si>
    <t>77.30%</t>
  </si>
  <si>
    <t>18.70%</t>
  </si>
  <si>
    <t>moose</t>
  </si>
  <si>
    <t>Kaleb Jayne</t>
  </si>
  <si>
    <t>eUnited, Rise Nation</t>
  </si>
  <si>
    <t>44.10%</t>
  </si>
  <si>
    <t>15.30%</t>
  </si>
  <si>
    <t>xccurate</t>
  </si>
  <si>
    <t>Kevin Susanto</t>
  </si>
  <si>
    <t>TYLOO, Recca, BTRG, NKT</t>
  </si>
  <si>
    <t>1.9</t>
  </si>
  <si>
    <t>mixwell</t>
  </si>
  <si>
    <t>Oscar CaÃ±ellas</t>
  </si>
  <si>
    <t>Spain</t>
  </si>
  <si>
    <t>OpTic, Movistar Riders</t>
  </si>
  <si>
    <t>38.10%</t>
  </si>
  <si>
    <t>79.5</t>
  </si>
  <si>
    <t>5.7</t>
  </si>
  <si>
    <t>allu</t>
  </si>
  <si>
    <t>Aleksi Jalli</t>
  </si>
  <si>
    <t>temp</t>
  </si>
  <si>
    <t>ENCE, NIP, FaZe</t>
  </si>
  <si>
    <t>74.9</t>
  </si>
  <si>
    <t>electroNic</t>
  </si>
  <si>
    <t>Denis Sharipov</t>
  </si>
  <si>
    <t>Natus Vincere, FlipSid3</t>
  </si>
  <si>
    <t>50.30%</t>
  </si>
  <si>
    <t>16.40%</t>
  </si>
  <si>
    <t>Spinx</t>
  </si>
  <si>
    <t>Lotan Giladi</t>
  </si>
  <si>
    <t>Israel</t>
  </si>
  <si>
    <t>ENCE</t>
  </si>
  <si>
    <t>ENCE, c0ntact</t>
  </si>
  <si>
    <t>56.20%</t>
  </si>
  <si>
    <t>78.7</t>
  </si>
  <si>
    <t>71.50%</t>
  </si>
  <si>
    <t>syrsoN</t>
  </si>
  <si>
    <t>Florian Rische</t>
  </si>
  <si>
    <t>Germany</t>
  </si>
  <si>
    <t>BIG</t>
  </si>
  <si>
    <t>BIG, ALTERNATE aTTaX, Sprout</t>
  </si>
  <si>
    <t>29.40%</t>
  </si>
  <si>
    <t>20.20%</t>
  </si>
  <si>
    <t>PwnAlone</t>
  </si>
  <si>
    <t>Josh Pigue</t>
  </si>
  <si>
    <t>EG.PA</t>
  </si>
  <si>
    <t>Party Astronauts, New England Whalers, High Coast</t>
  </si>
  <si>
    <t>1.27</t>
  </si>
  <si>
    <t>73.70%</t>
  </si>
  <si>
    <t>17.40%</t>
  </si>
  <si>
    <t>GeT_RiGhT</t>
  </si>
  <si>
    <t>Christopher Alesund</t>
  </si>
  <si>
    <t>49.30%</t>
  </si>
  <si>
    <t>76.6</t>
  </si>
  <si>
    <t>14.00%</t>
  </si>
  <si>
    <t>JUGi</t>
  </si>
  <si>
    <t>Jakob Hansen</t>
  </si>
  <si>
    <t>Heroic, OpTic, Tricked, North</t>
  </si>
  <si>
    <t>74.70%</t>
  </si>
  <si>
    <t>gas</t>
  </si>
  <si>
    <t>Yi Ding</t>
  </si>
  <si>
    <t>Wings Up</t>
  </si>
  <si>
    <t>Wings Up, LGD, EDG, Aster</t>
  </si>
  <si>
    <t>60.00%</t>
  </si>
  <si>
    <t>16.00%</t>
  </si>
  <si>
    <t>biguzera</t>
  </si>
  <si>
    <t>Rodrigo Bittencourt</t>
  </si>
  <si>
    <t>51.20%</t>
  </si>
  <si>
    <t>80.6</t>
  </si>
  <si>
    <t>13.80%</t>
  </si>
  <si>
    <t>lollipop21k</t>
  </si>
  <si>
    <t>Igor Solodkov</t>
  </si>
  <si>
    <t>Belarus</t>
  </si>
  <si>
    <t>Nemiga, GoodJob</t>
  </si>
  <si>
    <t>49.20%</t>
  </si>
  <si>
    <t>71.40%</t>
  </si>
  <si>
    <t>13.90%</t>
  </si>
  <si>
    <t>Cooper</t>
  </si>
  <si>
    <t>Austin Abadir</t>
  </si>
  <si>
    <t>Mythic</t>
  </si>
  <si>
    <t>Swole Patrol, eUnited, Triumph</t>
  </si>
  <si>
    <t>32.40%</t>
  </si>
  <si>
    <t>Calyx</t>
  </si>
  <si>
    <t>BuÄŸra ArkÄ±n</t>
  </si>
  <si>
    <t>Space Soldiers, Eternal Fire, DarkPassage</t>
  </si>
  <si>
    <t>57.00%</t>
  </si>
  <si>
    <t>Sonic</t>
  </si>
  <si>
    <t>Aran Groesbeek</t>
  </si>
  <si>
    <t>South Africa</t>
  </si>
  <si>
    <t>Bravado, Extra Salt, Cloud9</t>
  </si>
  <si>
    <t>46.60%</t>
  </si>
  <si>
    <t>zehN</t>
  </si>
  <si>
    <t>Jesse Linjala</t>
  </si>
  <si>
    <t>HAVU, GODSENT, PENTA, FunPlus Phoenix</t>
  </si>
  <si>
    <t>46.00%</t>
  </si>
  <si>
    <t>7.7</t>
  </si>
  <si>
    <t>ryx</t>
  </si>
  <si>
    <t>Ronnie Bylicki</t>
  </si>
  <si>
    <t>Echo Fox, Splyce, Ghost, Dignitas, Tempo Storm, Conquest</t>
  </si>
  <si>
    <t>36.30%</t>
  </si>
  <si>
    <t>83.7</t>
  </si>
  <si>
    <t>76.80%</t>
  </si>
  <si>
    <t>BL1TZ</t>
  </si>
  <si>
    <t>Peter Athanasatos</t>
  </si>
  <si>
    <t>Chiefs, Legacy, AVANT, Funky Monkeys</t>
  </si>
  <si>
    <t>43.00%</t>
  </si>
  <si>
    <t>75.2</t>
  </si>
  <si>
    <t>76.30%</t>
  </si>
  <si>
    <t>NAF</t>
  </si>
  <si>
    <t>Keith Markovic</t>
  </si>
  <si>
    <t>Liquid, OpTic</t>
  </si>
  <si>
    <t>41.80%</t>
  </si>
  <si>
    <t>5.8</t>
  </si>
  <si>
    <t>12.90%</t>
  </si>
  <si>
    <t>ZOREE</t>
  </si>
  <si>
    <t>Lasse Uronen</t>
  </si>
  <si>
    <t>HAVU, iGame.com, SJ</t>
  </si>
  <si>
    <t>32.30%</t>
  </si>
  <si>
    <t>73.7</t>
  </si>
  <si>
    <t>15.50%</t>
  </si>
  <si>
    <t>ScreaM</t>
  </si>
  <si>
    <t>Adil Benrlitom</t>
  </si>
  <si>
    <t>Belgium</t>
  </si>
  <si>
    <t>Envy, G2, Titan, VeryGames</t>
  </si>
  <si>
    <t>68.10%</t>
  </si>
  <si>
    <t>73.00%</t>
  </si>
  <si>
    <t>hades</t>
  </si>
  <si>
    <t>Olek Miskiewicz</t>
  </si>
  <si>
    <t>ENCE, Wisla Krakow</t>
  </si>
  <si>
    <t>29.80%</t>
  </si>
  <si>
    <t>73.9</t>
  </si>
  <si>
    <t>1.56</t>
  </si>
  <si>
    <t>dennyslaw</t>
  </si>
  <si>
    <t>Denislav Dimitrov</t>
  </si>
  <si>
    <t>31.40%</t>
  </si>
  <si>
    <t>18.10%</t>
  </si>
  <si>
    <t>EliGE</t>
  </si>
  <si>
    <t>Jonathan Jablonowski</t>
  </si>
  <si>
    <t>48.80%</t>
  </si>
  <si>
    <t>73.80%</t>
  </si>
  <si>
    <t>floppy</t>
  </si>
  <si>
    <t>Ricky Kemery</t>
  </si>
  <si>
    <t>Complexity</t>
  </si>
  <si>
    <t>Cloud9, Singularity</t>
  </si>
  <si>
    <t>81.3</t>
  </si>
  <si>
    <t>nex</t>
  </si>
  <si>
    <t>Johannes Maget</t>
  </si>
  <si>
    <t>BIG, MOUZ</t>
  </si>
  <si>
    <t>51.50%</t>
  </si>
  <si>
    <t>78.8</t>
  </si>
  <si>
    <t>0.95</t>
  </si>
  <si>
    <t>72.20%</t>
  </si>
  <si>
    <t>11.00%</t>
  </si>
  <si>
    <t>cynic</t>
  </si>
  <si>
    <t>David Polster</t>
  </si>
  <si>
    <t>Gaimin Gladiators</t>
  </si>
  <si>
    <t>Gaimin Gladiators, Party Astronauts, Triumph</t>
  </si>
  <si>
    <t>40.00%</t>
  </si>
  <si>
    <t>12.40%</t>
  </si>
  <si>
    <t>valde</t>
  </si>
  <si>
    <t>Valdemar BjÃ¸rn VangsÃ¥</t>
  </si>
  <si>
    <t>North, OG, Heroic</t>
  </si>
  <si>
    <t>46.80%</t>
  </si>
  <si>
    <t>hazr</t>
  </si>
  <si>
    <t>Jared O'Bree</t>
  </si>
  <si>
    <t>AVANT, Looking For Org, Breakaway, Dire Wolves</t>
  </si>
  <si>
    <t>56.00%</t>
  </si>
  <si>
    <t>81.1</t>
  </si>
  <si>
    <t>74.00%</t>
  </si>
  <si>
    <t>nukkye</t>
  </si>
  <si>
    <t>Å½ygimantas Chmieliauskas</t>
  </si>
  <si>
    <t>Lithuania</t>
  </si>
  <si>
    <t>Imperial, HellRaisers, NoChance</t>
  </si>
  <si>
    <t>78.3</t>
  </si>
  <si>
    <t>14.70%</t>
  </si>
  <si>
    <t>faveN</t>
  </si>
  <si>
    <t>Josef Baumann</t>
  </si>
  <si>
    <t>Sprout, EURONICS</t>
  </si>
  <si>
    <t>54.20%</t>
  </si>
  <si>
    <t>mezii</t>
  </si>
  <si>
    <t>William Merriman</t>
  </si>
  <si>
    <t>fnatic, Endpoint, GamerLegion, Cloud9, Vexed</t>
  </si>
  <si>
    <t>12.80%</t>
  </si>
  <si>
    <t>fer</t>
  </si>
  <si>
    <t>Fernando Alvarenga</t>
  </si>
  <si>
    <t>Imperial</t>
  </si>
  <si>
    <t>SK, MIBR, Luminosity</t>
  </si>
  <si>
    <t>45.00%</t>
  </si>
  <si>
    <t>77.90%</t>
  </si>
  <si>
    <t>Farlig</t>
  </si>
  <si>
    <t>Asger Jensen</t>
  </si>
  <si>
    <t>Astralis, Copenhagen Flames, FunPlus Phoenix, GODSENT</t>
  </si>
  <si>
    <t>71.7</t>
  </si>
  <si>
    <t>18.20%</t>
  </si>
  <si>
    <t>JOTA</t>
  </si>
  <si>
    <t>Jhonatan Willian</t>
  </si>
  <si>
    <t>MIBR</t>
  </si>
  <si>
    <t>MIBR, Bravos, Keyd</t>
  </si>
  <si>
    <t>82.2</t>
  </si>
  <si>
    <t>6.2</t>
  </si>
  <si>
    <t>k0nfig</t>
  </si>
  <si>
    <t>Kristian Wienecke</t>
  </si>
  <si>
    <t>Dignitas, OpTic, Complexity, North</t>
  </si>
  <si>
    <t>55.70%</t>
  </si>
  <si>
    <t>dupreeh</t>
  </si>
  <si>
    <t>Peter Rasmussen</t>
  </si>
  <si>
    <t>50.50%</t>
  </si>
  <si>
    <t>77.2</t>
  </si>
  <si>
    <t>Savage</t>
  </si>
  <si>
    <t>Bin Liu</t>
  </si>
  <si>
    <t>TCG</t>
  </si>
  <si>
    <t>VG.CyberZen, ViCi, CyberZen, 5POWER</t>
  </si>
  <si>
    <t>16.30%</t>
  </si>
  <si>
    <t>Attacker</t>
  </si>
  <si>
    <t>YuanZhang Sheng</t>
  </si>
  <si>
    <t>TYLOO, Flash</t>
  </si>
  <si>
    <t>46.40%</t>
  </si>
  <si>
    <t>75.90%</t>
  </si>
  <si>
    <t>13.40%</t>
  </si>
  <si>
    <t>dexter</t>
  </si>
  <si>
    <t>Christopher Nong</t>
  </si>
  <si>
    <t>MOUZ, Grayhound, Renegades</t>
  </si>
  <si>
    <t>80.9</t>
  </si>
  <si>
    <t>DJOXiC</t>
  </si>
  <si>
    <t>ÄorÄ‘e NiciforoviÄ‡</t>
  </si>
  <si>
    <t>Serbia</t>
  </si>
  <si>
    <t>GamerS1337</t>
  </si>
  <si>
    <t>Binary Dragons, iNation, Valiance</t>
  </si>
  <si>
    <t>Detrony</t>
  </si>
  <si>
    <t>Dimitri Hadjipaschali</t>
  </si>
  <si>
    <t>Bravado</t>
  </si>
  <si>
    <t>79.10%</t>
  </si>
  <si>
    <t>Machinegun</t>
  </si>
  <si>
    <t>Enkhtaivan Lkhagva</t>
  </si>
  <si>
    <t>TheMongolz, Mazaalai</t>
  </si>
  <si>
    <t>0.7</t>
  </si>
  <si>
    <t>18.80%</t>
  </si>
  <si>
    <t>Magisk</t>
  </si>
  <si>
    <t>Emil Reif</t>
  </si>
  <si>
    <t>Astralis, SK, Dignitas</t>
  </si>
  <si>
    <t>47.60%</t>
  </si>
  <si>
    <t>79.7</t>
  </si>
  <si>
    <t>draken</t>
  </si>
  <si>
    <t>William Sundin</t>
  </si>
  <si>
    <t>Into the Breach</t>
  </si>
  <si>
    <t>Epsilon, NIP, Red Reserve</t>
  </si>
  <si>
    <t>74.6</t>
  </si>
  <si>
    <t>keev</t>
  </si>
  <si>
    <t>Kevin BartholomÃ¤us</t>
  </si>
  <si>
    <t>ALTERNATE aTTaX, BIG, KILLERFISH</t>
  </si>
  <si>
    <t>73.6</t>
  </si>
  <si>
    <t>22.00%</t>
  </si>
  <si>
    <t>felps</t>
  </si>
  <si>
    <t>JoÃ£o Vasconcellos</t>
  </si>
  <si>
    <t>SK, GODSENT, Immortals, Tempo Storm</t>
  </si>
  <si>
    <t>43.90%</t>
  </si>
  <si>
    <t>84.6</t>
  </si>
  <si>
    <t>sergej</t>
  </si>
  <si>
    <t>Jere Salo</t>
  </si>
  <si>
    <t>GORILLAZ</t>
  </si>
  <si>
    <t>GORILLAZ, ENCE, HAVU</t>
  </si>
  <si>
    <t>48.20%</t>
  </si>
  <si>
    <t>72.80%</t>
  </si>
  <si>
    <t>14.10%</t>
  </si>
  <si>
    <t>pz</t>
  </si>
  <si>
    <t>Jordan White</t>
  </si>
  <si>
    <t>VERTEX</t>
  </si>
  <si>
    <t>VERTEX, TRUCKERS WITH ATTITUDE, Airborne</t>
  </si>
  <si>
    <t>29.30%</t>
  </si>
  <si>
    <t>75.7</t>
  </si>
  <si>
    <t>ShahZaM</t>
  </si>
  <si>
    <t>Shahzeb Khan</t>
  </si>
  <si>
    <t>Complexity, Misfits, Echo Fox, Conquest, OpTic</t>
  </si>
  <si>
    <t>34.00%</t>
  </si>
  <si>
    <t>exit</t>
  </si>
  <si>
    <t>Raphael Lacerda</t>
  </si>
  <si>
    <t>MIBR, Sharks</t>
  </si>
  <si>
    <t>45.10%</t>
  </si>
  <si>
    <t>76.8</t>
  </si>
  <si>
    <t>4.8</t>
  </si>
  <si>
    <t>0.93</t>
  </si>
  <si>
    <t>10.20%</t>
  </si>
  <si>
    <t>Summer</t>
  </si>
  <si>
    <t>YuLun Cai</t>
  </si>
  <si>
    <t>48.90%</t>
  </si>
  <si>
    <t>76.90%</t>
  </si>
  <si>
    <t>Hatz</t>
  </si>
  <si>
    <t>Jordan Bajic</t>
  </si>
  <si>
    <t>ORDER, Renegades, Kings</t>
  </si>
  <si>
    <t>50.90%</t>
  </si>
  <si>
    <t>77.5</t>
  </si>
  <si>
    <t>jayzaR</t>
  </si>
  <si>
    <t>Aleksandar Zarkovic</t>
  </si>
  <si>
    <t>Valiance, Enyoy</t>
  </si>
  <si>
    <t>36.40%</t>
  </si>
  <si>
    <t>MICHU</t>
  </si>
  <si>
    <t>MichaÅ‚ MÃ¼ller</t>
  </si>
  <si>
    <t>Virtus.pro, Kinguin, CSGL</t>
  </si>
  <si>
    <t>50.70%</t>
  </si>
  <si>
    <t>15.80%</t>
  </si>
  <si>
    <t>Ryxxo</t>
  </si>
  <si>
    <t>Thomas Nielsen</t>
  </si>
  <si>
    <t>Sashi</t>
  </si>
  <si>
    <t>Tricked, Singularity</t>
  </si>
  <si>
    <t>33.10%</t>
  </si>
  <si>
    <t>6.3</t>
  </si>
  <si>
    <t>FL1T</t>
  </si>
  <si>
    <t>Evgenii Lebedev</t>
  </si>
  <si>
    <t>12.10%</t>
  </si>
  <si>
    <t>hAdji</t>
  </si>
  <si>
    <t>Ali HaÃ¯nouss</t>
  </si>
  <si>
    <t>Falcons</t>
  </si>
  <si>
    <t>LDLC, EnVyUs Academy</t>
  </si>
  <si>
    <t>70.20%</t>
  </si>
  <si>
    <t>Rickeh</t>
  </si>
  <si>
    <t>Ricardo Mulholland</t>
  </si>
  <si>
    <t>Aftershock</t>
  </si>
  <si>
    <t>ORDER, CLG, Rogue</t>
  </si>
  <si>
    <t>37.70%</t>
  </si>
  <si>
    <t>77.3</t>
  </si>
  <si>
    <t>nicoodoz</t>
  </si>
  <si>
    <t>Nico Tamjidi</t>
  </si>
  <si>
    <t>Copenhagen Flames</t>
  </si>
  <si>
    <t>1.62</t>
  </si>
  <si>
    <t>16.80%</t>
  </si>
  <si>
    <t>ptr</t>
  </si>
  <si>
    <t>Peter Gurney</t>
  </si>
  <si>
    <t>Bad News Bears, NRG, Complexity</t>
  </si>
  <si>
    <t>26.00%</t>
  </si>
  <si>
    <t>73.3</t>
  </si>
  <si>
    <t>dapr</t>
  </si>
  <si>
    <t>Michael Gulino</t>
  </si>
  <si>
    <t>eUnited</t>
  </si>
  <si>
    <t>80.8</t>
  </si>
  <si>
    <t>6.4</t>
  </si>
  <si>
    <t>NaToSaphiX</t>
  </si>
  <si>
    <t>NielsÂ Christian Sillassen</t>
  </si>
  <si>
    <t>Sprout, Nordavind</t>
  </si>
  <si>
    <t>36.80%</t>
  </si>
  <si>
    <t>71.9</t>
  </si>
  <si>
    <t>meyern</t>
  </si>
  <si>
    <t>Ignacio Meyer</t>
  </si>
  <si>
    <t>Argentina</t>
  </si>
  <si>
    <t>Leviatan</t>
  </si>
  <si>
    <t>Furious, MIBR, Isurus, Sharks</t>
  </si>
  <si>
    <t>junior</t>
  </si>
  <si>
    <t>Paytyn Johnson</t>
  </si>
  <si>
    <t>Triumph, Bad News Bears, Complexity, FURIA</t>
  </si>
  <si>
    <t>70.7</t>
  </si>
  <si>
    <t>1.57</t>
  </si>
  <si>
    <t>72.00%</t>
  </si>
  <si>
    <t>iDISBALANCE</t>
  </si>
  <si>
    <t>Artem Egorov</t>
  </si>
  <si>
    <t>Nemiga</t>
  </si>
  <si>
    <t>Nemiga, Spirit</t>
  </si>
  <si>
    <t>27.00%</t>
  </si>
  <si>
    <t>autimatic</t>
  </si>
  <si>
    <t>Timothy Ta</t>
  </si>
  <si>
    <t>Cloud9, Gen.G</t>
  </si>
  <si>
    <t>79.4</t>
  </si>
  <si>
    <t>14.50%</t>
  </si>
  <si>
    <t>YEKINDAR</t>
  </si>
  <si>
    <t>Mareks GaÄ¼inskis</t>
  </si>
  <si>
    <t>Latvia</t>
  </si>
  <si>
    <t>Virtus.pro</t>
  </si>
  <si>
    <t>pro100, Virtus.pro, EPG</t>
  </si>
  <si>
    <t>59.10%</t>
  </si>
  <si>
    <t>82.7</t>
  </si>
  <si>
    <t>Impulse</t>
  </si>
  <si>
    <t>Aleksa StankiÄ‡</t>
  </si>
  <si>
    <t>ex-4glory</t>
  </si>
  <si>
    <t>Valiance, ONYX, lvlUP, RESISTANCE</t>
  </si>
  <si>
    <t>75.5</t>
  </si>
  <si>
    <t>jks</t>
  </si>
  <si>
    <t>Justin Savage</t>
  </si>
  <si>
    <t>Renegades, Complexity, 100 Thieves</t>
  </si>
  <si>
    <t>52.90%</t>
  </si>
  <si>
    <t>77.7</t>
  </si>
  <si>
    <t>Liazz</t>
  </si>
  <si>
    <t>Jay Tregillgas</t>
  </si>
  <si>
    <t>ORDER, Renegades, 100 Thieves, Kings, Athletico, EXTREMUM</t>
  </si>
  <si>
    <t>45.90%</t>
  </si>
  <si>
    <t>11.90%</t>
  </si>
  <si>
    <t>smike</t>
  </si>
  <si>
    <t>Sergey Sklyarenko</t>
  </si>
  <si>
    <t>spray'n'pray</t>
  </si>
  <si>
    <t>spray'n'pray, pro100, ACG, eXplosive, k1ck</t>
  </si>
  <si>
    <t>75.6</t>
  </si>
  <si>
    <t>23.10%</t>
  </si>
  <si>
    <t>shox</t>
  </si>
  <si>
    <t>Richard Papillon</t>
  </si>
  <si>
    <t>G2, Vitality, Envy</t>
  </si>
  <si>
    <t>75.4</t>
  </si>
  <si>
    <t>anarkez</t>
  </si>
  <si>
    <t>Guy Trachtman</t>
  </si>
  <si>
    <t>Finest</t>
  </si>
  <si>
    <t>Finest, Secret</t>
  </si>
  <si>
    <t>30.80%</t>
  </si>
  <si>
    <t>hallzerk</t>
  </si>
  <si>
    <t>HÃ¥kon FjÃ¦rli</t>
  </si>
  <si>
    <t>Norway</t>
  </si>
  <si>
    <t>Dignitas, Nordavind</t>
  </si>
  <si>
    <t>34.10%</t>
  </si>
  <si>
    <t>broky</t>
  </si>
  <si>
    <t>Helvijs Saukants</t>
  </si>
  <si>
    <t>FaZe, Epsilon</t>
  </si>
  <si>
    <t>xand</t>
  </si>
  <si>
    <t>Alexandre Zizi</t>
  </si>
  <si>
    <t>INTZ, Yeah</t>
  </si>
  <si>
    <t>50.20%</t>
  </si>
  <si>
    <t>paz</t>
  </si>
  <si>
    <t>Ahmet Karahoca</t>
  </si>
  <si>
    <t>Space Soldiers, Sangal</t>
  </si>
  <si>
    <t>12.70%</t>
  </si>
  <si>
    <t>slaxz-</t>
  </si>
  <si>
    <t>Fritz Dietrich</t>
  </si>
  <si>
    <t>Sprout</t>
  </si>
  <si>
    <t>Sprout, ALTERNATE aTTaX</t>
  </si>
  <si>
    <t>29.50%</t>
  </si>
  <si>
    <t>72.6</t>
  </si>
  <si>
    <t>CRUC1AL</t>
  </si>
  <si>
    <t>Joey Steusel</t>
  </si>
  <si>
    <t>Netherlands</t>
  </si>
  <si>
    <t>Endpoint</t>
  </si>
  <si>
    <t>Endpoint, Epsilon</t>
  </si>
  <si>
    <t>29.00%</t>
  </si>
  <si>
    <t>fejtZ</t>
  </si>
  <si>
    <t>Kristjan Allsaar</t>
  </si>
  <si>
    <t>Strife</t>
  </si>
  <si>
    <t>SMASH, ArchAngels</t>
  </si>
  <si>
    <t>46.20%</t>
  </si>
  <si>
    <t>13.20%</t>
  </si>
  <si>
    <t>InfrequeNt</t>
  </si>
  <si>
    <t>Jesse Barker</t>
  </si>
  <si>
    <t>Athletico, Tainted Minds, Chiefs</t>
  </si>
  <si>
    <t>33.80%</t>
  </si>
  <si>
    <t>1.34</t>
  </si>
  <si>
    <t>EspiranTo</t>
  </si>
  <si>
    <t>Rokas Milasauskas</t>
  </si>
  <si>
    <t>Imperial, Valiance, CR4ZY, c0ntact</t>
  </si>
  <si>
    <t>59.90%</t>
  </si>
  <si>
    <t>WorldEdit</t>
  </si>
  <si>
    <t>Georgi Yaskin</t>
  </si>
  <si>
    <t>FlipSid3, pro100, Winstrike</t>
  </si>
  <si>
    <t>28.00%</t>
  </si>
  <si>
    <t>QKA</t>
  </si>
  <si>
    <t>ZhiHai Fu</t>
  </si>
  <si>
    <t>WDNMD</t>
  </si>
  <si>
    <t>5POWER, UYA, BOOT</t>
  </si>
  <si>
    <t>75.8</t>
  </si>
  <si>
    <t>1.31</t>
  </si>
  <si>
    <t>72.10%</t>
  </si>
  <si>
    <t>17.70%</t>
  </si>
  <si>
    <t>trk</t>
  </si>
  <si>
    <t>Alencar Rossato</t>
  </si>
  <si>
    <t>TeamOne</t>
  </si>
  <si>
    <t>TeamOne, MIBR</t>
  </si>
  <si>
    <t>somebody</t>
  </si>
  <si>
    <t>HaoWen Xu</t>
  </si>
  <si>
    <t>45.80%</t>
  </si>
  <si>
    <t>79.9</t>
  </si>
  <si>
    <t>shroud</t>
  </si>
  <si>
    <t>Mike Grzesiek</t>
  </si>
  <si>
    <t>Pimp</t>
  </si>
  <si>
    <t>Jacob Winneche</t>
  </si>
  <si>
    <t>Dignitas, SK, Liquid, CPH Wolves</t>
  </si>
  <si>
    <t>boltz</t>
  </si>
  <si>
    <t>Ricardo Prass</t>
  </si>
  <si>
    <t>Immortals, Luminosity, SK, MIBR</t>
  </si>
  <si>
    <t>39.30%</t>
  </si>
  <si>
    <t>81.8</t>
  </si>
  <si>
    <t>8.8</t>
  </si>
  <si>
    <t>HObbit</t>
  </si>
  <si>
    <t>Abay Khasenov</t>
  </si>
  <si>
    <t>Kazakhstan</t>
  </si>
  <si>
    <t>Gambit, Winstrike</t>
  </si>
  <si>
    <t>5.6</t>
  </si>
  <si>
    <t>Brollan</t>
  </si>
  <si>
    <t>Ludvig Brolin</t>
  </si>
  <si>
    <t>fnatic, GODSENT</t>
  </si>
  <si>
    <t>52.50%</t>
  </si>
  <si>
    <t>DD</t>
  </si>
  <si>
    <t>Hui Wu</t>
  </si>
  <si>
    <t>TYLOO, OneThree</t>
  </si>
  <si>
    <t>41.90%</t>
  </si>
  <si>
    <t>81.5</t>
  </si>
  <si>
    <t>roeJ</t>
  </si>
  <si>
    <t>Fredrik JÃ¸rgensen</t>
  </si>
  <si>
    <t>Copenhagen Flames, MAD Lions, Tricked</t>
  </si>
  <si>
    <t>55.30%</t>
  </si>
  <si>
    <t>83.5</t>
  </si>
  <si>
    <t>dycha</t>
  </si>
  <si>
    <t>PaweÅ‚ Dycha</t>
  </si>
  <si>
    <t>ENCE, Sprout, Aristocracy</t>
  </si>
  <si>
    <t>53.60%</t>
  </si>
  <si>
    <t>72.60%</t>
  </si>
  <si>
    <t>NikoM</t>
  </si>
  <si>
    <t>Nicolas Miozzi</t>
  </si>
  <si>
    <t>Arvum</t>
  </si>
  <si>
    <t>TeamOne, Isurus, DETONA</t>
  </si>
  <si>
    <t>4.5</t>
  </si>
  <si>
    <t>13.10%</t>
  </si>
  <si>
    <t>FalleN</t>
  </si>
  <si>
    <t>Gabriel Toledo</t>
  </si>
  <si>
    <t>1.44</t>
  </si>
  <si>
    <t>snatchie</t>
  </si>
  <si>
    <t>MichaÅ‚ Rudzki</t>
  </si>
  <si>
    <t>AGO, Virtus.pro, Sprout</t>
  </si>
  <si>
    <t>shz</t>
  </si>
  <si>
    <t>Bruno Martinelli</t>
  </si>
  <si>
    <t>Los Grandes</t>
  </si>
  <si>
    <t>Luminosity, Imperial, MIBR, INTZ, BOOM</t>
  </si>
  <si>
    <t>51.10%</t>
  </si>
  <si>
    <t>77.1</t>
  </si>
  <si>
    <t>chelo</t>
  </si>
  <si>
    <t>Marcelo Cespedes</t>
  </si>
  <si>
    <t>MIBR, INTZ, Luminosity</t>
  </si>
  <si>
    <t>60.70%</t>
  </si>
  <si>
    <t>hardzao</t>
  </si>
  <si>
    <t>Wesley Lopes</t>
  </si>
  <si>
    <t>paiN, DETONA</t>
  </si>
  <si>
    <t>fame</t>
  </si>
  <si>
    <t>Petr Bolyshev</t>
  </si>
  <si>
    <t>K23, SG.pro</t>
  </si>
  <si>
    <t>57.70%</t>
  </si>
  <si>
    <t>77.9</t>
  </si>
  <si>
    <t>ofnu</t>
  </si>
  <si>
    <t>Chris Hanley</t>
  </si>
  <si>
    <t>Tainted Minds, Chiefs, AVANT, Winterfox</t>
  </si>
  <si>
    <t>AnJ</t>
  </si>
  <si>
    <t>Allan Jensen</t>
  </si>
  <si>
    <t>NRG, Singularity, Tricked</t>
  </si>
  <si>
    <t>Ethan</t>
  </si>
  <si>
    <t>Ethan Arnold</t>
  </si>
  <si>
    <t>NRG, CLG, Evil Geniuses</t>
  </si>
  <si>
    <t>flameZ</t>
  </si>
  <si>
    <t>Shahar Shushan</t>
  </si>
  <si>
    <t>OG, Endpoint</t>
  </si>
  <si>
    <t>53.00%</t>
  </si>
  <si>
    <t>79.6</t>
  </si>
  <si>
    <t>b1t</t>
  </si>
  <si>
    <t>Valeriy Vakhovskiy</t>
  </si>
  <si>
    <t>Natus Vincere, NAVI Junior</t>
  </si>
  <si>
    <t>67.90%</t>
  </si>
  <si>
    <t>75.30%</t>
  </si>
  <si>
    <t>zhokiNg</t>
  </si>
  <si>
    <t>WeiJie Zhong</t>
  </si>
  <si>
    <t>ViCi, VG.CyberZen</t>
  </si>
  <si>
    <t>51.00%</t>
  </si>
  <si>
    <t>83.8</t>
  </si>
  <si>
    <t>19.50%</t>
  </si>
  <si>
    <t>SHiPZ</t>
  </si>
  <si>
    <t>Georgi Grigorov</t>
  </si>
  <si>
    <t>SKADE, Windigo</t>
  </si>
  <si>
    <t>50.00%</t>
  </si>
  <si>
    <t>Happy</t>
  </si>
  <si>
    <t>Vincent Schopenhauer</t>
  </si>
  <si>
    <t>Envy, LDLC</t>
  </si>
  <si>
    <t>0.06</t>
  </si>
  <si>
    <t>1.38</t>
  </si>
  <si>
    <t>78.90%</t>
  </si>
  <si>
    <t>acoR</t>
  </si>
  <si>
    <t>Frederik Gyldstrand</t>
  </si>
  <si>
    <t>Tricked, North Academy, MAD Lions, MOUZ</t>
  </si>
  <si>
    <t>73.2</t>
  </si>
  <si>
    <t>NikkeZ</t>
  </si>
  <si>
    <t>Nikhil Victor</t>
  </si>
  <si>
    <t>Ground Zero, Athletico</t>
  </si>
  <si>
    <t>46.50%</t>
  </si>
  <si>
    <t>82.5</t>
  </si>
  <si>
    <t>COLDYY1</t>
  </si>
  <si>
    <t>Pavel Veklenko</t>
  </si>
  <si>
    <t>Spirit</t>
  </si>
  <si>
    <t>55.10%</t>
  </si>
  <si>
    <t>13.00%</t>
  </si>
  <si>
    <t>b4rtiN</t>
  </si>
  <si>
    <t>Bruno CÃ¢mara</t>
  </si>
  <si>
    <t>TeamOne, GODSENT</t>
  </si>
  <si>
    <t>rigoN</t>
  </si>
  <si>
    <t>Rigon Gashi</t>
  </si>
  <si>
    <t>Switzerland</t>
  </si>
  <si>
    <t>Bad News Eagles</t>
  </si>
  <si>
    <t>Bad News Eagles, BLINK, c0ntact</t>
  </si>
  <si>
    <t>55.00%</t>
  </si>
  <si>
    <t>Skadoodle</t>
  </si>
  <si>
    <t>Tyler Latham</t>
  </si>
  <si>
    <t>67.5</t>
  </si>
  <si>
    <t>flying</t>
  </si>
  <si>
    <t>Peiqi Song</t>
  </si>
  <si>
    <t>Invictus</t>
  </si>
  <si>
    <t>50.60%</t>
  </si>
  <si>
    <t>pancc</t>
  </si>
  <si>
    <t>Fillipe Martins</t>
  </si>
  <si>
    <t>W7M, Sharks</t>
  </si>
  <si>
    <t>Maka</t>
  </si>
  <si>
    <t>Bryan Canda</t>
  </si>
  <si>
    <t>Heretics, LDLC, 3DMAX</t>
  </si>
  <si>
    <t>35.80%</t>
  </si>
  <si>
    <t>71.90%</t>
  </si>
  <si>
    <t>koosta</t>
  </si>
  <si>
    <t>Kenneth Suen</t>
  </si>
  <si>
    <t>CLG, Ghost, Gen.G, Enemy</t>
  </si>
  <si>
    <t>37.30%</t>
  </si>
  <si>
    <t>Valiance</t>
  </si>
  <si>
    <t>Matthew Hartrick</t>
  </si>
  <si>
    <t>ORDER, Paradox</t>
  </si>
  <si>
    <t>11.60%</t>
  </si>
  <si>
    <t>tucks</t>
  </si>
  <si>
    <t>Tyler Reilly</t>
  </si>
  <si>
    <t>Chiefs</t>
  </si>
  <si>
    <t>78.10%</t>
  </si>
  <si>
    <t>TOR</t>
  </si>
  <si>
    <t>Tosapol Saekow</t>
  </si>
  <si>
    <t>Signature, Beyond</t>
  </si>
  <si>
    <t>28.90%</t>
  </si>
  <si>
    <t>olofmeister</t>
  </si>
  <si>
    <t>Olof Kajbjer</t>
  </si>
  <si>
    <t>fnatic, FaZe</t>
  </si>
  <si>
    <t>72.8</t>
  </si>
  <si>
    <t>76.60%</t>
  </si>
  <si>
    <t>suNny</t>
  </si>
  <si>
    <t>Miikka Kemppi</t>
  </si>
  <si>
    <t>ENCE, MOUZ, PENTA</t>
  </si>
  <si>
    <t>47.40%</t>
  </si>
  <si>
    <t>malbsMd</t>
  </si>
  <si>
    <t>Mario Samayoa</t>
  </si>
  <si>
    <t>Guatemala</t>
  </si>
  <si>
    <t>TeamOne, Infinity</t>
  </si>
  <si>
    <t>62.90%</t>
  </si>
  <si>
    <t>Gratisfaction</t>
  </si>
  <si>
    <t>Sean Kaiwai</t>
  </si>
  <si>
    <t>EXTREMUM</t>
  </si>
  <si>
    <t>Grayhound, Renegades, 100 Thieves, Immunity, EXTREMUM</t>
  </si>
  <si>
    <t>31.90%</t>
  </si>
  <si>
    <t>shalfey</t>
  </si>
  <si>
    <t>Alexandr Marenov</t>
  </si>
  <si>
    <t>forZe, Unique, Dracarys</t>
  </si>
  <si>
    <t>SLOWLY</t>
  </si>
  <si>
    <t>Kelun Sun</t>
  </si>
  <si>
    <t>59.30%</t>
  </si>
  <si>
    <t>70.70%</t>
  </si>
  <si>
    <t>nexa</t>
  </si>
  <si>
    <t>Nemanja IsakoviÄ‡</t>
  </si>
  <si>
    <t>G2, Valiance, Imperial</t>
  </si>
  <si>
    <t>0.92</t>
  </si>
  <si>
    <t>10.50%</t>
  </si>
  <si>
    <t>rallen</t>
  </si>
  <si>
    <t>Karol Rodowicz</t>
  </si>
  <si>
    <t>Kinguin, AGO</t>
  </si>
  <si>
    <t>7.5</t>
  </si>
  <si>
    <t>Rainwaker</t>
  </si>
  <si>
    <t>Aleks Petrov</t>
  </si>
  <si>
    <t>42.30%</t>
  </si>
  <si>
    <t>bottle</t>
  </si>
  <si>
    <t>Lei Mao</t>
  </si>
  <si>
    <t>Born Of Fire, Eclipse, Invictus, 5POWER, CyberZen</t>
  </si>
  <si>
    <t>56.80%</t>
  </si>
  <si>
    <t>71.00%</t>
  </si>
  <si>
    <t>remix</t>
  </si>
  <si>
    <t>Victor Monteiro</t>
  </si>
  <si>
    <t>ODDIK</t>
  </si>
  <si>
    <t>Liberty, Redemption POA, UNO MILLE</t>
  </si>
  <si>
    <t>27.30%</t>
  </si>
  <si>
    <t>ISSAA</t>
  </si>
  <si>
    <t>Issa Murad</t>
  </si>
  <si>
    <t>Jordan</t>
  </si>
  <si>
    <t>HellRaisers, OG</t>
  </si>
  <si>
    <t>55.50%</t>
  </si>
  <si>
    <t>JW</t>
  </si>
  <si>
    <t>Jesper Wecksell</t>
  </si>
  <si>
    <t>EYEBALLERS</t>
  </si>
  <si>
    <t>Sobol</t>
  </si>
  <si>
    <t>Kamil Sobolewski</t>
  </si>
  <si>
    <t>HONORIS</t>
  </si>
  <si>
    <t>PACT, Wisla Krakow</t>
  </si>
  <si>
    <t>69.20%</t>
  </si>
  <si>
    <t>afro</t>
  </si>
  <si>
    <t>AurÃ©lien Drapier</t>
  </si>
  <si>
    <t>HEET</t>
  </si>
  <si>
    <t>HEET, DBL PONEY, LDLC</t>
  </si>
  <si>
    <t>34.80%</t>
  </si>
  <si>
    <t>72.2</t>
  </si>
  <si>
    <t>5.3</t>
  </si>
  <si>
    <t>iM</t>
  </si>
  <si>
    <t>Ivan Mihai</t>
  </si>
  <si>
    <t>GamerLegion</t>
  </si>
  <si>
    <t>GamerLegion, Nexus</t>
  </si>
  <si>
    <t>48.70%</t>
  </si>
  <si>
    <t>71.20%</t>
  </si>
  <si>
    <t>Ramz1kBO$$</t>
  </si>
  <si>
    <t>Ramazan Bashizov</t>
  </si>
  <si>
    <t>Golden Knights</t>
  </si>
  <si>
    <t>Tengri, Syman</t>
  </si>
  <si>
    <t>75.9</t>
  </si>
  <si>
    <t>20.70%</t>
  </si>
  <si>
    <t>HZ</t>
  </si>
  <si>
    <t>Zhen Huang</t>
  </si>
  <si>
    <t>TSG</t>
  </si>
  <si>
    <t>TYLOO, CyberZen, AllGamers</t>
  </si>
  <si>
    <t>81.7</t>
  </si>
  <si>
    <t>Marcelious</t>
  </si>
  <si>
    <t>Ole Kristian Langan</t>
  </si>
  <si>
    <t>Oilers</t>
  </si>
  <si>
    <t>Apeks, 777, NOREG</t>
  </si>
  <si>
    <t>cajunb</t>
  </si>
  <si>
    <t>RenÃ© Borg</t>
  </si>
  <si>
    <t>ex-AGF</t>
  </si>
  <si>
    <t>North, TSM, OpTic, Dignitas</t>
  </si>
  <si>
    <t>41.00%</t>
  </si>
  <si>
    <t>13.30%</t>
  </si>
  <si>
    <t>tabseN</t>
  </si>
  <si>
    <t>Johannes Wodarz</t>
  </si>
  <si>
    <t>BIG, PENTA, MOUZ</t>
  </si>
  <si>
    <t>84.7</t>
  </si>
  <si>
    <t>8.2</t>
  </si>
  <si>
    <t>17.20%</t>
  </si>
  <si>
    <t>zeph</t>
  </si>
  <si>
    <t>Charlie Dodd</t>
  </si>
  <si>
    <t>DGG</t>
  </si>
  <si>
    <t>ORDER, Chiefs, Ground Zero</t>
  </si>
  <si>
    <t>48.40%</t>
  </si>
  <si>
    <t>mou</t>
  </si>
  <si>
    <t>Rustem Telepov</t>
  </si>
  <si>
    <t>Gambit, K23, HellRaisers, Syman</t>
  </si>
  <si>
    <t>stavn</t>
  </si>
  <si>
    <t>Martin Lund</t>
  </si>
  <si>
    <t>Heroic</t>
  </si>
  <si>
    <t>Heroic, Fragsters</t>
  </si>
  <si>
    <t>42.90%</t>
  </si>
  <si>
    <t>REDSTAR</t>
  </si>
  <si>
    <t>Hristiyan Pironkov</t>
  </si>
  <si>
    <t>ex-MAD Lions</t>
  </si>
  <si>
    <t>Fiend, Bpro</t>
  </si>
  <si>
    <t>KRIMZ</t>
  </si>
  <si>
    <t>Freddy Johansson</t>
  </si>
  <si>
    <t>40.80%</t>
  </si>
  <si>
    <t>KEi</t>
  </si>
  <si>
    <t>Kamil Pietkun</t>
  </si>
  <si>
    <t>FLET</t>
  </si>
  <si>
    <t>AVEZ, Anonymo, Sprout</t>
  </si>
  <si>
    <t>46.30%</t>
  </si>
  <si>
    <t>TeSeS</t>
  </si>
  <si>
    <t>RenÃ© Madsen</t>
  </si>
  <si>
    <t>Heroic, Copenhagen Flames</t>
  </si>
  <si>
    <t>yay</t>
  </si>
  <si>
    <t>Jaccob Whiteaker</t>
  </si>
  <si>
    <t>Complexity, Orgless</t>
  </si>
  <si>
    <t>FASHR</t>
  </si>
  <si>
    <t>Dion Derksen</t>
  </si>
  <si>
    <t>ECSTATIC, Lyngby Vikings, Defusekids</t>
  </si>
  <si>
    <t>juanflatroo</t>
  </si>
  <si>
    <t>Flatron Halimi</t>
  </si>
  <si>
    <t>Kosovo</t>
  </si>
  <si>
    <t>Bad News Eagles, BLINK, Secret</t>
  </si>
  <si>
    <t>57.20%</t>
  </si>
  <si>
    <t>83.1</t>
  </si>
  <si>
    <t>sdy</t>
  </si>
  <si>
    <t>Viktor Orudzhev</t>
  </si>
  <si>
    <t>SicK</t>
  </si>
  <si>
    <t>Hunter Mims</t>
  </si>
  <si>
    <t>Rogue, Misfits, TSM</t>
  </si>
  <si>
    <t>49.80%</t>
  </si>
  <si>
    <t>NEEX</t>
  </si>
  <si>
    <t>Sebastian Trela</t>
  </si>
  <si>
    <t>Izako Boars, ESC</t>
  </si>
  <si>
    <t>71.5</t>
  </si>
  <si>
    <t>Aerial</t>
  </si>
  <si>
    <t>Jani Jussila</t>
  </si>
  <si>
    <t>HAVU, ENCE</t>
  </si>
  <si>
    <t>loWel</t>
  </si>
  <si>
    <t>Christian Garcia Antoran</t>
  </si>
  <si>
    <t>Movistar Riders, PENTA, MOUZ</t>
  </si>
  <si>
    <t>47.50%</t>
  </si>
  <si>
    <t>10.80%</t>
  </si>
  <si>
    <t>nin9</t>
  </si>
  <si>
    <t>Yesuntumur Gantulga</t>
  </si>
  <si>
    <t>IHC</t>
  </si>
  <si>
    <t>TIGER, Renewal, Mazaalai, IHC</t>
  </si>
  <si>
    <t>raafa</t>
  </si>
  <si>
    <t>Rafael Lima</t>
  </si>
  <si>
    <t>W7M, Keyd</t>
  </si>
  <si>
    <t>27.40%</t>
  </si>
  <si>
    <t>Grim</t>
  </si>
  <si>
    <t>Michael Wince</t>
  </si>
  <si>
    <t>Liquid, Triumph, Dignitas, Spacestation</t>
  </si>
  <si>
    <t>48.10%</t>
  </si>
  <si>
    <t>Zellsis</t>
  </si>
  <si>
    <t>Jordan Montemurro</t>
  </si>
  <si>
    <t>Swole Patrol, Lazarus</t>
  </si>
  <si>
    <t>Qikert</t>
  </si>
  <si>
    <t>Alexey Golubev</t>
  </si>
  <si>
    <t>56.30%</t>
  </si>
  <si>
    <t>70.60%</t>
  </si>
  <si>
    <t>Flarich</t>
  </si>
  <si>
    <t>Vadim Karetin</t>
  </si>
  <si>
    <t>EC Kyiv</t>
  </si>
  <si>
    <t>HellRaisers, pro100</t>
  </si>
  <si>
    <t>71.70%</t>
  </si>
  <si>
    <t>10.70%</t>
  </si>
  <si>
    <t>rommi</t>
  </si>
  <si>
    <t>Roman Golubev</t>
  </si>
  <si>
    <t>Moralezz</t>
  </si>
  <si>
    <t>Spirit Academy, HOLLYWOOD, PLINK, 1337</t>
  </si>
  <si>
    <t>WolfY</t>
  </si>
  <si>
    <t>Adam Andersson</t>
  </si>
  <si>
    <t>ECSTATIC, Lyngby Vikings, Secret Club</t>
  </si>
  <si>
    <t>71.3</t>
  </si>
  <si>
    <t>MarKE</t>
  </si>
  <si>
    <t>Edgar Maldonado</t>
  </si>
  <si>
    <t>Mexico</t>
  </si>
  <si>
    <t>Extra Salt, eUnited, Swole Patrol</t>
  </si>
  <si>
    <t>53.10%</t>
  </si>
  <si>
    <t>cadiaN</t>
  </si>
  <si>
    <t>Casper MÃ¸ller</t>
  </si>
  <si>
    <t>Heroic, Rogue, SK</t>
  </si>
  <si>
    <t>27.60%</t>
  </si>
  <si>
    <t>Lucky</t>
  </si>
  <si>
    <t>Philip Ewald</t>
  </si>
  <si>
    <t>Tricked</t>
  </si>
  <si>
    <t>Tricked, Astralis</t>
  </si>
  <si>
    <t>70.10%</t>
  </si>
  <si>
    <t>refrezh</t>
  </si>
  <si>
    <t>Ismail Ali</t>
  </si>
  <si>
    <t>Fragsters, Heroic, Copenhagen Flames, Tricked, OpTic</t>
  </si>
  <si>
    <t>75.1</t>
  </si>
  <si>
    <t>DavCost</t>
  </si>
  <si>
    <t>Vadim Vasilyev</t>
  </si>
  <si>
    <t>INDE IRAE</t>
  </si>
  <si>
    <t>INDE IRAE, Spirit, 1WIN</t>
  </si>
  <si>
    <t>73.8</t>
  </si>
  <si>
    <t>malta</t>
  </si>
  <si>
    <t>Liam Schembri</t>
  </si>
  <si>
    <t>Grayhound, Chiefs, Renegades</t>
  </si>
  <si>
    <t>39.60%</t>
  </si>
  <si>
    <t>Kjaerbye</t>
  </si>
  <si>
    <t>Markus KjÃ¦rbye</t>
  </si>
  <si>
    <t>North, Dignitas, Astralis</t>
  </si>
  <si>
    <t>Bwills</t>
  </si>
  <si>
    <t>Brendan Williams</t>
  </si>
  <si>
    <t>Triumph, Infamous</t>
  </si>
  <si>
    <t>78.4</t>
  </si>
  <si>
    <t>jkaem</t>
  </si>
  <si>
    <t>Joakim Myrbostad</t>
  </si>
  <si>
    <t>Apeks, Renegades, FaZe, 100 Thieves</t>
  </si>
  <si>
    <t>flusha</t>
  </si>
  <si>
    <t>Robin RÃ¶nnquist</t>
  </si>
  <si>
    <t>42.00%</t>
  </si>
  <si>
    <t>9.2</t>
  </si>
  <si>
    <t>Snakes</t>
  </si>
  <si>
    <t>Ryan Amann</t>
  </si>
  <si>
    <t>Spacestation, The Quest, SoaR</t>
  </si>
  <si>
    <t>43.30%</t>
  </si>
  <si>
    <t>zewsy</t>
  </si>
  <si>
    <t>Ryan Palmer</t>
  </si>
  <si>
    <t>Tainted Minds, Chiefs, Winterfox</t>
  </si>
  <si>
    <t>Swahn</t>
  </si>
  <si>
    <t>Christopher Swahn</t>
  </si>
  <si>
    <t>iNTACT, Bad News Bears, Detonate, Bushido Boyz</t>
  </si>
  <si>
    <t>25.70%</t>
  </si>
  <si>
    <t>72.5</t>
  </si>
  <si>
    <t>STOMP</t>
  </si>
  <si>
    <t>Daniel PÅ‚omiÅ„ski</t>
  </si>
  <si>
    <t>x-kom, Izako Boars, Illuminar, HONORIS</t>
  </si>
  <si>
    <t>26.10%</t>
  </si>
  <si>
    <t>aumaN</t>
  </si>
  <si>
    <t>ZhiHong Liu</t>
  </si>
  <si>
    <t>ViCi</t>
  </si>
  <si>
    <t>41.70%</t>
  </si>
  <si>
    <t>77.60%</t>
  </si>
  <si>
    <t>n0rb3r7</t>
  </si>
  <si>
    <t>David Danielyan</t>
  </si>
  <si>
    <t>K23, Winstrike, Syman</t>
  </si>
  <si>
    <t>motm</t>
  </si>
  <si>
    <t>Ian Hardy</t>
  </si>
  <si>
    <t>ATK</t>
  </si>
  <si>
    <t>ATK, Cloud9</t>
  </si>
  <si>
    <t>Hiko</t>
  </si>
  <si>
    <t>Spencer Martin</t>
  </si>
  <si>
    <t>Liquid, Rogue</t>
  </si>
  <si>
    <t>53.90%</t>
  </si>
  <si>
    <t>71.6</t>
  </si>
  <si>
    <t>0.89</t>
  </si>
  <si>
    <t>9.40%</t>
  </si>
  <si>
    <t>Geniuss</t>
  </si>
  <si>
    <t>Kritthee Sawatmuang</t>
  </si>
  <si>
    <t>Signature, Beyond, Lucid Dream</t>
  </si>
  <si>
    <t>56.40%</t>
  </si>
  <si>
    <t>Snax</t>
  </si>
  <si>
    <t>Janusz Pogorzelski</t>
  </si>
  <si>
    <t>Virtus.pro, Anonymo</t>
  </si>
  <si>
    <t>HSK</t>
  </si>
  <si>
    <t>Hae-Sung Kim</t>
  </si>
  <si>
    <t>MVP PK, MVP Project, GOSU</t>
  </si>
  <si>
    <t>31.10%</t>
  </si>
  <si>
    <t>Bubzkji</t>
  </si>
  <si>
    <t>Lucas Andersen</t>
  </si>
  <si>
    <t>Tricked, Fragsters, MAD Lions, Astralis</t>
  </si>
  <si>
    <t>ANDROID</t>
  </si>
  <si>
    <t>Bradley Fodor</t>
  </si>
  <si>
    <t>Complexity, Envy</t>
  </si>
  <si>
    <t>0.94</t>
  </si>
  <si>
    <t>69.80%</t>
  </si>
  <si>
    <t>11.30%</t>
  </si>
  <si>
    <t>KHTEX</t>
  </si>
  <si>
    <t>Dener Barchfield</t>
  </si>
  <si>
    <t>PaquetÃ¡, Wild, Virtue</t>
  </si>
  <si>
    <t>45.50%</t>
  </si>
  <si>
    <t>kabal</t>
  </si>
  <si>
    <t>Bat-Enkh Batbayar</t>
  </si>
  <si>
    <t>5POWER, TheMongolz, TIGER</t>
  </si>
  <si>
    <t>LOVEYY</t>
  </si>
  <si>
    <t>KunHua Bai</t>
  </si>
  <si>
    <t>Flash, VG.CyberZen, VG.Flash</t>
  </si>
  <si>
    <t>52.00%</t>
  </si>
  <si>
    <t>buster</t>
  </si>
  <si>
    <t>Timur Tulepov</t>
  </si>
  <si>
    <t>47.90%</t>
  </si>
  <si>
    <t>fleav</t>
  </si>
  <si>
    <t>Fodor Levente</t>
  </si>
  <si>
    <t>Budapest Five</t>
  </si>
  <si>
    <t>Budapest Five, GameAgents</t>
  </si>
  <si>
    <t>phzy</t>
  </si>
  <si>
    <t>Love Smidebrant</t>
  </si>
  <si>
    <t>Young Ninjas, NIP</t>
  </si>
  <si>
    <t>29.20%</t>
  </si>
  <si>
    <t>twist</t>
  </si>
  <si>
    <t>Simon Eliasson</t>
  </si>
  <si>
    <t>GODSENT, fnatic, NIP</t>
  </si>
  <si>
    <t>eraa</t>
  </si>
  <si>
    <t>Sean Knutsson</t>
  </si>
  <si>
    <t>Young Ninjas</t>
  </si>
  <si>
    <t>33.50%</t>
  </si>
  <si>
    <t>Lucaozy</t>
  </si>
  <si>
    <t>Lucas Neves</t>
  </si>
  <si>
    <t>Sharks</t>
  </si>
  <si>
    <t>Sharks, DETONA, Reapers</t>
  </si>
  <si>
    <t>Davidp</t>
  </si>
  <si>
    <t>David Prins</t>
  </si>
  <si>
    <t>3DMAX, Heretics</t>
  </si>
  <si>
    <t>7.6</t>
  </si>
  <si>
    <t>tb</t>
  </si>
  <si>
    <t>BingYuan Li</t>
  </si>
  <si>
    <t>VG.CyberZen, CyberZen, ViCi</t>
  </si>
  <si>
    <t>49.90%</t>
  </si>
  <si>
    <t>77.10%</t>
  </si>
  <si>
    <t>dEE</t>
  </si>
  <si>
    <t>MiloÅ¡ MarÄeta</t>
  </si>
  <si>
    <t>KTRL</t>
  </si>
  <si>
    <t>lvlUP, 4glory, Juggernauts, BLUEJAYS</t>
  </si>
  <si>
    <t>land1n</t>
  </si>
  <si>
    <t>Paulo Felipe</t>
  </si>
  <si>
    <t>paiN, Wild, Case, BigGods</t>
  </si>
  <si>
    <t>31.00%</t>
  </si>
  <si>
    <t>69.7</t>
  </si>
  <si>
    <t>tarik</t>
  </si>
  <si>
    <t>Tarik Celik</t>
  </si>
  <si>
    <t>CLG, Evil Geniuses, Cloud9, OpTic</t>
  </si>
  <si>
    <t>37.80%</t>
  </si>
  <si>
    <t>REZ</t>
  </si>
  <si>
    <t>Fredrik Sterner</t>
  </si>
  <si>
    <t>NIP, Epsilon</t>
  </si>
  <si>
    <t>49.60%</t>
  </si>
  <si>
    <t>Kntz</t>
  </si>
  <si>
    <t>Krit Chaiprasit</t>
  </si>
  <si>
    <t>NKT, Alpha Red, Beyond, NSPR</t>
  </si>
  <si>
    <t>47.20%</t>
  </si>
  <si>
    <t>10.90%</t>
  </si>
  <si>
    <t>rAge</t>
  </si>
  <si>
    <t>Dmitry Bolotov</t>
  </si>
  <si>
    <t>Hard Legion, Windigo Academy</t>
  </si>
  <si>
    <t>71.2</t>
  </si>
  <si>
    <t>JUST</t>
  </si>
  <si>
    <t>Tiago Moura</t>
  </si>
  <si>
    <t>Portugal</t>
  </si>
  <si>
    <t>SAW</t>
  </si>
  <si>
    <t>SAW, OFFSET</t>
  </si>
  <si>
    <t>sjuush</t>
  </si>
  <si>
    <t>Rasmus Beck</t>
  </si>
  <si>
    <t>Heroic, Tricked, MAD Lions</t>
  </si>
  <si>
    <t>max</t>
  </si>
  <si>
    <t>Maximiliano Gonzalez</t>
  </si>
  <si>
    <t>9z, Isurus, Furious</t>
  </si>
  <si>
    <t>NK4Y</t>
  </si>
  <si>
    <t>Nikola Radushev</t>
  </si>
  <si>
    <t>Outlaws, Bpro, ex-Epsilon</t>
  </si>
  <si>
    <t>62.10%</t>
  </si>
  <si>
    <t>75.60%</t>
  </si>
  <si>
    <t>Subroza</t>
  </si>
  <si>
    <t>Yassine Taoufik</t>
  </si>
  <si>
    <t>Ghost, FRENCH CANADIANS, CLG, Lazarus, Orgless</t>
  </si>
  <si>
    <t>USTILO</t>
  </si>
  <si>
    <t>Karlo Pivac</t>
  </si>
  <si>
    <t>Renegades, ORDER</t>
  </si>
  <si>
    <t>TRAVIS</t>
  </si>
  <si>
    <t>Aleksandr Timkiv</t>
  </si>
  <si>
    <t>Lucas Chastang</t>
  </si>
  <si>
    <t>HEET, Heretics, DBL PONEY, G2, 3DMAX</t>
  </si>
  <si>
    <t>41.40%</t>
  </si>
  <si>
    <t>dobu</t>
  </si>
  <si>
    <t>Gan-Erdene Batbold</t>
  </si>
  <si>
    <t>5POWER, TIGER, TheMongolz</t>
  </si>
  <si>
    <t>54.50%</t>
  </si>
  <si>
    <t>alex</t>
  </si>
  <si>
    <t>Alejandro Masanet</t>
  </si>
  <si>
    <t>Movistar Riders</t>
  </si>
  <si>
    <t>45.70%</t>
  </si>
  <si>
    <t>yam</t>
  </si>
  <si>
    <t>Yaman Ergenekon</t>
  </si>
  <si>
    <t>Renegades, Tainted Minds</t>
  </si>
  <si>
    <t>34.60%</t>
  </si>
  <si>
    <t>74.5</t>
  </si>
  <si>
    <t>78.40%</t>
  </si>
  <si>
    <t>Patsi</t>
  </si>
  <si>
    <t>Robert Isyanov</t>
  </si>
  <si>
    <t>Spirit, Espada, Spirit Academy</t>
  </si>
  <si>
    <t>44.80%</t>
  </si>
  <si>
    <t>Relaxa</t>
  </si>
  <si>
    <t>Joakim Gustafsson</t>
  </si>
  <si>
    <t>Chaos, Red Reserve, Japaleno, Apeks, Galaxy Racer</t>
  </si>
  <si>
    <t>30.20%</t>
  </si>
  <si>
    <t>znajder</t>
  </si>
  <si>
    <t>Andreas Lindberg</t>
  </si>
  <si>
    <t>GODSENT, fnatic, EURONICS</t>
  </si>
  <si>
    <t>DEV7L</t>
  </si>
  <si>
    <t>Patrik StuchlÃ­k</t>
  </si>
  <si>
    <t>eXtatus</t>
  </si>
  <si>
    <t>34.20%</t>
  </si>
  <si>
    <t>AiyvaN</t>
  </si>
  <si>
    <t>Ivan Semenets</t>
  </si>
  <si>
    <t>GUESS</t>
  </si>
  <si>
    <t>pro100, spray'n'pray</t>
  </si>
  <si>
    <t>Maden</t>
  </si>
  <si>
    <t>Pavle BoÅ¡koviÄ‡</t>
  </si>
  <si>
    <t>Montenegro</t>
  </si>
  <si>
    <t>ENCE, GODSENT, FunPlus Phoenix, SMASH</t>
  </si>
  <si>
    <t>captainMo</t>
  </si>
  <si>
    <t>Ke Liu</t>
  </si>
  <si>
    <t>Steel Helmet</t>
  </si>
  <si>
    <t>40.20%</t>
  </si>
  <si>
    <t>Thomas</t>
  </si>
  <si>
    <t>Thomas Utting</t>
  </si>
  <si>
    <t>41.50%</t>
  </si>
  <si>
    <t>RCF</t>
  </si>
  <si>
    <t>Rodrigo Figueiredo</t>
  </si>
  <si>
    <t>Case</t>
  </si>
  <si>
    <t>Sharks, Yeah, High Coast</t>
  </si>
  <si>
    <t>43.20%</t>
  </si>
  <si>
    <t>19.90%</t>
  </si>
  <si>
    <t>JonY BoY</t>
  </si>
  <si>
    <t>Jonathan MuÃ±oz</t>
  </si>
  <si>
    <t>Gale Force, Miami Flamingos, Furious, Isurus</t>
  </si>
  <si>
    <t>rain</t>
  </si>
  <si>
    <t>HÃ¥vard Nygaard</t>
  </si>
  <si>
    <t>kressy</t>
  </si>
  <si>
    <t>Marko ÄorÄ‘eviÄ‡</t>
  </si>
  <si>
    <t>ALTERNATE aTTaX, Sprout, EURONICS</t>
  </si>
  <si>
    <t>cxzi</t>
  </si>
  <si>
    <t>Danny Strzelczyk</t>
  </si>
  <si>
    <t>BHOP</t>
  </si>
  <si>
    <t>Triumph</t>
  </si>
  <si>
    <t>36.90%</t>
  </si>
  <si>
    <t>juho</t>
  </si>
  <si>
    <t>Juho Lampinen</t>
  </si>
  <si>
    <t>ENCE, iGame.com</t>
  </si>
  <si>
    <t>F1KU</t>
  </si>
  <si>
    <t>Maciej Miklas</t>
  </si>
  <si>
    <t>lvlUP, RESISTANCE, ONYX, 4glory</t>
  </si>
  <si>
    <t>54.70%</t>
  </si>
  <si>
    <t>DiMKE</t>
  </si>
  <si>
    <t>Dimitrije VeljkoviÄ‡</t>
  </si>
  <si>
    <t>AGO</t>
  </si>
  <si>
    <t>46.90%</t>
  </si>
  <si>
    <t>stfN</t>
  </si>
  <si>
    <t>Stefan Seier</t>
  </si>
  <si>
    <t>cowana</t>
  </si>
  <si>
    <t>ALTERNATE aTTaX</t>
  </si>
  <si>
    <t>chawzyyy</t>
  </si>
  <si>
    <t>Hugo GÃ¼nther</t>
  </si>
  <si>
    <t>Galaxy Racer, Apeks</t>
  </si>
  <si>
    <t>0.91</t>
  </si>
  <si>
    <t>imoRR</t>
  </si>
  <si>
    <t>Ã–mer KarataÅŸ</t>
  </si>
  <si>
    <t>Eternal Fire, Sangal, Royal Bandits</t>
  </si>
  <si>
    <t>shuadapai</t>
  </si>
  <si>
    <t>Wei Wang</t>
  </si>
  <si>
    <t>R-Stars</t>
  </si>
  <si>
    <t>5POWER, Eclipse</t>
  </si>
  <si>
    <t>aizy</t>
  </si>
  <si>
    <t>Philip Aistrup</t>
  </si>
  <si>
    <t>North, Dignitas, FaZe</t>
  </si>
  <si>
    <t>Spargo</t>
  </si>
  <si>
    <t>Jarkko Rahja</t>
  </si>
  <si>
    <t>KOVA, hREDS</t>
  </si>
  <si>
    <t>32.90%</t>
  </si>
  <si>
    <t>70.4</t>
  </si>
  <si>
    <t>71.10%</t>
  </si>
  <si>
    <t>RIKO</t>
  </si>
  <si>
    <t>Dylan Sabin-Arnce</t>
  </si>
  <si>
    <t>Monstars, Denial</t>
  </si>
  <si>
    <t>52.70%</t>
  </si>
  <si>
    <t>dennis</t>
  </si>
  <si>
    <t>Dennis Edman</t>
  </si>
  <si>
    <t>Apeks, fnatic, NIP, GamerLegion</t>
  </si>
  <si>
    <t>54.40%</t>
  </si>
  <si>
    <t>15.00%</t>
  </si>
  <si>
    <t>food</t>
  </si>
  <si>
    <t>Victor Wong</t>
  </si>
  <si>
    <t>eUnited, Singularity, Freedom 35</t>
  </si>
  <si>
    <t>fl0m</t>
  </si>
  <si>
    <t>Erik Flom</t>
  </si>
  <si>
    <t>30.10%</t>
  </si>
  <si>
    <t>Forester</t>
  </si>
  <si>
    <t>Igor Bezotecheskiy</t>
  </si>
  <si>
    <t>Entropiq, DreamEaters, Hard Legion</t>
  </si>
  <si>
    <t>53.80%</t>
  </si>
  <si>
    <t>b0denmaster</t>
  </si>
  <si>
    <t>Jonathan Bodenmalm</t>
  </si>
  <si>
    <t>ATK, Lilmix</t>
  </si>
  <si>
    <t>33.40%</t>
  </si>
  <si>
    <t>pashaBiceps</t>
  </si>
  <si>
    <t>JarosÅ‚aw JarzÄ…bkowski</t>
  </si>
  <si>
    <t>Virtus.pro, ESC</t>
  </si>
  <si>
    <t>KENSI</t>
  </si>
  <si>
    <t>Aleksandr Gurkin</t>
  </si>
  <si>
    <t>forZe, ex-ETHEREAL</t>
  </si>
  <si>
    <t>hoody</t>
  </si>
  <si>
    <t>Aaro Peltokangas</t>
  </si>
  <si>
    <t>CyberFocus</t>
  </si>
  <si>
    <t>Roman Dergach</t>
  </si>
  <si>
    <t>Nemiga, K29, Rebels, Empire</t>
  </si>
  <si>
    <t>29.70%</t>
  </si>
  <si>
    <t>kai</t>
  </si>
  <si>
    <t>Kaique Guidotti</t>
  </si>
  <si>
    <t>Bravos, C4, RED Canids</t>
  </si>
  <si>
    <t>35.30%</t>
  </si>
  <si>
    <t>11.80%</t>
  </si>
  <si>
    <t>glowiing</t>
  </si>
  <si>
    <t>Aleksandr Matsievich</t>
  </si>
  <si>
    <t>1WIN, Trident, Cyber Legacy</t>
  </si>
  <si>
    <t>55.20%</t>
  </si>
  <si>
    <t>Swisher</t>
  </si>
  <si>
    <t>Michael Schmid</t>
  </si>
  <si>
    <t>ATK, Bad News Bears</t>
  </si>
  <si>
    <t>flamie</t>
  </si>
  <si>
    <t>Egor Vasilyev</t>
  </si>
  <si>
    <t>sLowi</t>
  </si>
  <si>
    <t>Olli PitkÃ¤nen</t>
  </si>
  <si>
    <t>smiley</t>
  </si>
  <si>
    <t>Algat Abdul</t>
  </si>
  <si>
    <t>Unique</t>
  </si>
  <si>
    <t>Unique, 100PG, Se7en</t>
  </si>
  <si>
    <t>niko</t>
  </si>
  <si>
    <t>Nikolaj Kristensen</t>
  </si>
  <si>
    <t>Heroic, OpTic, OG</t>
  </si>
  <si>
    <t>AMANEK</t>
  </si>
  <si>
    <t>FranÃ§ois Delaunay</t>
  </si>
  <si>
    <t>LDLC</t>
  </si>
  <si>
    <t>LDLC, G2, Misfits</t>
  </si>
  <si>
    <t>45.20%</t>
  </si>
  <si>
    <t>dragonfly</t>
  </si>
  <si>
    <t>Jacob Lund</t>
  </si>
  <si>
    <t>ex-Maknitude</t>
  </si>
  <si>
    <t>Fragsters</t>
  </si>
  <si>
    <t>25.10%</t>
  </si>
  <si>
    <t>70.8</t>
  </si>
  <si>
    <t>HS</t>
  </si>
  <si>
    <t>Kevin Tarn</t>
  </si>
  <si>
    <t>Nordavind, PENTA</t>
  </si>
  <si>
    <t>jdm64</t>
  </si>
  <si>
    <t>Josh Marzano</t>
  </si>
  <si>
    <t>Liquid, CLG, Envy</t>
  </si>
  <si>
    <t>23.60%</t>
  </si>
  <si>
    <t>70.1</t>
  </si>
  <si>
    <t>fnx</t>
  </si>
  <si>
    <t>Lincoln Lau</t>
  </si>
  <si>
    <t>Imperial, Luminosity, SK, Immortals, RED Canids, NÃ£o Tem Como</t>
  </si>
  <si>
    <t>5.9</t>
  </si>
  <si>
    <t>NBK-</t>
  </si>
  <si>
    <t>Nathan Schmitt</t>
  </si>
  <si>
    <t>Envy, G2, Vitality, OG, VeryGames</t>
  </si>
  <si>
    <t>53.70%</t>
  </si>
  <si>
    <t>kolor</t>
  </si>
  <si>
    <t>ÃdÃ¡m Domoszlay</t>
  </si>
  <si>
    <t>GameAgents, Budapest Five, EURONICS</t>
  </si>
  <si>
    <t>MonttY</t>
  </si>
  <si>
    <t>Martin MeliÅ¡ek</t>
  </si>
  <si>
    <t>eXtatus, eSuba</t>
  </si>
  <si>
    <t>FANAT ROCKA</t>
  </si>
  <si>
    <t>Vasiliy Trusov</t>
  </si>
  <si>
    <t>VRTX</t>
  </si>
  <si>
    <t>Unique, Quantum Bellator Fire, Space Jam</t>
  </si>
  <si>
    <t>DeStiNy</t>
  </si>
  <si>
    <t>Lucas Bullo</t>
  </si>
  <si>
    <t>Luminosity, PaquetÃ¡, INTZ, Wild</t>
  </si>
  <si>
    <t>FaNg</t>
  </si>
  <si>
    <t>Justin Coakley</t>
  </si>
  <si>
    <t>Complexity, Extra Salt</t>
  </si>
  <si>
    <t>Maluk3</t>
  </si>
  <si>
    <t>Pedro Campos</t>
  </si>
  <si>
    <t>disco doplan</t>
  </si>
  <si>
    <t>Joakim Gidetun</t>
  </si>
  <si>
    <t>GODSENT, Epsilon, Galaxy Racer, Red Reserve</t>
  </si>
  <si>
    <t>Nico</t>
  </si>
  <si>
    <t>Nicolaj Jensen</t>
  </si>
  <si>
    <t>Dignitas, CPH Wolves, Western Wolves</t>
  </si>
  <si>
    <t>mouz</t>
  </si>
  <si>
    <t>MikoÅ‚aj Karolewski</t>
  </si>
  <si>
    <t>Kinguin, Illuminar</t>
  </si>
  <si>
    <t>bondik</t>
  </si>
  <si>
    <t>Vladyslav Nechyporchuk</t>
  </si>
  <si>
    <t>Cossacks</t>
  </si>
  <si>
    <t>HellRaisers, FlipSid3, Winstrike</t>
  </si>
  <si>
    <t>47.70%</t>
  </si>
  <si>
    <t>qqGOD</t>
  </si>
  <si>
    <t>Phoomphat Phodjanat</t>
  </si>
  <si>
    <t>40.90%</t>
  </si>
  <si>
    <t>v1c7oR</t>
  </si>
  <si>
    <t>Viktor Dyankov</t>
  </si>
  <si>
    <t>BeyondPossible</t>
  </si>
  <si>
    <t>Windigo, E-frag.net, Fiend</t>
  </si>
  <si>
    <t>HexT</t>
  </si>
  <si>
    <t>Jadan Postma</t>
  </si>
  <si>
    <t>EG.CD</t>
  </si>
  <si>
    <t>RBG, Carpe Diem</t>
  </si>
  <si>
    <t>MoeycQ</t>
  </si>
  <si>
    <t>Mohammed Tizani</t>
  </si>
  <si>
    <t>Immunity, Chiefs, Ground Zero, AVANT</t>
  </si>
  <si>
    <t>Voltage</t>
  </si>
  <si>
    <t>Logan Long</t>
  </si>
  <si>
    <t>The Quest, Triumph, SoaR, Dignitas</t>
  </si>
  <si>
    <t>67.6</t>
  </si>
  <si>
    <t>Spongey</t>
  </si>
  <si>
    <t>Gabe Greiner</t>
  </si>
  <si>
    <t>Bad News Bears</t>
  </si>
  <si>
    <t>Bad News Bears, Triumph, The Quest</t>
  </si>
  <si>
    <t>71.4</t>
  </si>
  <si>
    <t>0.9</t>
  </si>
  <si>
    <t>9.60%</t>
  </si>
  <si>
    <t>Krad</t>
  </si>
  <si>
    <t>Vladislav Kravchenko</t>
  </si>
  <si>
    <t>spaze</t>
  </si>
  <si>
    <t>Ivan Obrezhan</t>
  </si>
  <si>
    <t>MayBe</t>
  </si>
  <si>
    <t>PiTER, Gambit, EPG</t>
  </si>
  <si>
    <t>Ace</t>
  </si>
  <si>
    <t>Brandon Winn</t>
  </si>
  <si>
    <t>Rise Nation, eUnited</t>
  </si>
  <si>
    <t>68.5</t>
  </si>
  <si>
    <t>MarkoÅ›</t>
  </si>
  <si>
    <t>Kuba Markowski</t>
  </si>
  <si>
    <t>AVEZ, Wisla Krakow</t>
  </si>
  <si>
    <t>dimasick</t>
  </si>
  <si>
    <t>Dmitry Matvienko</t>
  </si>
  <si>
    <t>AVANGAR, pro100</t>
  </si>
  <si>
    <t>Goofy</t>
  </si>
  <si>
    <t>Krzysiek Gorski</t>
  </si>
  <si>
    <t>Wisla Krakow, PACT, x-kom</t>
  </si>
  <si>
    <t>41.10%</t>
  </si>
  <si>
    <t>queztone</t>
  </si>
  <si>
    <t>Richard StrnÃ¡tko</t>
  </si>
  <si>
    <t>44.70%</t>
  </si>
  <si>
    <t>ROBO</t>
  </si>
  <si>
    <t>Vladimir Neskey</t>
  </si>
  <si>
    <t>45.60%</t>
  </si>
  <si>
    <t>steel</t>
  </si>
  <si>
    <t>Joshua Nissan</t>
  </si>
  <si>
    <t>Chaos, Ghost, Torqued</t>
  </si>
  <si>
    <t>yel</t>
  </si>
  <si>
    <t>Gustavo Knittel</t>
  </si>
  <si>
    <t>Luminosity, INTZ, MIBR</t>
  </si>
  <si>
    <t>29.90%</t>
  </si>
  <si>
    <t>Xyp9x</t>
  </si>
  <si>
    <t>Andreas HÃ¸jsleth</t>
  </si>
  <si>
    <t>6.1</t>
  </si>
  <si>
    <t>10.30%</t>
  </si>
  <si>
    <t>TENZKI</t>
  </si>
  <si>
    <t>Jesper Plougmann</t>
  </si>
  <si>
    <t>Nordavind, Dignitas</t>
  </si>
  <si>
    <t>fr0slev</t>
  </si>
  <si>
    <t>Magnus FrÃ¸slev</t>
  </si>
  <si>
    <t>AGF, Fragsters</t>
  </si>
  <si>
    <t>48.00%</t>
  </si>
  <si>
    <t>LETN1</t>
  </si>
  <si>
    <t>Nestor TaniÄ‡</t>
  </si>
  <si>
    <t>Valiance, Binary Dragons, iNation, CR4ZY</t>
  </si>
  <si>
    <t>apEX</t>
  </si>
  <si>
    <t>Dan Madesclaire</t>
  </si>
  <si>
    <t>Vitality, Envy, G2, Titan</t>
  </si>
  <si>
    <t>51.70%</t>
  </si>
  <si>
    <t>78.9</t>
  </si>
  <si>
    <t>fox</t>
  </si>
  <si>
    <t>Ricardo Pacheco</t>
  </si>
  <si>
    <t>Fourteen</t>
  </si>
  <si>
    <t>Giants, k1ck, Kinguin, OFFSET</t>
  </si>
  <si>
    <t>21.10%</t>
  </si>
  <si>
    <t>NENO</t>
  </si>
  <si>
    <t>Anel CekoviÄ‡</t>
  </si>
  <si>
    <t>North Macedonia</t>
  </si>
  <si>
    <t>0to100</t>
  </si>
  <si>
    <t>Binary Dragons, Valiance</t>
  </si>
  <si>
    <t>n0thing</t>
  </si>
  <si>
    <t>Jordan Gilbert</t>
  </si>
  <si>
    <t>Cloud9, Complexity</t>
  </si>
  <si>
    <t>52.60%</t>
  </si>
  <si>
    <t>Plopski</t>
  </si>
  <si>
    <t>Nicolas Gonzalez Zamora</t>
  </si>
  <si>
    <t>NIP, x6tence Galaxy, Singularity</t>
  </si>
  <si>
    <t>mar</t>
  </si>
  <si>
    <t>Martin Kuyumdjiev</t>
  </si>
  <si>
    <t>WinX</t>
  </si>
  <si>
    <t>FATE, Finest</t>
  </si>
  <si>
    <t>6.6</t>
  </si>
  <si>
    <t>SKYTTEN</t>
  </si>
  <si>
    <t>Alexander Carlsson</t>
  </si>
  <si>
    <t>Orbit, LGB</t>
  </si>
  <si>
    <t>12.00%</t>
  </si>
  <si>
    <t>roseau</t>
  </si>
  <si>
    <t>Baskoro Dwi Putra</t>
  </si>
  <si>
    <t>Recca, nxl</t>
  </si>
  <si>
    <t>szejn</t>
  </si>
  <si>
    <t>Hubert ÅšwiatÅ‚y</t>
  </si>
  <si>
    <t>MOUZ NXT, Izako Boars</t>
  </si>
  <si>
    <t>roca</t>
  </si>
  <si>
    <t>Daniel Gustaferri</t>
  </si>
  <si>
    <t>Splyce, Echo Fox, Complexity, ELEVATE</t>
  </si>
  <si>
    <t>51.40%</t>
  </si>
  <si>
    <t>69.90%</t>
  </si>
  <si>
    <t>xCeeD</t>
  </si>
  <si>
    <t>Jack Holiman</t>
  </si>
  <si>
    <t>The Quest, Triumph, SoaR</t>
  </si>
  <si>
    <t>44.00%</t>
  </si>
  <si>
    <t>iDk</t>
  </si>
  <si>
    <t>Victor Torraca</t>
  </si>
  <si>
    <t>TeamOne, PaquetÃ¡, Yeah</t>
  </si>
  <si>
    <t>flickz</t>
  </si>
  <si>
    <t>Sam Jones</t>
  </si>
  <si>
    <t>48.30%</t>
  </si>
  <si>
    <t>Tuurtle</t>
  </si>
  <si>
    <t>Matheus Anhaia</t>
  </si>
  <si>
    <t>MIBR, DETONA, Bravos, C4</t>
  </si>
  <si>
    <t>Nodios</t>
  </si>
  <si>
    <t>Magnus Olsen</t>
  </si>
  <si>
    <t>Copenhagen Flames, x6tence</t>
  </si>
  <si>
    <t>chrisJ</t>
  </si>
  <si>
    <t>Chris de Jong</t>
  </si>
  <si>
    <t>aproto</t>
  </si>
  <si>
    <t>Alex Protopapas</t>
  </si>
  <si>
    <t>CLG Academy, Vision, BlackOut</t>
  </si>
  <si>
    <t>57.80%</t>
  </si>
  <si>
    <t>delboNi</t>
  </si>
  <si>
    <t>Felipe Delboni</t>
  </si>
  <si>
    <t>Corinthians</t>
  </si>
  <si>
    <t>Imperial, Case, Yeah</t>
  </si>
  <si>
    <t>44.60%</t>
  </si>
  <si>
    <t>Jyo</t>
  </si>
  <si>
    <t>Rassim Valijev</t>
  </si>
  <si>
    <t>40.70%</t>
  </si>
  <si>
    <t>bedonka</t>
  </si>
  <si>
    <t>Harry Hayes</t>
  </si>
  <si>
    <t>14.20%</t>
  </si>
  <si>
    <t>es3tag</t>
  </si>
  <si>
    <t>Patrick Hansen</t>
  </si>
  <si>
    <t>Heroic, Tricked</t>
  </si>
  <si>
    <t>Zyphon</t>
  </si>
  <si>
    <t>Rasmus Nordfoss</t>
  </si>
  <si>
    <t>shokz</t>
  </si>
  <si>
    <t>Kristjan Jakobson</t>
  </si>
  <si>
    <t>Finest, Movistar Riders</t>
  </si>
  <si>
    <t>GruBy</t>
  </si>
  <si>
    <t>Dominik Swiderski</t>
  </si>
  <si>
    <t>UNGENTIUM</t>
  </si>
  <si>
    <t>42.40%</t>
  </si>
  <si>
    <t>desi</t>
  </si>
  <si>
    <t>Derek Branchen</t>
  </si>
  <si>
    <t>Winterfox, Complexity, SKDC</t>
  </si>
  <si>
    <t>69.50%</t>
  </si>
  <si>
    <t>PlesseN</t>
  </si>
  <si>
    <t>Niclas Plessen</t>
  </si>
  <si>
    <t>Galaxy Racer, Chaos, Japaleno, Red Reserve, fnatic Academy</t>
  </si>
  <si>
    <t>SHOCK</t>
  </si>
  <si>
    <t>Max Kvapil</t>
  </si>
  <si>
    <t>55.40%</t>
  </si>
  <si>
    <t>72.9</t>
  </si>
  <si>
    <t>12.30%</t>
  </si>
  <si>
    <t>HUGHMUNGUS</t>
  </si>
  <si>
    <t>Hugh Anderson</t>
  </si>
  <si>
    <t>Chiefs, Legacy, Genuine, Funky Monkeys</t>
  </si>
  <si>
    <t>b0RUP</t>
  </si>
  <si>
    <t>Johannes Borup</t>
  </si>
  <si>
    <t>Tricked, Heroic, MAD Lions</t>
  </si>
  <si>
    <t>63.80%</t>
  </si>
  <si>
    <t>hampus</t>
  </si>
  <si>
    <t>Hampus Poser</t>
  </si>
  <si>
    <t>NIP, GamerLegion, Red Reserve, GODSENT</t>
  </si>
  <si>
    <t>tatazin</t>
  </si>
  <si>
    <t>Alef Pereira</t>
  </si>
  <si>
    <t>paiN, Wild, Yeah, BigGods</t>
  </si>
  <si>
    <t>69.9</t>
  </si>
  <si>
    <t>9.90%</t>
  </si>
  <si>
    <t>Maikelele</t>
  </si>
  <si>
    <t>Mikail Bill</t>
  </si>
  <si>
    <t>NoChance, GODSENT</t>
  </si>
  <si>
    <t>Lekr0</t>
  </si>
  <si>
    <t>Jonas Olofsson</t>
  </si>
  <si>
    <t>NIP, Dignitas, fnatic, GODSENT</t>
  </si>
  <si>
    <t>mitch</t>
  </si>
  <si>
    <t>Mitch Semago</t>
  </si>
  <si>
    <t>Selfless, Bad News Bears, Dignitas, Riot Squad</t>
  </si>
  <si>
    <t>44.40%</t>
  </si>
  <si>
    <t>clax</t>
  </si>
  <si>
    <t>Timur Sabirov</t>
  </si>
  <si>
    <t>K23, Trident, Cyber Legacy, Singularity, EXTREMUM</t>
  </si>
  <si>
    <t>54.80%</t>
  </si>
  <si>
    <t>68.40%</t>
  </si>
  <si>
    <t>11.10%</t>
  </si>
  <si>
    <t>EasTor</t>
  </si>
  <si>
    <t>Rajohn Linato</t>
  </si>
  <si>
    <t>Movistar Riders, OFFSET</t>
  </si>
  <si>
    <t>28.30%</t>
  </si>
  <si>
    <t>68.7</t>
  </si>
  <si>
    <t>jedqr</t>
  </si>
  <si>
    <t>Grzegorz JÄ™dras</t>
  </si>
  <si>
    <t>Wisla Krakow, x-kom</t>
  </si>
  <si>
    <t>53.40%</t>
  </si>
  <si>
    <t>JDC</t>
  </si>
  <si>
    <t>Jon de Castro</t>
  </si>
  <si>
    <t>MOUZ, MOUZ NXT, expert, Unicorns of Love, PANTHERS</t>
  </si>
  <si>
    <t>Gabriel Sinopoli</t>
  </si>
  <si>
    <t>Leviatan, Isurus</t>
  </si>
  <si>
    <t>Kylar</t>
  </si>
  <si>
    <t>Kacper Walukiewicz</t>
  </si>
  <si>
    <t>AVEZ, Anonymo</t>
  </si>
  <si>
    <t>59.00%</t>
  </si>
  <si>
    <t>Noobster</t>
  </si>
  <si>
    <t>Andy Zhang</t>
  </si>
  <si>
    <t>Ground Zero, Paradox, SYF</t>
  </si>
  <si>
    <t>34.50%</t>
  </si>
  <si>
    <t>Viva</t>
  </si>
  <si>
    <t>Lifan Ran</t>
  </si>
  <si>
    <t>Invictus, 5POWER, CyberZen</t>
  </si>
  <si>
    <t>byali</t>
  </si>
  <si>
    <t>PaweÅ‚ BieliÅ„ski</t>
  </si>
  <si>
    <t>Virtus.pro, AVEZ</t>
  </si>
  <si>
    <t>obj</t>
  </si>
  <si>
    <t>Francisco Ramos</t>
  </si>
  <si>
    <t>OFFSET, eXploit, Giants, AlienTech</t>
  </si>
  <si>
    <t>spyleadeR</t>
  </si>
  <si>
    <t>Emiliyan Dimitrov</t>
  </si>
  <si>
    <t>FATE</t>
  </si>
  <si>
    <t>E-frag.net, MK, GPlay</t>
  </si>
  <si>
    <t>kreaz</t>
  </si>
  <si>
    <t>Rasmus Johansson</t>
  </si>
  <si>
    <t>Finest, Apeks</t>
  </si>
  <si>
    <t>stadodo</t>
  </si>
  <si>
    <t>Renato GonÃ§alves</t>
  </si>
  <si>
    <t>FTW</t>
  </si>
  <si>
    <t>mirbit</t>
  </si>
  <si>
    <t>Sabit Coktasar</t>
  </si>
  <si>
    <t>Nordavind</t>
  </si>
  <si>
    <t>ALTERNATE aTTaX, EURONICS, Sprout, Nordavind</t>
  </si>
  <si>
    <t>70.30%</t>
  </si>
  <si>
    <t>10.60%</t>
  </si>
  <si>
    <t>J0LZ</t>
  </si>
  <si>
    <t>David Jolin</t>
  </si>
  <si>
    <t>Strife, OCG, Swedish Canadians</t>
  </si>
  <si>
    <t>68.50%</t>
  </si>
  <si>
    <t>Friis</t>
  </si>
  <si>
    <t>Michael JÃ¸rgensen</t>
  </si>
  <si>
    <t>SK, fnatic, Heroic, Tricked</t>
  </si>
  <si>
    <t>26.30%</t>
  </si>
  <si>
    <t>69.4</t>
  </si>
  <si>
    <t>grux</t>
  </si>
  <si>
    <t>Denis Gutaj</t>
  </si>
  <si>
    <t>Savage, Red Reserve, SMASH</t>
  </si>
  <si>
    <t>67.10%</t>
  </si>
  <si>
    <t>dazzLe</t>
  </si>
  <si>
    <t>Will Loafman</t>
  </si>
  <si>
    <t>eUnited, Rise Nation, New Identity</t>
  </si>
  <si>
    <t>ayaya</t>
  </si>
  <si>
    <t>YangYang Zheng</t>
  </si>
  <si>
    <t>After</t>
  </si>
  <si>
    <t>Eclipse, Born Of Fire, Flash, AllGamers</t>
  </si>
  <si>
    <t>ap0c</t>
  </si>
  <si>
    <t>Mike Aliferis</t>
  </si>
  <si>
    <t>AVANT, Tainted Minds, Looking For Org, Chiefs</t>
  </si>
  <si>
    <t>reatz</t>
  </si>
  <si>
    <t>PaweÅ‚ JaÅ„czak</t>
  </si>
  <si>
    <t>PRIDE, Illuminar, Kinguin</t>
  </si>
  <si>
    <t>siuhy</t>
  </si>
  <si>
    <t>Kamil Szkaradek</t>
  </si>
  <si>
    <t>Stewie2K</t>
  </si>
  <si>
    <t>Jake Yip</t>
  </si>
  <si>
    <t>Cloud9, Liquid</t>
  </si>
  <si>
    <t>kalinka</t>
  </si>
  <si>
    <t>Nikolaj Rysakov</t>
  </si>
  <si>
    <t>HellRaisers, Playing Ducks</t>
  </si>
  <si>
    <t>52.80%</t>
  </si>
  <si>
    <t>70.80%</t>
  </si>
  <si>
    <t>Jinxx</t>
  </si>
  <si>
    <t>Chris Moseley</t>
  </si>
  <si>
    <t>Genuine, Taboo, Chiefs</t>
  </si>
  <si>
    <t>72.3</t>
  </si>
  <si>
    <t>9.20%</t>
  </si>
  <si>
    <t>to1nou</t>
  </si>
  <si>
    <t>Antoine Pirard</t>
  </si>
  <si>
    <t>FiveG</t>
  </si>
  <si>
    <t>LDLC, LDLC White</t>
  </si>
  <si>
    <t>68.8</t>
  </si>
  <si>
    <t>DickStacy</t>
  </si>
  <si>
    <t>Ollie Tierney</t>
  </si>
  <si>
    <t>Grayhound, Dark Sided</t>
  </si>
  <si>
    <t>jR</t>
  </si>
  <si>
    <t>Dmitriy Chervak</t>
  </si>
  <si>
    <t>Run or Die</t>
  </si>
  <si>
    <t>Vega Squadron, HellRaisers</t>
  </si>
  <si>
    <t>DESPE</t>
  </si>
  <si>
    <t>Ã‡aÄŸatay Sedef</t>
  </si>
  <si>
    <t>Space Soldiers</t>
  </si>
  <si>
    <t>kioShiMa</t>
  </si>
  <si>
    <t>Fabien Fiey</t>
  </si>
  <si>
    <t>Envy, Heretics, FaZe</t>
  </si>
  <si>
    <t>speed4k</t>
  </si>
  <si>
    <t>Anton Titov</t>
  </si>
  <si>
    <t>FreeTON</t>
  </si>
  <si>
    <t>DreamEaters, Nemiga</t>
  </si>
  <si>
    <t>FugLy</t>
  </si>
  <si>
    <t>Jacob Medina</t>
  </si>
  <si>
    <t>NRG, Liquid, Envy</t>
  </si>
  <si>
    <t>43.40%</t>
  </si>
  <si>
    <t>emagine</t>
  </si>
  <si>
    <t>Chris Rowlands</t>
  </si>
  <si>
    <t>ORDER, Kings, Winterfox, Immunity</t>
  </si>
  <si>
    <t>Nifty</t>
  </si>
  <si>
    <t>Noah Francis</t>
  </si>
  <si>
    <t>Renegades, Envy, Selfless</t>
  </si>
  <si>
    <t>70.2</t>
  </si>
  <si>
    <t>Polt</t>
  </si>
  <si>
    <t>Vadim Tsyrov</t>
  </si>
  <si>
    <t>xDDDD</t>
  </si>
  <si>
    <t>1WIN, Unique</t>
  </si>
  <si>
    <t>arT</t>
  </si>
  <si>
    <t>Andrei Piovezan</t>
  </si>
  <si>
    <t>23.90%</t>
  </si>
  <si>
    <t>MINISE</t>
  </si>
  <si>
    <t>Jacek Jeziak</t>
  </si>
  <si>
    <t>PACT, PRIDE, Kinguin</t>
  </si>
  <si>
    <t>waterfaLLZ</t>
  </si>
  <si>
    <t>Nikita Matveyev</t>
  </si>
  <si>
    <t>Quantum Bellator Fire, PiTER, AVE, EPG</t>
  </si>
  <si>
    <t>Cabbi</t>
  </si>
  <si>
    <t>Casper Jensen</t>
  </si>
  <si>
    <t>MASONIC</t>
  </si>
  <si>
    <t>MASONIC, Lyngby Vikings, AGF</t>
  </si>
  <si>
    <t>55.60%</t>
  </si>
  <si>
    <t>pounh</t>
  </si>
  <si>
    <t>Eimantas Lazickas</t>
  </si>
  <si>
    <t>Playing Ducks, Imperial, 1337HUANIA</t>
  </si>
  <si>
    <t>Zero</t>
  </si>
  <si>
    <t>Patrik Å½Ãºdel</t>
  </si>
  <si>
    <t>GamerLegion, HellRaisers</t>
  </si>
  <si>
    <t>zqkS</t>
  </si>
  <si>
    <t>Caio Fonseca</t>
  </si>
  <si>
    <t>Imperial, Yeah, Keyd</t>
  </si>
  <si>
    <t>69.5</t>
  </si>
  <si>
    <t>innocent</t>
  </si>
  <si>
    <t>PaweÅ‚ Mocek</t>
  </si>
  <si>
    <t>Anonymo</t>
  </si>
  <si>
    <t>Anonymo, Illuminar, CSGL</t>
  </si>
  <si>
    <t>Relyks</t>
  </si>
  <si>
    <t>Skyler Weaver</t>
  </si>
  <si>
    <t>eUnited, Enemy, Selfless, New Identity</t>
  </si>
  <si>
    <t>fenvicious</t>
  </si>
  <si>
    <t>Evgeny Mitsik</t>
  </si>
  <si>
    <t>ASAP</t>
  </si>
  <si>
    <t>Unique, Spirit Academy, EPG</t>
  </si>
  <si>
    <t>69.00%</t>
  </si>
  <si>
    <t>glace</t>
  </si>
  <si>
    <t>Nicolai Jensen</t>
  </si>
  <si>
    <t>North Academy, Tricked, Rogue, No Problem!</t>
  </si>
  <si>
    <t>52.20%</t>
  </si>
  <si>
    <t>74.4</t>
  </si>
  <si>
    <t>Oderus</t>
  </si>
  <si>
    <t>Chad Miller</t>
  </si>
  <si>
    <t>Spacestation, BlackOut, The Pioneers</t>
  </si>
  <si>
    <t>34.30%</t>
  </si>
  <si>
    <t>20.40%</t>
  </si>
  <si>
    <t>1uke</t>
  </si>
  <si>
    <t>Aleksey Zimin</t>
  </si>
  <si>
    <t>Spirit Academy, HOLLYWOOD, PLINK</t>
  </si>
  <si>
    <t>26.40%</t>
  </si>
  <si>
    <t>leo_drk</t>
  </si>
  <si>
    <t>Leonardo Oliveira</t>
  </si>
  <si>
    <t>Sharks, 00NATION</t>
  </si>
  <si>
    <t>Edward</t>
  </si>
  <si>
    <t>Ioann Sukhariev</t>
  </si>
  <si>
    <t>Tsogoo</t>
  </si>
  <si>
    <t>Tsog Mashbat</t>
  </si>
  <si>
    <t>TheMongolz</t>
  </si>
  <si>
    <t>hazed</t>
  </si>
  <si>
    <t>James Cobb</t>
  </si>
  <si>
    <t>CLG, Mythic</t>
  </si>
  <si>
    <t>xiaosaGe</t>
  </si>
  <si>
    <t>Peng Song</t>
  </si>
  <si>
    <t>5POWER, Invictus, UYA</t>
  </si>
  <si>
    <t>SIXER</t>
  </si>
  <si>
    <t>Christophe Xia</t>
  </si>
  <si>
    <t>Ambush</t>
  </si>
  <si>
    <t>LDLC, Envy</t>
  </si>
  <si>
    <t>39.10%</t>
  </si>
  <si>
    <t>kenzor</t>
  </si>
  <si>
    <t>Leonard Volodarchuk</t>
  </si>
  <si>
    <t>pro100</t>
  </si>
  <si>
    <t>R0b3n</t>
  </si>
  <si>
    <t>Roberts ÄŒigauskis</t>
  </si>
  <si>
    <t>Neon Rangers</t>
  </si>
  <si>
    <t>Unique, Space Jam, ex-ETHEREAL</t>
  </si>
  <si>
    <t>Lack1</t>
  </si>
  <si>
    <t>Viktor Boldyrev</t>
  </si>
  <si>
    <t>Entropiq, Winstrike</t>
  </si>
  <si>
    <t>cbbk</t>
  </si>
  <si>
    <t>Thotsaphon Suphatthanaphalaphon</t>
  </si>
  <si>
    <t>Lucid Dream, Beyond</t>
  </si>
  <si>
    <t>dzt</t>
  </si>
  <si>
    <t>Denis Fischer</t>
  </si>
  <si>
    <t>Imperial, Case, BigGods</t>
  </si>
  <si>
    <t>ImpressioN</t>
  </si>
  <si>
    <t>Anthony Lim</t>
  </si>
  <si>
    <t>BOOT-d[S], BTRG, NKT, dream[S]cape</t>
  </si>
  <si>
    <t>almazer</t>
  </si>
  <si>
    <t>Almaz Asadullin</t>
  </si>
  <si>
    <t>Trident</t>
  </si>
  <si>
    <t>Djoko</t>
  </si>
  <si>
    <t>Thomas Pavoni</t>
  </si>
  <si>
    <t>HEET, DBL PONEY</t>
  </si>
  <si>
    <t>61.80%</t>
  </si>
  <si>
    <t>KILLDREAM</t>
  </si>
  <si>
    <t>Joao Ferreira</t>
  </si>
  <si>
    <t>AlienTech, k1ck, Giants</t>
  </si>
  <si>
    <t>44.20%</t>
  </si>
  <si>
    <t>81.9</t>
  </si>
  <si>
    <t>Basso</t>
  </si>
  <si>
    <t>Sebastian Aagaard</t>
  </si>
  <si>
    <t>RoLEX</t>
  </si>
  <si>
    <t>Warittorn Kalanukarn</t>
  </si>
  <si>
    <t>Signature, ZIGMA, Beyond, MiTH</t>
  </si>
  <si>
    <t>0.88</t>
  </si>
  <si>
    <t>zeff</t>
  </si>
  <si>
    <t>Min-Seok Park</t>
  </si>
  <si>
    <t>MVP PK</t>
  </si>
  <si>
    <t>ALLE</t>
  </si>
  <si>
    <t>Alexandre Santos</t>
  </si>
  <si>
    <t>Liberty, Redemption POA, Isurus, C4</t>
  </si>
  <si>
    <t>mopoz</t>
  </si>
  <si>
    <t>Alejandro FernÃ¡ndez-Quejo Cano</t>
  </si>
  <si>
    <t>0.87</t>
  </si>
  <si>
    <t>supra</t>
  </si>
  <si>
    <t>Anton TÅ¡ernobai</t>
  </si>
  <si>
    <t>Gambit Youngsters, Nordavind</t>
  </si>
  <si>
    <t>58.00%</t>
  </si>
  <si>
    <t>cromen</t>
  </si>
  <si>
    <t>Jorgen Robertsen</t>
  </si>
  <si>
    <t>SZPERO</t>
  </si>
  <si>
    <t>Grzegorz DziamaÅ‚ek</t>
  </si>
  <si>
    <t>Wisla Krakow, Kinguin, AGO</t>
  </si>
  <si>
    <t>adreN</t>
  </si>
  <si>
    <t>Eric Hoag</t>
  </si>
  <si>
    <t>Liquid, Mythic</t>
  </si>
  <si>
    <t>xseveN</t>
  </si>
  <si>
    <t>Sami Laasanen</t>
  </si>
  <si>
    <t>HAVU, ENCE, iGame.com, RCTIC</t>
  </si>
  <si>
    <t>void</t>
  </si>
  <si>
    <t>Cooper Farrell</t>
  </si>
  <si>
    <t>Ground Zero, Dark Sided</t>
  </si>
  <si>
    <t>pyth</t>
  </si>
  <si>
    <t>Jacob MourujÃ¤rvi</t>
  </si>
  <si>
    <t>NIP, Vexed</t>
  </si>
  <si>
    <t>70.3</t>
  </si>
  <si>
    <t>MODDII</t>
  </si>
  <si>
    <t>Andreas Fridh</t>
  </si>
  <si>
    <t>Astralis Talent</t>
  </si>
  <si>
    <t>Heroic, SK</t>
  </si>
  <si>
    <t>cam</t>
  </si>
  <si>
    <t>Cameron Kern</t>
  </si>
  <si>
    <t>Singularity, Gorilla Gang, Chaos</t>
  </si>
  <si>
    <t>75.3</t>
  </si>
  <si>
    <t>peet</t>
  </si>
  <si>
    <t>Piotr Ä†wikliÅ„ski</t>
  </si>
  <si>
    <t>AGG, Vexed, SEAL, eBettle</t>
  </si>
  <si>
    <t>nitr0</t>
  </si>
  <si>
    <t>Nick Cannella</t>
  </si>
  <si>
    <t>mds</t>
  </si>
  <si>
    <t>Aleksandr Rubets</t>
  </si>
  <si>
    <t>pecks</t>
  </si>
  <si>
    <t>Peter Nguyen</t>
  </si>
  <si>
    <t>10.40%</t>
  </si>
  <si>
    <t>STYKO</t>
  </si>
  <si>
    <t>Martin Styk</t>
  </si>
  <si>
    <t>HellRaisers, MOUZ, GODSENT</t>
  </si>
  <si>
    <t>57.50%</t>
  </si>
  <si>
    <t>truth</t>
  </si>
  <si>
    <t>Erik Hansen Dyrnes</t>
  </si>
  <si>
    <t>Apeks, ATK, Vexed</t>
  </si>
  <si>
    <t>Noktse</t>
  </si>
  <si>
    <t>NicolÃ¡s DÃ¡vila</t>
  </si>
  <si>
    <t>Isurus</t>
  </si>
  <si>
    <t>vice</t>
  </si>
  <si>
    <t>Daniel Kim</t>
  </si>
  <si>
    <t>Rogue, Cloud9</t>
  </si>
  <si>
    <t>Baaten</t>
  </si>
  <si>
    <t>Linus Andersson</t>
  </si>
  <si>
    <t>x6tence Galaxy, Red Reserve, fnatic Academy, Chaos</t>
  </si>
  <si>
    <t>56.50%</t>
  </si>
  <si>
    <t>uli</t>
  </si>
  <si>
    <t>Samu Leirilaakso</t>
  </si>
  <si>
    <t>KOVA</t>
  </si>
  <si>
    <t>MUTiRiS</t>
  </si>
  <si>
    <t>Christopher Fernandes</t>
  </si>
  <si>
    <t>SAW, k1ck, Giants</t>
  </si>
  <si>
    <t>freddieb</t>
  </si>
  <si>
    <t>Fredrik BuÃ¶</t>
  </si>
  <si>
    <t>Epsilon, GODSENT, Red Reserve</t>
  </si>
  <si>
    <t>SEMPHIS</t>
  </si>
  <si>
    <t>Kory Friesen</t>
  </si>
  <si>
    <t>Splyce, TSM, Complexity</t>
  </si>
  <si>
    <t>dephh</t>
  </si>
  <si>
    <t>Rory Jackson</t>
  </si>
  <si>
    <t>realz1n</t>
  </si>
  <si>
    <t>Antonio Oliveira</t>
  </si>
  <si>
    <t>B4</t>
  </si>
  <si>
    <t>B4, W7M, Sharks, FURIA Academy</t>
  </si>
  <si>
    <t>freakazoid</t>
  </si>
  <si>
    <t>Ryan Abadir</t>
  </si>
  <si>
    <t>Swole Patrol, Cloud9, Echo Fox</t>
  </si>
  <si>
    <t>Jerry</t>
  </si>
  <si>
    <t>Andrey Mekhryakov</t>
  </si>
  <si>
    <t>magixx</t>
  </si>
  <si>
    <t>Boris Vorobiev</t>
  </si>
  <si>
    <t>57.30%</t>
  </si>
  <si>
    <t>YDNA</t>
  </si>
  <si>
    <t>Andrew Adams</t>
  </si>
  <si>
    <t>rewound</t>
  </si>
  <si>
    <t>Breakaway, Funky Monkeys, Dark Sided</t>
  </si>
  <si>
    <t>38.90%</t>
  </si>
  <si>
    <t>robiin</t>
  </si>
  <si>
    <t>Robin SjÃ¶gren</t>
  </si>
  <si>
    <t>Endpoint, DenDD</t>
  </si>
  <si>
    <t>8.6</t>
  </si>
  <si>
    <t>gMd</t>
  </si>
  <si>
    <t>Anthony Guimond</t>
  </si>
  <si>
    <t>Rogue, FRENCH CANADIANS, LiViD, Spacestation</t>
  </si>
  <si>
    <t>53.50%</t>
  </si>
  <si>
    <t>ALEX</t>
  </si>
  <si>
    <t>Alex McMeekin</t>
  </si>
  <si>
    <t>LDLC, Vitality, fnatic</t>
  </si>
  <si>
    <t>47.30%</t>
  </si>
  <si>
    <t>0.83</t>
  </si>
  <si>
    <t>markeloff</t>
  </si>
  <si>
    <t>Yegor Markelov</t>
  </si>
  <si>
    <t>FlipSid3, HellRaisers</t>
  </si>
  <si>
    <t>11.50%</t>
  </si>
  <si>
    <t>Puls3</t>
  </si>
  <si>
    <t>Reece Marrs</t>
  </si>
  <si>
    <t>Max&amp;BigGarlicDips</t>
  </si>
  <si>
    <t>Endpoint, FMESPORTS</t>
  </si>
  <si>
    <t>70.50%</t>
  </si>
  <si>
    <t>Vegi</t>
  </si>
  <si>
    <t>Arek Nawojski</t>
  </si>
  <si>
    <t>Anonymo, Virtus.pro, PACT, Illuminar</t>
  </si>
  <si>
    <t>neptune</t>
  </si>
  <si>
    <t>Jason Tran</t>
  </si>
  <si>
    <t>Ghost, Bee's Money Crew, Recon 5</t>
  </si>
  <si>
    <t>xelos</t>
  </si>
  <si>
    <t>Jerry RÃ¥berg</t>
  </si>
  <si>
    <t>Lemondogs</t>
  </si>
  <si>
    <t>Lemondogs, Epsilon, AliGon</t>
  </si>
  <si>
    <t>rbz</t>
  </si>
  <si>
    <t>Daniel Urbani</t>
  </si>
  <si>
    <t>Paradox, Corvidae</t>
  </si>
  <si>
    <t>70.90%</t>
  </si>
  <si>
    <t>BENDJI</t>
  </si>
  <si>
    <t>Benjamin SÃ¶derena</t>
  </si>
  <si>
    <t>Deportivo</t>
  </si>
  <si>
    <t>Singularity, DenDD</t>
  </si>
  <si>
    <t>dukefissura</t>
  </si>
  <si>
    <t>SuleÄ±men Orazaly</t>
  </si>
  <si>
    <t>Unique, 100PG</t>
  </si>
  <si>
    <t>reversive</t>
  </si>
  <si>
    <t>Roberto Themtham</t>
  </si>
  <si>
    <t>43.60%</t>
  </si>
  <si>
    <t>jaxi</t>
  </si>
  <si>
    <t>Costin VrÃ®nceanu</t>
  </si>
  <si>
    <t>40.50%</t>
  </si>
  <si>
    <t>BARBARR</t>
  </si>
  <si>
    <t>AndrÃ© MÃ¶ller</t>
  </si>
  <si>
    <t>Epsilon, x6tence Galaxy, Singularity</t>
  </si>
  <si>
    <t>42.70%</t>
  </si>
  <si>
    <t>VINI</t>
  </si>
  <si>
    <t>Vinicius Figueiredo</t>
  </si>
  <si>
    <t>Liki</t>
  </si>
  <si>
    <t>Benson Niuila</t>
  </si>
  <si>
    <t>Looking For Org, Dire Wolves</t>
  </si>
  <si>
    <t>morelz</t>
  </si>
  <si>
    <t>Piotr Taterka</t>
  </si>
  <si>
    <t>Illuminar</t>
  </si>
  <si>
    <t>PRIDE, Virtus.pro</t>
  </si>
  <si>
    <t>k1to</t>
  </si>
  <si>
    <t>Nils Gruhne</t>
  </si>
  <si>
    <t>BIG Academy</t>
  </si>
  <si>
    <t>notaN</t>
  </si>
  <si>
    <t>Anton Pedersen</t>
  </si>
  <si>
    <t>MASONIC, Singularity, OPAA</t>
  </si>
  <si>
    <t>70.40%</t>
  </si>
  <si>
    <t>pesadelo</t>
  </si>
  <si>
    <t>Matheus Panisset</t>
  </si>
  <si>
    <t>TeamOne, RED Canids</t>
  </si>
  <si>
    <t>kory</t>
  </si>
  <si>
    <t>KornÃ©l SzedlÃ¡r</t>
  </si>
  <si>
    <t>Sangal</t>
  </si>
  <si>
    <t>Sangal, Budapest Five, Salamander</t>
  </si>
  <si>
    <t>68.30%</t>
  </si>
  <si>
    <t>JIaYm</t>
  </si>
  <si>
    <t>Nikita Panyushkin</t>
  </si>
  <si>
    <t>HellRaisers, bankaPEPSI</t>
  </si>
  <si>
    <t>ANGE1</t>
  </si>
  <si>
    <t>Kirill Karasiow</t>
  </si>
  <si>
    <t>kaboose</t>
  </si>
  <si>
    <t>Jake McDonald</t>
  </si>
  <si>
    <t>Selfless, Vision</t>
  </si>
  <si>
    <t>54.90%</t>
  </si>
  <si>
    <t>facecrack</t>
  </si>
  <si>
    <t>Dmitriy Alekseyev</t>
  </si>
  <si>
    <t>KJlACCHblE</t>
  </si>
  <si>
    <t>forZe, PiTER</t>
  </si>
  <si>
    <t>Dimaoneshot</t>
  </si>
  <si>
    <t>Dmitriy Bandurka</t>
  </si>
  <si>
    <t>Spirit, Espada</t>
  </si>
  <si>
    <t>Drone</t>
  </si>
  <si>
    <t>Taylor Johnson</t>
  </si>
  <si>
    <t>Splyce, Envy</t>
  </si>
  <si>
    <t>DemQQ</t>
  </si>
  <si>
    <t>Sergiy Demchenko</t>
  </si>
  <si>
    <t>B8</t>
  </si>
  <si>
    <t>B8, CR4ZY, Akuma, Project X</t>
  </si>
  <si>
    <t>53.20%</t>
  </si>
  <si>
    <t>rmn</t>
  </si>
  <si>
    <t>Ricardo Oliveira</t>
  </si>
  <si>
    <t>Dosia</t>
  </si>
  <si>
    <t>Mihail Stolyarov</t>
  </si>
  <si>
    <t>Gambit, HellRaisers</t>
  </si>
  <si>
    <t>vanity</t>
  </si>
  <si>
    <t>Anthony Malaspina</t>
  </si>
  <si>
    <t>Chaos, eUnited, Gorilla Gang</t>
  </si>
  <si>
    <t>krii</t>
  </si>
  <si>
    <t>Kristaps Bricis</t>
  </si>
  <si>
    <t>Wolsung</t>
  </si>
  <si>
    <t>Wolsung, EPG</t>
  </si>
  <si>
    <t>fitch</t>
  </si>
  <si>
    <t>Bektiyar Bahytov</t>
  </si>
  <si>
    <t>AVANGAR, Tengri, Gambit</t>
  </si>
  <si>
    <t>DeathZz</t>
  </si>
  <si>
    <t>RaÃºl JordÃ¡n Nieto</t>
  </si>
  <si>
    <t>gade</t>
  </si>
  <si>
    <t>Nicklas Gade</t>
  </si>
  <si>
    <t>North, North Academy, OpTic</t>
  </si>
  <si>
    <t>djay</t>
  </si>
  <si>
    <t>Jonathan Dallal</t>
  </si>
  <si>
    <t>Party Astronauts, New England Whalers</t>
  </si>
  <si>
    <t>SAGGERTON</t>
  </si>
  <si>
    <t>Saku Jokinen</t>
  </si>
  <si>
    <t>iGame.com, RCTIC, LGR</t>
  </si>
  <si>
    <t>42.60%</t>
  </si>
  <si>
    <t>larsen</t>
  </si>
  <si>
    <t>Sebastian Larsen</t>
  </si>
  <si>
    <t>Tricked, Movistar Riders</t>
  </si>
  <si>
    <t>30.00%</t>
  </si>
  <si>
    <t>bubble</t>
  </si>
  <si>
    <t>Kamen Kostadinov</t>
  </si>
  <si>
    <t>Lukki</t>
  </si>
  <si>
    <t>Lucas Pilheden</t>
  </si>
  <si>
    <t>Tricked, AGF, Singularity</t>
  </si>
  <si>
    <t>jabbi</t>
  </si>
  <si>
    <t>Jakob Nygaard</t>
  </si>
  <si>
    <t>Copenhagen Flames, Singularity</t>
  </si>
  <si>
    <t>59.60%</t>
  </si>
  <si>
    <t>AZR</t>
  </si>
  <si>
    <t>Aaron Ward</t>
  </si>
  <si>
    <t>Renegades, 100 Thieves, EXTREMUM</t>
  </si>
  <si>
    <t>J1rah</t>
  </si>
  <si>
    <t>Jireh Youakim</t>
  </si>
  <si>
    <t>ORDER, Breakaway</t>
  </si>
  <si>
    <t>46.10%</t>
  </si>
  <si>
    <t>ryotzz</t>
  </si>
  <si>
    <t>Leon Felipe</t>
  </si>
  <si>
    <t>W7M</t>
  </si>
  <si>
    <t>37.20%</t>
  </si>
  <si>
    <t>bodyy</t>
  </si>
  <si>
    <t>Alexandre Pianaro</t>
  </si>
  <si>
    <t>G2, DBL PONEY, LDLC</t>
  </si>
  <si>
    <t>NEKIZ</t>
  </si>
  <si>
    <t>Gabriel Schenato</t>
  </si>
  <si>
    <t>paiN, Luminosity</t>
  </si>
  <si>
    <t>sXe</t>
  </si>
  <si>
    <t>Cristian NiÈ›Äƒ</t>
  </si>
  <si>
    <t>Nexus, XPC</t>
  </si>
  <si>
    <t>chop</t>
  </si>
  <si>
    <t>Connor Sullivan</t>
  </si>
  <si>
    <t>RBG, Carpe Diem, Kinship</t>
  </si>
  <si>
    <t>JACKZ</t>
  </si>
  <si>
    <t>Audric Jug</t>
  </si>
  <si>
    <t>G2, EnVyUs Academy, 3DMAX</t>
  </si>
  <si>
    <t>58.30%</t>
  </si>
  <si>
    <t>DAVEY</t>
  </si>
  <si>
    <t>David Stafford</t>
  </si>
  <si>
    <t>Splyce, Mythic</t>
  </si>
  <si>
    <t>Furlan</t>
  </si>
  <si>
    <t>Damian Kislowski</t>
  </si>
  <si>
    <t>stellar</t>
  </si>
  <si>
    <t>Brenden McGrath</t>
  </si>
  <si>
    <t>Party Astronauts, Vireo.pro, Divine, AA</t>
  </si>
  <si>
    <t>Xizt</t>
  </si>
  <si>
    <t>Richard LandstrÃ¶m</t>
  </si>
  <si>
    <t>NIP, fnatic</t>
  </si>
  <si>
    <t>Jonji</t>
  </si>
  <si>
    <t>Jonathan Carey</t>
  </si>
  <si>
    <t>Bad News Bears, Rise Nation, Chaos</t>
  </si>
  <si>
    <t>6.7</t>
  </si>
  <si>
    <t>RUBINO</t>
  </si>
  <si>
    <t>Ruben Villarroel</t>
  </si>
  <si>
    <t>Dignitas, Nordavind, LGB</t>
  </si>
  <si>
    <t>AdreN</t>
  </si>
  <si>
    <t>Dauren Kystaubayev</t>
  </si>
  <si>
    <t>Gambit, HellRaisers, K23</t>
  </si>
  <si>
    <t>ryann</t>
  </si>
  <si>
    <t>Ryan Welsh</t>
  </si>
  <si>
    <t>Singularity, Swole Patrol, Envy, Gorilla Gang</t>
  </si>
  <si>
    <t>gla1ve</t>
  </si>
  <si>
    <t>Lukas Rossander</t>
  </si>
  <si>
    <t>Astralis, CPH Wolves</t>
  </si>
  <si>
    <t>Zix</t>
  </si>
  <si>
    <t>Krasen Minchev</t>
  </si>
  <si>
    <t>Bpro</t>
  </si>
  <si>
    <t>Perfecto</t>
  </si>
  <si>
    <t>Ilya Zalutskiy</t>
  </si>
  <si>
    <t>Natus Vincere, Syman</t>
  </si>
  <si>
    <t>69.8</t>
  </si>
  <si>
    <t>8.80%</t>
  </si>
  <si>
    <t>isak</t>
  </si>
  <si>
    <t>Isak FahlÃ©n</t>
  </si>
  <si>
    <t>GamerLegion, Lilmix</t>
  </si>
  <si>
    <t>DeadFox</t>
  </si>
  <si>
    <t>Bence BÃ¶rÃ¶cz</t>
  </si>
  <si>
    <t>wiz</t>
  </si>
  <si>
    <t>Jerric Jiang</t>
  </si>
  <si>
    <t>28.70%</t>
  </si>
  <si>
    <t>68.9</t>
  </si>
  <si>
    <t>zende</t>
  </si>
  <si>
    <t>Erik Sundeqvist</t>
  </si>
  <si>
    <t>DenDD, Property</t>
  </si>
  <si>
    <t>Daffu</t>
  </si>
  <si>
    <t>Jakob Schildt</t>
  </si>
  <si>
    <t>ECSTATIC, Lyngby Vikings, Copenhagen Flames</t>
  </si>
  <si>
    <t>11.40%</t>
  </si>
  <si>
    <t>Spiidi</t>
  </si>
  <si>
    <t>Timo Richter</t>
  </si>
  <si>
    <t>Sprout, MOUZ</t>
  </si>
  <si>
    <t>bq</t>
  </si>
  <si>
    <t>Adam Bergqvist</t>
  </si>
  <si>
    <t>X Gamer</t>
  </si>
  <si>
    <t>Lilmix</t>
  </si>
  <si>
    <t>apocdud</t>
  </si>
  <si>
    <t>Tom Henry</t>
  </si>
  <si>
    <t>VERTEX, Chiefs, Genuine</t>
  </si>
  <si>
    <t>anger</t>
  </si>
  <si>
    <t>Todd Williams</t>
  </si>
  <si>
    <t>Mythic, Winterfox, Denial, Luminosity</t>
  </si>
  <si>
    <t>NickelBack</t>
  </si>
  <si>
    <t>Aleksei Trofimov</t>
  </si>
  <si>
    <t>Entropiq, pro100, Winstrike</t>
  </si>
  <si>
    <t>WOOD7</t>
  </si>
  <si>
    <t>Adriano Cerato</t>
  </si>
  <si>
    <t>Bravos, MIBR, RED Canids</t>
  </si>
  <si>
    <t>doto</t>
  </si>
  <si>
    <t>Joonas Forss</t>
  </si>
  <si>
    <t>tifa</t>
  </si>
  <si>
    <t>Thiago FranÃ§a</t>
  </si>
  <si>
    <t>Imperial, BigGods, Keyd</t>
  </si>
  <si>
    <t>Fadey</t>
  </si>
  <si>
    <t>Rhys Armstrong</t>
  </si>
  <si>
    <t>ATK, Bravado</t>
  </si>
  <si>
    <t>Norwi</t>
  </si>
  <si>
    <t>Evgeny Ermolin</t>
  </si>
  <si>
    <t>forZe, Trident</t>
  </si>
  <si>
    <t>70.9</t>
  </si>
  <si>
    <t>Llamas</t>
  </si>
  <si>
    <t>Luke Merchant</t>
  </si>
  <si>
    <t>Control</t>
  </si>
  <si>
    <t>Ground Zero, Breakaway, SYF</t>
  </si>
  <si>
    <t>0.85</t>
  </si>
  <si>
    <t>9.10%</t>
  </si>
  <si>
    <t>kwezz</t>
  </si>
  <si>
    <t>Oliver Rasmussen</t>
  </si>
  <si>
    <t>SHOOWTiME</t>
  </si>
  <si>
    <t>Gustavo GonÃ§alves</t>
  </si>
  <si>
    <t>Luminosity, Imperial, Tempo Storm</t>
  </si>
  <si>
    <t>syken</t>
  </si>
  <si>
    <t>Thilo Phan</t>
  </si>
  <si>
    <t>expert, EURONICS</t>
  </si>
  <si>
    <t>ZEDKO</t>
  </si>
  <si>
    <t>JindÅ™ich Chyba</t>
  </si>
  <si>
    <t>SINNERS, eXtatus</t>
  </si>
  <si>
    <t>jnt</t>
  </si>
  <si>
    <t>Jhonatan Silva</t>
  </si>
  <si>
    <t>35.60%</t>
  </si>
  <si>
    <t>prt</t>
  </si>
  <si>
    <t>Matheus Scuvero</t>
  </si>
  <si>
    <t>TeamOne, DETONA</t>
  </si>
  <si>
    <t>72.7</t>
  </si>
  <si>
    <t>FinigaN</t>
  </si>
  <si>
    <t>Vladislav Usov</t>
  </si>
  <si>
    <t>Espada</t>
  </si>
  <si>
    <t>niki1</t>
  </si>
  <si>
    <t>Nikolay Pantaleev</t>
  </si>
  <si>
    <t>NeedDOCTOR</t>
  </si>
  <si>
    <t>FATE, Bpro, Outlaws</t>
  </si>
  <si>
    <t>BURNRUOk</t>
  </si>
  <si>
    <t>Callum Henderson</t>
  </si>
  <si>
    <t>Ground Zero, Grayhound, Immunity</t>
  </si>
  <si>
    <t>Radifaction</t>
  </si>
  <si>
    <t>Haakon Tholo</t>
  </si>
  <si>
    <t>Secret, Nordavind, NoChance, Apeks</t>
  </si>
  <si>
    <t>BIT</t>
  </si>
  <si>
    <t>Bruno Fukuda Lima</t>
  </si>
  <si>
    <t>TeamOne, 9z</t>
  </si>
  <si>
    <t>Boombl4</t>
  </si>
  <si>
    <t>Kirill Mikhailov</t>
  </si>
  <si>
    <t>Natus Vincere, Winstrike, Quantum Bellator Fire</t>
  </si>
  <si>
    <t>Sergiz</t>
  </si>
  <si>
    <t>Sergey Atamanchuk</t>
  </si>
  <si>
    <t>Doge Soldiers</t>
  </si>
  <si>
    <t>CR4ZY, Project X, Akuma, Windigo Academy</t>
  </si>
  <si>
    <t>PERCY</t>
  </si>
  <si>
    <t>Martin Wessel</t>
  </si>
  <si>
    <t>Secret, Sprout, Tricked</t>
  </si>
  <si>
    <t>58.50%</t>
  </si>
  <si>
    <t>blocker</t>
  </si>
  <si>
    <t>Yanko Panov</t>
  </si>
  <si>
    <t>Windigo, FATE, Bpro</t>
  </si>
  <si>
    <t>leman</t>
  </si>
  <si>
    <t>Eryk KocÄ™ba</t>
  </si>
  <si>
    <t>Sapec</t>
  </si>
  <si>
    <t>Anton Palmgren</t>
  </si>
  <si>
    <t>RUSH</t>
  </si>
  <si>
    <t>William Wierzba</t>
  </si>
  <si>
    <t>Cloud9, Complexity, OpTic</t>
  </si>
  <si>
    <t>RpK</t>
  </si>
  <si>
    <t>CÃ©dric Guipouy</t>
  </si>
  <si>
    <t>Vitality, Envy, Titan, G2</t>
  </si>
  <si>
    <t>72.1</t>
  </si>
  <si>
    <t>sinnopsyy</t>
  </si>
  <si>
    <t>Dionis Budeci</t>
  </si>
  <si>
    <t>57.10%</t>
  </si>
  <si>
    <t>SPELLAN</t>
  </si>
  <si>
    <t>Teodor Nikolov</t>
  </si>
  <si>
    <t>SKADE, Outlaws, Windigo, Epsilon</t>
  </si>
  <si>
    <t>Bymas</t>
  </si>
  <si>
    <t>Aurimas Pipiras</t>
  </si>
  <si>
    <t>MOUZ, FaZe</t>
  </si>
  <si>
    <t>mono</t>
  </si>
  <si>
    <t>MichaÅ‚ Gabszewicz</t>
  </si>
  <si>
    <t>x-kom, Illuminar, Izako Boars</t>
  </si>
  <si>
    <t>Queenix</t>
  </si>
  <si>
    <t>Jonas Dideriksen</t>
  </si>
  <si>
    <t>MASONIC, x6tence</t>
  </si>
  <si>
    <t>RuStY</t>
  </si>
  <si>
    <t>Alfred Karlsson</t>
  </si>
  <si>
    <t>GamerLegion, Singularity, Red Reserve</t>
  </si>
  <si>
    <t>raalz</t>
  </si>
  <si>
    <t>Rasmus Steensborg</t>
  </si>
  <si>
    <t>Sprout, Lyngby Vikings, Ambush</t>
  </si>
  <si>
    <t>jmqa</t>
  </si>
  <si>
    <t>Savelii Bragin</t>
  </si>
  <si>
    <t>Quantum Bellator Fire, PiTER, EPG</t>
  </si>
  <si>
    <t>DeStRoYeR</t>
  </si>
  <si>
    <t>JiaMing Gu</t>
  </si>
  <si>
    <t>Invictus, EHOME, BOOT</t>
  </si>
  <si>
    <t>42.10%</t>
  </si>
  <si>
    <t>Keoz</t>
  </si>
  <si>
    <t>Nicolas Dgus</t>
  </si>
  <si>
    <t>Syman, LDLC, K23</t>
  </si>
  <si>
    <t>seb</t>
  </si>
  <si>
    <t>Sebastian Bucki</t>
  </si>
  <si>
    <t>Ghost, New Identity, Bee's Money Crew</t>
  </si>
  <si>
    <t>propleh</t>
  </si>
  <si>
    <t>Dmitriy Senigov</t>
  </si>
  <si>
    <t>1WIN, Monolith, Spartak</t>
  </si>
  <si>
    <t>kUcheR</t>
  </si>
  <si>
    <t>Emil Akhundov</t>
  </si>
  <si>
    <t>HellRaisers, Virtus.pro</t>
  </si>
  <si>
    <t>stk</t>
  </si>
  <si>
    <t>Anupong Mueangngam</t>
  </si>
  <si>
    <t>Beyond, Signature, Alpha Red</t>
  </si>
  <si>
    <t>ELUSIVE</t>
  </si>
  <si>
    <t>Ruan van Wyk</t>
  </si>
  <si>
    <t>69.6</t>
  </si>
  <si>
    <t>77.80%</t>
  </si>
  <si>
    <t>oskarish</t>
  </si>
  <si>
    <t>Oskar Stenborowski</t>
  </si>
  <si>
    <t>x-kom, Illuminar, AGO</t>
  </si>
  <si>
    <t>SOKER</t>
  </si>
  <si>
    <t>Aitor FernÃ¡ndez</t>
  </si>
  <si>
    <t>Gravity 0</t>
  </si>
  <si>
    <t>Movistar Riders, x6tence, k1ck</t>
  </si>
  <si>
    <t>ice</t>
  </si>
  <si>
    <t>Aman Seitkaliyev</t>
  </si>
  <si>
    <t>AVANGAR</t>
  </si>
  <si>
    <t>100PG, Unique</t>
  </si>
  <si>
    <t>58.20%</t>
  </si>
  <si>
    <t>73.1</t>
  </si>
  <si>
    <t>PKL</t>
  </si>
  <si>
    <t>Vinicios Coelho</t>
  </si>
  <si>
    <t>paiN, Luminosity, Wild</t>
  </si>
  <si>
    <t>51.80%</t>
  </si>
  <si>
    <t>DEVIL</t>
  </si>
  <si>
    <t>TimothÃ©e DÃ©molon</t>
  </si>
  <si>
    <t>UBITEAM</t>
  </si>
  <si>
    <t>LDLC, Envy, LDLC White, 3DMAX</t>
  </si>
  <si>
    <t>seized</t>
  </si>
  <si>
    <t>Denis Kostin</t>
  </si>
  <si>
    <t>ex-Singularity</t>
  </si>
  <si>
    <t>MAIROLLS</t>
  </si>
  <si>
    <t>Maitri Sukrob</t>
  </si>
  <si>
    <t>Alpha Red, Beyond, NSPR</t>
  </si>
  <si>
    <t>gabesson</t>
  </si>
  <si>
    <t>GÃ¡bor MÃ¡lovics</t>
  </si>
  <si>
    <t>GameAgents, volgare</t>
  </si>
  <si>
    <t>Mayker</t>
  </si>
  <si>
    <t>Daryl May</t>
  </si>
  <si>
    <t>Genuine, Chiefs, Surge</t>
  </si>
  <si>
    <t>KHRN</t>
  </si>
  <si>
    <t>Jesse Grandell</t>
  </si>
  <si>
    <t>SJ, HAVU</t>
  </si>
  <si>
    <t>Leaf</t>
  </si>
  <si>
    <t>Sattawut Reathong</t>
  </si>
  <si>
    <t>Lucid Dream, Maple, Signature</t>
  </si>
  <si>
    <t>phr</t>
  </si>
  <si>
    <t>Tomasz WÃ³jcik</t>
  </si>
  <si>
    <t>Illuminar, AGO, Virtus.pro</t>
  </si>
  <si>
    <t>reltuC</t>
  </si>
  <si>
    <t>Stephen Cutler</t>
  </si>
  <si>
    <t>CLG</t>
  </si>
  <si>
    <t>chopper</t>
  </si>
  <si>
    <t>Leonid Vishnyakov</t>
  </si>
  <si>
    <t>Spirit, Vega Squadron</t>
  </si>
  <si>
    <t>57.40%</t>
  </si>
  <si>
    <t>Drea3er</t>
  </si>
  <si>
    <t>ZhiTao Zhang</t>
  </si>
  <si>
    <t>CatEvil</t>
  </si>
  <si>
    <t>New4, FIVE, BTRG</t>
  </si>
  <si>
    <t>Hyper</t>
  </si>
  <si>
    <t>Bartosz Wolny</t>
  </si>
  <si>
    <t>AGG, Vexed, Kinguin, Izako Boars</t>
  </si>
  <si>
    <t>Surreal</t>
  </si>
  <si>
    <t>Kia Man</t>
  </si>
  <si>
    <t>Endpoint, Epsilon, Complexity</t>
  </si>
  <si>
    <t>TMB</t>
  </si>
  <si>
    <t>Thomas BundsbÃ¦k</t>
  </si>
  <si>
    <t>MAD Lions, AGF, Copenhagen Flames</t>
  </si>
  <si>
    <t>LUCAS1</t>
  </si>
  <si>
    <t>Lucas Teles</t>
  </si>
  <si>
    <t>Immortals, Luminosity, MIBR, Tempo Storm</t>
  </si>
  <si>
    <t>The eLiVe</t>
  </si>
  <si>
    <t>Erik Sith</t>
  </si>
  <si>
    <t>Enterprise, Universe</t>
  </si>
  <si>
    <t>Maniac</t>
  </si>
  <si>
    <t>Mathieu Quiquerez</t>
  </si>
  <si>
    <t>LDLC, Titan</t>
  </si>
  <si>
    <t>39.40%</t>
  </si>
  <si>
    <t>starix</t>
  </si>
  <si>
    <t>Sergey Ischuk</t>
  </si>
  <si>
    <t>Natus Vincere, Spirit</t>
  </si>
  <si>
    <t>nosraC</t>
  </si>
  <si>
    <t>Carson O'Reilly</t>
  </si>
  <si>
    <t>Gaimin Gladiators, Rebirth, ChocoCheck, Recon 5</t>
  </si>
  <si>
    <t>SmithZz</t>
  </si>
  <si>
    <t>Edouard Dubourdeaux</t>
  </si>
  <si>
    <t>G2, Titan, VeryGames, Envy, LDLC</t>
  </si>
  <si>
    <t>66.1</t>
  </si>
  <si>
    <t>kaper</t>
  </si>
  <si>
    <t>Kacper SÅ‚oma</t>
  </si>
  <si>
    <t>GRAFICIARZE</t>
  </si>
  <si>
    <t>AGO, Kinguin, Wisla Krakow, adwokacik</t>
  </si>
  <si>
    <t>nafany</t>
  </si>
  <si>
    <t>Vladislav Gorshkov</t>
  </si>
  <si>
    <t>Marek</t>
  </si>
  <si>
    <t>Tzu-Chi Huang</t>
  </si>
  <si>
    <t>Taiwan</t>
  </si>
  <si>
    <t>EHOME, After</t>
  </si>
  <si>
    <t>SADDYX</t>
  </si>
  <si>
    <t>Tuomas Louhimaa</t>
  </si>
  <si>
    <t>SJ</t>
  </si>
  <si>
    <t>maeVe</t>
  </si>
  <si>
    <t>Lasse Elgaard</t>
  </si>
  <si>
    <t>Tricked, Escape, Reason</t>
  </si>
  <si>
    <t>Kairi</t>
  </si>
  <si>
    <t>David de Miguel</t>
  </si>
  <si>
    <t>x6tence, PENTA</t>
  </si>
  <si>
    <t>Tommy</t>
  </si>
  <si>
    <t>Kumaresan Ramani</t>
  </si>
  <si>
    <t>BOOT-d[S]</t>
  </si>
  <si>
    <t>bodito</t>
  </si>
  <si>
    <t>Patrik Boda</t>
  </si>
  <si>
    <t>ONYX</t>
  </si>
  <si>
    <t>Budapest Five, Salamander, Pixel, Sensei</t>
  </si>
  <si>
    <t>Walco</t>
  </si>
  <si>
    <t>Colby Walsh</t>
  </si>
  <si>
    <t>stanislaw</t>
  </si>
  <si>
    <t>Peter Jarguz</t>
  </si>
  <si>
    <t>Evil Geniuses, OpTic, Complexity, Liquid</t>
  </si>
  <si>
    <t>SEMINTE</t>
  </si>
  <si>
    <t>Valentin Bodea</t>
  </si>
  <si>
    <t>expro</t>
  </si>
  <si>
    <t>Heng Yang</t>
  </si>
  <si>
    <t>Lynn Vision</t>
  </si>
  <si>
    <t>Lynn Vision, Invictus, EHOME</t>
  </si>
  <si>
    <t>HOLMES</t>
  </si>
  <si>
    <t>Petar DimitrijeviÄ‡</t>
  </si>
  <si>
    <t>iNation</t>
  </si>
  <si>
    <t>Squared</t>
  </si>
  <si>
    <t>xms</t>
  </si>
  <si>
    <t>Alexandre FortÃ©</t>
  </si>
  <si>
    <t>Envy, Heretics, LDLC</t>
  </si>
  <si>
    <t>69.60%</t>
  </si>
  <si>
    <t>w1nt3r</t>
  </si>
  <si>
    <t>Alikhan Kopzhanov</t>
  </si>
  <si>
    <t>100PG, Unique, Se7en, BOOT-d[S]</t>
  </si>
  <si>
    <t>Uber</t>
  </si>
  <si>
    <t>Michael Stapells</t>
  </si>
  <si>
    <t>Enemy, Complexity, Selfless</t>
  </si>
  <si>
    <t>Aleksib</t>
  </si>
  <si>
    <t>Aleksi Virolainen</t>
  </si>
  <si>
    <t>OG, ENCE, HAVU</t>
  </si>
  <si>
    <t>glow</t>
  </si>
  <si>
    <t>Min-Soo Kim</t>
  </si>
  <si>
    <t>Kvik</t>
  </si>
  <si>
    <t>Aurimas KvakÅ¡ys</t>
  </si>
  <si>
    <t>Quantum Bellator Fire, Winstrike</t>
  </si>
  <si>
    <t>ProbLeM</t>
  </si>
  <si>
    <t>Dmitriy Martinov</t>
  </si>
  <si>
    <t>Kristou</t>
  </si>
  <si>
    <t>Kristoffer Aamand</t>
  </si>
  <si>
    <t>AGF, North</t>
  </si>
  <si>
    <t>43.70%</t>
  </si>
  <si>
    <t>MAJ3R</t>
  </si>
  <si>
    <t>Engin KÃ¼peli</t>
  </si>
  <si>
    <t>JazzPimp</t>
  </si>
  <si>
    <t>Dominick Dimpfel</t>
  </si>
  <si>
    <t>Gaimin Gladiators, Recon 5, ChocoCheck</t>
  </si>
  <si>
    <t>54.30%</t>
  </si>
  <si>
    <t>LOGAN</t>
  </si>
  <si>
    <t>Logan Corti</t>
  </si>
  <si>
    <t>LDLC, Heretics</t>
  </si>
  <si>
    <t>70.6</t>
  </si>
  <si>
    <t>tiziaN</t>
  </si>
  <si>
    <t>Tizian Feldbusch</t>
  </si>
  <si>
    <t>BIG, ALTERNATE aTTaX</t>
  </si>
  <si>
    <t>56.10%</t>
  </si>
  <si>
    <t>71.1</t>
  </si>
  <si>
    <t>0i</t>
  </si>
  <si>
    <t>ZhiWei Liu</t>
  </si>
  <si>
    <t>Invictus, New4, FIVE, After</t>
  </si>
  <si>
    <t>55.80%</t>
  </si>
  <si>
    <t>73.4</t>
  </si>
  <si>
    <t>nbl</t>
  </si>
  <si>
    <t>Nabil Aleua</t>
  </si>
  <si>
    <t>Boca Juniors</t>
  </si>
  <si>
    <t>smF</t>
  </si>
  <si>
    <t>Danni Dyg</t>
  </si>
  <si>
    <t>DREAM</t>
  </si>
  <si>
    <t>CPH Wolves, Secret</t>
  </si>
  <si>
    <t>YJ</t>
  </si>
  <si>
    <t>Lucas Yuji</t>
  </si>
  <si>
    <t>10.10%</t>
  </si>
  <si>
    <t>kinqie</t>
  </si>
  <si>
    <t>Semyon Lisitsyn</t>
  </si>
  <si>
    <t>DreamEaters, Hard Legion</t>
  </si>
  <si>
    <t>Snappi</t>
  </si>
  <si>
    <t>Marco Pfeiffer</t>
  </si>
  <si>
    <t>ENCE, Heroic, OpTic</t>
  </si>
  <si>
    <t>tahsiN</t>
  </si>
  <si>
    <t>Tahsin Broschk</t>
  </si>
  <si>
    <t>PENTA, Berzerk, KILLERFISH</t>
  </si>
  <si>
    <t>67.00%</t>
  </si>
  <si>
    <t>maNkz</t>
  </si>
  <si>
    <t>Marcus Kjeldsen</t>
  </si>
  <si>
    <t>ponczek</t>
  </si>
  <si>
    <t>Patryk Wites</t>
  </si>
  <si>
    <t>Impression</t>
  </si>
  <si>
    <t>Wisla Krakow</t>
  </si>
  <si>
    <t>44.50%</t>
  </si>
  <si>
    <t>PR1mE</t>
  </si>
  <si>
    <t>Mathias Carlsen</t>
  </si>
  <si>
    <t>NEO</t>
  </si>
  <si>
    <t>Filip Kubski</t>
  </si>
  <si>
    <t>Virtus.pro, HONORIS</t>
  </si>
  <si>
    <t>misutaaa</t>
  </si>
  <si>
    <t>KÃ©vin Rabier</t>
  </si>
  <si>
    <t>68.1</t>
  </si>
  <si>
    <t>denis</t>
  </si>
  <si>
    <t>Denis Howell</t>
  </si>
  <si>
    <t>RZU</t>
  </si>
  <si>
    <t>Jeff Ngo</t>
  </si>
  <si>
    <t>Brazen</t>
  </si>
  <si>
    <t>Triumph, Bad News Bears, Rugratz</t>
  </si>
  <si>
    <t>beastik</t>
  </si>
  <si>
    <t>Sebastian DaÅˆo</t>
  </si>
  <si>
    <t>alexRr</t>
  </si>
  <si>
    <t>Alexander Frisch</t>
  </si>
  <si>
    <t>expert, Planetkey, DIVIZON</t>
  </si>
  <si>
    <t>dezon</t>
  </si>
  <si>
    <t>Adam Wahlqvist</t>
  </si>
  <si>
    <t>Savage, Galaxy Racer, Japaleno</t>
  </si>
  <si>
    <t>dumz</t>
  </si>
  <si>
    <t>Miran MatkoviÄ‡</t>
  </si>
  <si>
    <t>DenDD, Singularity, Manatee</t>
  </si>
  <si>
    <t>70.00%</t>
  </si>
  <si>
    <t>friberg</t>
  </si>
  <si>
    <t>Adam Friberg</t>
  </si>
  <si>
    <t>NIP, Dignitas, Heroic</t>
  </si>
  <si>
    <t>0.82</t>
  </si>
  <si>
    <t>caike</t>
  </si>
  <si>
    <t>Caike Costa</t>
  </si>
  <si>
    <t>g3x, Yeah, Isurus, TeamOne</t>
  </si>
  <si>
    <t>TaZ</t>
  </si>
  <si>
    <t>Wiktor Wojtas</t>
  </si>
  <si>
    <t>HONORIS, Virtus.pro, Kinguin</t>
  </si>
  <si>
    <t>67.7</t>
  </si>
  <si>
    <t>Lucas Lopes</t>
  </si>
  <si>
    <t>Movistar Riders, Luminosity, Immortals</t>
  </si>
  <si>
    <t>Console</t>
  </si>
  <si>
    <t>Mads Skovby</t>
  </si>
  <si>
    <t>Tricked, ALTERNATE aTTaX, Copenhagen Flames, Singularity</t>
  </si>
  <si>
    <t>39.50%</t>
  </si>
  <si>
    <t>devoduvek</t>
  </si>
  <si>
    <t>David Dobrosavljevic</t>
  </si>
  <si>
    <t>LDLC, Misfits, Heretics</t>
  </si>
  <si>
    <t>CONNOR93</t>
  </si>
  <si>
    <t>Connor Glover</t>
  </si>
  <si>
    <t>Ghost, Bee's Money Crew, BlackOut, The Pioneers</t>
  </si>
  <si>
    <t>soju_j</t>
  </si>
  <si>
    <t>Jay Jeong</t>
  </si>
  <si>
    <t>Legacy, AVANT, Chiefs, Dire Wolves</t>
  </si>
  <si>
    <t>KrizzeN</t>
  </si>
  <si>
    <t>Aidyn Turlybekov</t>
  </si>
  <si>
    <t>AVANGAR, Winstrike</t>
  </si>
  <si>
    <t>dERZKIY</t>
  </si>
  <si>
    <t>Igor Radosavlevich</t>
  </si>
  <si>
    <t>SHIPACHI</t>
  </si>
  <si>
    <t>K29, ANOX</t>
  </si>
  <si>
    <t>darko</t>
  </si>
  <si>
    <t>Kacper Åšciera</t>
  </si>
  <si>
    <t>PACT</t>
  </si>
  <si>
    <t>44.90%</t>
  </si>
  <si>
    <t>RAiLWAY</t>
  </si>
  <si>
    <t>Artem Gradovich</t>
  </si>
  <si>
    <t>INDE IRAE, Espada</t>
  </si>
  <si>
    <t>Grus</t>
  </si>
  <si>
    <t>Sander Iversen</t>
  </si>
  <si>
    <t>Apeks, 777</t>
  </si>
  <si>
    <t>63.70%</t>
  </si>
  <si>
    <t>H4RR3</t>
  </si>
  <si>
    <t>Haris Hadzic</t>
  </si>
  <si>
    <t>777, Nordavind</t>
  </si>
  <si>
    <t>oxygeN</t>
  </si>
  <si>
    <t>Blagoi Dimitrov</t>
  </si>
  <si>
    <t>OG Academy</t>
  </si>
  <si>
    <t>59.20%</t>
  </si>
  <si>
    <t>68.2</t>
  </si>
  <si>
    <t>AcilioN</t>
  </si>
  <si>
    <t>Asger Larsen</t>
  </si>
  <si>
    <t>Copenhagen Flames, SK, Apeks</t>
  </si>
  <si>
    <t>JT</t>
  </si>
  <si>
    <t>Johnny Theodosiou</t>
  </si>
  <si>
    <t>Extra Salt, Bravado, ATK, Cloud9</t>
  </si>
  <si>
    <t>flashie</t>
  </si>
  <si>
    <t>Viktor TamÃ¡s Bea</t>
  </si>
  <si>
    <t>CLG Red</t>
  </si>
  <si>
    <t>GameAgents, Orgless</t>
  </si>
  <si>
    <t>strux1</t>
  </si>
  <si>
    <t>Hendrik Goetzendorff</t>
  </si>
  <si>
    <t>PENTA, 3DMAX, Planetkey</t>
  </si>
  <si>
    <t>78.00%</t>
  </si>
  <si>
    <t>arvid</t>
  </si>
  <si>
    <t>Tony NiemelÃ¤</t>
  </si>
  <si>
    <t>ecfN</t>
  </si>
  <si>
    <t>Lukas Kauer</t>
  </si>
  <si>
    <t>Karsa</t>
  </si>
  <si>
    <t>QiFang Su</t>
  </si>
  <si>
    <t>Flash, OneThree, EHOME</t>
  </si>
  <si>
    <t>70.5</t>
  </si>
  <si>
    <t>9.50%</t>
  </si>
  <si>
    <t>Inzta</t>
  </si>
  <si>
    <t>Peter Kragelund</t>
  </si>
  <si>
    <t>rafftu</t>
  </si>
  <si>
    <t>Kostadin Turbinov</t>
  </si>
  <si>
    <t>SKADE, Bpro, FATE</t>
  </si>
  <si>
    <t>uNdo</t>
  </si>
  <si>
    <t>Alexander Kiziukevich</t>
  </si>
  <si>
    <t>67.30%</t>
  </si>
  <si>
    <t>vSa</t>
  </si>
  <si>
    <t>Andy Xu</t>
  </si>
  <si>
    <t>Rise Nation, Vision, Ghost</t>
  </si>
  <si>
    <t>6.90%</t>
  </si>
  <si>
    <t>Rock1nG</t>
  </si>
  <si>
    <t>Ivan Stratiev</t>
  </si>
  <si>
    <t>allStars</t>
  </si>
  <si>
    <t>SKADE, Outlaws, Bpro</t>
  </si>
  <si>
    <t>Fifflaren</t>
  </si>
  <si>
    <t>Robin Johansson</t>
  </si>
  <si>
    <t>37.50%</t>
  </si>
  <si>
    <t>91.7</t>
  </si>
  <si>
    <t>0.04</t>
  </si>
  <si>
    <t>81.90%</t>
  </si>
  <si>
    <t>kzy</t>
  </si>
  <si>
    <t>Oliver Heck</t>
  </si>
  <si>
    <t>EPIC DUDES</t>
  </si>
  <si>
    <t>EURONICS, ALTERNATE aTTaX, Unicorns of Love</t>
  </si>
  <si>
    <t>boX</t>
  </si>
  <si>
    <t>Anton Burko</t>
  </si>
  <si>
    <t>TOAO</t>
  </si>
  <si>
    <t>Mateusz Zawistowski</t>
  </si>
  <si>
    <t>AGO, Izako Boars</t>
  </si>
  <si>
    <t>SileNt</t>
  </si>
  <si>
    <t>Samuel Portillo</t>
  </si>
  <si>
    <t>Swole Patrol, Method, NRG</t>
  </si>
  <si>
    <t>tonyblack</t>
  </si>
  <si>
    <t>Anton Kolesnikov</t>
  </si>
  <si>
    <t>TAG</t>
  </si>
  <si>
    <t>Twixie</t>
  </si>
  <si>
    <t>Samuli Herrala</t>
  </si>
  <si>
    <t>KOVA, HAVU</t>
  </si>
  <si>
    <t>arch</t>
  </si>
  <si>
    <t>Vladyslav Svistov</t>
  </si>
  <si>
    <t>Preparation, Spirit, Worst Players</t>
  </si>
  <si>
    <t>Shakezullah</t>
  </si>
  <si>
    <t>Alan Hardeman</t>
  </si>
  <si>
    <t>Bad News Bears, Triumph, Singularity, iNTACT</t>
  </si>
  <si>
    <t>EXUS</t>
  </si>
  <si>
    <t>Konrad JeÅ„czeÅ„</t>
  </si>
  <si>
    <t>PRIDE, Izako Boars</t>
  </si>
  <si>
    <t>RIZZZ</t>
  </si>
  <si>
    <t>Rui Lima</t>
  </si>
  <si>
    <t>Panthers</t>
  </si>
  <si>
    <t>OFFSET, Giants</t>
  </si>
  <si>
    <t>LOMME</t>
  </si>
  <si>
    <t>Frederik Nielsen</t>
  </si>
  <si>
    <t>North Academy, Tricked, No Problem!</t>
  </si>
  <si>
    <t>interz</t>
  </si>
  <si>
    <t>Timofey Yakushin</t>
  </si>
  <si>
    <t>8.50%</t>
  </si>
  <si>
    <t>Ex6TenZ</t>
  </si>
  <si>
    <t>KÃ©vin Droolans</t>
  </si>
  <si>
    <t>Titan, LDLC, VeryGames, G2</t>
  </si>
  <si>
    <t>ub1que</t>
  </si>
  <si>
    <t>Alexey Polivanov</t>
  </si>
  <si>
    <t>EPG, PiTER, Preparation</t>
  </si>
  <si>
    <t>BRACE</t>
  </si>
  <si>
    <t>Toby Barnes</t>
  </si>
  <si>
    <t>Noisia</t>
  </si>
  <si>
    <t>Alec Gulabovski</t>
  </si>
  <si>
    <t>AVANT, Breakaway, Dark Sided</t>
  </si>
  <si>
    <t>ngiN</t>
  </si>
  <si>
    <t>Engin Kor</t>
  </si>
  <si>
    <t>45.30%</t>
  </si>
  <si>
    <t>68.4</t>
  </si>
  <si>
    <t>forget</t>
  </si>
  <si>
    <t>Lei Li</t>
  </si>
  <si>
    <t>5POWER, UYA</t>
  </si>
  <si>
    <t>Sidney</t>
  </si>
  <si>
    <t>Patryk Korab</t>
  </si>
  <si>
    <t>UNGENTIUM, AGO, PACT, Illuminar</t>
  </si>
  <si>
    <t>repo</t>
  </si>
  <si>
    <t>Karol Cybulski</t>
  </si>
  <si>
    <t>PRIDE, ESC, AGG, Vexed</t>
  </si>
  <si>
    <t>neaLaN</t>
  </si>
  <si>
    <t>Sanzhar Iskhakov</t>
  </si>
  <si>
    <t>K23, Syman</t>
  </si>
  <si>
    <t>DANZ</t>
  </si>
  <si>
    <t>Daniel Whitfield</t>
  </si>
  <si>
    <t>Corvidae, Kanga, AVANT</t>
  </si>
  <si>
    <t>tutehen</t>
  </si>
  <si>
    <t>Matias Canale</t>
  </si>
  <si>
    <t>VELOX</t>
  </si>
  <si>
    <t>VELOX, Isurus, Gale Force, Miami Flamingos</t>
  </si>
  <si>
    <t>emi</t>
  </si>
  <si>
    <t>Luka VukoviÄ‡</t>
  </si>
  <si>
    <t>Valiance, Binary Dragons, iNation</t>
  </si>
  <si>
    <t>52.30%</t>
  </si>
  <si>
    <t>Duplicate</t>
  </si>
  <si>
    <t>Viktor Mitev</t>
  </si>
  <si>
    <t>SKADE, FATE</t>
  </si>
  <si>
    <t>6.5</t>
  </si>
  <si>
    <t>Polly</t>
  </si>
  <si>
    <t>PÃ¥l Kammen</t>
  </si>
  <si>
    <t>LGB, London Conspiracy, Apeks</t>
  </si>
  <si>
    <t>hutji</t>
  </si>
  <si>
    <t>Pavel Lashkov</t>
  </si>
  <si>
    <t>Vega Squadron</t>
  </si>
  <si>
    <t>ztr</t>
  </si>
  <si>
    <t>Erik Gustafsson</t>
  </si>
  <si>
    <t>crisby</t>
  </si>
  <si>
    <t>Christian Schmitt</t>
  </si>
  <si>
    <t>ALTERNATE aTTaX, EURONICS, Unicorns of Love</t>
  </si>
  <si>
    <t>matty</t>
  </si>
  <si>
    <t>Mateusz KoÅ‚odziejczyk</t>
  </si>
  <si>
    <t>EC Brugge, Izako Boars</t>
  </si>
  <si>
    <t>40.60%</t>
  </si>
  <si>
    <t>mynio</t>
  </si>
  <si>
    <t>Wiktor Kruk</t>
  </si>
  <si>
    <t>Wisla Krakow, Anonymo</t>
  </si>
  <si>
    <t>kiR</t>
  </si>
  <si>
    <t>Andreas Kirstein</t>
  </si>
  <si>
    <t>61.50%</t>
  </si>
  <si>
    <t>SkulL</t>
  </si>
  <si>
    <t>Jordan Newland</t>
  </si>
  <si>
    <t>Antic</t>
  </si>
  <si>
    <t>Genuine, Taboo, Masterminds, Chiefs</t>
  </si>
  <si>
    <t>quix</t>
  </si>
  <si>
    <t>Max Lindkvist</t>
  </si>
  <si>
    <t>Lilmix, Vexed, Publiclir.se</t>
  </si>
  <si>
    <t>aVN</t>
  </si>
  <si>
    <t>Filip Belojica</t>
  </si>
  <si>
    <t>4glory, lvlUP, BLUEJAYS</t>
  </si>
  <si>
    <t>69.2</t>
  </si>
  <si>
    <t>S0tF1k</t>
  </si>
  <si>
    <t>Dmitry Forostyanko</t>
  </si>
  <si>
    <t>Spirit Academy</t>
  </si>
  <si>
    <t>TACO</t>
  </si>
  <si>
    <t>Epitacio de Melo</t>
  </si>
  <si>
    <t>SK, MIBR, GODSENT, Liquid, Luminosity</t>
  </si>
  <si>
    <t>67.3</t>
  </si>
  <si>
    <t>hitMouse</t>
  </si>
  <si>
    <t>Kirill Tsarev</t>
  </si>
  <si>
    <t>NewBelarus</t>
  </si>
  <si>
    <t>Nemiga, K29</t>
  </si>
  <si>
    <t>Xp3</t>
  </si>
  <si>
    <t>David Garrido</t>
  </si>
  <si>
    <t>Winterfox, Denial, ELEVATE</t>
  </si>
  <si>
    <t>69.30%</t>
  </si>
  <si>
    <t>pNshr</t>
  </si>
  <si>
    <t>Nikolay Paunin</t>
  </si>
  <si>
    <t>Windigo, ex-Outlaws</t>
  </si>
  <si>
    <t>arki</t>
  </si>
  <si>
    <t>Omar Chakkor</t>
  </si>
  <si>
    <t>MSL</t>
  </si>
  <si>
    <t>Mathias Lauridsen</t>
  </si>
  <si>
    <t>Dignitas, North</t>
  </si>
  <si>
    <t>39.90%</t>
  </si>
  <si>
    <t>SANJI</t>
  </si>
  <si>
    <t>Sanjar Kuliev</t>
  </si>
  <si>
    <t>Uzbekistan</t>
  </si>
  <si>
    <t>Virtus.pro, AVANGAR, Syman</t>
  </si>
  <si>
    <t>62.20%</t>
  </si>
  <si>
    <t>sorrow</t>
  </si>
  <si>
    <t>Zhandarbek Mamyrbek</t>
  </si>
  <si>
    <t>Luz</t>
  </si>
  <si>
    <t>Maciek Bugaj</t>
  </si>
  <si>
    <t>Zeus</t>
  </si>
  <si>
    <t>Danylo Teslenko</t>
  </si>
  <si>
    <t>43.50%</t>
  </si>
  <si>
    <t>akez</t>
  </si>
  <si>
    <t>Kristian Kornbakk</t>
  </si>
  <si>
    <t>777, Apeks</t>
  </si>
  <si>
    <t>nak</t>
  </si>
  <si>
    <t>Renato Nakano</t>
  </si>
  <si>
    <t>Sharks, RED Canids</t>
  </si>
  <si>
    <t>arya</t>
  </si>
  <si>
    <t>Arya Hekmat</t>
  </si>
  <si>
    <t>Splyce, 3sUP</t>
  </si>
  <si>
    <t>34.90%</t>
  </si>
  <si>
    <t>BTN</t>
  </si>
  <si>
    <t>CÄƒtÄƒlin-IonuÈ› StÄƒnescu</t>
  </si>
  <si>
    <t>ncl</t>
  </si>
  <si>
    <t>Bold Batsuh</t>
  </si>
  <si>
    <t>TheMongolz, TIGER, Mazaalai</t>
  </si>
  <si>
    <t>68.6</t>
  </si>
  <si>
    <t>69.70%</t>
  </si>
  <si>
    <t>pietola</t>
  </si>
  <si>
    <t>Lauri Hietala</t>
  </si>
  <si>
    <t>47.10%</t>
  </si>
  <si>
    <t>68.90%</t>
  </si>
  <si>
    <t>svyat</t>
  </si>
  <si>
    <t>Svyatoslav Dovbakh</t>
  </si>
  <si>
    <t>Hard Legion, DreamEaters, AVE</t>
  </si>
  <si>
    <t>SENER1</t>
  </si>
  <si>
    <t>Sener Mahmuti</t>
  </si>
  <si>
    <t>Bad News Eagles, BLINK</t>
  </si>
  <si>
    <t>Dav</t>
  </si>
  <si>
    <t>David MiljaniÄ‡</t>
  </si>
  <si>
    <t>iNation, Squared, ONYX</t>
  </si>
  <si>
    <t>karrigan</t>
  </si>
  <si>
    <t>Finn Andersen</t>
  </si>
  <si>
    <t>FaZe, MOUZ, TSM</t>
  </si>
  <si>
    <t>43.10%</t>
  </si>
  <si>
    <t>xartE</t>
  </si>
  <si>
    <t>Mikko VÃ¤limaa</t>
  </si>
  <si>
    <t>SJ, HAVU, ENCE, hREDS</t>
  </si>
  <si>
    <t>37.10%</t>
  </si>
  <si>
    <t>LEGIJA</t>
  </si>
  <si>
    <t>Nikola NiniÄ‡</t>
  </si>
  <si>
    <t>BIG, MOUZ, NRG</t>
  </si>
  <si>
    <t>roman</t>
  </si>
  <si>
    <t>Roman Redihin</t>
  </si>
  <si>
    <t>Shara</t>
  </si>
  <si>
    <t>Oleksandr Hordieyev</t>
  </si>
  <si>
    <t>FlipSid3, spray'n'pray</t>
  </si>
  <si>
    <t>wayLander</t>
  </si>
  <si>
    <t>Jan Rahkonen</t>
  </si>
  <si>
    <t>BONA</t>
  </si>
  <si>
    <t>Verneri Junkala</t>
  </si>
  <si>
    <t>SJ, VITALIS, hREDS</t>
  </si>
  <si>
    <t>sAw</t>
  </si>
  <si>
    <t>Eetu Saha</t>
  </si>
  <si>
    <t>HAVU, iGame.com, RCTIC</t>
  </si>
  <si>
    <t>69.3</t>
  </si>
  <si>
    <t>coolio</t>
  </si>
  <si>
    <t>AndrÃ¡s FercsÃ¡k</t>
  </si>
  <si>
    <t>Budapest Five, Salamander</t>
  </si>
  <si>
    <t>8.90%</t>
  </si>
  <si>
    <t>kRYSTAL</t>
  </si>
  <si>
    <t>Kevin Amend</t>
  </si>
  <si>
    <t>PENTA, ALTERNATE aTTaX, GODSENT</t>
  </si>
  <si>
    <t>MiGHTYMAX</t>
  </si>
  <si>
    <t>Max Heath</t>
  </si>
  <si>
    <t>66.5</t>
  </si>
  <si>
    <t>crush</t>
  </si>
  <si>
    <t>Igor Shevchenko</t>
  </si>
  <si>
    <t>NAVI Youth</t>
  </si>
  <si>
    <t>pro100, Vega Squadron, HellRaisers</t>
  </si>
  <si>
    <t>balblna</t>
  </si>
  <si>
    <t>Gregory Oleinick</t>
  </si>
  <si>
    <t>ben1337</t>
  </si>
  <si>
    <t>Ben Smith</t>
  </si>
  <si>
    <t>sycrone</t>
  </si>
  <si>
    <t>Dennis Nielsen</t>
  </si>
  <si>
    <t>Sprout, North Academy, Tricked, Team123</t>
  </si>
  <si>
    <t>nkl</t>
  </si>
  <si>
    <t>Nikolay Krastev</t>
  </si>
  <si>
    <t>E-frag.net, GPlay, MK, Orbit</t>
  </si>
  <si>
    <t>68.3</t>
  </si>
  <si>
    <t>hooch</t>
  </si>
  <si>
    <t>Dmitry Bogdanov</t>
  </si>
  <si>
    <t>EPG, Gambit</t>
  </si>
  <si>
    <t>Golden</t>
  </si>
  <si>
    <t>Maikil Selim</t>
  </si>
  <si>
    <t>fnatic, fnatic Academy, Cloud9</t>
  </si>
  <si>
    <t>lunAtic</t>
  </si>
  <si>
    <t>Dawid CieÅ›lak</t>
  </si>
  <si>
    <t>38.80%</t>
  </si>
  <si>
    <t>67.9</t>
  </si>
  <si>
    <t>FNS</t>
  </si>
  <si>
    <t>Pujan Mehta</t>
  </si>
  <si>
    <t>CLG, TSM</t>
  </si>
  <si>
    <t>spiker</t>
  </si>
  <si>
    <t>Alexander Ivanov</t>
  </si>
  <si>
    <t>Monolith, PiTER, Empire, Rebels</t>
  </si>
  <si>
    <t>Psycho</t>
  </si>
  <si>
    <t>Alexandr Zlobin</t>
  </si>
  <si>
    <t>Run or Die, Project X, CR4ZY, Akuma, Windigo Academy</t>
  </si>
  <si>
    <t>Adam9130</t>
  </si>
  <si>
    <t>Adam Ahmad</t>
  </si>
  <si>
    <t>Into the Breach, GamerLegion, Vexed</t>
  </si>
  <si>
    <t>40.10%</t>
  </si>
  <si>
    <t>JiNKZ</t>
  </si>
  <si>
    <t>GaÃ«tan Jamin</t>
  </si>
  <si>
    <t>MAiNLiNE</t>
  </si>
  <si>
    <t>Michael Jaber</t>
  </si>
  <si>
    <t>Enemy, Selfless, eUnited, Method</t>
  </si>
  <si>
    <t>69.1</t>
  </si>
  <si>
    <t>pronax</t>
  </si>
  <si>
    <t>Markus Wallsten</t>
  </si>
  <si>
    <t>64.7</t>
  </si>
  <si>
    <t>Polen</t>
  </si>
  <si>
    <t>Adam Polen</t>
  </si>
  <si>
    <t>IceBerg</t>
  </si>
  <si>
    <t>Oliver Berg</t>
  </si>
  <si>
    <t>Tricked, Singularity, Ambush</t>
  </si>
  <si>
    <t>Lambert</t>
  </si>
  <si>
    <t>Lambert Prigent</t>
  </si>
  <si>
    <t>63.4</t>
  </si>
  <si>
    <t>LeX</t>
  </si>
  <si>
    <t>Alexander Deily</t>
  </si>
  <si>
    <t>Mythic, Winterfox, Luminosity</t>
  </si>
  <si>
    <t>ScrunK</t>
  </si>
  <si>
    <t>Robin RÃ¶pke</t>
  </si>
  <si>
    <t>ALTERNATE aTTaX, expert</t>
  </si>
  <si>
    <t>6.8</t>
  </si>
  <si>
    <t>torben</t>
  </si>
  <si>
    <t>Nicolai Amorim</t>
  </si>
  <si>
    <t>66.2</t>
  </si>
  <si>
    <t>68.70%</t>
  </si>
  <si>
    <t>seang@res</t>
  </si>
  <si>
    <t>Sean Gares</t>
  </si>
  <si>
    <t>Old Guys Club</t>
  </si>
  <si>
    <t>Cloud9, Misfits, Echo Fox</t>
  </si>
  <si>
    <t>67.4</t>
  </si>
  <si>
    <t>daps</t>
  </si>
  <si>
    <t>Damian Steele</t>
  </si>
  <si>
    <t>NRG, OpTic, Gen.G</t>
  </si>
  <si>
    <t>66.8</t>
  </si>
  <si>
    <t>flowsicK</t>
  </si>
  <si>
    <t>Kyle Mendez</t>
  </si>
  <si>
    <t>Denial, Winterfox, Liquid</t>
  </si>
  <si>
    <t>BERRY</t>
  </si>
  <si>
    <t>Danny KrÃ¼ger</t>
  </si>
  <si>
    <t>Ambush, OPAA</t>
  </si>
  <si>
    <t>38.00%</t>
  </si>
  <si>
    <t>birdfromsky</t>
  </si>
  <si>
    <t>Thomas Due-Frederiksen</t>
  </si>
  <si>
    <t>Lyngby Vikings, ECSTATIC</t>
  </si>
  <si>
    <t>advent</t>
  </si>
  <si>
    <t>Zhuo Liang</t>
  </si>
  <si>
    <t>62.1</t>
  </si>
  <si>
    <t>8.30%</t>
  </si>
  <si>
    <t>nawrot</t>
  </si>
  <si>
    <t>Piotr Nawrocki</t>
  </si>
  <si>
    <t>AVEZ, Izako Boars</t>
  </si>
  <si>
    <t>HooXi</t>
  </si>
  <si>
    <t>Rasmus Nielsen</t>
  </si>
  <si>
    <t>def</t>
  </si>
  <si>
    <t>Dima Lemeshchuk</t>
  </si>
  <si>
    <t>pro100, ACG</t>
  </si>
  <si>
    <t>djL</t>
  </si>
  <si>
    <t>Daniel Narancic</t>
  </si>
  <si>
    <t>Chaos, Japaleno, Red Reserve</t>
  </si>
  <si>
    <t>Devilwalk</t>
  </si>
  <si>
    <t>Jonatan Lundberg</t>
  </si>
  <si>
    <t>fnatic, Epsilon</t>
  </si>
  <si>
    <t>Twista</t>
  </si>
  <si>
    <t>Slaava RÃ¤sÃ¤nen</t>
  </si>
  <si>
    <t>RCTIC, iGame.com, LGR</t>
  </si>
  <si>
    <t>35.90%</t>
  </si>
  <si>
    <t>gob b</t>
  </si>
  <si>
    <t>Fatih Dayik</t>
  </si>
  <si>
    <t>48.50%</t>
  </si>
  <si>
    <t>66.6</t>
  </si>
  <si>
    <t>Slemmy</t>
  </si>
  <si>
    <t>Alec White</t>
  </si>
  <si>
    <t>Complexity, Cloud9, Selfless</t>
  </si>
  <si>
    <t>63.7</t>
  </si>
  <si>
    <t>0.57</t>
  </si>
  <si>
    <t>PASHANOJ</t>
  </si>
  <si>
    <t>Pavel Legostaev</t>
  </si>
  <si>
    <t>Unique, ex-ETHEREAL</t>
  </si>
  <si>
    <t>B1ad3</t>
  </si>
  <si>
    <t>Andrey Gorodenskiy</t>
  </si>
  <si>
    <t>FlipSid3</t>
  </si>
  <si>
    <t>netrick</t>
  </si>
  <si>
    <t>Jonas Wenzelsen</t>
  </si>
  <si>
    <t>AGF</t>
  </si>
  <si>
    <t>AGF, unknown, LPSP, Forcebuy</t>
  </si>
  <si>
    <t>69.10%</t>
  </si>
  <si>
    <t>HUNDEN</t>
  </si>
  <si>
    <t>Nicolai Petersen</t>
  </si>
  <si>
    <t>Tricked, ALTERNATE aTTaX</t>
  </si>
  <si>
    <t>64.4</t>
  </si>
  <si>
    <t>RuFire</t>
  </si>
  <si>
    <t>Aleksei Burakov</t>
  </si>
  <si>
    <t>BakS</t>
  </si>
  <si>
    <t>SG.pro, 5balls, VP.Prodigy</t>
  </si>
  <si>
    <t>66.4</t>
  </si>
  <si>
    <t>OCEAN</t>
  </si>
  <si>
    <t>Kyle O'Brien</t>
  </si>
  <si>
    <t>subtLe, SKDC, Splyce</t>
  </si>
  <si>
    <t>59.7</t>
  </si>
  <si>
    <t>0.52</t>
  </si>
  <si>
    <t>8.70%</t>
  </si>
  <si>
    <t>Total general</t>
  </si>
  <si>
    <t>Suma de total_kills</t>
  </si>
  <si>
    <t>(Todas)</t>
  </si>
  <si>
    <t>Suma de rifle_kills</t>
  </si>
  <si>
    <t>Suma de sniper_kills</t>
  </si>
  <si>
    <t>Suma de smg_kills</t>
  </si>
  <si>
    <t>Suma de pistol_kills</t>
  </si>
  <si>
    <t>Suma de grenade_kills</t>
  </si>
  <si>
    <t>1. Cantidad de jugadores.</t>
  </si>
  <si>
    <t>,</t>
  </si>
  <si>
    <t>Suma de total_deaths</t>
  </si>
  <si>
    <t>Etiquetas de fila</t>
  </si>
  <si>
    <t>3.Variedad de Edad y Promedio</t>
  </si>
  <si>
    <t>Tipo de arma</t>
  </si>
  <si>
    <t>Promedio por jugador</t>
  </si>
  <si>
    <t>Rifle</t>
  </si>
  <si>
    <t>Sniper</t>
  </si>
  <si>
    <t>Subfusil (SMG)</t>
  </si>
  <si>
    <t>Pistola</t>
  </si>
  <si>
    <t>Granada</t>
  </si>
  <si>
    <t>Otros</t>
  </si>
  <si>
    <t>4. Kills promedio por tipo de arma</t>
  </si>
  <si>
    <t>Pais</t>
  </si>
  <si>
    <t>Cantidad</t>
  </si>
  <si>
    <t>Jugador</t>
  </si>
  <si>
    <t>Kills totales</t>
  </si>
  <si>
    <t>5. Top 5 jugadores por cantidad de kills</t>
  </si>
  <si>
    <t>% Headshots</t>
  </si>
  <si>
    <t>68.1%</t>
  </si>
  <si>
    <t>67.9%</t>
  </si>
  <si>
    <t>67.1%</t>
  </si>
  <si>
    <t>63.8%</t>
  </si>
  <si>
    <t>63.7%</t>
  </si>
  <si>
    <t>6.Top jugadores por métricas específicas</t>
  </si>
  <si>
    <t xml:space="preserve"> Headshot % (Top 5)</t>
  </si>
  <si>
    <t>Rating</t>
  </si>
  <si>
    <t>7.Rating más alto</t>
  </si>
  <si>
    <t>KPI</t>
  </si>
  <si>
    <t>Intervalo</t>
  </si>
  <si>
    <t>Bajo</t>
  </si>
  <si>
    <t>Medio</t>
  </si>
  <si>
    <t>Alto</t>
  </si>
  <si>
    <t>Superior</t>
  </si>
  <si>
    <t>Segmentacion</t>
  </si>
  <si>
    <t>Suma de KPI</t>
  </si>
  <si>
    <t>Suma de KPI2</t>
  </si>
  <si>
    <t>Promedio de KPI2</t>
  </si>
  <si>
    <t>Máx. de KPI2</t>
  </si>
  <si>
    <t>Mín. de KPI2</t>
  </si>
  <si>
    <t xml:space="preserve">Cantidad de Jugadores </t>
  </si>
  <si>
    <t>Country</t>
  </si>
  <si>
    <t>Edad</t>
  </si>
  <si>
    <t>Cantidad de jugadores con esa edad</t>
  </si>
  <si>
    <t>Promedio de edad</t>
  </si>
  <si>
    <t>Cantidad de Jugadores</t>
  </si>
  <si>
    <t>Rifle Kills</t>
  </si>
  <si>
    <t>Jugadores</t>
  </si>
  <si>
    <t xml:space="preserve"> Kills</t>
  </si>
  <si>
    <t>Muertes</t>
  </si>
  <si>
    <t>Sniper Kills</t>
  </si>
  <si>
    <t>Pistol Kills</t>
  </si>
  <si>
    <t>8. Promedios de Rondas y Mapas jugados</t>
  </si>
  <si>
    <t>Mapas</t>
  </si>
  <si>
    <t>Rondas</t>
  </si>
  <si>
    <t>Promedio</t>
  </si>
  <si>
    <t>Columna1</t>
  </si>
  <si>
    <t>Columna2</t>
  </si>
  <si>
    <t>2. Cantidad de paises y Jugadores que lo representan.</t>
  </si>
  <si>
    <t>No team</t>
  </si>
  <si>
    <t>9.Cantidad de  equipos diferentes</t>
  </si>
  <si>
    <t>10. Jugadores representado al equipo</t>
  </si>
  <si>
    <r>
      <rPr>
        <b/>
        <i/>
        <u/>
        <sz val="16"/>
        <color theme="1"/>
        <rFont val="Calibri"/>
        <family val="2"/>
        <scheme val="minor"/>
      </rPr>
      <t>¡BIENVENIDOS!</t>
    </r>
    <r>
      <rPr>
        <sz val="16"/>
        <color theme="1"/>
        <rFont val="Calibri"/>
        <family val="2"/>
        <scheme val="minor"/>
      </rPr>
      <t xml:space="preserve">
El presente trabajo tiene como objetivo realizar un análisis estadístico exhaustivo sobre el rendimiento de jugadores profesionales del videojuego Counter-Strike: Global Offensive (CS:GO), a partir de una base de datos construida con información cuantitativa relevante del entorno competitivo.
A lo largo del documento se desarrollan distintos apartados que permiten visualizar, interpretar y segmentar los datos recogidos. Se analiza un conjunto de más de 800 jugadores, considerando variables como la edad, nacionalidad, equipo actual, historial de equipos, y un amplio conjunto de métricas de desempeño individual: muertes, asesinatos, daño por ronda, precisión de disparos a la cabeza, uso de distintos tipos de armas, entre otras.
El análisis se apoya en el uso de tablas dinámicas y dashboards interactivos, que permiten identificar patrones, comparaciones y relaciones entre variables. Asimismo, se responde a una serie de preguntas analíticas orientadas a descubrir:
•	Las edades más frecuentes entre los jugadores profesionales.
•	Las armas con mayor índice de efectividad.
•	La relación entre el desempeño individual y los equipos a los que pertenecen los jugadores.
El enfoque adoptado busca no solo presentar los datos de forma estructurada, sino también facilitar su interpretación mediante recursos visuales e indicadores clave de desempeño. Este estudio proporciona una base sólida para la comprensión de las dinámicas individuales dentro del ecosistema profesional de CS:GO.
Fuente: 
https://www.kaggle.com/datasets/naumanaarif/csgo-pro-players-dataset
https://www.hltv.org/</t>
    </r>
  </si>
  <si>
    <t>Equipo</t>
  </si>
  <si>
    <t>Cantidad de jugadores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</si>
</sst>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63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5" fillId="4" borderId="3" xfId="0" applyFont="1" applyFill="1" applyBorder="1"/>
    <xf numFmtId="0" fontId="5" fillId="4" borderId="4" xfId="0" applyFont="1" applyFill="1" applyBorder="1" applyAlignment="1">
      <alignment horizontal="left"/>
    </xf>
    <xf numFmtId="0" fontId="5" fillId="4" borderId="4" xfId="0" applyFont="1" applyFill="1" applyBorder="1"/>
    <xf numFmtId="0" fontId="7" fillId="3" borderId="0" xfId="0" applyFont="1" applyFill="1"/>
    <xf numFmtId="43" fontId="0" fillId="3" borderId="0" xfId="2" applyFont="1" applyFill="1"/>
    <xf numFmtId="164" fontId="6" fillId="3" borderId="0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/>
    <xf numFmtId="10" fontId="0" fillId="0" borderId="0" xfId="0" applyNumberFormat="1"/>
    <xf numFmtId="2" fontId="0" fillId="0" borderId="0" xfId="0" applyNumberFormat="1"/>
    <xf numFmtId="164" fontId="6" fillId="3" borderId="0" xfId="2" applyNumberFormat="1" applyFont="1" applyFill="1" applyBorder="1" applyAlignment="1"/>
    <xf numFmtId="0" fontId="0" fillId="6" borderId="0" xfId="0" applyFill="1"/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164" fontId="6" fillId="3" borderId="0" xfId="2" applyNumberFormat="1" applyFont="1" applyFill="1" applyBorder="1" applyAlignment="1">
      <alignment horizontal="left"/>
    </xf>
    <xf numFmtId="0" fontId="12" fillId="3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2" fontId="0" fillId="0" borderId="0" xfId="0" applyNumberFormat="1" applyAlignment="1">
      <alignment horizontal="left"/>
    </xf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23" xfId="0" applyBorder="1"/>
    <xf numFmtId="0" fontId="0" fillId="0" borderId="20" xfId="0" applyBorder="1"/>
    <xf numFmtId="0" fontId="0" fillId="0" borderId="18" xfId="0" applyBorder="1"/>
    <xf numFmtId="0" fontId="0" fillId="0" borderId="16" xfId="0" applyBorder="1"/>
    <xf numFmtId="1" fontId="0" fillId="0" borderId="14" xfId="0" applyNumberFormat="1" applyBorder="1"/>
    <xf numFmtId="1" fontId="0" fillId="0" borderId="23" xfId="0" applyNumberFormat="1" applyBorder="1"/>
    <xf numFmtId="0" fontId="5" fillId="0" borderId="13" xfId="0" applyFont="1" applyBorder="1"/>
    <xf numFmtId="0" fontId="5" fillId="0" borderId="18" xfId="0" applyFont="1" applyBorder="1"/>
    <xf numFmtId="0" fontId="0" fillId="5" borderId="24" xfId="0" applyFill="1" applyBorder="1"/>
    <xf numFmtId="0" fontId="0" fillId="5" borderId="14" xfId="0" applyFill="1" applyBorder="1"/>
    <xf numFmtId="0" fontId="9" fillId="17" borderId="0" xfId="0" applyFont="1" applyFill="1"/>
    <xf numFmtId="0" fontId="5" fillId="0" borderId="0" xfId="0" applyFont="1" applyAlignment="1">
      <alignment vertical="center"/>
    </xf>
    <xf numFmtId="0" fontId="19" fillId="0" borderId="1" xfId="0" applyFont="1" applyBorder="1" applyAlignment="1">
      <alignment wrapText="1"/>
    </xf>
    <xf numFmtId="0" fontId="20" fillId="0" borderId="1" xfId="1" applyFont="1" applyBorder="1" applyAlignment="1">
      <alignment wrapText="1"/>
    </xf>
    <xf numFmtId="0" fontId="19" fillId="0" borderId="1" xfId="0" applyFont="1" applyBorder="1" applyAlignment="1">
      <alignment horizontal="right" wrapText="1"/>
    </xf>
    <xf numFmtId="0" fontId="16" fillId="0" borderId="0" xfId="0" applyFont="1"/>
    <xf numFmtId="1" fontId="0" fillId="0" borderId="0" xfId="0" applyNumberFormat="1" applyAlignment="1">
      <alignment vertical="center" wrapText="1"/>
    </xf>
    <xf numFmtId="0" fontId="17" fillId="0" borderId="0" xfId="0" applyFont="1" applyAlignment="1">
      <alignment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5" fillId="12" borderId="5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right" vertical="center"/>
    </xf>
    <xf numFmtId="0" fontId="10" fillId="11" borderId="7" xfId="0" applyFont="1" applyFill="1" applyBorder="1" applyAlignment="1">
      <alignment horizontal="right" vertical="center"/>
    </xf>
    <xf numFmtId="0" fontId="10" fillId="11" borderId="8" xfId="0" applyFont="1" applyFill="1" applyBorder="1" applyAlignment="1">
      <alignment horizontal="right" vertical="center"/>
    </xf>
    <xf numFmtId="0" fontId="10" fillId="11" borderId="9" xfId="0" applyFont="1" applyFill="1" applyBorder="1" applyAlignment="1">
      <alignment horizontal="right" vertical="center"/>
    </xf>
    <xf numFmtId="0" fontId="10" fillId="11" borderId="10" xfId="0" applyFont="1" applyFill="1" applyBorder="1" applyAlignment="1">
      <alignment horizontal="right" vertical="center"/>
    </xf>
    <xf numFmtId="0" fontId="10" fillId="11" borderId="11" xfId="0" applyFont="1" applyFill="1" applyBorder="1" applyAlignment="1">
      <alignment horizontal="right" vertical="center"/>
    </xf>
    <xf numFmtId="0" fontId="11" fillId="13" borderId="5" xfId="0" applyFont="1" applyFill="1" applyBorder="1" applyAlignment="1">
      <alignment horizontal="right" vertical="center"/>
    </xf>
    <xf numFmtId="0" fontId="11" fillId="13" borderId="7" xfId="0" applyFont="1" applyFill="1" applyBorder="1" applyAlignment="1">
      <alignment horizontal="right" vertical="center"/>
    </xf>
    <xf numFmtId="0" fontId="11" fillId="13" borderId="8" xfId="0" applyFont="1" applyFill="1" applyBorder="1" applyAlignment="1">
      <alignment horizontal="right" vertical="center"/>
    </xf>
    <xf numFmtId="0" fontId="11" fillId="13" borderId="9" xfId="0" applyFont="1" applyFill="1" applyBorder="1" applyAlignment="1">
      <alignment horizontal="right" vertical="center"/>
    </xf>
    <xf numFmtId="0" fontId="11" fillId="13" borderId="10" xfId="0" applyFont="1" applyFill="1" applyBorder="1" applyAlignment="1">
      <alignment horizontal="right" vertical="center"/>
    </xf>
    <xf numFmtId="0" fontId="11" fillId="13" borderId="11" xfId="0" applyFont="1" applyFill="1" applyBorder="1" applyAlignment="1">
      <alignment horizontal="right" vertical="center"/>
    </xf>
    <xf numFmtId="2" fontId="6" fillId="14" borderId="5" xfId="0" applyNumberFormat="1" applyFont="1" applyFill="1" applyBorder="1" applyAlignment="1">
      <alignment horizontal="right" vertical="center"/>
    </xf>
    <xf numFmtId="2" fontId="6" fillId="14" borderId="7" xfId="0" applyNumberFormat="1" applyFont="1" applyFill="1" applyBorder="1" applyAlignment="1">
      <alignment horizontal="right" vertical="center"/>
    </xf>
    <xf numFmtId="2" fontId="6" fillId="14" borderId="8" xfId="0" applyNumberFormat="1" applyFont="1" applyFill="1" applyBorder="1" applyAlignment="1">
      <alignment horizontal="right" vertical="center"/>
    </xf>
    <xf numFmtId="2" fontId="6" fillId="14" borderId="9" xfId="0" applyNumberFormat="1" applyFont="1" applyFill="1" applyBorder="1" applyAlignment="1">
      <alignment horizontal="right" vertical="center"/>
    </xf>
    <xf numFmtId="2" fontId="6" fillId="14" borderId="10" xfId="0" applyNumberFormat="1" applyFont="1" applyFill="1" applyBorder="1" applyAlignment="1">
      <alignment horizontal="right" vertical="center"/>
    </xf>
    <xf numFmtId="2" fontId="6" fillId="14" borderId="11" xfId="0" applyNumberFormat="1" applyFont="1" applyFill="1" applyBorder="1" applyAlignment="1">
      <alignment horizontal="right" vertical="center"/>
    </xf>
    <xf numFmtId="0" fontId="11" fillId="11" borderId="5" xfId="0" applyFont="1" applyFill="1" applyBorder="1" applyAlignment="1">
      <alignment horizontal="right" vertical="center"/>
    </xf>
    <xf numFmtId="0" fontId="11" fillId="11" borderId="7" xfId="0" applyFont="1" applyFill="1" applyBorder="1" applyAlignment="1">
      <alignment horizontal="right" vertical="center"/>
    </xf>
    <xf numFmtId="0" fontId="11" fillId="11" borderId="8" xfId="0" applyFont="1" applyFill="1" applyBorder="1" applyAlignment="1">
      <alignment horizontal="right" vertical="center"/>
    </xf>
    <xf numFmtId="0" fontId="11" fillId="11" borderId="9" xfId="0" applyFont="1" applyFill="1" applyBorder="1" applyAlignment="1">
      <alignment horizontal="right" vertical="center"/>
    </xf>
    <xf numFmtId="0" fontId="11" fillId="11" borderId="10" xfId="0" applyFont="1" applyFill="1" applyBorder="1" applyAlignment="1">
      <alignment horizontal="right" vertical="center"/>
    </xf>
    <xf numFmtId="0" fontId="11" fillId="11" borderId="11" xfId="0" applyFont="1" applyFill="1" applyBorder="1" applyAlignment="1">
      <alignment horizontal="right" vertical="center"/>
    </xf>
    <xf numFmtId="0" fontId="11" fillId="15" borderId="5" xfId="0" applyFont="1" applyFill="1" applyBorder="1" applyAlignment="1">
      <alignment horizontal="right" vertical="center"/>
    </xf>
    <xf numFmtId="0" fontId="11" fillId="15" borderId="7" xfId="0" applyFont="1" applyFill="1" applyBorder="1" applyAlignment="1">
      <alignment horizontal="right" vertical="center"/>
    </xf>
    <xf numFmtId="0" fontId="11" fillId="15" borderId="8" xfId="0" applyFont="1" applyFill="1" applyBorder="1" applyAlignment="1">
      <alignment horizontal="right" vertical="center"/>
    </xf>
    <xf numFmtId="0" fontId="11" fillId="15" borderId="9" xfId="0" applyFont="1" applyFill="1" applyBorder="1" applyAlignment="1">
      <alignment horizontal="right" vertical="center"/>
    </xf>
    <xf numFmtId="0" fontId="11" fillId="15" borderId="10" xfId="0" applyFont="1" applyFill="1" applyBorder="1" applyAlignment="1">
      <alignment horizontal="right" vertical="center"/>
    </xf>
    <xf numFmtId="0" fontId="11" fillId="15" borderId="11" xfId="0" applyFont="1" applyFill="1" applyBorder="1" applyAlignment="1">
      <alignment horizontal="right" vertical="center"/>
    </xf>
    <xf numFmtId="0" fontId="11" fillId="16" borderId="5" xfId="0" applyFont="1" applyFill="1" applyBorder="1" applyAlignment="1">
      <alignment horizontal="right" vertical="center"/>
    </xf>
    <xf numFmtId="0" fontId="11" fillId="16" borderId="7" xfId="0" applyFont="1" applyFill="1" applyBorder="1" applyAlignment="1">
      <alignment horizontal="right" vertical="center"/>
    </xf>
    <xf numFmtId="0" fontId="11" fillId="16" borderId="8" xfId="0" applyFont="1" applyFill="1" applyBorder="1" applyAlignment="1">
      <alignment horizontal="right" vertical="center"/>
    </xf>
    <xf numFmtId="0" fontId="11" fillId="16" borderId="9" xfId="0" applyFont="1" applyFill="1" applyBorder="1" applyAlignment="1">
      <alignment horizontal="right" vertical="center"/>
    </xf>
    <xf numFmtId="0" fontId="11" fillId="16" borderId="10" xfId="0" applyFont="1" applyFill="1" applyBorder="1" applyAlignment="1">
      <alignment horizontal="right" vertical="center"/>
    </xf>
    <xf numFmtId="0" fontId="11" fillId="16" borderId="11" xfId="0" applyFont="1" applyFill="1" applyBorder="1" applyAlignment="1">
      <alignment horizontal="right" vertical="center"/>
    </xf>
    <xf numFmtId="0" fontId="15" fillId="9" borderId="5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2" fontId="6" fillId="3" borderId="0" xfId="2" applyNumberFormat="1" applyFont="1" applyFill="1" applyBorder="1" applyAlignment="1">
      <alignment horizontal="center"/>
    </xf>
    <xf numFmtId="164" fontId="6" fillId="3" borderId="0" xfId="2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2" fontId="13" fillId="8" borderId="14" xfId="0" applyNumberFormat="1" applyFont="1" applyFill="1" applyBorder="1" applyAlignment="1">
      <alignment horizontal="right" vertical="center"/>
    </xf>
    <xf numFmtId="2" fontId="13" fillId="8" borderId="15" xfId="0" applyNumberFormat="1" applyFont="1" applyFill="1" applyBorder="1" applyAlignment="1">
      <alignment horizontal="right" vertical="center"/>
    </xf>
    <xf numFmtId="2" fontId="13" fillId="8" borderId="16" xfId="0" applyNumberFormat="1" applyFont="1" applyFill="1" applyBorder="1" applyAlignment="1">
      <alignment horizontal="right" vertical="center"/>
    </xf>
    <xf numFmtId="2" fontId="13" fillId="8" borderId="12" xfId="0" applyNumberFormat="1" applyFont="1" applyFill="1" applyBorder="1" applyAlignment="1">
      <alignment horizontal="right" vertical="center"/>
    </xf>
    <xf numFmtId="2" fontId="13" fillId="8" borderId="0" xfId="0" applyNumberFormat="1" applyFont="1" applyFill="1" applyAlignment="1">
      <alignment horizontal="right" vertical="center"/>
    </xf>
    <xf numFmtId="2" fontId="13" fillId="8" borderId="17" xfId="0" applyNumberFormat="1" applyFont="1" applyFill="1" applyBorder="1" applyAlignment="1">
      <alignment horizontal="right" vertical="center"/>
    </xf>
    <xf numFmtId="2" fontId="13" fillId="8" borderId="18" xfId="0" applyNumberFormat="1" applyFont="1" applyFill="1" applyBorder="1" applyAlignment="1">
      <alignment horizontal="right" vertical="center"/>
    </xf>
    <xf numFmtId="2" fontId="13" fillId="8" borderId="19" xfId="0" applyNumberFormat="1" applyFont="1" applyFill="1" applyBorder="1" applyAlignment="1">
      <alignment horizontal="right" vertical="center"/>
    </xf>
    <xf numFmtId="2" fontId="13" fillId="8" borderId="20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18" borderId="25" xfId="0" applyFont="1" applyFill="1" applyBorder="1" applyAlignment="1">
      <alignment horizontal="center"/>
    </xf>
    <xf numFmtId="0" fontId="9" fillId="18" borderId="2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9" fillId="6" borderId="25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3">
    <cellStyle name="Hipervínculo" xfId="1" builtinId="8"/>
    <cellStyle name="Millares" xfId="2" builtinId="3"/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[ProyectoFinal_Barbaroy (2).xlsx]Tabla dinamica 1!TablaDinámica3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859607813912584E-2"/>
          <c:y val="0.10244023800298709"/>
          <c:w val="0.77210443461552392"/>
          <c:h val="0.733560728220974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dinamica 1'!$B$5</c:f>
              <c:strCache>
                <c:ptCount val="1"/>
                <c:pt idx="0">
                  <c:v>Suma de rifle_kills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dinamica 1'!$A$6:$A$7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1'!$B$6:$B$7</c:f>
              <c:numCache>
                <c:formatCode>0.00</c:formatCode>
                <c:ptCount val="1"/>
                <c:pt idx="0">
                  <c:v>235098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A-4228-87BA-8D12F62C79DF}"/>
            </c:ext>
          </c:extLst>
        </c:ser>
        <c:ser>
          <c:idx val="1"/>
          <c:order val="1"/>
          <c:tx>
            <c:strRef>
              <c:f>'Tabla dinamica 1'!$C$5</c:f>
              <c:strCache>
                <c:ptCount val="1"/>
                <c:pt idx="0">
                  <c:v>Suma de sniper_kills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dinamica 1'!$A$6:$A$7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1'!$C$6:$C$7</c:f>
              <c:numCache>
                <c:formatCode>0.00</c:formatCode>
                <c:ptCount val="1"/>
                <c:pt idx="0">
                  <c:v>32640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A-4228-87BA-8D12F62C79DF}"/>
            </c:ext>
          </c:extLst>
        </c:ser>
        <c:ser>
          <c:idx val="2"/>
          <c:order val="2"/>
          <c:tx>
            <c:strRef>
              <c:f>'Tabla dinamica 1'!$D$5</c:f>
              <c:strCache>
                <c:ptCount val="1"/>
                <c:pt idx="0">
                  <c:v>Suma de smg_kills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 dinamica 1'!$A$6:$A$7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1'!$D$6:$D$7</c:f>
              <c:numCache>
                <c:formatCode>0.00</c:formatCode>
                <c:ptCount val="1"/>
                <c:pt idx="0">
                  <c:v>25252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4A-4228-87BA-8D12F62C79DF}"/>
            </c:ext>
          </c:extLst>
        </c:ser>
        <c:ser>
          <c:idx val="3"/>
          <c:order val="3"/>
          <c:tx>
            <c:strRef>
              <c:f>'Tabla dinamica 1'!$E$5</c:f>
              <c:strCache>
                <c:ptCount val="1"/>
                <c:pt idx="0">
                  <c:v>Suma de pistol_kills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 dinamica 1'!$A$6:$A$7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1'!$E$6:$E$7</c:f>
              <c:numCache>
                <c:formatCode>0.00</c:formatCode>
                <c:ptCount val="1"/>
                <c:pt idx="0">
                  <c:v>62771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4A-4228-87BA-8D12F62C79DF}"/>
            </c:ext>
          </c:extLst>
        </c:ser>
        <c:ser>
          <c:idx val="4"/>
          <c:order val="4"/>
          <c:tx>
            <c:strRef>
              <c:f>'Tabla dinamica 1'!$F$5</c:f>
              <c:strCache>
                <c:ptCount val="1"/>
                <c:pt idx="0">
                  <c:v>Suma de grenade_kills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dinamica 1'!$A$6:$A$7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1'!$F$6:$F$7</c:f>
              <c:numCache>
                <c:formatCode>0.00</c:formatCode>
                <c:ptCount val="1"/>
                <c:pt idx="0">
                  <c:v>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4A-4228-87BA-8D12F62C7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536602399"/>
        <c:axId val="1536595743"/>
      </c:barChart>
      <c:catAx>
        <c:axId val="153660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95743"/>
        <c:crosses val="autoZero"/>
        <c:auto val="1"/>
        <c:lblAlgn val="ctr"/>
        <c:lblOffset val="100"/>
        <c:noMultiLvlLbl val="0"/>
      </c:catAx>
      <c:valAx>
        <c:axId val="153659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023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2869938222618"/>
          <c:y val="0.3015410548721964"/>
          <c:w val="0.15304245084196358"/>
          <c:h val="0.21903601877143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[ProyectoFinal_Barbaroy (2).xlsx]Tabla dinamica 2!TablaDinámica1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828933148062376E-2"/>
          <c:y val="8.7779702238753171E-2"/>
          <c:w val="0.92448479234213365"/>
          <c:h val="0.66536863308568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dinamica 2'!$B$3</c:f>
              <c:strCache>
                <c:ptCount val="1"/>
                <c:pt idx="0">
                  <c:v>Suma de total_kills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 dinamica 2'!$A$4:$A$5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2'!$B$4:$B$5</c:f>
              <c:numCache>
                <c:formatCode>0.00</c:formatCode>
                <c:ptCount val="1"/>
                <c:pt idx="0">
                  <c:v>360586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4-447E-A368-7B37010AD39A}"/>
            </c:ext>
          </c:extLst>
        </c:ser>
        <c:ser>
          <c:idx val="1"/>
          <c:order val="1"/>
          <c:tx>
            <c:strRef>
              <c:f>'Tabla dinamica 2'!$C$3</c:f>
              <c:strCache>
                <c:ptCount val="1"/>
                <c:pt idx="0">
                  <c:v>Suma de total_deaths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 dinamica 2'!$A$4:$A$5</c:f>
              <c:strCache>
                <c:ptCount val="1"/>
                <c:pt idx="0">
                  <c:v>China</c:v>
                </c:pt>
              </c:strCache>
            </c:strRef>
          </c:cat>
          <c:val>
            <c:numRef>
              <c:f>'Tabla dinamica 2'!$C$4:$C$5</c:f>
              <c:numCache>
                <c:formatCode>0.00</c:formatCode>
                <c:ptCount val="1"/>
                <c:pt idx="0">
                  <c:v>342463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6-46F6-A12F-2536BAA3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2599632"/>
        <c:axId val="1252600048"/>
      </c:barChart>
      <c:catAx>
        <c:axId val="12525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00048"/>
        <c:crosses val="autoZero"/>
        <c:auto val="1"/>
        <c:lblAlgn val="ctr"/>
        <c:lblOffset val="100"/>
        <c:noMultiLvlLbl val="0"/>
      </c:catAx>
      <c:valAx>
        <c:axId val="12526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9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[ProyectoFinal_Barbaroy (2).xlsx]Tabla dinamica 3|4!TablaDinámica4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17143306825389E-2"/>
          <c:y val="3.2635164199432368E-2"/>
          <c:w val="0.7087805830835916"/>
          <c:h val="0.76682098353525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dinamica 3|4'!$B$20</c:f>
              <c:strCache>
                <c:ptCount val="1"/>
                <c:pt idx="0">
                  <c:v>Suma de KPI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'Tabla dinamica 3|4'!$A$21:$A$22</c:f>
              <c:strCache>
                <c:ptCount val="1"/>
                <c:pt idx="0">
                  <c:v>Argentina</c:v>
                </c:pt>
              </c:strCache>
            </c:strRef>
          </c:cat>
          <c:val>
            <c:numRef>
              <c:f>'Tabla dinamica 3|4'!$B$21:$B$22</c:f>
              <c:numCache>
                <c:formatCode>General</c:formatCode>
                <c:ptCount val="1"/>
                <c:pt idx="0">
                  <c:v>28415.223684210527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B-4B6D-9301-FA87CE9A8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20417600"/>
        <c:axId val="520419520"/>
      </c:barChart>
      <c:lineChart>
        <c:grouping val="standard"/>
        <c:varyColors val="0"/>
        <c:ser>
          <c:idx val="1"/>
          <c:order val="1"/>
          <c:tx>
            <c:strRef>
              <c:f>'Tabla dinamica 3|4'!$C$20</c:f>
              <c:strCache>
                <c:ptCount val="1"/>
                <c:pt idx="0">
                  <c:v>Suma de KPI2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'Tabla dinamica 3|4'!$A$21:$A$22</c:f>
              <c:strCache>
                <c:ptCount val="1"/>
                <c:pt idx="0">
                  <c:v>Argentina</c:v>
                </c:pt>
              </c:strCache>
            </c:strRef>
          </c:cat>
          <c:val>
            <c:numRef>
              <c:f>'Tabla dinamica 3|4'!$C$21:$C$22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B-4B6D-9301-FA87CE9A8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682256"/>
        <c:axId val="520418560"/>
      </c:lineChart>
      <c:catAx>
        <c:axId val="5204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0419520"/>
        <c:crosses val="autoZero"/>
        <c:auto val="1"/>
        <c:lblAlgn val="ctr"/>
        <c:lblOffset val="100"/>
        <c:noMultiLvlLbl val="0"/>
      </c:catAx>
      <c:valAx>
        <c:axId val="5204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0417600"/>
        <c:crosses val="autoZero"/>
        <c:crossBetween val="between"/>
      </c:valAx>
      <c:valAx>
        <c:axId val="52041856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11682256"/>
        <c:crosses val="max"/>
        <c:crossBetween val="between"/>
      </c:valAx>
      <c:catAx>
        <c:axId val="511682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0418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[ProyectoFinal_Barbaroy (2).xlsx]Tabla dinamica 3|4!TablaDinámica3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</a:t>
            </a:r>
          </a:p>
        </c:rich>
      </c:tx>
      <c:layout>
        <c:manualLayout>
          <c:xMode val="edge"/>
          <c:yMode val="edge"/>
          <c:x val="0.38914907229686507"/>
          <c:y val="2.3154851564335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753614968983148"/>
          <c:y val="9.4709851551956811E-2"/>
          <c:w val="0.60005583472920154"/>
          <c:h val="0.87020242914979762"/>
        </c:manualLayout>
      </c:layout>
      <c:pieChart>
        <c:varyColors val="1"/>
        <c:ser>
          <c:idx val="0"/>
          <c:order val="0"/>
          <c:tx>
            <c:strRef>
              <c:f>'Tabla dinamica 3|4'!$B$3</c:f>
              <c:strCache>
                <c:ptCount val="1"/>
                <c:pt idx="0">
                  <c:v>Suma de KPI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AF-49DA-B328-297EB9FE89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AF-49DA-B328-297EB9FE89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AF-49DA-B328-297EB9FE89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AF-49DA-B328-297EB9FE89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dinamica 3|4'!$A$4:$A$7</c:f>
              <c:strCache>
                <c:ptCount val="3"/>
                <c:pt idx="0">
                  <c:v>Alto</c:v>
                </c:pt>
                <c:pt idx="1">
                  <c:v>Bajo</c:v>
                </c:pt>
                <c:pt idx="2">
                  <c:v>Medio</c:v>
                </c:pt>
              </c:strCache>
            </c:strRef>
          </c:cat>
          <c:val>
            <c:numRef>
              <c:f>'Tabla dinamica 3|4'!$B$4:$B$7</c:f>
              <c:numCache>
                <c:formatCode>0.00</c:formatCode>
                <c:ptCount val="3"/>
                <c:pt idx="0">
                  <c:v>5152.1578947368425</c:v>
                </c:pt>
                <c:pt idx="1">
                  <c:v>11520.96052631579</c:v>
                </c:pt>
                <c:pt idx="2">
                  <c:v>11742.105263157895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AF-49DA-B328-297EB9FE89BC}"/>
            </c:ext>
          </c:extLst>
        </c:ser>
        <c:ser>
          <c:idx val="1"/>
          <c:order val="1"/>
          <c:tx>
            <c:strRef>
              <c:f>'Tabla dinamica 3|4'!$C$3</c:f>
              <c:strCache>
                <c:ptCount val="1"/>
                <c:pt idx="0">
                  <c:v>Máx. de KPI2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5AF-49DA-B328-297EB9FE89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5AF-49DA-B328-297EB9FE89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5AF-49DA-B328-297EB9FE89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5AF-49DA-B328-297EB9FE89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dinamica 3|4'!$A$4:$A$7</c:f>
              <c:strCache>
                <c:ptCount val="3"/>
                <c:pt idx="0">
                  <c:v>Alto</c:v>
                </c:pt>
                <c:pt idx="1">
                  <c:v>Bajo</c:v>
                </c:pt>
                <c:pt idx="2">
                  <c:v>Medio</c:v>
                </c:pt>
              </c:strCache>
            </c:strRef>
          </c:cat>
          <c:val>
            <c:numRef>
              <c:f>'Tabla dinamica 3|4'!$C$4:$C$7</c:f>
              <c:numCache>
                <c:formatCode>0.00</c:formatCode>
                <c:ptCount val="3"/>
                <c:pt idx="0">
                  <c:v>5152.1578947368425</c:v>
                </c:pt>
                <c:pt idx="1">
                  <c:v>3188.9473684210525</c:v>
                </c:pt>
                <c:pt idx="2">
                  <c:v>4016.1578947368421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AF-49DA-B328-297EB9FE89BC}"/>
            </c:ext>
          </c:extLst>
        </c:ser>
        <c:ser>
          <c:idx val="2"/>
          <c:order val="2"/>
          <c:tx>
            <c:strRef>
              <c:f>'Tabla dinamica 3|4'!$D$3</c:f>
              <c:strCache>
                <c:ptCount val="1"/>
                <c:pt idx="0">
                  <c:v>Promedio de KPI2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5AF-49DA-B328-297EB9FE89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5AF-49DA-B328-297EB9FE89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5AF-49DA-B328-297EB9FE89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5AF-49DA-B328-297EB9FE89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dinamica 3|4'!$A$4:$A$7</c:f>
              <c:strCache>
                <c:ptCount val="3"/>
                <c:pt idx="0">
                  <c:v>Alto</c:v>
                </c:pt>
                <c:pt idx="1">
                  <c:v>Bajo</c:v>
                </c:pt>
                <c:pt idx="2">
                  <c:v>Medio</c:v>
                </c:pt>
              </c:strCache>
            </c:strRef>
          </c:cat>
          <c:val>
            <c:numRef>
              <c:f>'Tabla dinamica 3|4'!$D$4:$D$7</c:f>
              <c:numCache>
                <c:formatCode>0.00</c:formatCode>
                <c:ptCount val="3"/>
                <c:pt idx="0">
                  <c:v>5152.1578947368425</c:v>
                </c:pt>
                <c:pt idx="1">
                  <c:v>2880.2401315789475</c:v>
                </c:pt>
                <c:pt idx="2">
                  <c:v>3914.0350877192982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5AF-49DA-B328-297EB9FE89BC}"/>
            </c:ext>
          </c:extLst>
        </c:ser>
        <c:ser>
          <c:idx val="3"/>
          <c:order val="3"/>
          <c:tx>
            <c:strRef>
              <c:f>'Tabla dinamica 3|4'!$E$3</c:f>
              <c:strCache>
                <c:ptCount val="1"/>
                <c:pt idx="0">
                  <c:v>Mín. de KPI2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15AF-49DA-B328-297EB9FE89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15AF-49DA-B328-297EB9FE89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15AF-49DA-B328-297EB9FE89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15AF-49DA-B328-297EB9FE89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dinamica 3|4'!$A$4:$A$7</c:f>
              <c:strCache>
                <c:ptCount val="3"/>
                <c:pt idx="0">
                  <c:v>Alto</c:v>
                </c:pt>
                <c:pt idx="1">
                  <c:v>Bajo</c:v>
                </c:pt>
                <c:pt idx="2">
                  <c:v>Medio</c:v>
                </c:pt>
              </c:strCache>
            </c:strRef>
          </c:cat>
          <c:val>
            <c:numRef>
              <c:f>'Tabla dinamica 3|4'!$E$4:$E$7</c:f>
              <c:numCache>
                <c:formatCode>0.00</c:formatCode>
                <c:ptCount val="3"/>
                <c:pt idx="0">
                  <c:v>5152.1578947368425</c:v>
                </c:pt>
                <c:pt idx="1">
                  <c:v>2626.75</c:v>
                </c:pt>
                <c:pt idx="2">
                  <c:v>3861.2105263157896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5AF-49DA-B328-297EB9FE89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3882761733248"/>
          <c:y val="0.39517416624860952"/>
          <c:w val="0.13097189573641499"/>
          <c:h val="0.311852494529659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image" Target="../media/image12.emf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svg"/><Relationship Id="rId4" Type="http://schemas.openxmlformats.org/officeDocument/2006/relationships/image" Target="../media/image3.svg"/><Relationship Id="rId9" Type="http://schemas.openxmlformats.org/officeDocument/2006/relationships/image" Target="../media/image8.png"/><Relationship Id="rId14" Type="http://schemas.openxmlformats.org/officeDocument/2006/relationships/image" Target="../media/image1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7" Type="http://schemas.openxmlformats.org/officeDocument/2006/relationships/image" Target="../media/image22.sv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21.png"/><Relationship Id="rId5" Type="http://schemas.openxmlformats.org/officeDocument/2006/relationships/image" Target="../media/image20.svg"/><Relationship Id="rId4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8825866</xdr:colOff>
      <xdr:row>0</xdr:row>
      <xdr:rowOff>4030321</xdr:rowOff>
    </xdr:from>
    <xdr:to>
      <xdr:col>0</xdr:col>
      <xdr:colOff>11542395</xdr:colOff>
      <xdr:row>10</xdr:row>
      <xdr:rowOff>26669</xdr:rowOff>
    </xdr:to>
    <xdr:pic>
      <xdr:nvPicPr>
        <xdr:cNvPr id="2" name="Imagen 1" descr="No es CSGO: 6 de los mayores problemas de CS2 - Blog sobre ...">
          <a:extLst>
            <a:ext uri="{FF2B5EF4-FFF2-40B4-BE49-F238E27FC236}">
              <a16:creationId xmlns:a16="http://schemas.microsoft.com/office/drawing/2014/main" id="{BB219AAA-3F1A-CEEC-DF35-00F1B0D9E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5866" y="4030321"/>
          <a:ext cx="2716529" cy="2692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734059</xdr:colOff>
      <xdr:row>13</xdr:row>
      <xdr:rowOff>192405</xdr:rowOff>
    </xdr:from>
    <xdr:to>
      <xdr:col>22</xdr:col>
      <xdr:colOff>444499</xdr:colOff>
      <xdr:row>40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472590</xdr:colOff>
      <xdr:row>27</xdr:row>
      <xdr:rowOff>116417</xdr:rowOff>
    </xdr:from>
    <xdr:to>
      <xdr:col>25</xdr:col>
      <xdr:colOff>529166</xdr:colOff>
      <xdr:row>43</xdr:row>
      <xdr:rowOff>17358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ge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64817" y="5397500"/>
              <a:ext cx="2400361" cy="2783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505036</xdr:colOff>
      <xdr:row>12</xdr:row>
      <xdr:rowOff>93346</xdr:rowOff>
    </xdr:from>
    <xdr:to>
      <xdr:col>25</xdr:col>
      <xdr:colOff>571499</xdr:colOff>
      <xdr:row>27</xdr:row>
      <xdr:rowOff>20321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untry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5358" y="2478406"/>
              <a:ext cx="2414058" cy="2819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498474</xdr:colOff>
      <xdr:row>0</xdr:row>
      <xdr:rowOff>54483</xdr:rowOff>
    </xdr:from>
    <xdr:to>
      <xdr:col>25</xdr:col>
      <xdr:colOff>536404</xdr:colOff>
      <xdr:row>12</xdr:row>
      <xdr:rowOff>56853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headshot_percentage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adshot_percent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86891" y="58293"/>
              <a:ext cx="2387430" cy="2383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95250</xdr:colOff>
      <xdr:row>13</xdr:row>
      <xdr:rowOff>193130</xdr:rowOff>
    </xdr:from>
    <xdr:to>
      <xdr:col>12</xdr:col>
      <xdr:colOff>682202</xdr:colOff>
      <xdr:row>40</xdr:row>
      <xdr:rowOff>115971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686859</xdr:colOff>
      <xdr:row>4</xdr:row>
      <xdr:rowOff>64557</xdr:rowOff>
    </xdr:from>
    <xdr:to>
      <xdr:col>1</xdr:col>
      <xdr:colOff>516876</xdr:colOff>
      <xdr:row>7</xdr:row>
      <xdr:rowOff>110701</xdr:rowOff>
    </xdr:to>
    <xdr:pic>
      <xdr:nvPicPr>
        <xdr:cNvPr id="20" name="Gráfico 19" descr="Man contorno">
          <a:extLst>
            <a:ext uri="{FF2B5EF4-FFF2-40B4-BE49-F238E27FC236}">
              <a16:creationId xmlns:a16="http://schemas.microsoft.com/office/drawing/2014/main" id="{94A843AB-5040-BC52-61B2-B3B18E42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6859" y="900640"/>
          <a:ext cx="613184" cy="617644"/>
        </a:xfrm>
        <a:prstGeom prst="rect">
          <a:avLst/>
        </a:prstGeom>
      </xdr:spPr>
    </xdr:pic>
    <xdr:clientData/>
  </xdr:twoCellAnchor>
  <xdr:twoCellAnchor editAs="oneCell">
    <xdr:from>
      <xdr:col>6</xdr:col>
      <xdr:colOff>755227</xdr:colOff>
      <xdr:row>4</xdr:row>
      <xdr:rowOff>74084</xdr:rowOff>
    </xdr:from>
    <xdr:to>
      <xdr:col>7</xdr:col>
      <xdr:colOff>513253</xdr:colOff>
      <xdr:row>7</xdr:row>
      <xdr:rowOff>54822</xdr:rowOff>
    </xdr:to>
    <xdr:pic>
      <xdr:nvPicPr>
        <xdr:cNvPr id="22" name="Gráfico 21" descr="Coffin con relleno sólido">
          <a:extLst>
            <a:ext uri="{FF2B5EF4-FFF2-40B4-BE49-F238E27FC236}">
              <a16:creationId xmlns:a16="http://schemas.microsoft.com/office/drawing/2014/main" id="{3B432A03-D319-BCBC-9281-DA339CDC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454227" y="910167"/>
          <a:ext cx="541193" cy="552238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730250</xdr:colOff>
      <xdr:row>4</xdr:row>
      <xdr:rowOff>31751</xdr:rowOff>
    </xdr:from>
    <xdr:to>
      <xdr:col>4</xdr:col>
      <xdr:colOff>591023</xdr:colOff>
      <xdr:row>7</xdr:row>
      <xdr:rowOff>97156</xdr:rowOff>
    </xdr:to>
    <xdr:pic>
      <xdr:nvPicPr>
        <xdr:cNvPr id="26" name="Gráfico 25" descr="Skull con relleno sólido">
          <a:extLst>
            <a:ext uri="{FF2B5EF4-FFF2-40B4-BE49-F238E27FC236}">
              <a16:creationId xmlns:a16="http://schemas.microsoft.com/office/drawing/2014/main" id="{301C69E7-15CD-AD1B-AFF3-AD64EBC0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079750" y="867834"/>
          <a:ext cx="634415" cy="633095"/>
        </a:xfrm>
        <a:prstGeom prst="rect">
          <a:avLst/>
        </a:prstGeom>
      </xdr:spPr>
    </xdr:pic>
    <xdr:clientData/>
  </xdr:twoCellAnchor>
  <xdr:twoCellAnchor editAs="oneCell">
    <xdr:from>
      <xdr:col>19</xdr:col>
      <xdr:colOff>34713</xdr:colOff>
      <xdr:row>4</xdr:row>
      <xdr:rowOff>109644</xdr:rowOff>
    </xdr:from>
    <xdr:to>
      <xdr:col>19</xdr:col>
      <xdr:colOff>590574</xdr:colOff>
      <xdr:row>7</xdr:row>
      <xdr:rowOff>95251</xdr:rowOff>
    </xdr:to>
    <xdr:pic>
      <xdr:nvPicPr>
        <xdr:cNvPr id="28" name="Gráfico 27" descr="Water Gun con relleno sólido">
          <a:extLst>
            <a:ext uri="{FF2B5EF4-FFF2-40B4-BE49-F238E27FC236}">
              <a16:creationId xmlns:a16="http://schemas.microsoft.com/office/drawing/2014/main" id="{DCAC8602-5AA0-D69E-24D7-FD5D615A2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5073630" y="945727"/>
          <a:ext cx="555861" cy="557107"/>
        </a:xfrm>
        <a:prstGeom prst="rect">
          <a:avLst/>
        </a:prstGeom>
      </xdr:spPr>
    </xdr:pic>
    <xdr:clientData/>
  </xdr:twoCellAnchor>
  <xdr:twoCellAnchor editAs="oneCell">
    <xdr:from>
      <xdr:col>12</xdr:col>
      <xdr:colOff>751417</xdr:colOff>
      <xdr:row>4</xdr:row>
      <xdr:rowOff>59690</xdr:rowOff>
    </xdr:from>
    <xdr:to>
      <xdr:col>13</xdr:col>
      <xdr:colOff>591128</xdr:colOff>
      <xdr:row>7</xdr:row>
      <xdr:rowOff>98214</xdr:rowOff>
    </xdr:to>
    <xdr:pic>
      <xdr:nvPicPr>
        <xdr:cNvPr id="29" name="Gráfico 28" descr="Skull con relleno sólido">
          <a:extLst>
            <a:ext uri="{FF2B5EF4-FFF2-40B4-BE49-F238E27FC236}">
              <a16:creationId xmlns:a16="http://schemas.microsoft.com/office/drawing/2014/main" id="{F2E79A54-68A6-4214-9109-CB8C72361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276417" y="895773"/>
          <a:ext cx="613353" cy="617644"/>
        </a:xfrm>
        <a:prstGeom prst="rect">
          <a:avLst/>
        </a:prstGeom>
      </xdr:spPr>
    </xdr:pic>
    <xdr:clientData/>
  </xdr:twoCellAnchor>
  <xdr:twoCellAnchor editAs="oneCell">
    <xdr:from>
      <xdr:col>15</xdr:col>
      <xdr:colOff>719667</xdr:colOff>
      <xdr:row>4</xdr:row>
      <xdr:rowOff>40429</xdr:rowOff>
    </xdr:from>
    <xdr:to>
      <xdr:col>16</xdr:col>
      <xdr:colOff>591870</xdr:colOff>
      <xdr:row>7</xdr:row>
      <xdr:rowOff>98214</xdr:rowOff>
    </xdr:to>
    <xdr:pic>
      <xdr:nvPicPr>
        <xdr:cNvPr id="30" name="Gráfico 29" descr="Skull con relleno sólido">
          <a:extLst>
            <a:ext uri="{FF2B5EF4-FFF2-40B4-BE49-F238E27FC236}">
              <a16:creationId xmlns:a16="http://schemas.microsoft.com/office/drawing/2014/main" id="{48858083-0BCA-4B8A-A429-A3DFB6CBE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625917" y="876512"/>
          <a:ext cx="643940" cy="638810"/>
        </a:xfrm>
        <a:prstGeom prst="rect">
          <a:avLst/>
        </a:prstGeom>
      </xdr:spPr>
    </xdr:pic>
    <xdr:clientData/>
  </xdr:twoCellAnchor>
  <xdr:twoCellAnchor editAs="oneCell">
    <xdr:from>
      <xdr:col>9</xdr:col>
      <xdr:colOff>737024</xdr:colOff>
      <xdr:row>4</xdr:row>
      <xdr:rowOff>11452</xdr:rowOff>
    </xdr:from>
    <xdr:to>
      <xdr:col>10</xdr:col>
      <xdr:colOff>631190</xdr:colOff>
      <xdr:row>7</xdr:row>
      <xdr:rowOff>131023</xdr:rowOff>
    </xdr:to>
    <xdr:pic>
      <xdr:nvPicPr>
        <xdr:cNvPr id="32" name="Gráfico 31" descr="Signal con relleno sólido">
          <a:extLst>
            <a:ext uri="{FF2B5EF4-FFF2-40B4-BE49-F238E27FC236}">
              <a16:creationId xmlns:a16="http://schemas.microsoft.com/office/drawing/2014/main" id="{D92375D1-5833-AE4F-6028-CF778578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912524" y="847535"/>
          <a:ext cx="669713" cy="68535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9</xdr:col>
          <xdr:colOff>624840</xdr:colOff>
          <xdr:row>98</xdr:row>
          <xdr:rowOff>114300</xdr:rowOff>
        </xdr:to>
        <xdr:pic>
          <xdr:nvPicPr>
            <xdr:cNvPr id="33" name="Imagen 32">
              <a:extLst>
                <a:ext uri="{FF2B5EF4-FFF2-40B4-BE49-F238E27FC236}">
                  <a16:creationId xmlns:a16="http://schemas.microsoft.com/office/drawing/2014/main" id="{DB3F6791-806F-0740-C0FA-CF028DB611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la dinamica 1'!$A$5:$F$59" spid="_x0000_s1149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0" y="8221980"/>
              <a:ext cx="7818120" cy="101727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446406</xdr:colOff>
          <xdr:row>43</xdr:row>
          <xdr:rowOff>35560</xdr:rowOff>
        </xdr:from>
        <xdr:to>
          <xdr:col>16</xdr:col>
          <xdr:colOff>520700</xdr:colOff>
          <xdr:row>98</xdr:row>
          <xdr:rowOff>149859</xdr:rowOff>
        </xdr:to>
        <xdr:pic>
          <xdr:nvPicPr>
            <xdr:cNvPr id="34" name="Imagen 33">
              <a:extLst>
                <a:ext uri="{FF2B5EF4-FFF2-40B4-BE49-F238E27FC236}">
                  <a16:creationId xmlns:a16="http://schemas.microsoft.com/office/drawing/2014/main" id="{85C6CD72-A6A6-0B0D-A916-5D57FFD277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la dinamica 2'!$A$3:$C$57" spid="_x0000_s1150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9188239" y="8195310"/>
              <a:ext cx="4029498" cy="100097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21</xdr:col>
          <xdr:colOff>304800</xdr:colOff>
          <xdr:row>98</xdr:row>
          <xdr:rowOff>114300</xdr:rowOff>
        </xdr:to>
        <xdr:pic>
          <xdr:nvPicPr>
            <xdr:cNvPr id="38" name="Imagen 37">
              <a:extLst>
                <a:ext uri="{FF2B5EF4-FFF2-40B4-BE49-F238E27FC236}">
                  <a16:creationId xmlns:a16="http://schemas.microsoft.com/office/drawing/2014/main" id="{6ABC3A98-296F-7A3C-D720-BE7B942CFF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la dinamica 2'!$H$3:$I$57" spid="_x0000_s1151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14279880" y="8221980"/>
              <a:ext cx="2659380" cy="101727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</xdr:colOff>
      <xdr:row>15</xdr:row>
      <xdr:rowOff>112395</xdr:rowOff>
    </xdr:from>
    <xdr:to>
      <xdr:col>10</xdr:col>
      <xdr:colOff>672465</xdr:colOff>
      <xdr:row>41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6900E5-DDAF-E628-BE2E-1580A9D55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243840</xdr:colOff>
      <xdr:row>15</xdr:row>
      <xdr:rowOff>19050</xdr:rowOff>
    </xdr:from>
    <xdr:to>
      <xdr:col>21</xdr:col>
      <xdr:colOff>763905</xdr:colOff>
      <xdr:row>42</xdr:row>
      <xdr:rowOff>15240</xdr:rowOff>
    </xdr:to>
    <xdr:graphicFrame macro="">
      <xdr:nvGraphicFramePr>
        <xdr:cNvPr id="3" name="Gráfico 8">
          <a:extLst>
            <a:ext uri="{FF2B5EF4-FFF2-40B4-BE49-F238E27FC236}">
              <a16:creationId xmlns:a16="http://schemas.microsoft.com/office/drawing/2014/main" id="{48DCA009-A953-80FB-3582-9A01AD667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51434</xdr:colOff>
      <xdr:row>6</xdr:row>
      <xdr:rowOff>40006</xdr:rowOff>
    </xdr:from>
    <xdr:to>
      <xdr:col>5</xdr:col>
      <xdr:colOff>655320</xdr:colOff>
      <xdr:row>15</xdr:row>
      <xdr:rowOff>40005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untry 2">
              <a:extLst>
                <a:ext uri="{FF2B5EF4-FFF2-40B4-BE49-F238E27FC236}">
                  <a16:creationId xmlns:a16="http://schemas.microsoft.com/office/drawing/2014/main" id="{17EF560B-E62E-4632-A35A-8E432A836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6969" y="1125856"/>
              <a:ext cx="2183131" cy="1628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120015</xdr:colOff>
      <xdr:row>6</xdr:row>
      <xdr:rowOff>100965</xdr:rowOff>
    </xdr:from>
    <xdr:to>
      <xdr:col>9</xdr:col>
      <xdr:colOff>655320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ge 2">
              <a:extLst>
                <a:ext uri="{FF2B5EF4-FFF2-40B4-BE49-F238E27FC236}">
                  <a16:creationId xmlns:a16="http://schemas.microsoft.com/office/drawing/2014/main" id="{E12EA34A-88E9-475A-9A48-6FEE7C3A2A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5945" y="1183005"/>
              <a:ext cx="2116455" cy="1596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288832</xdr:colOff>
          <xdr:row>2</xdr:row>
          <xdr:rowOff>120016</xdr:rowOff>
        </xdr:from>
        <xdr:to>
          <xdr:col>21</xdr:col>
          <xdr:colOff>788790</xdr:colOff>
          <xdr:row>13</xdr:row>
          <xdr:rowOff>114300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6A87C139-82D9-EB1B-C7C2-1C7624185A0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la dinamica 3|4'!$A$3:$E$8" spid="_x0000_s1131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566307" y="481966"/>
              <a:ext cx="6824558" cy="198500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7</xdr:col>
      <xdr:colOff>9527</xdr:colOff>
      <xdr:row>2</xdr:row>
      <xdr:rowOff>116206</xdr:rowOff>
    </xdr:from>
    <xdr:to>
      <xdr:col>7</xdr:col>
      <xdr:colOff>625683</xdr:colOff>
      <xdr:row>6</xdr:row>
      <xdr:rowOff>15240</xdr:rowOff>
    </xdr:to>
    <xdr:pic>
      <xdr:nvPicPr>
        <xdr:cNvPr id="13" name="Gráfico 12" descr="Game controller con relleno sólido">
          <a:extLst>
            <a:ext uri="{FF2B5EF4-FFF2-40B4-BE49-F238E27FC236}">
              <a16:creationId xmlns:a16="http://schemas.microsoft.com/office/drawing/2014/main" id="{544BC46E-7518-7000-31FD-85A0C593C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543552" y="478156"/>
          <a:ext cx="612346" cy="615314"/>
        </a:xfrm>
        <a:prstGeom prst="rect">
          <a:avLst/>
        </a:prstGeom>
      </xdr:spPr>
    </xdr:pic>
    <xdr:clientData/>
  </xdr:twoCellAnchor>
  <xdr:twoCellAnchor editAs="oneCell">
    <xdr:from>
      <xdr:col>2</xdr:col>
      <xdr:colOff>777241</xdr:colOff>
      <xdr:row>2</xdr:row>
      <xdr:rowOff>49531</xdr:rowOff>
    </xdr:from>
    <xdr:to>
      <xdr:col>3</xdr:col>
      <xdr:colOff>624841</xdr:colOff>
      <xdr:row>5</xdr:row>
      <xdr:rowOff>135256</xdr:rowOff>
    </xdr:to>
    <xdr:pic>
      <xdr:nvPicPr>
        <xdr:cNvPr id="15" name="Gráfico 14" descr="Man con relleno sólido">
          <a:extLst>
            <a:ext uri="{FF2B5EF4-FFF2-40B4-BE49-F238E27FC236}">
              <a16:creationId xmlns:a16="http://schemas.microsoft.com/office/drawing/2014/main" id="{26547DBD-0098-1270-824A-28AEE0B6A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358391" y="411481"/>
          <a:ext cx="630555" cy="624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720090</xdr:colOff>
      <xdr:row>3</xdr:row>
      <xdr:rowOff>34290</xdr:rowOff>
    </xdr:from>
    <xdr:to>
      <xdr:col>8</xdr:col>
      <xdr:colOff>171450</xdr:colOff>
      <xdr:row>16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 1">
              <a:extLst>
                <a:ext uri="{FF2B5EF4-FFF2-40B4-BE49-F238E27FC236}">
                  <a16:creationId xmlns:a16="http://schemas.microsoft.com/office/drawing/2014/main" id="{37E011F4-1727-E1E2-53E8-1FF8779156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5965" y="577215"/>
              <a:ext cx="1813560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340995</xdr:colOff>
      <xdr:row>3</xdr:row>
      <xdr:rowOff>45720</xdr:rowOff>
    </xdr:from>
    <xdr:to>
      <xdr:col>10</xdr:col>
      <xdr:colOff>588645</xdr:colOff>
      <xdr:row>16</xdr:row>
      <xdr:rowOff>135255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ge 1">
              <a:extLst>
                <a:ext uri="{FF2B5EF4-FFF2-40B4-BE49-F238E27FC236}">
                  <a16:creationId xmlns:a16="http://schemas.microsoft.com/office/drawing/2014/main" id="{4969840B-FBE5-8B9C-F2DA-6020A0164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8595" y="590550"/>
              <a:ext cx="1832610" cy="2447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Barbaroy" refreshedDate="45805.380137499997" createdVersion="8" refreshedVersion="8" minRefreshableVersion="3" recordCount="811" xr:uid="{60114D6C-EE2C-4EF5-A476-926DE21C9981}">
  <cacheSource type="worksheet">
    <worksheetSource name="Tabla2"/>
  </cacheSource>
  <cacheFields count="42">
    <cacheField name="player_id" numFmtId="0">
      <sharedItems containsSemiMixedTypes="0" containsString="0" containsNumber="1" containsInteger="1" minValue="7" maxValue="20113"/>
    </cacheField>
    <cacheField name="nickname" numFmtId="0">
      <sharedItems containsMixedTypes="1" containsNumber="1" containsInteger="1" minValue="1962" maxValue="1962"/>
    </cacheField>
    <cacheField name="real_name" numFmtId="0">
      <sharedItems/>
    </cacheField>
    <cacheField name="age" numFmtId="0">
      <sharedItems containsSemiMixedTypes="0" containsString="0" containsNumber="1" containsInteger="1" minValue="17" maxValue="36" count="20">
        <n v="32"/>
        <n v="29"/>
        <n v="24"/>
        <n v="25"/>
        <n v="23"/>
        <n v="30"/>
        <n v="27"/>
        <n v="33"/>
        <n v="28"/>
        <n v="22"/>
        <n v="21"/>
        <n v="20"/>
        <n v="19"/>
        <n v="26"/>
        <n v="31"/>
        <n v="35"/>
        <n v="34"/>
        <n v="17"/>
        <n v="18"/>
        <n v="36"/>
      </sharedItems>
    </cacheField>
    <cacheField name="country" numFmtId="0">
      <sharedItems count="53">
        <s v="United States"/>
        <s v="Russia"/>
        <s v="Denmark"/>
        <s v="Poland"/>
        <s v="Finland"/>
        <s v="Canada"/>
        <s v="Brazil"/>
        <s v="Hungary"/>
        <s v="United Kingdom"/>
        <s v="Bulgaria"/>
        <s v="Kazakhstan"/>
        <s v="Spain"/>
        <s v="Thailand"/>
        <s v="Netherlands"/>
        <s v="Germany"/>
        <s v="Sweden"/>
        <s v="Australia"/>
        <s v="Slovakia"/>
        <s v="Belarus"/>
        <s v="Serbia"/>
        <s v="Turkey"/>
        <s v="Malaysia"/>
        <s v="Czech Republic"/>
        <s v="Belgium"/>
        <s v="Israel"/>
        <s v="Korea"/>
        <s v="France"/>
        <s v="Indonesia"/>
        <s v="Norway"/>
        <s v="Ukraine"/>
        <s v="New Zealand"/>
        <s v="Portugal"/>
        <s v="Argentina"/>
        <s v="South Africa"/>
        <s v="Mongolia"/>
        <s v="China"/>
        <s v="Latvia"/>
        <s v="Singapore"/>
        <s v="Lithuania"/>
        <s v="Switzerland"/>
        <s v="Romania"/>
        <s v="Estonia"/>
        <s v="North Macedonia"/>
        <s v="Uruguay"/>
        <s v="Hong Kong"/>
        <s v="Bosnia and Herzegovina"/>
        <s v="Montenegro"/>
        <s v="Taiwan"/>
        <s v="Kosovo"/>
        <s v="Mexico"/>
        <s v="Jordan"/>
        <s v="Uzbekistan"/>
        <s v="Guatemala"/>
      </sharedItems>
    </cacheField>
    <cacheField name="current_team" numFmtId="0">
      <sharedItems containsBlank="1" containsMixedTypes="1" containsNumber="1" containsInteger="1" minValue="777" maxValue="777"/>
    </cacheField>
    <cacheField name="teams" numFmtId="0">
      <sharedItems/>
    </cacheField>
    <cacheField name="total_kills" numFmtId="0">
      <sharedItems containsSemiMixedTypes="0" containsString="0" containsNumber="1" containsInteger="1" minValue="5530" maxValue="40979"/>
    </cacheField>
    <cacheField name="total_deaths" numFmtId="0">
      <sharedItems containsSemiMixedTypes="0" containsString="0" containsNumber="1" containsInteger="1" minValue="6166" maxValue="38534"/>
    </cacheField>
    <cacheField name="headshot_percentage" numFmtId="0">
      <sharedItems/>
    </cacheField>
    <cacheField name="damage_per_round" numFmtId="0">
      <sharedItems containsMixedTypes="1" containsNumber="1" containsInteger="1" minValue="63" maxValue="88"/>
    </cacheField>
    <cacheField name="grenade_dmg_per_round" numFmtId="0">
      <sharedItems containsMixedTypes="1" containsNumber="1" containsInteger="1" minValue="2" maxValue="7"/>
    </cacheField>
    <cacheField name="maps_played" numFmtId="0">
      <sharedItems containsSemiMixedTypes="0" containsString="0" containsNumber="1" containsInteger="1" minValue="379" maxValue="2219"/>
    </cacheField>
    <cacheField name="rounds_played" numFmtId="0">
      <sharedItems containsSemiMixedTypes="0" containsString="0" containsNumber="1" containsInteger="1" minValue="9815" maxValue="58263"/>
    </cacheField>
    <cacheField name="kills_per_round" numFmtId="0">
      <sharedItems/>
    </cacheField>
    <cacheField name="assists_per_round" numFmtId="0">
      <sharedItems/>
    </cacheField>
    <cacheField name="deaths_per_round" numFmtId="0">
      <sharedItems/>
    </cacheField>
    <cacheField name="saved_by_teammate_per_round" numFmtId="0">
      <sharedItems/>
    </cacheField>
    <cacheField name="saved_teammates_per_round" numFmtId="0">
      <sharedItems/>
    </cacheField>
    <cacheField name="rounds_with_kills" numFmtId="0">
      <sharedItems containsSemiMixedTypes="0" containsString="0" containsNumber="1" containsInteger="1" minValue="4080" maxValue="27163"/>
    </cacheField>
    <cacheField name="kill_to_death_diff" numFmtId="0">
      <sharedItems/>
    </cacheField>
    <cacheField name="total_opening_kills" numFmtId="0">
      <sharedItems containsSemiMixedTypes="0" containsString="0" containsNumber="1" containsInteger="1" minValue="511" maxValue="7189"/>
    </cacheField>
    <cacheField name="total_opening_deaths" numFmtId="0">
      <sharedItems containsSemiMixedTypes="0" containsString="0" containsNumber="1" containsInteger="1" minValue="648" maxValue="6666"/>
    </cacheField>
    <cacheField name="opening_kill_ratio" numFmtId="0">
      <sharedItems containsMixedTypes="1" containsNumber="1" containsInteger="1" minValue="1" maxValue="1"/>
    </cacheField>
    <cacheField name="opening_kill_rating" numFmtId="0">
      <sharedItems containsMixedTypes="1" containsNumber="1" containsInteger="1" minValue="1" maxValue="1"/>
    </cacheField>
    <cacheField name="team_win_percent_after_first_kill" numFmtId="0">
      <sharedItems/>
    </cacheField>
    <cacheField name="first_kill_in_won_rounds" numFmtId="0">
      <sharedItems/>
    </cacheField>
    <cacheField name="0_kill_rounds" numFmtId="0">
      <sharedItems containsSemiMixedTypes="0" containsString="0" containsNumber="1" containsInteger="1" minValue="4966" maxValue="31442"/>
    </cacheField>
    <cacheField name="1_kill_rounds" numFmtId="0">
      <sharedItems containsSemiMixedTypes="0" containsString="0" containsNumber="1" containsInteger="1" minValue="2819" maxValue="17614"/>
    </cacheField>
    <cacheField name="2_kill_rounds" numFmtId="0">
      <sharedItems containsSemiMixedTypes="0" containsString="0" containsNumber="1" containsInteger="1" minValue="950" maxValue="7563"/>
    </cacheField>
    <cacheField name="3_kill_rounds" numFmtId="0">
      <sharedItems containsSemiMixedTypes="0" containsString="0" containsNumber="1" containsInteger="1" minValue="192" maxValue="2414"/>
    </cacheField>
    <cacheField name="4_kill_rounds" numFmtId="0">
      <sharedItems containsSemiMixedTypes="0" containsString="0" containsNumber="1" containsInteger="1" minValue="33" maxValue="564"/>
    </cacheField>
    <cacheField name="5_kill_rounds" numFmtId="0">
      <sharedItems containsSemiMixedTypes="0" containsString="0" containsNumber="1" containsInteger="1" minValue="0" maxValue="71"/>
    </cacheField>
    <cacheField name="rifle_kills" numFmtId="0">
      <sharedItems containsSemiMixedTypes="0" containsString="0" containsNumber="1" containsInteger="1" minValue="1140" maxValue="30174"/>
    </cacheField>
    <cacheField name="sniper_kills" numFmtId="0">
      <sharedItems containsSemiMixedTypes="0" containsString="0" containsNumber="1" containsInteger="1" minValue="7" maxValue="20663"/>
    </cacheField>
    <cacheField name="smg_kills" numFmtId="0">
      <sharedItems containsSemiMixedTypes="0" containsString="0" containsNumber="1" containsInteger="1" minValue="105" maxValue="3495"/>
    </cacheField>
    <cacheField name="pistol_kills" numFmtId="0">
      <sharedItems containsSemiMixedTypes="0" containsString="0" containsNumber="1" containsInteger="1" minValue="669" maxValue="7496"/>
    </cacheField>
    <cacheField name="grenade_kills" numFmtId="0">
      <sharedItems containsSemiMixedTypes="0" containsString="0" containsNumber="1" containsInteger="1" minValue="40" maxValue="1003"/>
    </cacheField>
    <cacheField name="other_kills" numFmtId="0">
      <sharedItems containsSemiMixedTypes="0" containsString="0" containsNumber="1" containsInteger="1" minValue="3" maxValue="1001"/>
    </cacheField>
    <cacheField name="rating" numFmtId="0">
      <sharedItems containsMixedTypes="1" containsNumber="1" containsInteger="1" minValue="1" maxValue="1"/>
    </cacheField>
    <cacheField name="KPI" numFmtId="0">
      <sharedItems containsSemiMixedTypes="0" containsString="0" containsNumber="1" minValue="2253.5500000000002" maxValue="14155.526315789473"/>
    </cacheField>
    <cacheField name="Segmentacion" numFmtId="0">
      <sharedItems count="4">
        <s v="Alto"/>
        <s v="Superior"/>
        <s v="Medio"/>
        <s v="Bajo"/>
      </sharedItems>
    </cacheField>
  </cacheFields>
  <extLst>
    <ext xmlns:x14="http://schemas.microsoft.com/office/spreadsheetml/2009/9/main" uri="{725AE2AE-9491-48be-B2B4-4EB974FC3084}">
      <x14:pivotCacheDefinition pivotCacheId="35090680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Barbaroy" refreshedDate="45810.726294328706" createdVersion="6" refreshedVersion="8" minRefreshableVersion="3" recordCount="811" xr:uid="{00000000-000A-0000-FFFF-FFFF01000000}">
  <cacheSource type="worksheet">
    <worksheetSource ref="A1:AN812" sheet="Dataset_original"/>
  </cacheSource>
  <cacheFields count="40">
    <cacheField name="player_id" numFmtId="0">
      <sharedItems containsSemiMixedTypes="0" containsString="0" containsNumber="1" containsInteger="1" minValue="7" maxValue="20113"/>
    </cacheField>
    <cacheField name="nickname" numFmtId="0">
      <sharedItems containsMixedTypes="1" containsNumber="1" containsInteger="1" minValue="1962" maxValue="1962" count="806">
        <s v="ZywOo"/>
        <s v="s1mple"/>
        <s v="sh1ro"/>
        <s v="deko"/>
        <s v="saffee"/>
        <s v="Kaze"/>
        <s v="degster"/>
        <s v="smooya"/>
        <s v="sterling"/>
        <s v="XANTARES"/>
        <s v="SENSEi"/>
        <s v="torzsi"/>
        <s v="device"/>
        <s v="DANK1NG"/>
        <s v="NiKo"/>
        <s v="blameF"/>
        <s v="BnTeT"/>
        <s v="coldzera"/>
        <s v="Sico"/>
        <s v="XigN"/>
        <s v="KSCERATO"/>
        <s v="Benkai"/>
        <s v="Texta"/>
        <s v="Jame"/>
        <s v="XELLOW"/>
        <s v="mhL"/>
        <s v="oskar"/>
        <s v="El1an"/>
        <s v="kennyS"/>
        <s v="Freeman"/>
        <s v="mantuu"/>
        <s v="huNter-"/>
        <s v="frozen"/>
        <s v="vsm"/>
        <s v="chelleos"/>
        <s v="erkaSt"/>
        <s v="yuurih"/>
        <s v="woxic"/>
        <s v="liTTle"/>
        <s v="INS"/>
        <s v="kNgV-"/>
        <s v="ropz"/>
        <s v="Jamppi"/>
        <s v="wrath"/>
        <s v="dream3r"/>
        <s v="PTC"/>
        <s v="xsepower"/>
        <s v="zorte"/>
        <s v="Twistzz"/>
        <s v="splashske"/>
        <s v="dgt"/>
        <s v="GuardiaN"/>
        <s v="oSee"/>
        <s v="ottoNd"/>
        <s v="FREDDyFROG"/>
        <s v="NEOFRAG"/>
        <s v="Brehze"/>
        <s v="TenZ"/>
        <s v="Infinite"/>
        <s v="CeRq"/>
        <s v="f0rest"/>
        <s v="Olivia"/>
        <s v="nawwk"/>
        <s v="poizon"/>
        <s v="dumau"/>
        <s v="mertz"/>
        <s v="h4rn"/>
        <s v="WARDELL"/>
        <s v="mir"/>
        <s v="swag"/>
        <s v="HEN1"/>
        <s v="ekul"/>
        <s v="Ax1Le"/>
        <s v="nython"/>
        <s v="aliStair"/>
        <s v="moose"/>
        <s v="xccurate"/>
        <s v="mixwell"/>
        <s v="allu"/>
        <s v="electroNic"/>
        <s v="Spinx"/>
        <s v="syrsoN"/>
        <s v="PwnAlone"/>
        <s v="GeT_RiGhT"/>
        <s v="JUGi"/>
        <s v="gas"/>
        <s v="biguzera"/>
        <s v="lollipop21k"/>
        <s v="Cooper"/>
        <s v="Calyx"/>
        <s v="Sonic"/>
        <s v="zehN"/>
        <s v="ryx"/>
        <s v="BL1TZ"/>
        <s v="NAF"/>
        <s v="ZOREE"/>
        <s v="ScreaM"/>
        <s v="hades"/>
        <s v="dennyslaw"/>
        <s v="EliGE"/>
        <s v="floppy"/>
        <s v="nex"/>
        <s v="cynic"/>
        <s v="valde"/>
        <s v="hazr"/>
        <s v="nukkye"/>
        <s v="faveN"/>
        <s v="mezii"/>
        <s v="fer"/>
        <s v="Farlig"/>
        <s v="JOTA"/>
        <s v="k0nfig"/>
        <s v="dupreeh"/>
        <s v="Savage"/>
        <s v="Attacker"/>
        <s v="dexter"/>
        <s v="DJOXiC"/>
        <s v="Detrony"/>
        <s v="Machinegun"/>
        <s v="Magisk"/>
        <s v="draken"/>
        <s v="keev"/>
        <s v="felps"/>
        <s v="sergej"/>
        <s v="pz"/>
        <s v="ShahZaM"/>
        <s v="exit"/>
        <s v="Summer"/>
        <s v="Hatz"/>
        <s v="jayzaR"/>
        <s v="MICHU"/>
        <s v="Ryxxo"/>
        <s v="FL1T"/>
        <s v="hAdji"/>
        <s v="Rickeh"/>
        <s v="nicoodoz"/>
        <s v="ptr"/>
        <s v="dapr"/>
        <s v="NaToSaphiX"/>
        <s v="meyern"/>
        <s v="junior"/>
        <s v="iDISBALANCE"/>
        <s v="autimatic"/>
        <s v="YEKINDAR"/>
        <s v="Impulse"/>
        <s v="jks"/>
        <s v="Liazz"/>
        <s v="smike"/>
        <s v="shox"/>
        <s v="anarkez"/>
        <s v="hallzerk"/>
        <s v="broky"/>
        <s v="xand"/>
        <s v="paz"/>
        <s v="slaxz-"/>
        <s v="CRUC1AL"/>
        <s v="fejtZ"/>
        <s v="InfrequeNt"/>
        <s v="EspiranTo"/>
        <s v="WorldEdit"/>
        <s v="QKA"/>
        <s v="trk"/>
        <s v="somebody"/>
        <s v="shroud"/>
        <s v="Pimp"/>
        <s v="boltz"/>
        <s v="HObbit"/>
        <s v="Brollan"/>
        <s v="DD"/>
        <s v="roeJ"/>
        <s v="dycha"/>
        <s v="NikoM"/>
        <s v="FalleN"/>
        <s v="snatchie"/>
        <s v="shz"/>
        <s v="chelo"/>
        <s v="hardzao"/>
        <s v="fame"/>
        <s v="ofnu"/>
        <s v="AnJ"/>
        <s v="Ethan"/>
        <s v="flameZ"/>
        <s v="b1t"/>
        <s v="zhokiNg"/>
        <s v="SHiPZ"/>
        <s v="Happy"/>
        <s v="acoR"/>
        <s v="NikkeZ"/>
        <s v="COLDYY1"/>
        <s v="b4rtiN"/>
        <s v="rigoN"/>
        <s v="Skadoodle"/>
        <s v="flying"/>
        <s v="pancc"/>
        <s v="Maka"/>
        <s v="koosta"/>
        <s v="Valiance"/>
        <s v="tucks"/>
        <s v="TOR"/>
        <s v="olofmeister"/>
        <s v="suNny"/>
        <s v="malbsMd"/>
        <s v="Gratisfaction"/>
        <s v="shalfey"/>
        <s v="SLOWLY"/>
        <s v="nexa"/>
        <s v="rallen"/>
        <s v="Rainwaker"/>
        <s v="bottle"/>
        <s v="remix"/>
        <s v="ISSAA"/>
        <s v="JW"/>
        <s v="Sobol"/>
        <s v="afro"/>
        <s v="iM"/>
        <s v="Ramz1kBO$$"/>
        <s v="HZ"/>
        <s v="Marcelious"/>
        <s v="cajunb"/>
        <s v="tabseN"/>
        <s v="zeph"/>
        <s v="mou"/>
        <s v="stavn"/>
        <s v="REDSTAR"/>
        <s v="KRIMZ"/>
        <s v="KEi"/>
        <s v="TeSeS"/>
        <s v="yay"/>
        <s v="FASHR"/>
        <s v="juanflatroo"/>
        <s v="sdy"/>
        <s v="SicK"/>
        <s v="NEEX"/>
        <s v="Aerial"/>
        <s v="loWel"/>
        <s v="nin9"/>
        <s v="raafa"/>
        <s v="Grim"/>
        <s v="Zellsis"/>
        <s v="Qikert"/>
        <s v="Flarich"/>
        <s v="rommi"/>
        <s v="WolfY"/>
        <s v="MarKE"/>
        <s v="cadiaN"/>
        <s v="Lucky"/>
        <s v="refrezh"/>
        <s v="DavCost"/>
        <s v="malta"/>
        <s v="Kjaerbye"/>
        <s v="Bwills"/>
        <s v="jkaem"/>
        <s v="flusha"/>
        <s v="Snakes"/>
        <s v="zewsy"/>
        <s v="Swahn"/>
        <s v="STOMP"/>
        <s v="aumaN"/>
        <s v="n0rb3r7"/>
        <s v="motm"/>
        <s v="Hiko"/>
        <s v="Geniuss"/>
        <s v="Snax"/>
        <s v="HSK"/>
        <s v="Bubzkji"/>
        <s v="ANDROID"/>
        <s v="KHTEX"/>
        <s v="kabal"/>
        <s v="LOVEYY"/>
        <s v="buster"/>
        <s v="fleav"/>
        <s v="phzy"/>
        <s v="twist"/>
        <s v="eraa"/>
        <s v="Lucaozy"/>
        <s v="Davidp"/>
        <s v="tb"/>
        <s v="dEE"/>
        <s v="land1n"/>
        <s v="tarik"/>
        <s v="REZ"/>
        <s v="Kntz"/>
        <s v="rAge"/>
        <s v="JUST"/>
        <s v="sjuush"/>
        <s v="max"/>
        <s v="NK4Y"/>
        <s v="Subroza"/>
        <s v="USTILO"/>
        <s v="TRAVIS"/>
        <s v="dobu"/>
        <s v="alex"/>
        <s v="yam"/>
        <s v="Patsi"/>
        <s v="Relaxa"/>
        <s v="znajder"/>
        <s v="DEV7L"/>
        <s v="AiyvaN"/>
        <s v="Maden"/>
        <s v="captainMo"/>
        <s v="Thomas"/>
        <s v="RCF"/>
        <s v="JonY BoY"/>
        <s v="rain"/>
        <s v="kressy"/>
        <s v="cxzi"/>
        <s v="juho"/>
        <s v="F1KU"/>
        <s v="DiMKE"/>
        <s v="stfN"/>
        <s v="chawzyyy"/>
        <s v="imoRR"/>
        <s v="shuadapai"/>
        <s v="aizy"/>
        <s v="Spargo"/>
        <s v="RIKO"/>
        <s v="dennis"/>
        <s v="food"/>
        <s v="fl0m"/>
        <s v="Forester"/>
        <s v="b0denmaster"/>
        <s v="pashaBiceps"/>
        <s v="KENSI"/>
        <s v="hoody"/>
        <s v="CyberFocus"/>
        <s v="kai"/>
        <s v="glowiing"/>
        <s v="Swisher"/>
        <s v="flamie"/>
        <s v="sLowi"/>
        <s v="smiley"/>
        <s v="AMANEK"/>
        <s v="dragonfly"/>
        <s v="HS"/>
        <s v="jdm64"/>
        <s v="fnx"/>
        <s v="NBK-"/>
        <s v="kolor"/>
        <s v="MonttY"/>
        <s v="FANAT ROCKA"/>
        <s v="DeStiNy"/>
        <s v="FaNg"/>
        <s v="Maluk3"/>
        <s v="disco doplan"/>
        <s v="Nico"/>
        <s v="mouz"/>
        <s v="bondik"/>
        <s v="qqGOD"/>
        <s v="v1c7oR"/>
        <s v="HexT"/>
        <s v="MoeycQ"/>
        <s v="Voltage"/>
        <s v="Spongey"/>
        <s v="Krad"/>
        <s v="spaze"/>
        <s v="Ace"/>
        <s v="MarkoÅ›"/>
        <s v="dimasick"/>
        <s v="Goofy"/>
        <s v="queztone"/>
        <s v="ROBO"/>
        <s v="steel"/>
        <s v="yel"/>
        <s v="Xyp9x"/>
        <s v="TENZKI"/>
        <s v="fr0slev"/>
        <s v="LETN1"/>
        <s v="apEX"/>
        <s v="fox"/>
        <s v="NENO"/>
        <s v="n0thing"/>
        <s v="Plopski"/>
        <s v="mar"/>
        <s v="SKYTTEN"/>
        <s v="roseau"/>
        <s v="szejn"/>
        <s v="roca"/>
        <s v="xCeeD"/>
        <s v="iDk"/>
        <s v="flickz"/>
        <s v="Tuurtle"/>
        <s v="Nodios"/>
        <s v="chrisJ"/>
        <s v="aproto"/>
        <s v="delboNi"/>
        <s v="Jyo"/>
        <s v="bedonka"/>
        <s v="es3tag"/>
        <s v="Zyphon"/>
        <s v="shokz"/>
        <s v="GruBy"/>
        <s v="desi"/>
        <s v="PlesseN"/>
        <s v="SHOCK"/>
        <s v="HUGHMUNGUS"/>
        <s v="b0RUP"/>
        <s v="hampus"/>
        <s v="tatazin"/>
        <s v="Maikelele"/>
        <s v="Lekr0"/>
        <s v="mitch"/>
        <s v="clax"/>
        <s v="EasTor"/>
        <s v="jedqr"/>
        <s v="JDC"/>
        <n v="1962"/>
        <s v="Kylar"/>
        <s v="Noobster"/>
        <s v="Viva"/>
        <s v="byali"/>
        <s v="obj"/>
        <s v="spyleadeR"/>
        <s v="kreaz"/>
        <s v="stadodo"/>
        <s v="mirbit"/>
        <s v="J0LZ"/>
        <s v="Friis"/>
        <s v="grux"/>
        <s v="dazzLe"/>
        <s v="ayaya"/>
        <s v="ap0c"/>
        <s v="reatz"/>
        <s v="siuhy"/>
        <s v="Stewie2K"/>
        <s v="kalinka"/>
        <s v="Jinxx"/>
        <s v="to1nou"/>
        <s v="DickStacy"/>
        <s v="jR"/>
        <s v="DESPE"/>
        <s v="kioShiMa"/>
        <s v="speed4k"/>
        <s v="FugLy"/>
        <s v="emagine"/>
        <s v="Nifty"/>
        <s v="Polt"/>
        <s v="arT"/>
        <s v="MINISE"/>
        <s v="waterfaLLZ"/>
        <s v="Cabbi"/>
        <s v="pounh"/>
        <s v="Zero"/>
        <s v="zqkS"/>
        <s v="innocent"/>
        <s v="Relyks"/>
        <s v="fenvicious"/>
        <s v="glace"/>
        <s v="Oderus"/>
        <s v="1uke"/>
        <s v="leo_drk"/>
        <s v="Edward"/>
        <s v="Tsogoo"/>
        <s v="hazed"/>
        <s v="xiaosaGe"/>
        <s v="SIXER"/>
        <s v="kenzor"/>
        <s v="R0b3n"/>
        <s v="Lack1"/>
        <s v="cbbk"/>
        <s v="dzt"/>
        <s v="ImpressioN"/>
        <s v="almazer"/>
        <s v="Djoko"/>
        <s v="KILLDREAM"/>
        <s v="Basso"/>
        <s v="RoLEX"/>
        <s v="zeff"/>
        <s v="ALLE"/>
        <s v="mopoz"/>
        <s v="supra"/>
        <s v="cromen"/>
        <s v="SZPERO"/>
        <s v="adreN"/>
        <s v="xseveN"/>
        <s v="void"/>
        <s v="pyth"/>
        <s v="MODDII"/>
        <s v="cam"/>
        <s v="peet"/>
        <s v="nitr0"/>
        <s v="mds"/>
        <s v="pecks"/>
        <s v="STYKO"/>
        <s v="truth"/>
        <s v="Noktse"/>
        <s v="vice"/>
        <s v="Baaten"/>
        <s v="uli"/>
        <s v="MUTiRiS"/>
        <s v="freddieb"/>
        <s v="SEMPHIS"/>
        <s v="dephh"/>
        <s v="realz1n"/>
        <s v="freakazoid"/>
        <s v="Jerry"/>
        <s v="magixx"/>
        <s v="YDNA"/>
        <s v="robiin"/>
        <s v="gMd"/>
        <s v="markeloff"/>
        <s v="Puls3"/>
        <s v="Vegi"/>
        <s v="neptune"/>
        <s v="xelos"/>
        <s v="rbz"/>
        <s v="BENDJI"/>
        <s v="dukefissura"/>
        <s v="reversive"/>
        <s v="jaxi"/>
        <s v="BARBARR"/>
        <s v="VINI"/>
        <s v="Liki"/>
        <s v="morelz"/>
        <s v="k1to"/>
        <s v="notaN"/>
        <s v="pesadelo"/>
        <s v="kory"/>
        <s v="JIaYm"/>
        <s v="ANGE1"/>
        <s v="kaboose"/>
        <s v="facecrack"/>
        <s v="Dimaoneshot"/>
        <s v="Drone"/>
        <s v="DemQQ"/>
        <s v="rmn"/>
        <s v="Dosia"/>
        <s v="vanity"/>
        <s v="krii"/>
        <s v="fitch"/>
        <s v="DeathZz"/>
        <s v="gade"/>
        <s v="djay"/>
        <s v="SAGGERTON"/>
        <s v="larsen"/>
        <s v="bubble"/>
        <s v="Lukki"/>
        <s v="jabbi"/>
        <s v="AZR"/>
        <s v="J1rah"/>
        <s v="ryotzz"/>
        <s v="bodyy"/>
        <s v="NEKIZ"/>
        <s v="sXe"/>
        <s v="chop"/>
        <s v="JACKZ"/>
        <s v="DAVEY"/>
        <s v="Furlan"/>
        <s v="stellar"/>
        <s v="Xizt"/>
        <s v="Jonji"/>
        <s v="RUBINO"/>
        <s v="ryann"/>
        <s v="gla1ve"/>
        <s v="Zix"/>
        <s v="Perfecto"/>
        <s v="isak"/>
        <s v="DeadFox"/>
        <s v="wiz"/>
        <s v="zende"/>
        <s v="Daffu"/>
        <s v="Spiidi"/>
        <s v="bq"/>
        <s v="apocdud"/>
        <s v="anger"/>
        <s v="NickelBack"/>
        <s v="WOOD7"/>
        <s v="doto"/>
        <s v="tifa"/>
        <s v="Fadey"/>
        <s v="Norwi"/>
        <s v="Llamas"/>
        <s v="kwezz"/>
        <s v="SHOOWTiME"/>
        <s v="syken"/>
        <s v="ZEDKO"/>
        <s v="jnt"/>
        <s v="prt"/>
        <s v="FinigaN"/>
        <s v="niki1"/>
        <s v="BURNRUOk"/>
        <s v="Radifaction"/>
        <s v="BIT"/>
        <s v="Boombl4"/>
        <s v="Sergiz"/>
        <s v="PERCY"/>
        <s v="blocker"/>
        <s v="leman"/>
        <s v="Sapec"/>
        <s v="RUSH"/>
        <s v="RpK"/>
        <s v="sinnopsyy"/>
        <s v="SPELLAN"/>
        <s v="Bymas"/>
        <s v="mono"/>
        <s v="Queenix"/>
        <s v="RuStY"/>
        <s v="raalz"/>
        <s v="jmqa"/>
        <s v="DeStRoYeR"/>
        <s v="Keoz"/>
        <s v="seb"/>
        <s v="propleh"/>
        <s v="kUcheR"/>
        <s v="stk"/>
        <s v="ELUSIVE"/>
        <s v="oskarish"/>
        <s v="SOKER"/>
        <s v="ice"/>
        <s v="PKL"/>
        <s v="DEVIL"/>
        <s v="seized"/>
        <s v="MAIROLLS"/>
        <s v="gabesson"/>
        <s v="Mayker"/>
        <s v="KHRN"/>
        <s v="Leaf"/>
        <s v="phr"/>
        <s v="reltuC"/>
        <s v="chopper"/>
        <s v="Drea3er"/>
        <s v="Hyper"/>
        <s v="Surreal"/>
        <s v="TMB"/>
        <s v="LUCAS1"/>
        <s v="The eLiVe"/>
        <s v="Maniac"/>
        <s v="starix"/>
        <s v="nosraC"/>
        <s v="SmithZz"/>
        <s v="kaper"/>
        <s v="nafany"/>
        <s v="Marek"/>
        <s v="SADDYX"/>
        <s v="maeVe"/>
        <s v="Kairi"/>
        <s v="Tommy"/>
        <s v="bodito"/>
        <s v="Walco"/>
        <s v="stanislaw"/>
        <s v="SEMINTE"/>
        <s v="expro"/>
        <s v="HOLMES"/>
        <s v="xms"/>
        <s v="w1nt3r"/>
        <s v="Uber"/>
        <s v="Aleksib"/>
        <s v="glow"/>
        <s v="Kvik"/>
        <s v="ProbLeM"/>
        <s v="Kristou"/>
        <s v="MAJ3R"/>
        <s v="JazzPimp"/>
        <s v="LOGAN"/>
        <s v="tiziaN"/>
        <s v="0i"/>
        <s v="nbl"/>
        <s v="smF"/>
        <s v="YJ"/>
        <s v="kinqie"/>
        <s v="Snappi"/>
        <s v="tahsiN"/>
        <s v="maNkz"/>
        <s v="ponczek"/>
        <s v="PR1mE"/>
        <s v="NEO"/>
        <s v="misutaaa"/>
        <s v="denis"/>
        <s v="RZU"/>
        <s v="beastik"/>
        <s v="alexRr"/>
        <s v="dezon"/>
        <s v="dumz"/>
        <s v="friberg"/>
        <s v="caike"/>
        <s v="TaZ"/>
        <s v="Console"/>
        <s v="devoduvek"/>
        <s v="CONNOR93"/>
        <s v="soju_j"/>
        <s v="KrizzeN"/>
        <s v="dERZKIY"/>
        <s v="darko"/>
        <s v="RAiLWAY"/>
        <s v="Grus"/>
        <s v="H4RR3"/>
        <s v="oxygeN"/>
        <s v="AcilioN"/>
        <s v="JT"/>
        <s v="flashie"/>
        <s v="strux1"/>
        <s v="arvid"/>
        <s v="ecfN"/>
        <s v="Karsa"/>
        <s v="Inzta"/>
        <s v="rafftu"/>
        <s v="uNdo"/>
        <s v="vSa"/>
        <s v="Rock1nG"/>
        <s v="Fifflaren"/>
        <s v="kzy"/>
        <s v="boX"/>
        <s v="TOAO"/>
        <s v="SileNt"/>
        <s v="tonyblack"/>
        <s v="Twixie"/>
        <s v="arch"/>
        <s v="Shakezullah"/>
        <s v="EXUS"/>
        <s v="RIZZZ"/>
        <s v="LOMME"/>
        <s v="interz"/>
        <s v="Ex6TenZ"/>
        <s v="ub1que"/>
        <s v="BRACE"/>
        <s v="Noisia"/>
        <s v="ngiN"/>
        <s v="forget"/>
        <s v="Sidney"/>
        <s v="repo"/>
        <s v="neaLaN"/>
        <s v="DANZ"/>
        <s v="tutehen"/>
        <s v="emi"/>
        <s v="Duplicate"/>
        <s v="Polly"/>
        <s v="hutji"/>
        <s v="ztr"/>
        <s v="crisby"/>
        <s v="matty"/>
        <s v="mynio"/>
        <s v="kiR"/>
        <s v="SkulL"/>
        <s v="quix"/>
        <s v="aVN"/>
        <s v="S0tF1k"/>
        <s v="TACO"/>
        <s v="hitMouse"/>
        <s v="Xp3"/>
        <s v="pNshr"/>
        <s v="arki"/>
        <s v="MSL"/>
        <s v="SANJI"/>
        <s v="sorrow"/>
        <s v="Luz"/>
        <s v="Zeus"/>
        <s v="akez"/>
        <s v="nak"/>
        <s v="arya"/>
        <s v="BTN"/>
        <s v="ncl"/>
        <s v="pietola"/>
        <s v="svyat"/>
        <s v="SENER1"/>
        <s v="Dav"/>
        <s v="karrigan"/>
        <s v="xartE"/>
        <s v="LEGIJA"/>
        <s v="roman"/>
        <s v="Shara"/>
        <s v="wayLander"/>
        <s v="BONA"/>
        <s v="sAw"/>
        <s v="coolio"/>
        <s v="kRYSTAL"/>
        <s v="MiGHTYMAX"/>
        <s v="crush"/>
        <s v="balblna"/>
        <s v="ben1337"/>
        <s v="sycrone"/>
        <s v="nkl"/>
        <s v="hooch"/>
        <s v="Golden"/>
        <s v="lunAtic"/>
        <s v="FNS"/>
        <s v="spiker"/>
        <s v="Psycho"/>
        <s v="Adam9130"/>
        <s v="JiNKZ"/>
        <s v="MAiNLiNE"/>
        <s v="pronax"/>
        <s v="Polen"/>
        <s v="IceBerg"/>
        <s v="Lambert"/>
        <s v="LeX"/>
        <s v="ScrunK"/>
        <s v="torben"/>
        <s v="seang@res"/>
        <s v="daps"/>
        <s v="flowsicK"/>
        <s v="BERRY"/>
        <s v="birdfromsky"/>
        <s v="advent"/>
        <s v="nawrot"/>
        <s v="HooXi"/>
        <s v="def"/>
        <s v="djL"/>
        <s v="Devilwalk"/>
        <s v="Twista"/>
        <s v="gob b"/>
        <s v="Slemmy"/>
        <s v="PASHANOJ"/>
        <s v="B1ad3"/>
        <s v="netrick"/>
        <s v="HUNDEN"/>
        <s v="RuFire"/>
        <s v="OCEAN"/>
      </sharedItems>
    </cacheField>
    <cacheField name="real_name" numFmtId="0">
      <sharedItems/>
    </cacheField>
    <cacheField name="age" numFmtId="0">
      <sharedItems containsSemiMixedTypes="0" containsString="0" containsNumber="1" containsInteger="1" minValue="17" maxValue="36" count="20">
        <n v="21"/>
        <n v="24"/>
        <n v="27"/>
        <n v="28"/>
        <n v="22"/>
        <n v="26"/>
        <n v="23"/>
        <n v="20"/>
        <n v="25"/>
        <n v="31"/>
        <n v="33"/>
        <n v="29"/>
        <n v="34"/>
        <n v="18"/>
        <n v="30"/>
        <n v="32"/>
        <n v="19"/>
        <n v="17"/>
        <n v="35"/>
        <n v="36"/>
      </sharedItems>
    </cacheField>
    <cacheField name="country" numFmtId="0">
      <sharedItems count="53">
        <s v="France"/>
        <s v="Ukraine"/>
        <s v="Russia"/>
        <s v="Brazil"/>
        <s v="Malaysia"/>
        <s v="United Kingdom"/>
        <s v="New Zealand"/>
        <s v="Turkey"/>
        <s v="Hungary"/>
        <s v="Denmark"/>
        <s v="China"/>
        <s v="Bosnia and Herzegovina"/>
        <s v="Indonesia"/>
        <s v="Korea"/>
        <s v="Singapore"/>
        <s v="Australia"/>
        <s v="Romania"/>
        <s v="Poland"/>
        <s v="Czech Republic"/>
        <s v="Hong Kong"/>
        <s v="Slovakia"/>
        <s v="Mongolia"/>
        <s v="Estonia"/>
        <s v="Finland"/>
        <s v="United States"/>
        <s v="Bulgaria"/>
        <s v="Thailand"/>
        <s v="Canada"/>
        <s v="Uruguay"/>
        <s v="Sweden"/>
        <s v="Spain"/>
        <s v="Israel"/>
        <s v="Germany"/>
        <s v="Belarus"/>
        <s v="South Africa"/>
        <s v="Belgium"/>
        <s v="Lithuania"/>
        <s v="Serbia"/>
        <s v="Argentina"/>
        <s v="Latvia"/>
        <s v="Norway"/>
        <s v="Netherlands"/>
        <s v="Kazakhstan"/>
        <s v="Switzerland"/>
        <s v="Guatemala"/>
        <s v="Jordan"/>
        <s v="Kosovo"/>
        <s v="Mexico"/>
        <s v="Portugal"/>
        <s v="Montenegro"/>
        <s v="North Macedonia"/>
        <s v="Taiwan"/>
        <s v="Uzbekistan"/>
      </sharedItems>
    </cacheField>
    <cacheField name="current_team" numFmtId="0">
      <sharedItems containsBlank="1" containsMixedTypes="1" containsNumber="1" containsInteger="1" minValue="777" maxValue="777"/>
    </cacheField>
    <cacheField name="teams" numFmtId="0">
      <sharedItems/>
    </cacheField>
    <cacheField name="total_kills" numFmtId="0">
      <sharedItems containsSemiMixedTypes="0" containsString="0" containsNumber="1" containsInteger="1" minValue="5530" maxValue="40979"/>
    </cacheField>
    <cacheField name="total_deaths" numFmtId="0">
      <sharedItems containsSemiMixedTypes="0" containsString="0" containsNumber="1" containsInteger="1" minValue="6166" maxValue="38534"/>
    </cacheField>
    <cacheField name="headshot_percentage" numFmtId="0">
      <sharedItems count="302">
        <s v="41.20%"/>
        <s v="41.30%"/>
        <s v="27.80%"/>
        <s v="36.70%"/>
        <s v="30.90%"/>
        <s v="30.30%"/>
        <s v="34.70%"/>
        <s v="31.60%"/>
        <s v="53.30%"/>
        <s v="31.30%"/>
        <s v="29.10%"/>
        <s v="35.00%"/>
        <s v="39.70%"/>
        <s v="50.40%"/>
        <s v="39.20%"/>
        <s v="39.80%"/>
        <s v="49.40%"/>
        <s v="35.40%"/>
        <s v="52.40%"/>
        <s v="46.70%"/>
        <s v="40.30%"/>
        <s v="25.20%"/>
        <s v="40.40%"/>
        <s v="28.50%"/>
        <s v="30.50%"/>
        <s v="27.10%"/>
        <s v="31.20%"/>
        <s v="49.10%"/>
        <s v="35.70%"/>
        <s v="54.60%"/>
        <s v="47.00%"/>
        <s v="32.00%"/>
        <s v="50.10%"/>
        <s v="44.30%"/>
        <s v="32.10%"/>
        <s v="27.70%"/>
        <s v="42.50%"/>
        <s v="32.70%"/>
        <s v="51.60%"/>
        <s v="31.80%"/>
        <s v="49.70%"/>
        <s v="36.10%"/>
        <s v="24.90%"/>
        <s v="36.50%"/>
        <s v="62.30%"/>
        <s v="38.40%"/>
        <s v="49.50%"/>
        <s v="29.60%"/>
        <s v="31.70%"/>
        <s v="26.90%"/>
        <s v="49.00%"/>
        <s v="51.30%"/>
        <s v="50.80%"/>
        <s v="27.90%"/>
        <s v="51.90%"/>
        <s v="37.00%"/>
        <s v="33.60%"/>
        <s v="41.60%"/>
        <s v="32.50%"/>
        <s v="28.60%"/>
        <s v="27.20%"/>
        <s v="52.10%"/>
        <s v="28.80%"/>
        <s v="36.60%"/>
        <s v="48.60%"/>
        <s v="37.60%"/>
        <s v="35.10%"/>
        <s v="44.10%"/>
        <s v="38.10%"/>
        <s v="50.30%"/>
        <s v="56.20%"/>
        <s v="29.40%"/>
        <s v="49.30%"/>
        <s v="60.00%"/>
        <s v="51.20%"/>
        <s v="49.20%"/>
        <s v="32.40%"/>
        <s v="57.00%"/>
        <s v="46.60%"/>
        <s v="46.00%"/>
        <s v="36.30%"/>
        <s v="43.00%"/>
        <s v="41.80%"/>
        <s v="32.30%"/>
        <s v="68.10%"/>
        <s v="29.80%"/>
        <s v="31.40%"/>
        <s v="48.80%"/>
        <s v="51.50%"/>
        <s v="40.00%"/>
        <s v="46.80%"/>
        <s v="56.00%"/>
        <s v="54.20%"/>
        <s v="45.00%"/>
        <s v="55.70%"/>
        <s v="50.50%"/>
        <s v="46.40%"/>
        <s v="47.60%"/>
        <s v="43.90%"/>
        <s v="48.20%"/>
        <s v="29.30%"/>
        <s v="34.00%"/>
        <s v="45.10%"/>
        <s v="48.90%"/>
        <s v="50.90%"/>
        <s v="36.40%"/>
        <s v="50.70%"/>
        <s v="33.10%"/>
        <s v="37.70%"/>
        <s v="26.00%"/>
        <s v="36.80%"/>
        <s v="27.00%"/>
        <s v="59.10%"/>
        <s v="52.90%"/>
        <s v="45.90%"/>
        <s v="30.80%"/>
        <s v="34.10%"/>
        <s v="50.20%"/>
        <s v="29.50%"/>
        <s v="29.00%"/>
        <s v="46.20%"/>
        <s v="33.80%"/>
        <s v="59.90%"/>
        <s v="28.00%"/>
        <s v="45.80%"/>
        <s v="39.30%"/>
        <s v="52.50%"/>
        <s v="41.90%"/>
        <s v="55.30%"/>
        <s v="53.60%"/>
        <s v="51.10%"/>
        <s v="60.70%"/>
        <s v="57.70%"/>
        <s v="53.00%"/>
        <s v="67.90%"/>
        <s v="51.00%"/>
        <s v="50.00%"/>
        <s v="46.50%"/>
        <s v="55.10%"/>
        <s v="55.00%"/>
        <s v="24.80%"/>
        <s v="50.60%"/>
        <s v="35.80%"/>
        <s v="37.30%"/>
        <s v="28.90%"/>
        <s v="47.40%"/>
        <s v="62.90%"/>
        <s v="31.90%"/>
        <s v="59.30%"/>
        <s v="42.30%"/>
        <s v="56.80%"/>
        <s v="27.30%"/>
        <s v="55.50%"/>
        <s v="34.80%"/>
        <s v="48.70%"/>
        <s v="41.00%"/>
        <s v="48.40%"/>
        <s v="42.90%"/>
        <s v="40.80%"/>
        <s v="46.30%"/>
        <s v="57.20%"/>
        <s v="49.80%"/>
        <s v="47.50%"/>
        <s v="27.40%"/>
        <s v="48.10%"/>
        <s v="56.30%"/>
        <s v="53.10%"/>
        <s v="27.60%"/>
        <s v="39.60%"/>
        <s v="42.00%"/>
        <s v="43.30%"/>
        <s v="25.70%"/>
        <s v="26.10%"/>
        <s v="41.70%"/>
        <s v="53.90%"/>
        <s v="56.40%"/>
        <s v="31.10%"/>
        <s v="45.50%"/>
        <s v="52.00%"/>
        <s v="47.90%"/>
        <s v="29.20%"/>
        <s v="33.50%"/>
        <s v="49.90%"/>
        <s v="31.00%"/>
        <s v="37.80%"/>
        <s v="49.60%"/>
        <s v="47.20%"/>
        <s v="62.10%"/>
        <s v="41.40%"/>
        <s v="54.50%"/>
        <s v="45.70%"/>
        <s v="34.60%"/>
        <s v="44.80%"/>
        <s v="30.20%"/>
        <s v="34.20%"/>
        <s v="40.20%"/>
        <s v="41.50%"/>
        <s v="43.20%"/>
        <s v="36.90%"/>
        <s v="54.70%"/>
        <s v="46.90%"/>
        <s v="32.90%"/>
        <s v="52.70%"/>
        <s v="54.40%"/>
        <s v="30.10%"/>
        <s v="53.80%"/>
        <s v="33.40%"/>
        <s v="29.70%"/>
        <s v="35.30%"/>
        <s v="55.20%"/>
        <s v="45.20%"/>
        <s v="25.10%"/>
        <s v="23.60%"/>
        <s v="53.70%"/>
        <s v="47.70%"/>
        <s v="40.90%"/>
        <s v="41.10%"/>
        <s v="44.70%"/>
        <s v="45.60%"/>
        <s v="29.90%"/>
        <s v="48.00%"/>
        <s v="51.70%"/>
        <s v="52.60%"/>
        <s v="51.40%"/>
        <s v="44.00%"/>
        <s v="48.30%"/>
        <s v="57.80%"/>
        <s v="44.60%"/>
        <s v="40.70%"/>
        <s v="42.40%"/>
        <s v="55.40%"/>
        <s v="63.80%"/>
        <s v="44.40%"/>
        <s v="54.80%"/>
        <s v="28.30%"/>
        <s v="53.40%"/>
        <s v="59.00%"/>
        <s v="34.50%"/>
        <s v="26.30%"/>
        <s v="67.10%"/>
        <s v="52.80%"/>
        <s v="43.40%"/>
        <s v="55.60%"/>
        <s v="52.20%"/>
        <s v="34.30%"/>
        <s v="26.40%"/>
        <s v="39.10%"/>
        <s v="61.80%"/>
        <s v="44.20%"/>
        <s v="58.00%"/>
        <s v="57.50%"/>
        <s v="56.50%"/>
        <s v="57.30%"/>
        <s v="38.90%"/>
        <s v="53.50%"/>
        <s v="47.30%"/>
        <s v="43.60%"/>
        <s v="40.50%"/>
        <s v="42.70%"/>
        <s v="54.90%"/>
        <s v="53.20%"/>
        <s v="42.60%"/>
        <s v="30.00%"/>
        <s v="59.60%"/>
        <s v="46.10%"/>
        <s v="37.20%"/>
        <s v="58.30%"/>
        <s v="28.70%"/>
        <s v="35.60%"/>
        <s v="58.50%"/>
        <s v="57.10%"/>
        <s v="42.10%"/>
        <s v="58.20%"/>
        <s v="51.80%"/>
        <s v="57.40%"/>
        <s v="39.40%"/>
        <s v="43.70%"/>
        <s v="54.30%"/>
        <s v="56.10%"/>
        <s v="55.80%"/>
        <s v="44.50%"/>
        <s v="39.50%"/>
        <s v="44.90%"/>
        <s v="63.70%"/>
        <s v="59.20%"/>
        <s v="37.50%"/>
        <s v="45.30%"/>
        <s v="52.30%"/>
        <s v="40.60%"/>
        <s v="61.50%"/>
        <s v="39.90%"/>
        <s v="62.20%"/>
        <s v="43.50%"/>
        <s v="34.90%"/>
        <s v="47.10%"/>
        <s v="43.10%"/>
        <s v="37.10%"/>
        <s v="38.80%"/>
        <s v="40.10%"/>
        <s v="38.00%"/>
        <s v="35.90%"/>
        <s v="48.50%"/>
      </sharedItems>
    </cacheField>
    <cacheField name="damage_per_round" numFmtId="0">
      <sharedItems containsMixedTypes="1" containsNumber="1" containsInteger="1" minValue="63" maxValue="88"/>
    </cacheField>
    <cacheField name="grenade_dmg_per_round" numFmtId="0">
      <sharedItems containsMixedTypes="1" containsNumber="1" containsInteger="1" minValue="2" maxValue="7"/>
    </cacheField>
    <cacheField name="maps_played" numFmtId="0">
      <sharedItems containsSemiMixedTypes="0" containsString="0" containsNumber="1" containsInteger="1" minValue="379" maxValue="2219"/>
    </cacheField>
    <cacheField name="rounds_played" numFmtId="0">
      <sharedItems containsSemiMixedTypes="0" containsString="0" containsNumber="1" containsInteger="1" minValue="9815" maxValue="58263"/>
    </cacheField>
    <cacheField name="kills_per_round" numFmtId="0">
      <sharedItems/>
    </cacheField>
    <cacheField name="assists_per_round" numFmtId="0">
      <sharedItems/>
    </cacheField>
    <cacheField name="deaths_per_round" numFmtId="0">
      <sharedItems/>
    </cacheField>
    <cacheField name="saved_by_teammate_per_round" numFmtId="0">
      <sharedItems/>
    </cacheField>
    <cacheField name="saved_teammates_per_round" numFmtId="0">
      <sharedItems/>
    </cacheField>
    <cacheField name="rounds_with_kills" numFmtId="0">
      <sharedItems containsSemiMixedTypes="0" containsString="0" containsNumber="1" containsInteger="1" minValue="4080" maxValue="27163"/>
    </cacheField>
    <cacheField name="kill_to_death_diff" numFmtId="0">
      <sharedItems/>
    </cacheField>
    <cacheField name="total_opening_kills" numFmtId="0">
      <sharedItems containsSemiMixedTypes="0" containsString="0" containsNumber="1" containsInteger="1" minValue="511" maxValue="7189"/>
    </cacheField>
    <cacheField name="total_opening_deaths" numFmtId="0">
      <sharedItems containsSemiMixedTypes="0" containsString="0" containsNumber="1" containsInteger="1" minValue="648" maxValue="6666"/>
    </cacheField>
    <cacheField name="opening_kill_ratio" numFmtId="0">
      <sharedItems containsMixedTypes="1" containsNumber="1" containsInteger="1" minValue="1" maxValue="1"/>
    </cacheField>
    <cacheField name="opening_kill_rating" numFmtId="0">
      <sharedItems containsMixedTypes="1" containsNumber="1" containsInteger="1" minValue="1" maxValue="1"/>
    </cacheField>
    <cacheField name="team_win_percent_after_first_kill" numFmtId="0">
      <sharedItems/>
    </cacheField>
    <cacheField name="first_kill_in_won_rounds" numFmtId="0">
      <sharedItems/>
    </cacheField>
    <cacheField name="0_kill_rounds" numFmtId="0">
      <sharedItems containsSemiMixedTypes="0" containsString="0" containsNumber="1" containsInteger="1" minValue="4966" maxValue="31442"/>
    </cacheField>
    <cacheField name="1_kill_rounds" numFmtId="0">
      <sharedItems containsSemiMixedTypes="0" containsString="0" containsNumber="1" containsInteger="1" minValue="2819" maxValue="17614"/>
    </cacheField>
    <cacheField name="2_kill_rounds" numFmtId="0">
      <sharedItems containsSemiMixedTypes="0" containsString="0" containsNumber="1" containsInteger="1" minValue="950" maxValue="7563"/>
    </cacheField>
    <cacheField name="3_kill_rounds" numFmtId="0">
      <sharedItems containsSemiMixedTypes="0" containsString="0" containsNumber="1" containsInteger="1" minValue="192" maxValue="2414"/>
    </cacheField>
    <cacheField name="4_kill_rounds" numFmtId="0">
      <sharedItems containsSemiMixedTypes="0" containsString="0" containsNumber="1" containsInteger="1" minValue="33" maxValue="564"/>
    </cacheField>
    <cacheField name="5_kill_rounds" numFmtId="0">
      <sharedItems containsSemiMixedTypes="0" containsString="0" containsNumber="1" containsInteger="1" minValue="0" maxValue="71"/>
    </cacheField>
    <cacheField name="rifle_kills" numFmtId="0">
      <sharedItems containsSemiMixedTypes="0" containsString="0" containsNumber="1" containsInteger="1" minValue="1140" maxValue="30174"/>
    </cacheField>
    <cacheField name="sniper_kills" numFmtId="0">
      <sharedItems containsSemiMixedTypes="0" containsString="0" containsNumber="1" containsInteger="1" minValue="7" maxValue="20663"/>
    </cacheField>
    <cacheField name="smg_kills" numFmtId="0">
      <sharedItems containsSemiMixedTypes="0" containsString="0" containsNumber="1" containsInteger="1" minValue="105" maxValue="3495"/>
    </cacheField>
    <cacheField name="pistol_kills" numFmtId="0">
      <sharedItems containsSemiMixedTypes="0" containsString="0" containsNumber="1" containsInteger="1" minValue="669" maxValue="7496"/>
    </cacheField>
    <cacheField name="grenade_kills" numFmtId="0">
      <sharedItems containsSemiMixedTypes="0" containsString="0" containsNumber="1" containsInteger="1" minValue="40" maxValue="1003"/>
    </cacheField>
    <cacheField name="other_kills" numFmtId="0">
      <sharedItems containsSemiMixedTypes="0" containsString="0" containsNumber="1" containsInteger="1" minValue="3" maxValue="1001"/>
    </cacheField>
    <cacheField name="rating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n v="8346"/>
    <s v="jdm64"/>
    <s v="Josh Marzano"/>
    <x v="0"/>
    <x v="0"/>
    <m/>
    <s v="Liquid, CLG, Envy"/>
    <n v="14626"/>
    <n v="13801"/>
    <s v="23.60%"/>
    <s v="70.1"/>
    <s v="2.9"/>
    <n v="823"/>
    <n v="21321"/>
    <s v="0.69"/>
    <s v="0.1"/>
    <s v="0.65"/>
    <s v="0.1"/>
    <s v="0.09"/>
    <n v="9980"/>
    <s v="K - D diff."/>
    <n v="2613"/>
    <n v="1953"/>
    <s v="1.34"/>
    <s v="1.13"/>
    <s v="74.30%"/>
    <s v="17.90%"/>
    <n v="11341"/>
    <n v="6437"/>
    <n v="2625"/>
    <n v="757"/>
    <n v="147"/>
    <n v="14"/>
    <n v="1539"/>
    <n v="9275"/>
    <n v="1024"/>
    <n v="2645"/>
    <n v="146"/>
    <n v="19"/>
    <s v="1.02"/>
    <n v="5320.3157894736842"/>
    <x v="0"/>
  </r>
  <r>
    <n v="7440"/>
    <s v="Skadoodle"/>
    <s v="Tyler Latham"/>
    <x v="1"/>
    <x v="0"/>
    <m/>
    <s v="Cloud9"/>
    <n v="18365"/>
    <n v="15907"/>
    <s v="24.80%"/>
    <s v="67.5"/>
    <s v="2.7"/>
    <n v="1047"/>
    <n v="27129"/>
    <s v="0.68"/>
    <s v="0.11"/>
    <s v="0.59"/>
    <s v="0.09"/>
    <s v="0.09"/>
    <n v="12658"/>
    <s v="K - D diff."/>
    <n v="2832"/>
    <n v="1829"/>
    <s v="1.55"/>
    <s v="1.08"/>
    <s v="76.90%"/>
    <s v="14.80%"/>
    <n v="14471"/>
    <n v="8308"/>
    <n v="3226"/>
    <n v="931"/>
    <n v="172"/>
    <n v="21"/>
    <n v="3839"/>
    <n v="10111"/>
    <n v="563"/>
    <n v="3592"/>
    <n v="238"/>
    <n v="44"/>
    <s v="1.06"/>
    <n v="6593.8421052631575"/>
    <x v="0"/>
  </r>
  <r>
    <n v="12733"/>
    <s v="xsepower"/>
    <s v="Bogdan Chernikov"/>
    <x v="2"/>
    <x v="1"/>
    <s v="K23"/>
    <s v="K23, forZe"/>
    <n v="24769"/>
    <n v="20066"/>
    <s v="24.90%"/>
    <s v="72.4"/>
    <s v="2.2"/>
    <n v="1282"/>
    <n v="34452"/>
    <s v="0.72"/>
    <s v="0.08"/>
    <s v="0.58"/>
    <s v="0.07"/>
    <s v="0.08"/>
    <n v="16798"/>
    <s v="K - D diff."/>
    <n v="5002"/>
    <n v="3073"/>
    <s v="1.63"/>
    <s v="1.24"/>
    <s v="74.90%"/>
    <s v="20.80%"/>
    <n v="17654"/>
    <n v="10662"/>
    <n v="4559"/>
    <n v="1337"/>
    <n v="222"/>
    <n v="18"/>
    <n v="2339"/>
    <n v="17549"/>
    <n v="825"/>
    <n v="3919"/>
    <n v="175"/>
    <n v="47"/>
    <s v="1.15"/>
    <n v="8670.9473684210534"/>
    <x v="1"/>
  </r>
  <r>
    <n v="10992"/>
    <s v="dragonfly"/>
    <s v="Jacob Lund"/>
    <x v="3"/>
    <x v="2"/>
    <s v="ex-Maknitude"/>
    <s v="Fragsters"/>
    <n v="9094"/>
    <n v="8592"/>
    <s v="25.10%"/>
    <s v="70.8"/>
    <s v="3.1"/>
    <n v="507"/>
    <n v="13234"/>
    <s v="0.69"/>
    <s v="0.09"/>
    <s v="0.65"/>
    <s v="0.09"/>
    <s v="0.08"/>
    <n v="6202"/>
    <s v="K - D diff."/>
    <n v="1848"/>
    <n v="1376"/>
    <s v="1.34"/>
    <s v="1.19"/>
    <s v="75.60%"/>
    <s v="20.80%"/>
    <n v="7032"/>
    <n v="3997"/>
    <n v="1630"/>
    <n v="472"/>
    <n v="94"/>
    <n v="9"/>
    <n v="1259"/>
    <n v="5965"/>
    <n v="379"/>
    <n v="1375"/>
    <n v="120"/>
    <n v="13"/>
    <s v="1.06"/>
    <n v="3326.2105263157896"/>
    <x v="2"/>
  </r>
  <r>
    <n v="13776"/>
    <s v="Jame"/>
    <s v="Dzhami Ali"/>
    <x v="4"/>
    <x v="1"/>
    <s v="Outsiders"/>
    <s v="AVANGAR, Virtus.pro"/>
    <n v="22608"/>
    <n v="17316"/>
    <s v="25.20%"/>
    <n v="73"/>
    <s v="3.9"/>
    <n v="1189"/>
    <n v="31521"/>
    <s v="0.72"/>
    <s v="0.09"/>
    <s v="0.55"/>
    <s v="0.07"/>
    <s v="0.09"/>
    <n v="15469"/>
    <s v="K - D diff."/>
    <n v="3753"/>
    <n v="2089"/>
    <s v="1.8"/>
    <s v="1.15"/>
    <s v="76.00%"/>
    <s v="17.10%"/>
    <n v="16052"/>
    <n v="10001"/>
    <n v="4041"/>
    <n v="1202"/>
    <n v="206"/>
    <n v="19"/>
    <n v="3061"/>
    <n v="14965"/>
    <n v="1081"/>
    <n v="3198"/>
    <n v="252"/>
    <n v="137"/>
    <s v="1.17"/>
    <n v="7411.65"/>
    <x v="1"/>
  </r>
  <r>
    <n v="15255"/>
    <s v="Swahn"/>
    <s v="Christopher Swahn"/>
    <x v="2"/>
    <x v="0"/>
    <m/>
    <s v="iNTACT, Bad News Bears, Detonate, Bushido Boyz"/>
    <n v="7290"/>
    <n v="6722"/>
    <s v="25.70%"/>
    <s v="72.5"/>
    <s v="3.5"/>
    <n v="397"/>
    <n v="10421"/>
    <s v="0.7"/>
    <s v="0.1"/>
    <s v="0.65"/>
    <s v="0.1"/>
    <s v="0.1"/>
    <n v="4937"/>
    <s v="K - D diff."/>
    <n v="1221"/>
    <n v="916"/>
    <s v="1.33"/>
    <s v="1.11"/>
    <s v="73.20%"/>
    <s v="18.00%"/>
    <n v="5484"/>
    <n v="3148"/>
    <n v="1311"/>
    <n v="402"/>
    <n v="66"/>
    <n v="10"/>
    <n v="1161"/>
    <n v="4695"/>
    <n v="184"/>
    <n v="1124"/>
    <n v="102"/>
    <n v="49"/>
    <s v="1.08"/>
    <n v="2612.6315789473683"/>
    <x v="3"/>
  </r>
  <r>
    <n v="8707"/>
    <s v="ptr"/>
    <s v="Peter Gurney"/>
    <x v="0"/>
    <x v="0"/>
    <m/>
    <s v="Bad News Bears, NRG, Complexity"/>
    <n v="20902"/>
    <n v="18205"/>
    <s v="26.00%"/>
    <s v="73.3"/>
    <s v="3.4"/>
    <n v="1132"/>
    <n v="29624"/>
    <s v="0.71"/>
    <s v="0.11"/>
    <s v="0.61"/>
    <s v="0.09"/>
    <s v="0.1"/>
    <n v="14117"/>
    <s v="K - D diff."/>
    <n v="3363"/>
    <n v="2286"/>
    <s v="1.47"/>
    <s v="1.11"/>
    <s v="74.90%"/>
    <s v="16.30%"/>
    <n v="15507"/>
    <n v="8983"/>
    <n v="3752"/>
    <n v="1149"/>
    <n v="210"/>
    <n v="23"/>
    <n v="3177"/>
    <n v="12210"/>
    <n v="1214"/>
    <n v="4103"/>
    <n v="185"/>
    <n v="55"/>
    <s v="1.07"/>
    <n v="7378.7894736842109"/>
    <x v="1"/>
  </r>
  <r>
    <n v="7413"/>
    <s v="Nico"/>
    <s v="Nicolaj Jensen"/>
    <x v="5"/>
    <x v="2"/>
    <m/>
    <s v="Dignitas, CPH Wolves, Western Wolves"/>
    <n v="6738"/>
    <n v="6191"/>
    <s v="26.00%"/>
    <s v="80.6"/>
    <s v="4.9"/>
    <n v="399"/>
    <n v="10074"/>
    <s v="0.67"/>
    <s v="0.12"/>
    <s v="0.61"/>
    <s v="0.08"/>
    <s v="0.14"/>
    <n v="4644"/>
    <s v="K - D diff."/>
    <n v="1165"/>
    <n v="898"/>
    <s v="1.3"/>
    <s v="1.1"/>
    <s v="76.40%"/>
    <s v="16.80%"/>
    <n v="5430"/>
    <n v="3033"/>
    <n v="1220"/>
    <n v="334"/>
    <n v="53"/>
    <n v="4"/>
    <n v="1314"/>
    <n v="3589"/>
    <n v="119"/>
    <n v="1561"/>
    <n v="143"/>
    <n v="12"/>
    <s v="1.02"/>
    <n v="2469.5263157894738"/>
    <x v="3"/>
  </r>
  <r>
    <n v="12699"/>
    <s v="STOMP"/>
    <s v="Daniel PÅ‚omiÅ„ski"/>
    <x v="6"/>
    <x v="3"/>
    <m/>
    <s v="x-kom, Izako Boars, Illuminar, HONORIS"/>
    <n v="15139"/>
    <n v="13810"/>
    <s v="26.10%"/>
    <s v="73.3"/>
    <s v="3.9"/>
    <n v="809"/>
    <n v="21729"/>
    <s v="0.7"/>
    <s v="0.11"/>
    <s v="0.64"/>
    <s v="0.08"/>
    <s v="0.09"/>
    <n v="10363"/>
    <s v="K - D diff."/>
    <n v="2654"/>
    <n v="2035"/>
    <s v="1.3"/>
    <s v="1.12"/>
    <s v="73.70%"/>
    <s v="18.10%"/>
    <n v="11366"/>
    <n v="6696"/>
    <n v="2735"/>
    <n v="766"/>
    <n v="155"/>
    <n v="11"/>
    <n v="2551"/>
    <n v="9550"/>
    <n v="371"/>
    <n v="2422"/>
    <n v="221"/>
    <n v="73"/>
    <s v="1.09"/>
    <n v="5445.0526315789475"/>
    <x v="0"/>
  </r>
  <r>
    <n v="7"/>
    <s v="Friis"/>
    <s v="Michael JÃ¸rgensen"/>
    <x v="7"/>
    <x v="2"/>
    <m/>
    <s v="SK, fnatic, Heroic, Tricked"/>
    <n v="16356"/>
    <n v="15609"/>
    <s v="26.30%"/>
    <s v="69.4"/>
    <s v="2.4"/>
    <n v="938"/>
    <n v="24254"/>
    <s v="0.67"/>
    <s v="0.11"/>
    <s v="0.64"/>
    <s v="0.09"/>
    <s v="0.08"/>
    <n v="11183"/>
    <s v="K - D diff."/>
    <n v="2869"/>
    <n v="2320"/>
    <s v="1.24"/>
    <s v="1.1"/>
    <s v="77.60%"/>
    <s v="17.80%"/>
    <n v="13071"/>
    <n v="7197"/>
    <n v="2987"/>
    <n v="852"/>
    <n v="139"/>
    <n v="8"/>
    <n v="3259"/>
    <n v="9150"/>
    <n v="659"/>
    <n v="3027"/>
    <n v="242"/>
    <n v="29"/>
    <s v="1.01"/>
    <n v="6007.8421052631575"/>
    <x v="0"/>
  </r>
  <r>
    <n v="8724"/>
    <s v="1uke"/>
    <s v="Aleksey Zimin"/>
    <x v="1"/>
    <x v="1"/>
    <m/>
    <s v="Spirit Academy, HOLLYWOOD, PLINK"/>
    <n v="11017"/>
    <n v="10794"/>
    <s v="26.40%"/>
    <s v="71.6"/>
    <s v="2.2"/>
    <n v="623"/>
    <n v="16179"/>
    <s v="0.68"/>
    <s v="0.09"/>
    <s v="0.67"/>
    <s v="0.08"/>
    <s v="0.07"/>
    <n v="7466"/>
    <s v="K - D diff."/>
    <n v="2247"/>
    <n v="1858"/>
    <s v="1.21"/>
    <s v="1.17"/>
    <s v="73.30%"/>
    <s v="20.70%"/>
    <n v="8713"/>
    <n v="4715"/>
    <n v="2072"/>
    <n v="569"/>
    <n v="99"/>
    <n v="11"/>
    <n v="1576"/>
    <n v="7031"/>
    <n v="601"/>
    <n v="1708"/>
    <n v="90"/>
    <n v="23"/>
    <n v="1"/>
    <n v="3869.65"/>
    <x v="2"/>
  </r>
  <r>
    <n v="11283"/>
    <s v="ottoNd"/>
    <s v="Otto Sihvo"/>
    <x v="2"/>
    <x v="4"/>
    <s v="HAVU"/>
    <s v="HAVU, Valiance, CR4ZY, c0ntact"/>
    <n v="16712"/>
    <n v="14070"/>
    <s v="26.90%"/>
    <s v="76.2"/>
    <s v="3.3"/>
    <n v="855"/>
    <n v="22591"/>
    <s v="0.74"/>
    <s v="0.1"/>
    <s v="0.62"/>
    <s v="0.09"/>
    <s v="0.11"/>
    <n v="11142"/>
    <s v="K - D diff."/>
    <n v="2836"/>
    <n v="1902"/>
    <s v="1.49"/>
    <s v="1.15"/>
    <s v="75.50%"/>
    <s v="18.00%"/>
    <n v="11449"/>
    <n v="6904"/>
    <n v="3104"/>
    <n v="955"/>
    <n v="160"/>
    <n v="19"/>
    <n v="3782"/>
    <n v="9345"/>
    <n v="556"/>
    <n v="2879"/>
    <n v="170"/>
    <n v="13"/>
    <s v="1.15"/>
    <n v="5760.2105263157891"/>
    <x v="0"/>
  </r>
  <r>
    <n v="14273"/>
    <s v="iDISBALANCE"/>
    <s v="Artem Egorov"/>
    <x v="3"/>
    <x v="1"/>
    <s v="Nemiga"/>
    <s v="Nemiga, Spirit"/>
    <n v="16525"/>
    <n v="14435"/>
    <s v="27.00%"/>
    <s v="74.1"/>
    <s v="2.5"/>
    <n v="871"/>
    <n v="23106"/>
    <s v="0.72"/>
    <s v="0.1"/>
    <s v="0.62"/>
    <s v="0.09"/>
    <s v="0.09"/>
    <n v="11262"/>
    <s v="K - D diff."/>
    <n v="2996"/>
    <n v="1938"/>
    <s v="1.55"/>
    <s v="1.18"/>
    <s v="74.70%"/>
    <s v="18.90%"/>
    <n v="11844"/>
    <n v="7233"/>
    <n v="2975"/>
    <n v="893"/>
    <n v="142"/>
    <n v="19"/>
    <n v="3811"/>
    <n v="9648"/>
    <n v="323"/>
    <n v="2619"/>
    <n v="126"/>
    <n v="45"/>
    <s v="1.13"/>
    <n v="5832.1578947368425"/>
    <x v="0"/>
  </r>
  <r>
    <n v="13281"/>
    <s v="El1an"/>
    <s v="Aleksei Gusev"/>
    <x v="4"/>
    <x v="1"/>
    <s v="Entropiq"/>
    <s v="Entropiq, Winstrike, EPG"/>
    <n v="26132"/>
    <n v="21336"/>
    <s v="27.10%"/>
    <s v="78.1"/>
    <s v="2.7"/>
    <n v="1304"/>
    <n v="34783"/>
    <s v="0.75"/>
    <s v="0.11"/>
    <s v="0.61"/>
    <s v="0.07"/>
    <s v="0.08"/>
    <n v="17472"/>
    <s v="K - D diff."/>
    <n v="4718"/>
    <n v="2938"/>
    <s v="1.61"/>
    <s v="1.2"/>
    <s v="74.50%"/>
    <s v="19.70%"/>
    <n v="17311"/>
    <n v="10958"/>
    <n v="4691"/>
    <n v="1525"/>
    <n v="273"/>
    <n v="25"/>
    <n v="5031"/>
    <n v="16248"/>
    <n v="396"/>
    <n v="4164"/>
    <n v="233"/>
    <n v="122"/>
    <s v="1.17"/>
    <n v="8929.4736842105267"/>
    <x v="1"/>
  </r>
  <r>
    <n v="9008"/>
    <s v="FANAT ROCKA"/>
    <s v="Vasiliy Trusov"/>
    <x v="5"/>
    <x v="1"/>
    <s v="VRTX"/>
    <s v="Unique, Quantum Bellator Fire, Space Jam"/>
    <n v="8262"/>
    <n v="7809"/>
    <s v="27.10%"/>
    <s v="71.8"/>
    <s v="2.8"/>
    <n v="465"/>
    <n v="12150"/>
    <s v="0.68"/>
    <s v="0.11"/>
    <s v="0.64"/>
    <s v="0.08"/>
    <s v="0.09"/>
    <n v="5628"/>
    <s v="K - D diff."/>
    <n v="1422"/>
    <n v="1108"/>
    <s v="1.28"/>
    <s v="1.1"/>
    <s v="74.50%"/>
    <s v="17.90%"/>
    <n v="6522"/>
    <n v="3630"/>
    <n v="1471"/>
    <n v="430"/>
    <n v="87"/>
    <n v="10"/>
    <n v="1655"/>
    <n v="4582"/>
    <n v="182"/>
    <n v="1730"/>
    <n v="101"/>
    <n v="31"/>
    <s v="1.02"/>
    <n v="3014.4736842105262"/>
    <x v="3"/>
  </r>
  <r>
    <n v="8727"/>
    <s v="waterfaLLZ"/>
    <s v="Nikita Matveyev"/>
    <x v="6"/>
    <x v="1"/>
    <m/>
    <s v="Quantum Bellator Fire, PiTER, AVE, EPG"/>
    <n v="16371"/>
    <n v="16030"/>
    <s v="27.10%"/>
    <s v="72.5"/>
    <s v="3.2"/>
    <n v="899"/>
    <n v="23842"/>
    <s v="0.69"/>
    <s v="0.12"/>
    <s v="0.67"/>
    <s v="0.09"/>
    <s v="0.08"/>
    <n v="11101"/>
    <s v="K - D diff."/>
    <n v="2854"/>
    <n v="2546"/>
    <s v="1.12"/>
    <s v="1.09"/>
    <s v="72.50%"/>
    <s v="17.50%"/>
    <n v="12741"/>
    <n v="7085"/>
    <n v="2972"/>
    <n v="856"/>
    <n v="172"/>
    <n v="16"/>
    <n v="4556"/>
    <n v="8300"/>
    <n v="464"/>
    <n v="2883"/>
    <n v="170"/>
    <n v="29"/>
    <n v="1"/>
    <n v="5694.4"/>
    <x v="0"/>
  </r>
  <r>
    <n v="11264"/>
    <s v="WARDELL"/>
    <s v="Matthew Yu"/>
    <x v="2"/>
    <x v="5"/>
    <m/>
    <s v="Ghost, Bee's Money Crew, Orgless"/>
    <n v="11627"/>
    <n v="9979"/>
    <s v="27.20%"/>
    <s v="74.2"/>
    <s v="2.1"/>
    <n v="609"/>
    <n v="15901"/>
    <s v="0.73"/>
    <s v="0.1"/>
    <s v="0.63"/>
    <s v="0.09"/>
    <s v="0.1"/>
    <n v="7692"/>
    <s v="K - D diff."/>
    <n v="2057"/>
    <n v="1399"/>
    <s v="1.47"/>
    <s v="1.17"/>
    <s v="72.30%"/>
    <s v="18.50%"/>
    <n v="8209"/>
    <n v="4738"/>
    <n v="2139"/>
    <n v="663"/>
    <n v="138"/>
    <n v="14"/>
    <n v="1523"/>
    <n v="7327"/>
    <n v="605"/>
    <n v="2109"/>
    <n v="94"/>
    <n v="12"/>
    <s v="1.13"/>
    <n v="4043.9473684210525"/>
    <x v="2"/>
  </r>
  <r>
    <n v="2544"/>
    <s v="remix"/>
    <s v="Victor Monteiro"/>
    <x v="8"/>
    <x v="6"/>
    <s v="ODDIK"/>
    <s v="Liberty, Redemption POA, UNO MILLE"/>
    <n v="7551"/>
    <n v="6978"/>
    <s v="27.30%"/>
    <s v="71.7"/>
    <n v="2"/>
    <n v="398"/>
    <n v="10626"/>
    <s v="0.71"/>
    <s v="0.09"/>
    <s v="0.66"/>
    <s v="0.09"/>
    <s v="0.09"/>
    <n v="5061"/>
    <s v="K - D diff."/>
    <n v="1275"/>
    <n v="942"/>
    <s v="1.35"/>
    <s v="1.12"/>
    <s v="74.50%"/>
    <s v="17.50%"/>
    <n v="5565"/>
    <n v="3220"/>
    <n v="1314"/>
    <n v="418"/>
    <n v="96"/>
    <n v="13"/>
    <n v="1140"/>
    <n v="4956"/>
    <n v="247"/>
    <n v="1168"/>
    <n v="43"/>
    <n v="16"/>
    <s v="1.07"/>
    <n v="2551.4499999999998"/>
    <x v="3"/>
  </r>
  <r>
    <n v="11748"/>
    <s v="raafa"/>
    <s v="Rafael Lima"/>
    <x v="8"/>
    <x v="6"/>
    <m/>
    <s v="W7M, Keyd"/>
    <n v="11650"/>
    <n v="10558"/>
    <s v="27.40%"/>
    <s v="72.4"/>
    <s v="3.7"/>
    <n v="640"/>
    <n v="16832"/>
    <s v="0.69"/>
    <s v="0.11"/>
    <s v="0.63"/>
    <s v="0.07"/>
    <s v="0.08"/>
    <n v="7934"/>
    <s v="K - D diff."/>
    <n v="1948"/>
    <n v="1683"/>
    <s v="1.16"/>
    <s v="1.08"/>
    <s v="76.30%"/>
    <s v="17.10%"/>
    <n v="8898"/>
    <n v="5105"/>
    <n v="2087"/>
    <n v="606"/>
    <n v="127"/>
    <n v="9"/>
    <n v="3059"/>
    <n v="5846"/>
    <n v="589"/>
    <n v="2008"/>
    <n v="157"/>
    <n v="29"/>
    <s v="1.07"/>
    <n v="4198.1578947368425"/>
    <x v="2"/>
  </r>
  <r>
    <n v="7964"/>
    <s v="cadiaN"/>
    <s v="Casper MÃ¸ller"/>
    <x v="6"/>
    <x v="2"/>
    <s v="Heroic"/>
    <s v="Heroic, Rogue, SK"/>
    <n v="27065"/>
    <n v="24531"/>
    <s v="27.60%"/>
    <s v="73.3"/>
    <s v="4.6"/>
    <n v="1475"/>
    <n v="38976"/>
    <s v="0.69"/>
    <s v="0.11"/>
    <s v="0.63"/>
    <s v="0.09"/>
    <s v="0.08"/>
    <n v="18532"/>
    <s v="K - D diff."/>
    <n v="4972"/>
    <n v="3775"/>
    <s v="1.32"/>
    <s v="1.14"/>
    <s v="75.30%"/>
    <s v="18.60%"/>
    <n v="20444"/>
    <n v="12006"/>
    <n v="4844"/>
    <n v="1390"/>
    <n v="268"/>
    <n v="24"/>
    <n v="6605"/>
    <n v="13070"/>
    <n v="2144"/>
    <n v="4790"/>
    <n v="367"/>
    <n v="172"/>
    <s v="1.04"/>
    <n v="9760.5263157894733"/>
    <x v="1"/>
  </r>
  <r>
    <n v="10698"/>
    <s v="kolor"/>
    <s v="ÃdÃ¡m Domoszlay"/>
    <x v="9"/>
    <x v="7"/>
    <s v="cowana"/>
    <s v="GameAgents, Budapest Five, EURONICS"/>
    <n v="10309"/>
    <n v="10009"/>
    <s v="27.60%"/>
    <s v="73.3"/>
    <s v="2.1"/>
    <n v="558"/>
    <n v="14585"/>
    <s v="0.71"/>
    <s v="0.11"/>
    <s v="0.69"/>
    <s v="0.1"/>
    <s v="0.12"/>
    <n v="6933"/>
    <s v="K - D diff."/>
    <n v="1744"/>
    <n v="1525"/>
    <s v="1.14"/>
    <s v="1.09"/>
    <s v="73.50%"/>
    <s v="18.50%"/>
    <n v="7652"/>
    <n v="4414"/>
    <n v="1815"/>
    <n v="563"/>
    <n v="129"/>
    <n v="12"/>
    <n v="2297"/>
    <n v="5702"/>
    <n v="513"/>
    <n v="1717"/>
    <n v="82"/>
    <n v="24"/>
    <s v="1.05"/>
    <n v="3714.8947368421054"/>
    <x v="2"/>
  </r>
  <r>
    <n v="1088"/>
    <s v="liTTle"/>
    <s v="Anatoliy Yashin"/>
    <x v="7"/>
    <x v="1"/>
    <s v="HellRaisers"/>
    <s v="forZe, RuSh3D, Spartak, Enso"/>
    <n v="9317"/>
    <n v="7766"/>
    <s v="27.70%"/>
    <s v="78.5"/>
    <s v="2.6"/>
    <n v="457"/>
    <n v="12154"/>
    <s v="0.77"/>
    <s v="0.1"/>
    <s v="0.64"/>
    <s v="0.07"/>
    <s v="0.09"/>
    <n v="6279"/>
    <s v="K - D diff."/>
    <n v="1595"/>
    <n v="1041"/>
    <s v="1.53"/>
    <s v="1.18"/>
    <s v="71.60%"/>
    <s v="19.00%"/>
    <n v="5875"/>
    <n v="3952"/>
    <n v="1735"/>
    <n v="484"/>
    <n v="99"/>
    <n v="9"/>
    <n v="1248"/>
    <n v="5656"/>
    <n v="105"/>
    <n v="2206"/>
    <n v="112"/>
    <n v="7"/>
    <s v="1.12"/>
    <n v="3163"/>
    <x v="3"/>
  </r>
  <r>
    <n v="16920"/>
    <s v="sh1ro"/>
    <s v="Dmitry Sokolov"/>
    <x v="10"/>
    <x v="1"/>
    <s v="Cloud9"/>
    <s v="Gambit Youngsters, Gambit"/>
    <n v="18091"/>
    <n v="12492"/>
    <s v="27.80%"/>
    <s v="78.6"/>
    <s v="3.9"/>
    <n v="884"/>
    <n v="23451"/>
    <s v="0.77"/>
    <s v="0.11"/>
    <s v="0.53"/>
    <s v="0.08"/>
    <s v="0.11"/>
    <n v="11950"/>
    <s v="K - D diff."/>
    <n v="2705"/>
    <n v="1383"/>
    <s v="1.96"/>
    <s v="1.15"/>
    <s v="77.00%"/>
    <s v="16.20%"/>
    <n v="11501"/>
    <n v="7416"/>
    <n v="3208"/>
    <n v="1075"/>
    <n v="221"/>
    <n v="30"/>
    <n v="3791"/>
    <n v="10580"/>
    <n v="550"/>
    <n v="3008"/>
    <n v="175"/>
    <n v="70"/>
    <s v="1.26"/>
    <n v="5925.3157894736842"/>
    <x v="0"/>
  </r>
  <r>
    <n v="11271"/>
    <s v="smooya"/>
    <s v="Owen Butterfield"/>
    <x v="9"/>
    <x v="8"/>
    <m/>
    <s v="BIG, Movistar Riders, Epsilon"/>
    <n v="18466"/>
    <n v="14617"/>
    <s v="27.80%"/>
    <s v="79.3"/>
    <s v="2.5"/>
    <n v="888"/>
    <n v="23515"/>
    <s v="0.79"/>
    <s v="0.1"/>
    <s v="0.62"/>
    <s v="0.08"/>
    <s v="0.1"/>
    <n v="11971"/>
    <s v="K - D diff."/>
    <n v="3187"/>
    <n v="2183"/>
    <s v="1.46"/>
    <s v="1.19"/>
    <s v="76.10%"/>
    <s v="19.80%"/>
    <n v="11544"/>
    <n v="7188"/>
    <n v="3367"/>
    <n v="1141"/>
    <n v="254"/>
    <n v="21"/>
    <n v="4786"/>
    <n v="9692"/>
    <n v="584"/>
    <n v="3283"/>
    <n v="141"/>
    <n v="31"/>
    <s v="1.2"/>
    <n v="6150.4736842105267"/>
    <x v="0"/>
  </r>
  <r>
    <n v="8783"/>
    <s v="JUGi"/>
    <s v="Jakob Hansen"/>
    <x v="3"/>
    <x v="2"/>
    <m/>
    <s v="Heroic, OpTic, Tricked, North"/>
    <n v="17527"/>
    <n v="14851"/>
    <s v="27.80%"/>
    <s v="74.1"/>
    <s v="2.4"/>
    <n v="940"/>
    <n v="24427"/>
    <s v="0.72"/>
    <s v="0.1"/>
    <s v="0.61"/>
    <s v="0.08"/>
    <s v="0.1"/>
    <n v="11901"/>
    <s v="K - D diff."/>
    <n v="2942"/>
    <n v="1904"/>
    <s v="1.55"/>
    <s v="1.14"/>
    <s v="74.70%"/>
    <s v="17.50%"/>
    <n v="12526"/>
    <n v="7630"/>
    <n v="3146"/>
    <n v="913"/>
    <n v="194"/>
    <n v="18"/>
    <n v="4048"/>
    <n v="8877"/>
    <n v="660"/>
    <n v="3768"/>
    <n v="177"/>
    <n v="31"/>
    <s v="1.09"/>
    <n v="6130.5263157894733"/>
    <x v="0"/>
  </r>
  <r>
    <n v="11219"/>
    <s v="CeRq"/>
    <s v="Tsvetelin Dimitrov"/>
    <x v="9"/>
    <x v="9"/>
    <s v="Evil Geniuses"/>
    <s v="Evil Geniuses, NRG, Outlaws"/>
    <n v="22812"/>
    <n v="19387"/>
    <s v="27.90%"/>
    <s v="74.2"/>
    <s v="2.4"/>
    <n v="1199"/>
    <n v="31114"/>
    <s v="0.73"/>
    <s v="0.1"/>
    <s v="0.62"/>
    <s v="0.1"/>
    <s v="0.11"/>
    <n v="15199"/>
    <s v="K - D diff."/>
    <n v="3923"/>
    <n v="2745"/>
    <s v="1.43"/>
    <s v="1.15"/>
    <s v="75.10%"/>
    <s v="18.00%"/>
    <n v="15915"/>
    <n v="9524"/>
    <n v="4043"/>
    <n v="1347"/>
    <n v="264"/>
    <n v="21"/>
    <n v="5642"/>
    <n v="12614"/>
    <n v="716"/>
    <n v="3714"/>
    <n v="150"/>
    <n v="30"/>
    <s v="1.14"/>
    <n v="7913.6315789473683"/>
    <x v="1"/>
  </r>
  <r>
    <n v="7403"/>
    <s v="WorldEdit"/>
    <s v="Georgi Yaskin"/>
    <x v="5"/>
    <x v="1"/>
    <m/>
    <s v="FlipSid3, pro100, Winstrike"/>
    <n v="25226"/>
    <n v="22750"/>
    <s v="28.00%"/>
    <n v="75"/>
    <s v="2.6"/>
    <n v="1328"/>
    <n v="34716"/>
    <s v="0.73"/>
    <s v="0.12"/>
    <s v="0.66"/>
    <s v="0.08"/>
    <s v="0.08"/>
    <n v="16893"/>
    <s v="K - D diff."/>
    <n v="4415"/>
    <n v="3319"/>
    <s v="1.33"/>
    <s v="1.14"/>
    <s v="73.30%"/>
    <s v="18.80%"/>
    <n v="17823"/>
    <n v="10626"/>
    <n v="4553"/>
    <n v="1414"/>
    <n v="269"/>
    <n v="31"/>
    <n v="5963"/>
    <n v="13131"/>
    <n v="1045"/>
    <n v="4780"/>
    <n v="244"/>
    <n v="82"/>
    <s v="1.07"/>
    <n v="8434.15"/>
    <x v="1"/>
  </r>
  <r>
    <n v="964"/>
    <s v="mou"/>
    <s v="Rustem Telepov"/>
    <x v="5"/>
    <x v="10"/>
    <m/>
    <s v="Gambit, K23, HellRaisers, Syman"/>
    <n v="28048"/>
    <n v="25564"/>
    <s v="28.00%"/>
    <s v="73.9"/>
    <n v="4"/>
    <n v="1489"/>
    <n v="39475"/>
    <s v="0.71"/>
    <s v="0.11"/>
    <s v="0.65"/>
    <s v="0.08"/>
    <s v="0.09"/>
    <n v="18989"/>
    <s v="K - D diff."/>
    <n v="4836"/>
    <n v="3930"/>
    <s v="1.23"/>
    <s v="1.11"/>
    <s v="74.30%"/>
    <s v="17.80%"/>
    <n v="20486"/>
    <n v="12087"/>
    <n v="5072"/>
    <n v="1536"/>
    <n v="274"/>
    <n v="20"/>
    <n v="6302"/>
    <n v="15808"/>
    <n v="813"/>
    <n v="4672"/>
    <n v="413"/>
    <n v="77"/>
    <s v="1.05"/>
    <n v="9494.75"/>
    <x v="1"/>
  </r>
  <r>
    <n v="4373"/>
    <s v="EasTor"/>
    <s v="Rajohn Linato"/>
    <x v="8"/>
    <x v="11"/>
    <m/>
    <s v="Movistar Riders, OFFSET"/>
    <n v="9017"/>
    <n v="8646"/>
    <s v="28.30%"/>
    <s v="68.7"/>
    <s v="2.8"/>
    <n v="500"/>
    <n v="13298"/>
    <s v="0.68"/>
    <s v="0.09"/>
    <s v="0.65"/>
    <s v="0.1"/>
    <s v="0.1"/>
    <n v="6177"/>
    <s v="K - D diff."/>
    <n v="1530"/>
    <n v="1214"/>
    <s v="1.26"/>
    <s v="1.09"/>
    <s v="72.20%"/>
    <s v="16.70%"/>
    <n v="7121"/>
    <n v="4014"/>
    <n v="1616"/>
    <n v="431"/>
    <n v="102"/>
    <n v="14"/>
    <n v="1874"/>
    <n v="5193"/>
    <n v="474"/>
    <n v="1390"/>
    <n v="86"/>
    <n v="17"/>
    <s v="1.01"/>
    <n v="3300.7368421052633"/>
    <x v="2"/>
  </r>
  <r>
    <n v="16847"/>
    <s v="mhL"/>
    <s v="MiÅ‚osz Knasiak"/>
    <x v="11"/>
    <x v="3"/>
    <s v="MOUZ NXT"/>
    <s v="MOUZ NXT, AGO"/>
    <n v="10241"/>
    <n v="8484"/>
    <s v="28.50%"/>
    <n v="80"/>
    <s v="3.8"/>
    <n v="498"/>
    <n v="13378"/>
    <s v="0.77"/>
    <s v="0.12"/>
    <s v="0.63"/>
    <s v="0.1"/>
    <s v="0.11"/>
    <n v="6773"/>
    <s v="K - D diff."/>
    <n v="1656"/>
    <n v="1114"/>
    <s v="1.49"/>
    <s v="1.15"/>
    <s v="76.70%"/>
    <s v="18.40%"/>
    <n v="6605"/>
    <n v="4156"/>
    <n v="1896"/>
    <n v="596"/>
    <n v="120"/>
    <n v="5"/>
    <n v="2444"/>
    <n v="5801"/>
    <n v="181"/>
    <n v="1687"/>
    <n v="153"/>
    <n v="16"/>
    <s v="1.17"/>
    <n v="3294.2"/>
    <x v="3"/>
  </r>
  <r>
    <n v="20097"/>
    <s v="h4rn"/>
    <s v="Deyvid Benchev"/>
    <x v="9"/>
    <x v="9"/>
    <s v="Enterprise"/>
    <s v="FATE, Fiend"/>
    <n v="10915"/>
    <n v="9130"/>
    <s v="28.60%"/>
    <s v="74.1"/>
    <s v="3.3"/>
    <n v="566"/>
    <n v="15106"/>
    <s v="0.72"/>
    <s v="0.1"/>
    <s v="0.6"/>
    <s v="0.09"/>
    <s v="0.09"/>
    <n v="7367"/>
    <s v="K - D diff."/>
    <n v="1771"/>
    <n v="1181"/>
    <s v="1.5"/>
    <s v="1.12"/>
    <s v="75.40%"/>
    <s v="17.30%"/>
    <n v="7739"/>
    <n v="4690"/>
    <n v="1941"/>
    <n v="614"/>
    <n v="109"/>
    <n v="13"/>
    <n v="2778"/>
    <n v="6103"/>
    <n v="221"/>
    <n v="1683"/>
    <n v="117"/>
    <n v="64"/>
    <s v="1.14"/>
    <n v="3795.1578947368421"/>
    <x v="2"/>
  </r>
  <r>
    <n v="695"/>
    <s v="allu"/>
    <s v="Aleksi Jalli"/>
    <x v="5"/>
    <x v="4"/>
    <s v="temp"/>
    <s v="ENCE, NIP, FaZe"/>
    <n v="31366"/>
    <n v="27037"/>
    <s v="28.60%"/>
    <s v="74.9"/>
    <s v="3.6"/>
    <n v="1615"/>
    <n v="42334"/>
    <s v="0.74"/>
    <s v="0.11"/>
    <s v="0.64"/>
    <s v="0.08"/>
    <s v="0.09"/>
    <n v="21027"/>
    <s v="K - D diff."/>
    <n v="5021"/>
    <n v="3302"/>
    <s v="1.52"/>
    <s v="1.13"/>
    <s v="76.70%"/>
    <s v="17.50%"/>
    <n v="21307"/>
    <n v="13181"/>
    <n v="5782"/>
    <n v="1697"/>
    <n v="336"/>
    <n v="31"/>
    <n v="8713"/>
    <n v="15102"/>
    <n v="1531"/>
    <n v="5345"/>
    <n v="503"/>
    <n v="216"/>
    <s v="1.09"/>
    <n v="10812.947368421053"/>
    <x v="1"/>
  </r>
  <r>
    <n v="13228"/>
    <s v="Voltage"/>
    <s v="Logan Long"/>
    <x v="9"/>
    <x v="0"/>
    <s v="ONET4P"/>
    <s v="The Quest, Triumph, SoaR, Dignitas"/>
    <n v="7407"/>
    <n v="6823"/>
    <s v="28.60%"/>
    <s v="67.6"/>
    <s v="2.8"/>
    <n v="438"/>
    <n v="11278"/>
    <s v="0.66"/>
    <s v="0.09"/>
    <s v="0.6"/>
    <s v="0.09"/>
    <s v="0.1"/>
    <n v="5139"/>
    <s v="K - D diff."/>
    <n v="1165"/>
    <n v="896"/>
    <s v="1.3"/>
    <s v="1.05"/>
    <s v="73.70%"/>
    <s v="14.90%"/>
    <n v="6139"/>
    <n v="3402"/>
    <n v="1288"/>
    <n v="376"/>
    <n v="64"/>
    <n v="9"/>
    <n v="1985"/>
    <n v="3683"/>
    <n v="379"/>
    <n v="1257"/>
    <n v="94"/>
    <n v="18"/>
    <s v="1.05"/>
    <n v="2728.4210526315787"/>
    <x v="3"/>
  </r>
  <r>
    <n v="17930"/>
    <s v="wiz"/>
    <s v="Jerric Jiang"/>
    <x v="10"/>
    <x v="0"/>
    <s v="EG.CD"/>
    <s v="RBG, Carpe Diem"/>
    <n v="8682"/>
    <n v="8582"/>
    <s v="28.70%"/>
    <s v="68.9"/>
    <s v="4.3"/>
    <n v="501"/>
    <n v="13291"/>
    <s v="0.65"/>
    <s v="0.1"/>
    <s v="0.65"/>
    <s v="0.09"/>
    <s v="0.09"/>
    <n v="6034"/>
    <s v="K - D diff."/>
    <n v="1323"/>
    <n v="1080"/>
    <s v="1.23"/>
    <s v="1.03"/>
    <s v="73.60%"/>
    <s v="14.60%"/>
    <n v="7257"/>
    <n v="3982"/>
    <n v="1557"/>
    <n v="405"/>
    <n v="79"/>
    <n v="11"/>
    <n v="2235"/>
    <n v="4685"/>
    <n v="217"/>
    <n v="1434"/>
    <n v="110"/>
    <n v="37"/>
    <s v="1.02"/>
    <n v="3236.9473684210525"/>
    <x v="3"/>
  </r>
  <r>
    <n v="8565"/>
    <s v="HEN1"/>
    <s v="Henrique Teles"/>
    <x v="6"/>
    <x v="6"/>
    <m/>
    <s v="Immortals, FURIA, Luminosity"/>
    <n v="20188"/>
    <n v="16640"/>
    <s v="28.80%"/>
    <s v="74.8"/>
    <s v="3.8"/>
    <n v="1101"/>
    <n v="28598"/>
    <s v="0.71"/>
    <s v="0.12"/>
    <s v="0.58"/>
    <s v="0.08"/>
    <s v="0.09"/>
    <n v="13719"/>
    <s v="K - D diff."/>
    <n v="3022"/>
    <n v="1984"/>
    <s v="1.52"/>
    <s v="1.08"/>
    <s v="74.40%"/>
    <s v="14.90%"/>
    <n v="14879"/>
    <n v="8790"/>
    <n v="3642"/>
    <n v="1054"/>
    <n v="213"/>
    <n v="20"/>
    <n v="5239"/>
    <n v="10163"/>
    <n v="896"/>
    <n v="3609"/>
    <n v="230"/>
    <n v="98"/>
    <s v="1.1"/>
    <n v="7057.105263157895"/>
    <x v="1"/>
  </r>
  <r>
    <n v="17793"/>
    <s v="smiley"/>
    <s v="Algat Abdul"/>
    <x v="3"/>
    <x v="10"/>
    <s v="Unique"/>
    <s v="Unique, 100PG, Se7en"/>
    <n v="8764"/>
    <n v="8133"/>
    <s v="28.80%"/>
    <s v="72.5"/>
    <s v="3.3"/>
    <n v="478"/>
    <n v="12883"/>
    <s v="0.68"/>
    <s v="0.1"/>
    <s v="0.63"/>
    <s v="0.08"/>
    <s v="0.09"/>
    <n v="6052"/>
    <s v="K - D diff."/>
    <n v="1593"/>
    <n v="1167"/>
    <s v="1.37"/>
    <s v="1.13"/>
    <s v="74.20%"/>
    <s v="18.50%"/>
    <n v="6831"/>
    <n v="3944"/>
    <n v="1597"/>
    <n v="425"/>
    <n v="79"/>
    <n v="7"/>
    <n v="2009"/>
    <n v="5245"/>
    <n v="213"/>
    <n v="1233"/>
    <n v="75"/>
    <n v="13"/>
    <s v="1.07"/>
    <n v="3196.8947368421054"/>
    <x v="3"/>
  </r>
  <r>
    <n v="9288"/>
    <s v="TOR"/>
    <s v="Tosapol Saekow"/>
    <x v="1"/>
    <x v="12"/>
    <m/>
    <s v="Signature, Beyond"/>
    <n v="8271"/>
    <n v="7614"/>
    <s v="28.90%"/>
    <n v="77"/>
    <s v="2.9"/>
    <n v="452"/>
    <n v="11472"/>
    <s v="0.72"/>
    <s v="0.12"/>
    <s v="0.66"/>
    <s v="0.08"/>
    <s v="0.09"/>
    <n v="5547"/>
    <s v="K - D diff."/>
    <n v="1363"/>
    <n v="1102"/>
    <s v="1.24"/>
    <s v="1.1"/>
    <s v="79.10%"/>
    <s v="17.90%"/>
    <n v="5925"/>
    <n v="3512"/>
    <n v="1469"/>
    <n v="454"/>
    <n v="101"/>
    <n v="11"/>
    <n v="3205"/>
    <n v="3251"/>
    <n v="528"/>
    <n v="1231"/>
    <n v="54"/>
    <n v="23"/>
    <s v="1.06"/>
    <n v="2783.1"/>
    <x v="3"/>
  </r>
  <r>
    <n v="7383"/>
    <s v="zqkS"/>
    <s v="Caio Fonseca"/>
    <x v="5"/>
    <x v="6"/>
    <s v="Corinthians"/>
    <s v="Imperial, Yeah, Keyd"/>
    <n v="13308"/>
    <n v="12620"/>
    <s v="28.90%"/>
    <s v="69.5"/>
    <s v="3.8"/>
    <n v="780"/>
    <n v="20206"/>
    <s v="0.66"/>
    <s v="0.12"/>
    <s v="0.62"/>
    <s v="0.09"/>
    <s v="0.09"/>
    <n v="9254"/>
    <s v="K - D diff."/>
    <n v="2398"/>
    <n v="1798"/>
    <s v="1.33"/>
    <s v="1.11"/>
    <s v="73.90%"/>
    <s v="17.40%"/>
    <n v="10952"/>
    <n v="6105"/>
    <n v="2389"/>
    <n v="635"/>
    <n v="114"/>
    <n v="11"/>
    <n v="2972"/>
    <n v="7363"/>
    <n v="575"/>
    <n v="2187"/>
    <n v="176"/>
    <n v="71"/>
    <n v="1"/>
    <n v="4695.75"/>
    <x v="2"/>
  </r>
  <r>
    <n v="7996"/>
    <s v="CRUC1AL"/>
    <s v="Joey Steusel"/>
    <x v="3"/>
    <x v="13"/>
    <s v="Endpoint"/>
    <s v="Endpoint, Epsilon"/>
    <n v="27809"/>
    <n v="25011"/>
    <s v="29.00%"/>
    <s v="73.7"/>
    <s v="2.6"/>
    <n v="1472"/>
    <n v="38605"/>
    <s v="0.72"/>
    <s v="0.1"/>
    <s v="0.65"/>
    <s v="0.1"/>
    <s v="0.11"/>
    <n v="18614"/>
    <s v="K - D diff."/>
    <n v="4950"/>
    <n v="3491"/>
    <s v="1.42"/>
    <s v="1.16"/>
    <s v="74.50%"/>
    <s v="18.80%"/>
    <n v="19991"/>
    <n v="11708"/>
    <n v="5020"/>
    <n v="1523"/>
    <n v="324"/>
    <n v="39"/>
    <n v="6954"/>
    <n v="15051"/>
    <n v="839"/>
    <n v="4693"/>
    <n v="272"/>
    <n v="66"/>
    <s v="1.07"/>
    <n v="9812.21052631579"/>
    <x v="1"/>
  </r>
  <r>
    <n v="18072"/>
    <s v="torzsi"/>
    <s v="ÃdÃ¡m TorzsÃ¡s"/>
    <x v="11"/>
    <x v="7"/>
    <s v="MOUZ"/>
    <s v="MOUZ, Budapest Five, MOUZ NXT, Salamander"/>
    <n v="9904"/>
    <n v="7896"/>
    <s v="29.10%"/>
    <n v="78"/>
    <s v="2.5"/>
    <n v="478"/>
    <n v="12776"/>
    <s v="0.78"/>
    <s v="0.09"/>
    <s v="0.62"/>
    <s v="0.08"/>
    <s v="0.11"/>
    <n v="6499"/>
    <s v="K - D diff."/>
    <n v="1578"/>
    <n v="1028"/>
    <s v="1.54"/>
    <s v="1.15"/>
    <s v="76.20%"/>
    <s v="18.30%"/>
    <n v="6277"/>
    <n v="4001"/>
    <n v="1751"/>
    <n v="603"/>
    <n v="128"/>
    <n v="16"/>
    <n v="2352"/>
    <n v="5696"/>
    <n v="183"/>
    <n v="1606"/>
    <n v="83"/>
    <n v="39"/>
    <s v="1.18"/>
    <n v="3148.6"/>
    <x v="3"/>
  </r>
  <r>
    <n v="5799"/>
    <s v="keev"/>
    <s v="Kevin BartholomÃ¤us"/>
    <x v="5"/>
    <x v="14"/>
    <m/>
    <s v="ALTERNATE aTTaX, BIG, KILLERFISH"/>
    <n v="11408"/>
    <n v="10191"/>
    <s v="29.10%"/>
    <s v="73.6"/>
    <s v="2.8"/>
    <n v="594"/>
    <n v="15524"/>
    <s v="0.73"/>
    <s v="0.09"/>
    <s v="0.66"/>
    <s v="0.08"/>
    <s v="0.08"/>
    <n v="7599"/>
    <s v="K - D diff."/>
    <n v="2319"/>
    <n v="1664"/>
    <s v="1.39"/>
    <s v="1.23"/>
    <s v="75.40%"/>
    <s v="22.00%"/>
    <n v="7925"/>
    <n v="4764"/>
    <n v="2037"/>
    <n v="638"/>
    <n v="145"/>
    <n v="15"/>
    <n v="1226"/>
    <n v="6634"/>
    <n v="1105"/>
    <n v="2267"/>
    <n v="117"/>
    <n v="70"/>
    <s v="1.08"/>
    <n v="4012.7368421052633"/>
    <x v="2"/>
  </r>
  <r>
    <n v="2529"/>
    <s v="Maluk3"/>
    <s v="Pedro Campos"/>
    <x v="0"/>
    <x v="6"/>
    <s v="TeamOne"/>
    <s v="TeamOne"/>
    <n v="19000"/>
    <n v="17886"/>
    <s v="29.10%"/>
    <s v="72.4"/>
    <s v="5.3"/>
    <n v="1064"/>
    <n v="27603"/>
    <s v="0.69"/>
    <s v="0.11"/>
    <s v="0.65"/>
    <s v="0.09"/>
    <s v="0.08"/>
    <n v="13043"/>
    <s v="K - D diff."/>
    <n v="3367"/>
    <n v="2551"/>
    <s v="1.32"/>
    <s v="1.12"/>
    <s v="74.40%"/>
    <s v="17.50%"/>
    <n v="14560"/>
    <n v="8459"/>
    <n v="3421"/>
    <n v="967"/>
    <n v="182"/>
    <n v="14"/>
    <n v="4040"/>
    <n v="10792"/>
    <n v="735"/>
    <n v="3036"/>
    <n v="375"/>
    <n v="65"/>
    <s v="1.07"/>
    <n v="6903.1578947368425"/>
    <x v="1"/>
  </r>
  <r>
    <n v="16726"/>
    <s v="phzy"/>
    <s v="Love Smidebrant"/>
    <x v="12"/>
    <x v="15"/>
    <m/>
    <s v="Young Ninjas, NIP"/>
    <n v="8450"/>
    <n v="7744"/>
    <s v="29.20%"/>
    <n v="72"/>
    <s v="2.6"/>
    <n v="461"/>
    <n v="12400"/>
    <s v="0.68"/>
    <s v="0.1"/>
    <s v="0.62"/>
    <s v="0.09"/>
    <s v="0.08"/>
    <n v="5769"/>
    <s v="K - D diff."/>
    <n v="1213"/>
    <n v="1029"/>
    <s v="1.18"/>
    <s v="1.02"/>
    <s v="74.30%"/>
    <s v="14.60%"/>
    <n v="6631"/>
    <n v="3724"/>
    <n v="1505"/>
    <n v="454"/>
    <n v="76"/>
    <n v="10"/>
    <n v="2736"/>
    <n v="3909"/>
    <n v="181"/>
    <n v="1552"/>
    <n v="67"/>
    <n v="48"/>
    <s v="1.07"/>
    <n v="2901.55"/>
    <x v="3"/>
  </r>
  <r>
    <n v="18736"/>
    <s v="pz"/>
    <s v="Jordan White"/>
    <x v="9"/>
    <x v="16"/>
    <s v="VERTEX"/>
    <s v="VERTEX, TRUCKERS WITH ATTITUDE, Airborne"/>
    <n v="8219"/>
    <n v="7244"/>
    <s v="29.30%"/>
    <s v="75.7"/>
    <s v="5.4"/>
    <n v="441"/>
    <n v="11492"/>
    <s v="0.72"/>
    <s v="0.12"/>
    <s v="0.63"/>
    <s v="0.09"/>
    <s v="0.09"/>
    <n v="5488"/>
    <s v="K - D diff."/>
    <n v="1400"/>
    <n v="1053"/>
    <s v="1.33"/>
    <s v="1.12"/>
    <s v="73.60%"/>
    <s v="17.40%"/>
    <n v="6004"/>
    <n v="3451"/>
    <n v="1463"/>
    <n v="462"/>
    <n v="104"/>
    <n v="8"/>
    <n v="2227"/>
    <n v="4198"/>
    <n v="276"/>
    <n v="1337"/>
    <n v="156"/>
    <n v="54"/>
    <s v="1.12"/>
    <n v="2898.7894736842104"/>
    <x v="3"/>
  </r>
  <r>
    <n v="9574"/>
    <s v="snatchie"/>
    <s v="MichaÅ‚ Rudzki"/>
    <x v="2"/>
    <x v="3"/>
    <m/>
    <s v="AGO, Virtus.pro, Sprout"/>
    <n v="30207"/>
    <n v="27738"/>
    <s v="29.30%"/>
    <s v="72.6"/>
    <s v="1.6"/>
    <n v="1557"/>
    <n v="41766"/>
    <s v="0.72"/>
    <s v="0.09"/>
    <s v="0.66"/>
    <s v="0.08"/>
    <s v="0.09"/>
    <n v="19967"/>
    <s v="K - D diff."/>
    <n v="5450"/>
    <n v="4320"/>
    <s v="1.26"/>
    <s v="1.15"/>
    <s v="74.90%"/>
    <s v="19.10%"/>
    <n v="21799"/>
    <n v="12351"/>
    <n v="5464"/>
    <n v="1727"/>
    <n v="378"/>
    <n v="47"/>
    <n v="6210"/>
    <n v="17827"/>
    <n v="1226"/>
    <n v="4710"/>
    <n v="192"/>
    <n v="98"/>
    <s v="1.06"/>
    <n v="10686"/>
    <x v="1"/>
  </r>
  <r>
    <n v="7266"/>
    <s v="syrsoN"/>
    <s v="Florian Rische"/>
    <x v="13"/>
    <x v="14"/>
    <s v="BIG"/>
    <s v="BIG, ALTERNATE aTTaX, Sprout"/>
    <n v="33692"/>
    <n v="29045"/>
    <s v="29.40%"/>
    <s v="74.3"/>
    <s v="2.5"/>
    <n v="1735"/>
    <n v="46095"/>
    <s v="0.73"/>
    <s v="0.1"/>
    <s v="0.63"/>
    <s v="0.08"/>
    <s v="0.09"/>
    <n v="22550"/>
    <s v="K - D diff."/>
    <n v="6366"/>
    <n v="4518"/>
    <s v="1.41"/>
    <s v="1.19"/>
    <s v="75.50%"/>
    <s v="20.20%"/>
    <n v="23545"/>
    <n v="14140"/>
    <n v="6097"/>
    <n v="1930"/>
    <n v="351"/>
    <n v="32"/>
    <n v="5382"/>
    <n v="20663"/>
    <n v="1967"/>
    <n v="5329"/>
    <n v="318"/>
    <n v="117"/>
    <s v="1.09"/>
    <n v="11782.736842105263"/>
    <x v="1"/>
  </r>
  <r>
    <n v="14494"/>
    <s v="junior"/>
    <s v="Paytyn Johnson"/>
    <x v="10"/>
    <x v="0"/>
    <s v="Complexity"/>
    <s v="Triumph, Bad News Bears, Complexity, FURIA"/>
    <n v="8904"/>
    <n v="7642"/>
    <s v="29.40%"/>
    <s v="70.7"/>
    <s v="2.2"/>
    <n v="485"/>
    <n v="12690"/>
    <s v="0.7"/>
    <s v="0.09"/>
    <s v="0.6"/>
    <s v="0.08"/>
    <s v="0.1"/>
    <n v="6086"/>
    <s v="K - D diff."/>
    <n v="1419"/>
    <n v="905"/>
    <s v="1.57"/>
    <s v="1.11"/>
    <s v="72.00%"/>
    <s v="15.90%"/>
    <n v="6604"/>
    <n v="3887"/>
    <n v="1664"/>
    <n v="456"/>
    <n v="74"/>
    <n v="5"/>
    <n v="1821"/>
    <n v="5469"/>
    <n v="127"/>
    <n v="1434"/>
    <n v="60"/>
    <n v="19"/>
    <s v="1.1"/>
    <n v="3144.7894736842104"/>
    <x v="3"/>
  </r>
  <r>
    <n v="15370"/>
    <s v="slaxz-"/>
    <s v="Fritz Dietrich"/>
    <x v="4"/>
    <x v="14"/>
    <s v="Sprout"/>
    <s v="Sprout, ALTERNATE aTTaX"/>
    <n v="17820"/>
    <n v="15712"/>
    <s v="29.50%"/>
    <s v="72.6"/>
    <s v="3.2"/>
    <n v="936"/>
    <n v="25351"/>
    <s v="0.7"/>
    <s v="0.1"/>
    <s v="0.62"/>
    <s v="0.09"/>
    <s v="0.09"/>
    <n v="12039"/>
    <s v="K - D diff."/>
    <n v="3330"/>
    <n v="2173"/>
    <s v="1.53"/>
    <s v="1.18"/>
    <s v="73.50%"/>
    <s v="19.00%"/>
    <n v="13312"/>
    <n v="7691"/>
    <n v="3157"/>
    <n v="978"/>
    <n v="184"/>
    <n v="29"/>
    <n v="2771"/>
    <n v="11847"/>
    <n v="415"/>
    <n v="2660"/>
    <n v="151"/>
    <n v="43"/>
    <s v="1.11"/>
    <n v="6347.3157894736842"/>
    <x v="0"/>
  </r>
  <r>
    <n v="2757"/>
    <s v="GuardiaN"/>
    <s v="Ladislav KovÃ¡cs"/>
    <x v="14"/>
    <x v="17"/>
    <s v="Sampi"/>
    <s v="Natus Vincere, FaZe"/>
    <n v="30535"/>
    <n v="25774"/>
    <s v="29.60%"/>
    <s v="71.8"/>
    <s v="2.8"/>
    <n v="1578"/>
    <n v="41357"/>
    <s v="0.74"/>
    <s v="0.11"/>
    <s v="0.62"/>
    <s v="0.08"/>
    <s v="0.09"/>
    <n v="20238"/>
    <s v="K - D diff."/>
    <n v="5307"/>
    <n v="3777"/>
    <s v="1.41"/>
    <s v="1.16"/>
    <s v="76.40%"/>
    <s v="18.60%"/>
    <n v="21119"/>
    <n v="12563"/>
    <n v="5497"/>
    <n v="1828"/>
    <n v="313"/>
    <n v="37"/>
    <n v="6940"/>
    <n v="17441"/>
    <n v="706"/>
    <n v="5096"/>
    <n v="326"/>
    <n v="68"/>
    <s v="1.11"/>
    <n v="10552.631578947368"/>
    <x v="1"/>
  </r>
  <r>
    <n v="11276"/>
    <s v="MarkoÅ›"/>
    <s v="Kuba Markowski"/>
    <x v="4"/>
    <x v="3"/>
    <s v="FLET"/>
    <s v="AVEZ, Wisla Krakow"/>
    <n v="12341"/>
    <n v="11539"/>
    <s v="29.60%"/>
    <s v="71.7"/>
    <s v="3.2"/>
    <n v="682"/>
    <n v="18314"/>
    <s v="0.67"/>
    <s v="0.11"/>
    <s v="0.63"/>
    <s v="0.08"/>
    <s v="0.08"/>
    <n v="8511"/>
    <s v="K - D diff."/>
    <n v="1954"/>
    <n v="1519"/>
    <s v="1.29"/>
    <s v="1.06"/>
    <s v="72.30%"/>
    <s v="15.50%"/>
    <n v="9803"/>
    <n v="5531"/>
    <n v="2266"/>
    <n v="589"/>
    <n v="114"/>
    <n v="11"/>
    <n v="3439"/>
    <n v="6309"/>
    <n v="488"/>
    <n v="1964"/>
    <n v="136"/>
    <n v="38"/>
    <s v="1.06"/>
    <n v="4502.5263157894733"/>
    <x v="2"/>
  </r>
  <r>
    <n v="8255"/>
    <s v="CyberFocus"/>
    <s v="Roman Dergach"/>
    <x v="6"/>
    <x v="18"/>
    <m/>
    <s v="Nemiga, K29, Rebels, Empire"/>
    <n v="9080"/>
    <n v="8760"/>
    <s v="29.70%"/>
    <s v="74.2"/>
    <n v="2"/>
    <n v="491"/>
    <n v="12779"/>
    <s v="0.71"/>
    <s v="0.11"/>
    <s v="0.69"/>
    <s v="0.08"/>
    <s v="0.08"/>
    <n v="6112"/>
    <s v="K - D diff."/>
    <n v="1736"/>
    <n v="1383"/>
    <s v="1.26"/>
    <s v="1.17"/>
    <s v="70.60%"/>
    <s v="20.20%"/>
    <n v="6667"/>
    <n v="3869"/>
    <n v="1654"/>
    <n v="472"/>
    <n v="101"/>
    <n v="16"/>
    <n v="2153"/>
    <n v="4835"/>
    <n v="340"/>
    <n v="1655"/>
    <n v="86"/>
    <n v="17"/>
    <s v="1.02"/>
    <n v="3110.4"/>
    <x v="3"/>
  </r>
  <r>
    <n v="16848"/>
    <s v="hades"/>
    <s v="Olek Miskiewicz"/>
    <x v="9"/>
    <x v="3"/>
    <s v="ENCE"/>
    <s v="ENCE, Wisla Krakow"/>
    <n v="11782"/>
    <n v="10081"/>
    <s v="29.80%"/>
    <s v="73.9"/>
    <s v="2.3"/>
    <n v="602"/>
    <n v="16157"/>
    <s v="0.73"/>
    <s v="0.09"/>
    <s v="0.62"/>
    <s v="0.07"/>
    <s v="0.08"/>
    <n v="8005"/>
    <s v="K - D diff."/>
    <n v="1871"/>
    <n v="1197"/>
    <s v="1.56"/>
    <s v="1.12"/>
    <s v="75.80%"/>
    <s v="17.00%"/>
    <n v="8152"/>
    <n v="5102"/>
    <n v="2149"/>
    <n v="641"/>
    <n v="106"/>
    <n v="7"/>
    <n v="3304"/>
    <n v="6428"/>
    <n v="111"/>
    <n v="1896"/>
    <n v="56"/>
    <n v="22"/>
    <s v="1.11"/>
    <n v="4087.8421052631579"/>
    <x v="2"/>
  </r>
  <r>
    <n v="3543"/>
    <s v="DJOXiC"/>
    <s v="ÄorÄ‘e NiciforoviÄ‡"/>
    <x v="1"/>
    <x v="19"/>
    <s v="GamerS1337"/>
    <s v="Binary Dragons, iNation, Valiance"/>
    <n v="9002"/>
    <n v="7798"/>
    <s v="29.80%"/>
    <n v="73"/>
    <s v="2.9"/>
    <n v="489"/>
    <n v="12531"/>
    <s v="0.72"/>
    <s v="0.1"/>
    <s v="0.62"/>
    <s v="0.09"/>
    <s v="0.1"/>
    <n v="6060"/>
    <s v="K - D diff."/>
    <n v="1599"/>
    <n v="1141"/>
    <s v="1.4"/>
    <s v="1.15"/>
    <s v="75.90%"/>
    <s v="18.10%"/>
    <n v="6471"/>
    <n v="3811"/>
    <n v="1653"/>
    <n v="508"/>
    <n v="80"/>
    <n v="8"/>
    <n v="1914"/>
    <n v="4730"/>
    <n v="539"/>
    <n v="1693"/>
    <n v="99"/>
    <n v="45"/>
    <s v="1.08"/>
    <n v="3012.2"/>
    <x v="3"/>
  </r>
  <r>
    <n v="7980"/>
    <s v="DESPE"/>
    <s v="Ã‡aÄŸatay Sedef"/>
    <x v="1"/>
    <x v="20"/>
    <m/>
    <s v="Space Soldiers"/>
    <n v="8068"/>
    <n v="7748"/>
    <s v="29.80%"/>
    <s v="68.7"/>
    <s v="2.5"/>
    <n v="468"/>
    <n v="12127"/>
    <s v="0.67"/>
    <s v="0.11"/>
    <s v="0.64"/>
    <s v="0.08"/>
    <s v="0.08"/>
    <n v="5555"/>
    <s v="K - D diff."/>
    <n v="1436"/>
    <n v="1231"/>
    <s v="1.17"/>
    <s v="1.09"/>
    <s v="75.60%"/>
    <s v="16.70%"/>
    <n v="6572"/>
    <n v="3661"/>
    <n v="1391"/>
    <n v="403"/>
    <n v="86"/>
    <n v="14"/>
    <n v="1996"/>
    <n v="3956"/>
    <n v="496"/>
    <n v="1549"/>
    <n v="70"/>
    <n v="6"/>
    <s v="1.01"/>
    <n v="2991.2105263157896"/>
    <x v="3"/>
  </r>
  <r>
    <n v="10560"/>
    <s v="yel"/>
    <s v="Gustavo Knittel"/>
    <x v="5"/>
    <x v="6"/>
    <m/>
    <s v="Luminosity, INTZ, MIBR"/>
    <n v="16256"/>
    <n v="15220"/>
    <s v="29.90%"/>
    <s v="71.6"/>
    <n v="3"/>
    <n v="930"/>
    <n v="24064"/>
    <s v="0.68"/>
    <s v="0.11"/>
    <s v="0.63"/>
    <s v="0.09"/>
    <s v="0.09"/>
    <n v="11243"/>
    <s v="K - D diff."/>
    <n v="2888"/>
    <n v="2403"/>
    <s v="1.2"/>
    <s v="1.1"/>
    <s v="72.20%"/>
    <s v="17.00%"/>
    <n v="12821"/>
    <n v="7369"/>
    <n v="2901"/>
    <n v="825"/>
    <n v="130"/>
    <n v="18"/>
    <n v="4976"/>
    <n v="7335"/>
    <n v="989"/>
    <n v="2769"/>
    <n v="186"/>
    <n v="46"/>
    <s v="1.02"/>
    <n v="5668.6"/>
    <x v="0"/>
  </r>
  <r>
    <n v="7965"/>
    <s v="larsen"/>
    <s v="Sebastian Larsen"/>
    <x v="3"/>
    <x v="2"/>
    <s v="Tricked"/>
    <s v="Tricked, Movistar Riders"/>
    <n v="10597"/>
    <n v="10456"/>
    <s v="30.00%"/>
    <n v="70"/>
    <s v="4.2"/>
    <n v="607"/>
    <n v="16049"/>
    <s v="0.66"/>
    <s v="0.1"/>
    <s v="0.65"/>
    <s v="0.09"/>
    <s v="0.07"/>
    <n v="7364"/>
    <s v="K - D diff."/>
    <n v="1905"/>
    <n v="1487"/>
    <s v="1.28"/>
    <s v="1.11"/>
    <s v="71.80%"/>
    <s v="17.50%"/>
    <n v="8685"/>
    <n v="4903"/>
    <n v="1836"/>
    <n v="494"/>
    <n v="115"/>
    <n v="16"/>
    <n v="2537"/>
    <n v="5796"/>
    <n v="328"/>
    <n v="1785"/>
    <n v="143"/>
    <n v="34"/>
    <s v="0.99"/>
    <n v="3760.35"/>
    <x v="2"/>
  </r>
  <r>
    <n v="8503"/>
    <s v="fl0m"/>
    <s v="Erik Flom"/>
    <x v="1"/>
    <x v="0"/>
    <s v="Mythic"/>
    <s v="Mythic"/>
    <n v="12430"/>
    <n v="11781"/>
    <s v="30.10%"/>
    <n v="74"/>
    <s v="3.6"/>
    <n v="674"/>
    <n v="17775"/>
    <s v="0.7"/>
    <s v="0.12"/>
    <s v="0.66"/>
    <s v="0.1"/>
    <s v="0.1"/>
    <n v="8451"/>
    <s v="K - D diff."/>
    <n v="1929"/>
    <n v="1696"/>
    <s v="1.14"/>
    <s v="1.05"/>
    <s v="72.90%"/>
    <s v="16.30%"/>
    <n v="9324"/>
    <n v="5411"/>
    <n v="2256"/>
    <n v="647"/>
    <n v="121"/>
    <n v="16"/>
    <n v="3698"/>
    <n v="5521"/>
    <n v="570"/>
    <n v="2427"/>
    <n v="164"/>
    <n v="82"/>
    <s v="1.03"/>
    <n v="4252.3500000000004"/>
    <x v="2"/>
  </r>
  <r>
    <n v="9279"/>
    <s v="Relaxa"/>
    <s v="Joakim Gustafsson"/>
    <x v="1"/>
    <x v="15"/>
    <m/>
    <s v="Chaos, Red Reserve, Japaleno, Apeks, Galaxy Racer"/>
    <n v="21475"/>
    <n v="19530"/>
    <s v="30.20%"/>
    <s v="72.5"/>
    <s v="4.3"/>
    <n v="1203"/>
    <n v="32043"/>
    <s v="0.67"/>
    <s v="0.12"/>
    <s v="0.61"/>
    <s v="0.09"/>
    <s v="0.09"/>
    <n v="14869"/>
    <s v="K - D diff."/>
    <n v="3384"/>
    <n v="2520"/>
    <s v="1.34"/>
    <s v="1.06"/>
    <s v="73.40%"/>
    <s v="15.40%"/>
    <n v="17174"/>
    <n v="9754"/>
    <n v="3860"/>
    <n v="1042"/>
    <n v="190"/>
    <n v="23"/>
    <n v="6922"/>
    <n v="9827"/>
    <n v="608"/>
    <n v="3788"/>
    <n v="308"/>
    <n v="107"/>
    <s v="1.03"/>
    <n v="7822.4736842105267"/>
    <x v="1"/>
  </r>
  <r>
    <n v="8950"/>
    <s v="Kaze"/>
    <s v="Andrew Khong"/>
    <x v="8"/>
    <x v="21"/>
    <s v="Rare Atom"/>
    <s v="ViCi, Flash, MVP.karnal"/>
    <n v="17675"/>
    <n v="13384"/>
    <s v="30.30%"/>
    <s v="80.1"/>
    <s v="2.9"/>
    <n v="864"/>
    <n v="22588"/>
    <s v="0.78"/>
    <s v="0.11"/>
    <s v="0.59"/>
    <s v="0.08"/>
    <s v="0.1"/>
    <n v="11485"/>
    <s v="K - D diff."/>
    <n v="2688"/>
    <n v="1586"/>
    <s v="1.69"/>
    <s v="1.14"/>
    <s v="76.50%"/>
    <s v="17.00%"/>
    <n v="11103"/>
    <n v="6900"/>
    <n v="3249"/>
    <n v="1094"/>
    <n v="216"/>
    <n v="26"/>
    <n v="4893"/>
    <n v="9053"/>
    <n v="577"/>
    <n v="2834"/>
    <n v="172"/>
    <n v="203"/>
    <s v="1.19"/>
    <n v="5820.5263157894733"/>
    <x v="0"/>
  </r>
  <r>
    <n v="798"/>
    <s v="oskar"/>
    <s v="TomÃ¡Å¡ Å Å¥astnÃ½"/>
    <x v="14"/>
    <x v="22"/>
    <s v="Tokyo Revengers"/>
    <s v="MOUZ, SINNERS, HellRaisers"/>
    <n v="29371"/>
    <n v="24509"/>
    <s v="30.50%"/>
    <s v="78.2"/>
    <s v="3.4"/>
    <n v="1460"/>
    <n v="38504"/>
    <s v="0.76"/>
    <s v="0.1"/>
    <s v="0.64"/>
    <s v="0.07"/>
    <s v="0.08"/>
    <n v="19306"/>
    <s v="K - D diff."/>
    <n v="5123"/>
    <n v="3652"/>
    <s v="1.4"/>
    <s v="1.17"/>
    <s v="73.40%"/>
    <s v="18.90%"/>
    <n v="19198"/>
    <n v="11802"/>
    <n v="5377"/>
    <n v="1731"/>
    <n v="363"/>
    <n v="33"/>
    <n v="5625"/>
    <n v="16854"/>
    <n v="1023"/>
    <n v="5191"/>
    <n v="335"/>
    <n v="406"/>
    <s v="1.13"/>
    <n v="9992.78947368421"/>
    <x v="1"/>
  </r>
  <r>
    <n v="7982"/>
    <s v="to1nou"/>
    <s v="Antoine Pirard"/>
    <x v="6"/>
    <x v="23"/>
    <s v="FiveG"/>
    <s v="LDLC, LDLC White"/>
    <n v="15196"/>
    <n v="14676"/>
    <s v="30.50%"/>
    <s v="68.8"/>
    <s v="2.2"/>
    <n v="850"/>
    <n v="22377"/>
    <s v="0.68"/>
    <s v="0.1"/>
    <s v="0.66"/>
    <s v="0.09"/>
    <s v="0.1"/>
    <n v="10426"/>
    <s v="K - D diff."/>
    <n v="2480"/>
    <n v="1873"/>
    <s v="1.32"/>
    <s v="1.08"/>
    <s v="73.50%"/>
    <s v="16.30%"/>
    <n v="11951"/>
    <n v="6828"/>
    <n v="2622"/>
    <n v="802"/>
    <n v="159"/>
    <n v="15"/>
    <n v="3874"/>
    <n v="7273"/>
    <n v="641"/>
    <n v="3230"/>
    <n v="135"/>
    <n v="65"/>
    <s v="1.01"/>
    <n v="5551.2105263157891"/>
    <x v="0"/>
  </r>
  <r>
    <n v="14390"/>
    <s v="WOOD7"/>
    <s v="Adriano Cerato"/>
    <x v="6"/>
    <x v="6"/>
    <m/>
    <s v="Bravos, MIBR, RED Canids"/>
    <n v="9283"/>
    <n v="9009"/>
    <s v="30.50%"/>
    <s v="71.4"/>
    <s v="5.9"/>
    <n v="547"/>
    <n v="14292"/>
    <s v="0.65"/>
    <s v="0.12"/>
    <s v="0.63"/>
    <s v="0.08"/>
    <s v="0.08"/>
    <n v="6560"/>
    <s v="K - D diff."/>
    <n v="1380"/>
    <n v="1236"/>
    <s v="1.12"/>
    <s v="1.01"/>
    <s v="74.70%"/>
    <s v="14.00%"/>
    <n v="7732"/>
    <n v="4389"/>
    <n v="1690"/>
    <n v="419"/>
    <n v="53"/>
    <n v="9"/>
    <n v="3869"/>
    <n v="2792"/>
    <n v="1034"/>
    <n v="1439"/>
    <n v="150"/>
    <n v="29"/>
    <s v="1.04"/>
    <n v="3469.0526315789475"/>
    <x v="2"/>
  </r>
  <r>
    <n v="11815"/>
    <s v="anarkez"/>
    <s v="Guy Trachtman"/>
    <x v="9"/>
    <x v="24"/>
    <s v="Finest"/>
    <s v="Finest, Secret"/>
    <n v="13986"/>
    <n v="12553"/>
    <s v="30.80%"/>
    <s v="73.3"/>
    <s v="2.3"/>
    <n v="724"/>
    <n v="19400"/>
    <s v="0.72"/>
    <s v="0.09"/>
    <s v="0.65"/>
    <s v="0.09"/>
    <s v="0.08"/>
    <n v="9354"/>
    <s v="K - D diff."/>
    <n v="2661"/>
    <n v="1967"/>
    <s v="1.35"/>
    <s v="1.18"/>
    <s v="74.50%"/>
    <s v="20.20%"/>
    <n v="10046"/>
    <n v="5890"/>
    <n v="2489"/>
    <n v="796"/>
    <n v="165"/>
    <n v="14"/>
    <n v="2631"/>
    <n v="8746"/>
    <n v="408"/>
    <n v="2127"/>
    <n v="89"/>
    <n v="35"/>
    <s v="1.11"/>
    <n v="4951.6315789473683"/>
    <x v="0"/>
  </r>
  <r>
    <n v="2023"/>
    <s v="FalleN"/>
    <s v="Gabriel Toledo"/>
    <x v="14"/>
    <x v="6"/>
    <s v="Imperial"/>
    <s v="SK, MIBR, Luminosity"/>
    <n v="28701"/>
    <n v="25025"/>
    <s v="30.80%"/>
    <s v="71.7"/>
    <s v="3.5"/>
    <n v="1583"/>
    <n v="41454"/>
    <s v="0.69"/>
    <s v="0.11"/>
    <s v="0.6"/>
    <s v="0.08"/>
    <s v="0.08"/>
    <n v="19590"/>
    <s v="K - D diff."/>
    <n v="4884"/>
    <n v="3394"/>
    <s v="1.44"/>
    <s v="1.12"/>
    <s v="73.80%"/>
    <s v="16.20%"/>
    <n v="21864"/>
    <n v="12623"/>
    <n v="5154"/>
    <n v="1518"/>
    <n v="263"/>
    <n v="32"/>
    <n v="6574"/>
    <n v="15689"/>
    <n v="1414"/>
    <n v="4540"/>
    <n v="357"/>
    <n v="194"/>
    <s v="1.06"/>
    <n v="10255.421052631578"/>
    <x v="1"/>
  </r>
  <r>
    <n v="18835"/>
    <s v="saffee"/>
    <s v="Rafael Costa"/>
    <x v="6"/>
    <x v="6"/>
    <s v="FURIA"/>
    <s v="FURIA, paiN"/>
    <n v="8482"/>
    <n v="6517"/>
    <s v="30.90%"/>
    <s v="80.2"/>
    <n v="3"/>
    <n v="404"/>
    <n v="10701"/>
    <s v="0.79"/>
    <s v="0.1"/>
    <s v="0.61"/>
    <s v="0.08"/>
    <s v="0.1"/>
    <n v="5488"/>
    <s v="K - D diff."/>
    <n v="1309"/>
    <n v="892"/>
    <s v="1.47"/>
    <s v="1.14"/>
    <s v="76.10%"/>
    <s v="17.30%"/>
    <n v="5213"/>
    <n v="3288"/>
    <n v="1548"/>
    <n v="524"/>
    <n v="114"/>
    <n v="14"/>
    <n v="2545"/>
    <n v="4412"/>
    <n v="264"/>
    <n v="1209"/>
    <n v="52"/>
    <n v="28"/>
    <s v="1.22"/>
    <n v="2650.35"/>
    <x v="3"/>
  </r>
  <r>
    <n v="9255"/>
    <s v="draken"/>
    <s v="William Sundin"/>
    <x v="13"/>
    <x v="15"/>
    <s v="Into the Breach"/>
    <s v="Epsilon, NIP, Red Reserve"/>
    <n v="20957"/>
    <n v="18273"/>
    <s v="30.90%"/>
    <s v="74.6"/>
    <s v="2.1"/>
    <n v="1101"/>
    <n v="29050"/>
    <s v="0.72"/>
    <s v="0.1"/>
    <s v="0.63"/>
    <s v="0.08"/>
    <s v="0.08"/>
    <n v="14143"/>
    <s v="K - D diff."/>
    <n v="3899"/>
    <n v="2947"/>
    <s v="1.32"/>
    <s v="1.17"/>
    <s v="75.00%"/>
    <s v="19.40%"/>
    <n v="14907"/>
    <n v="8995"/>
    <n v="3730"/>
    <n v="1184"/>
    <n v="220"/>
    <n v="14"/>
    <n v="3759"/>
    <n v="12023"/>
    <n v="1056"/>
    <n v="3946"/>
    <n v="159"/>
    <n v="53"/>
    <s v="1.08"/>
    <n v="7390.3157894736842"/>
    <x v="1"/>
  </r>
  <r>
    <n v="10557"/>
    <s v="land1n"/>
    <s v="Paulo Felipe"/>
    <x v="8"/>
    <x v="6"/>
    <s v="Los Grandes"/>
    <s v="paiN, Wild, Case, BigGods"/>
    <n v="13563"/>
    <n v="12364"/>
    <s v="31.00%"/>
    <s v="69.7"/>
    <s v="2.3"/>
    <n v="771"/>
    <n v="20177"/>
    <s v="0.67"/>
    <s v="0.11"/>
    <s v="0.61"/>
    <s v="0.08"/>
    <s v="0.09"/>
    <n v="9310"/>
    <s v="K - D diff."/>
    <n v="2343"/>
    <n v="1737"/>
    <s v="1.35"/>
    <s v="1.1"/>
    <s v="74.30%"/>
    <s v="16.40%"/>
    <n v="10867"/>
    <n v="6055"/>
    <n v="2423"/>
    <n v="682"/>
    <n v="134"/>
    <n v="16"/>
    <n v="2757"/>
    <n v="7755"/>
    <n v="510"/>
    <n v="2413"/>
    <n v="101"/>
    <n v="54"/>
    <s v="1.03"/>
    <n v="4949.0526315789475"/>
    <x v="0"/>
  </r>
  <r>
    <n v="9174"/>
    <s v="HSK"/>
    <s v="Hae-Sung Kim"/>
    <x v="6"/>
    <x v="25"/>
    <m/>
    <s v="MVP PK, MVP Project, GOSU"/>
    <n v="9678"/>
    <n v="8833"/>
    <s v="31.10%"/>
    <s v="75.2"/>
    <s v="4.5"/>
    <n v="540"/>
    <n v="13851"/>
    <s v="0.7"/>
    <s v="0.14"/>
    <s v="0.64"/>
    <s v="0.12"/>
    <s v="0.12"/>
    <n v="6660"/>
    <s v="K - D diff."/>
    <n v="1480"/>
    <n v="1057"/>
    <s v="1.4"/>
    <s v="1.07"/>
    <s v="76.60%"/>
    <s v="15.50%"/>
    <n v="7191"/>
    <n v="4344"/>
    <n v="1712"/>
    <n v="515"/>
    <n v="81"/>
    <n v="8"/>
    <n v="3834"/>
    <n v="3315"/>
    <n v="470"/>
    <n v="1906"/>
    <n v="155"/>
    <n v="25"/>
    <s v="1.04"/>
    <n v="3455.5263157894738"/>
    <x v="2"/>
  </r>
  <r>
    <n v="7167"/>
    <s v="kennyS"/>
    <s v="Kenny Schrub"/>
    <x v="6"/>
    <x v="26"/>
    <s v="G2"/>
    <s v="G2, Envy, Titan"/>
    <n v="37067"/>
    <n v="30736"/>
    <s v="31.20%"/>
    <s v="74.7"/>
    <s v="3.4"/>
    <n v="1852"/>
    <n v="48898"/>
    <s v="0.76"/>
    <s v="0.11"/>
    <s v="0.63"/>
    <s v="0.09"/>
    <s v="0.11"/>
    <n v="24567"/>
    <s v="K - D diff."/>
    <n v="5847"/>
    <n v="3969"/>
    <s v="1.47"/>
    <s v="1.13"/>
    <s v="76.50%"/>
    <s v="17.50%"/>
    <n v="24331"/>
    <n v="15241"/>
    <n v="6747"/>
    <n v="2120"/>
    <n v="412"/>
    <n v="47"/>
    <n v="8533"/>
    <n v="19544"/>
    <n v="843"/>
    <n v="7423"/>
    <n v="707"/>
    <n v="80"/>
    <s v="1.13"/>
    <n v="12577.052631578947"/>
    <x v="1"/>
  </r>
  <r>
    <n v="10263"/>
    <s v="xccurate"/>
    <s v="Kevin Susanto"/>
    <x v="2"/>
    <x v="27"/>
    <s v="NKT"/>
    <s v="TYLOO, Recca, BTRG, NKT"/>
    <n v="13334"/>
    <n v="11610"/>
    <s v="31.20%"/>
    <s v="74.2"/>
    <s v="1.9"/>
    <n v="698"/>
    <n v="18113"/>
    <s v="0.74"/>
    <s v="0.1"/>
    <s v="0.64"/>
    <s v="0.1"/>
    <s v="0.1"/>
    <n v="8857"/>
    <s v="K - D diff."/>
    <n v="2102"/>
    <n v="1535"/>
    <s v="1.37"/>
    <s v="1.11"/>
    <s v="75.80%"/>
    <s v="16.50%"/>
    <n v="9256"/>
    <n v="5525"/>
    <n v="2381"/>
    <n v="774"/>
    <n v="160"/>
    <n v="17"/>
    <n v="3313"/>
    <n v="6969"/>
    <n v="605"/>
    <n v="2367"/>
    <n v="86"/>
    <n v="20"/>
    <s v="1.09"/>
    <n v="4616.9473684210525"/>
    <x v="2"/>
  </r>
  <r>
    <n v="14602"/>
    <s v="Marcelious"/>
    <s v="Ole Kristian Langan"/>
    <x v="4"/>
    <x v="28"/>
    <s v="Oilers"/>
    <s v="Apeks, 777, NOREG"/>
    <n v="9052"/>
    <n v="8397"/>
    <s v="31.20%"/>
    <s v="74.2"/>
    <s v="3.2"/>
    <n v="472"/>
    <n v="12716"/>
    <s v="0.71"/>
    <s v="0.1"/>
    <s v="0.66"/>
    <s v="0.1"/>
    <s v="0.11"/>
    <n v="6050"/>
    <s v="K - D diff."/>
    <n v="1426"/>
    <n v="1194"/>
    <s v="1.19"/>
    <s v="1.07"/>
    <s v="74.10%"/>
    <s v="16.70%"/>
    <n v="6666"/>
    <n v="3819"/>
    <n v="1601"/>
    <n v="497"/>
    <n v="125"/>
    <n v="8"/>
    <n v="2402"/>
    <n v="4746"/>
    <n v="267"/>
    <n v="1543"/>
    <n v="84"/>
    <n v="32"/>
    <s v="1.08"/>
    <n v="3215.6315789473683"/>
    <x v="3"/>
  </r>
  <r>
    <n v="18227"/>
    <s v="SENSEi"/>
    <s v="Dmitriy Shvorak"/>
    <x v="4"/>
    <x v="29"/>
    <s v="Iron Branch"/>
    <s v="CR4ZY, Project X, Akuma, Run or Die"/>
    <n v="9369"/>
    <n v="6979"/>
    <s v="31.30%"/>
    <s v="76.1"/>
    <s v="2.7"/>
    <n v="474"/>
    <n v="12537"/>
    <s v="0.75"/>
    <s v="0.09"/>
    <s v="0.56"/>
    <s v="0.07"/>
    <s v="0.09"/>
    <n v="6358"/>
    <s v="K - D diff."/>
    <n v="1612"/>
    <n v="812"/>
    <s v="1.99"/>
    <s v="1.2"/>
    <s v="74.40%"/>
    <s v="19.10%"/>
    <n v="6179"/>
    <n v="4062"/>
    <n v="1715"/>
    <n v="461"/>
    <n v="106"/>
    <n v="14"/>
    <n v="2118"/>
    <n v="5533"/>
    <n v="202"/>
    <n v="1440"/>
    <n v="73"/>
    <n v="28"/>
    <s v="1.21"/>
    <n v="3161.6842105263158"/>
    <x v="3"/>
  </r>
  <r>
    <n v="8543"/>
    <s v="NEEX"/>
    <s v="Sebastian Trela"/>
    <x v="3"/>
    <x v="3"/>
    <m/>
    <s v="Izako Boars, ESC"/>
    <n v="8076"/>
    <n v="7502"/>
    <s v="31.30%"/>
    <s v="71.5"/>
    <s v="1.6"/>
    <n v="429"/>
    <n v="11195"/>
    <s v="0.72"/>
    <s v="0.09"/>
    <s v="0.67"/>
    <s v="0.08"/>
    <s v="0.1"/>
    <n v="5421"/>
    <s v="K - D diff."/>
    <n v="1319"/>
    <n v="880"/>
    <s v="1.5"/>
    <s v="1.12"/>
    <s v="76.70%"/>
    <s v="18.60%"/>
    <n v="5774"/>
    <n v="3391"/>
    <n v="1503"/>
    <n v="436"/>
    <n v="84"/>
    <n v="7"/>
    <n v="2545"/>
    <n v="3905"/>
    <n v="181"/>
    <n v="1393"/>
    <n v="51"/>
    <n v="10"/>
    <s v="1.05"/>
    <n v="2847.4736842105262"/>
    <x v="3"/>
  </r>
  <r>
    <n v="13466"/>
    <s v="dennyslaw"/>
    <s v="Denislav Dimitrov"/>
    <x v="9"/>
    <x v="9"/>
    <s v="SKADE"/>
    <s v="SKADE"/>
    <n v="23081"/>
    <n v="20130"/>
    <s v="31.40%"/>
    <s v="74.9"/>
    <s v="2.9"/>
    <n v="1173"/>
    <n v="31580"/>
    <s v="0.73"/>
    <s v="0.1"/>
    <s v="0.64"/>
    <s v="0.08"/>
    <s v="0.1"/>
    <n v="15427"/>
    <s v="K - D diff."/>
    <n v="3935"/>
    <n v="2767"/>
    <s v="1.42"/>
    <s v="1.14"/>
    <s v="75.00%"/>
    <s v="18.10%"/>
    <n v="16153"/>
    <n v="9623"/>
    <n v="4269"/>
    <n v="1251"/>
    <n v="253"/>
    <n v="31"/>
    <n v="7579"/>
    <n v="11496"/>
    <n v="588"/>
    <n v="3244"/>
    <n v="187"/>
    <n v="61"/>
    <s v="1.12"/>
    <n v="8043.5789473684208"/>
    <x v="1"/>
  </r>
  <r>
    <n v="13273"/>
    <s v="Ace"/>
    <s v="Brandon Winn"/>
    <x v="6"/>
    <x v="0"/>
    <m/>
    <s v="Rise Nation, eUnited"/>
    <n v="7922"/>
    <n v="7352"/>
    <s v="31.40%"/>
    <s v="68.5"/>
    <s v="2.3"/>
    <n v="456"/>
    <n v="11866"/>
    <s v="0.67"/>
    <s v="0.1"/>
    <s v="0.62"/>
    <s v="0.09"/>
    <s v="0.1"/>
    <n v="5487"/>
    <s v="K - D diff."/>
    <n v="1353"/>
    <n v="1031"/>
    <s v="1.31"/>
    <s v="1.09"/>
    <s v="74.80%"/>
    <s v="16.10%"/>
    <n v="6379"/>
    <n v="3604"/>
    <n v="1406"/>
    <n v="406"/>
    <n v="67"/>
    <n v="4"/>
    <n v="1508"/>
    <n v="4241"/>
    <n v="498"/>
    <n v="1601"/>
    <n v="80"/>
    <n v="7"/>
    <s v="1.06"/>
    <n v="2908.8421052631579"/>
    <x v="3"/>
  </r>
  <r>
    <n v="12591"/>
    <s v="sterling"/>
    <s v="Euan Moore"/>
    <x v="2"/>
    <x v="30"/>
    <s v="Encore"/>
    <s v="AVANT, Looking For Org, Dire Wolves"/>
    <n v="17063"/>
    <n v="13103"/>
    <s v="31.60%"/>
    <s v="78.1"/>
    <n v="4"/>
    <n v="861"/>
    <n v="22023"/>
    <s v="0.77"/>
    <s v="0.1"/>
    <s v="0.59"/>
    <s v="0.08"/>
    <s v="0.11"/>
    <n v="11405"/>
    <s v="K - D diff."/>
    <n v="2599"/>
    <n v="1390"/>
    <s v="1.87"/>
    <s v="1.15"/>
    <s v="77.70%"/>
    <s v="17.00%"/>
    <n v="10618"/>
    <n v="7146"/>
    <n v="3098"/>
    <n v="945"/>
    <n v="194"/>
    <n v="22"/>
    <n v="5037"/>
    <n v="8539"/>
    <n v="437"/>
    <n v="2848"/>
    <n v="198"/>
    <n v="41"/>
    <s v="1.2"/>
    <n v="5378.55"/>
    <x v="0"/>
  </r>
  <r>
    <n v="13602"/>
    <s v="nicoodoz"/>
    <s v="Nico Tamjidi"/>
    <x v="10"/>
    <x v="2"/>
    <s v="fnatic"/>
    <s v="Copenhagen Flames"/>
    <n v="13844"/>
    <n v="12020"/>
    <s v="31.60%"/>
    <s v="71.7"/>
    <s v="3.2"/>
    <n v="727"/>
    <n v="19522"/>
    <s v="0.71"/>
    <s v="0.08"/>
    <s v="0.62"/>
    <s v="0.09"/>
    <s v="0.1"/>
    <n v="9445"/>
    <s v="K - D diff."/>
    <n v="2238"/>
    <n v="1384"/>
    <s v="1.62"/>
    <s v="1.12"/>
    <s v="75.10%"/>
    <s v="16.80%"/>
    <n v="10077"/>
    <n v="6123"/>
    <n v="2411"/>
    <n v="757"/>
    <n v="142"/>
    <n v="12"/>
    <n v="3419"/>
    <n v="7679"/>
    <n v="172"/>
    <n v="2459"/>
    <n v="128"/>
    <n v="43"/>
    <s v="1.1"/>
    <n v="4873.7894736842109"/>
    <x v="0"/>
  </r>
  <r>
    <n v="9416"/>
    <s v="obj"/>
    <s v="Francisco Ramos"/>
    <x v="13"/>
    <x v="31"/>
    <s v="Fourteen"/>
    <s v="OFFSET, eXploit, Giants, AlienTech"/>
    <n v="7278"/>
    <n v="6855"/>
    <s v="31.60%"/>
    <s v="69.9"/>
    <s v="2.9"/>
    <n v="418"/>
    <n v="10936"/>
    <s v="0.67"/>
    <s v="0.11"/>
    <s v="0.63"/>
    <s v="0.09"/>
    <s v="0.09"/>
    <n v="5038"/>
    <s v="K - D diff."/>
    <n v="1170"/>
    <n v="869"/>
    <s v="1.35"/>
    <s v="1.07"/>
    <s v="74.70%"/>
    <s v="16.10%"/>
    <n v="5898"/>
    <n v="3309"/>
    <n v="1295"/>
    <n v="362"/>
    <n v="67"/>
    <n v="5"/>
    <n v="2306"/>
    <n v="3391"/>
    <n v="256"/>
    <n v="1272"/>
    <n v="62"/>
    <n v="19"/>
    <s v="1.01"/>
    <n v="2674"/>
    <x v="3"/>
  </r>
  <r>
    <n v="13249"/>
    <s v="oSee"/>
    <s v="Josh Ohm"/>
    <x v="4"/>
    <x v="0"/>
    <s v="Liquid"/>
    <s v="Extra Salt, Singularity, Cloud9"/>
    <n v="21303"/>
    <n v="17903"/>
    <s v="31.70%"/>
    <s v="76.5"/>
    <s v="2.9"/>
    <n v="1103"/>
    <n v="28680"/>
    <s v="0.74"/>
    <s v="0.11"/>
    <s v="0.62"/>
    <s v="0.11"/>
    <s v="0.12"/>
    <n v="14323"/>
    <s v="K - D diff."/>
    <n v="3355"/>
    <n v="2407"/>
    <s v="1.39"/>
    <s v="1.11"/>
    <s v="75.50%"/>
    <s v="16.50%"/>
    <n v="14357"/>
    <n v="9043"/>
    <n v="3866"/>
    <n v="1146"/>
    <n v="250"/>
    <n v="18"/>
    <n v="7051"/>
    <n v="10272"/>
    <n v="391"/>
    <n v="3442"/>
    <n v="173"/>
    <n v="35"/>
    <s v="1.15"/>
    <n v="7322"/>
    <x v="1"/>
  </r>
  <r>
    <n v="15090"/>
    <s v="PwnAlone"/>
    <s v="Josh Pigue"/>
    <x v="14"/>
    <x v="0"/>
    <s v="EG.PA"/>
    <s v="Party Astronauts, New England Whalers, High Coast"/>
    <n v="17405"/>
    <n v="15140"/>
    <s v="31.70%"/>
    <s v="76.2"/>
    <s v="3.4"/>
    <n v="918"/>
    <n v="23924"/>
    <s v="0.73"/>
    <s v="0.12"/>
    <s v="0.63"/>
    <s v="0.1"/>
    <s v="0.1"/>
    <n v="11606"/>
    <s v="K - D diff."/>
    <n v="2928"/>
    <n v="2298"/>
    <s v="1.27"/>
    <s v="1.12"/>
    <s v="73.70%"/>
    <s v="17.40%"/>
    <n v="12318"/>
    <n v="7279"/>
    <n v="3143"/>
    <n v="938"/>
    <n v="204"/>
    <n v="42"/>
    <n v="4610"/>
    <n v="8162"/>
    <n v="846"/>
    <n v="3364"/>
    <n v="194"/>
    <n v="284"/>
    <s v="1.14"/>
    <n v="6084.3684210526317"/>
    <x v="0"/>
  </r>
  <r>
    <n v="14087"/>
    <s v="Jamppi"/>
    <s v="Elias Olkkonen"/>
    <x v="10"/>
    <x v="4"/>
    <m/>
    <s v="SJ, ENCE"/>
    <n v="10302"/>
    <n v="8894"/>
    <s v="31.80%"/>
    <s v="78.2"/>
    <s v="2.8"/>
    <n v="503"/>
    <n v="13449"/>
    <s v="0.77"/>
    <s v="0.1"/>
    <s v="0.66"/>
    <s v="0.08"/>
    <s v="0.09"/>
    <n v="6747"/>
    <s v="K - D diff."/>
    <n v="2050"/>
    <n v="1538"/>
    <s v="1.33"/>
    <s v="1.24"/>
    <s v="72.50%"/>
    <s v="22.20%"/>
    <n v="6702"/>
    <n v="4128"/>
    <n v="1826"/>
    <n v="658"/>
    <n v="127"/>
    <n v="8"/>
    <n v="2872"/>
    <n v="5073"/>
    <n v="421"/>
    <n v="1835"/>
    <n v="83"/>
    <n v="46"/>
    <s v="1.15"/>
    <n v="3540.1052631578946"/>
    <x v="2"/>
  </r>
  <r>
    <n v="14171"/>
    <s v="rAge"/>
    <s v="Dmitry Bolotov"/>
    <x v="3"/>
    <x v="29"/>
    <m/>
    <s v="Hard Legion, Windigo Academy"/>
    <n v="6850"/>
    <n v="6166"/>
    <s v="31.80%"/>
    <s v="71.2"/>
    <s v="4.5"/>
    <n v="382"/>
    <n v="10184"/>
    <s v="0.67"/>
    <s v="0.1"/>
    <s v="0.61"/>
    <s v="0.07"/>
    <s v="0.09"/>
    <n v="4767"/>
    <s v="K - D diff."/>
    <n v="1105"/>
    <n v="774"/>
    <s v="1.43"/>
    <s v="1.08"/>
    <s v="73.40%"/>
    <s v="16.20%"/>
    <n v="5417"/>
    <n v="3154"/>
    <n v="1206"/>
    <n v="346"/>
    <n v="59"/>
    <n v="2"/>
    <n v="1733"/>
    <n v="3560"/>
    <n v="164"/>
    <n v="1273"/>
    <n v="118"/>
    <n v="33"/>
    <s v="1.07"/>
    <n v="2489.1052631578946"/>
    <x v="3"/>
  </r>
  <r>
    <n v="9686"/>
    <s v="Gratisfaction"/>
    <s v="Sean Kaiwai"/>
    <x v="13"/>
    <x v="30"/>
    <s v="EXTREMUM"/>
    <s v="Grayhound, Renegades, 100 Thieves, Immunity, EXTREMUM"/>
    <n v="16191"/>
    <n v="14502"/>
    <s v="31.90%"/>
    <s v="73.2"/>
    <s v="3.3"/>
    <n v="897"/>
    <n v="23347"/>
    <s v="0.69"/>
    <s v="0.12"/>
    <s v="0.62"/>
    <s v="0.1"/>
    <s v="0.1"/>
    <n v="10996"/>
    <s v="K - D diff."/>
    <n v="2957"/>
    <n v="2250"/>
    <s v="1.31"/>
    <s v="1.14"/>
    <s v="74.50%"/>
    <s v="17.70%"/>
    <n v="12351"/>
    <n v="7054"/>
    <n v="2890"/>
    <n v="870"/>
    <n v="163"/>
    <n v="19"/>
    <n v="4576"/>
    <n v="8064"/>
    <n v="592"/>
    <n v="2785"/>
    <n v="166"/>
    <n v="49"/>
    <s v="1.05"/>
    <n v="5827.3157894736842"/>
    <x v="0"/>
  </r>
  <r>
    <n v="12877"/>
    <s v="chelleos"/>
    <s v="Michael Hawkins"/>
    <x v="9"/>
    <x v="30"/>
    <m/>
    <s v="Rooster, madlikewizards, Paradox"/>
    <n v="11270"/>
    <n v="9818"/>
    <s v="32.00%"/>
    <s v="84.2"/>
    <s v="4.1"/>
    <n v="560"/>
    <n v="14454"/>
    <s v="0.78"/>
    <s v="0.13"/>
    <s v="0.68"/>
    <s v="0.1"/>
    <s v="0.09"/>
    <n v="7347"/>
    <s v="K - D diff."/>
    <n v="2574"/>
    <n v="2036"/>
    <s v="1.26"/>
    <s v="1.32"/>
    <s v="72.30%"/>
    <s v="24.80%"/>
    <n v="7107"/>
    <n v="4471"/>
    <n v="2021"/>
    <n v="679"/>
    <n v="160"/>
    <n v="16"/>
    <n v="3548"/>
    <n v="5692"/>
    <n v="260"/>
    <n v="1601"/>
    <n v="160"/>
    <n v="35"/>
    <s v="1.2"/>
    <n v="3884.6842105263158"/>
    <x v="2"/>
  </r>
  <r>
    <n v="8574"/>
    <s v="woxic"/>
    <s v="Ã–zgÃ¼r Eker"/>
    <x v="4"/>
    <x v="20"/>
    <s v="Eternal Fire"/>
    <s v="Eternal Fire, HellRaisers, MOUZ, DarkPassage"/>
    <n v="22815"/>
    <n v="18947"/>
    <s v="32.10%"/>
    <s v="76.4"/>
    <s v="2.4"/>
    <n v="1178"/>
    <n v="30952"/>
    <s v="0.74"/>
    <s v="0.11"/>
    <s v="0.61"/>
    <s v="0.08"/>
    <s v="0.1"/>
    <n v="15130"/>
    <s v="K - D diff."/>
    <n v="3693"/>
    <n v="2485"/>
    <s v="1.49"/>
    <s v="1.13"/>
    <s v="76.10%"/>
    <s v="17.30%"/>
    <n v="15822"/>
    <n v="9398"/>
    <n v="4130"/>
    <n v="1287"/>
    <n v="279"/>
    <n v="36"/>
    <n v="6232"/>
    <n v="12438"/>
    <n v="462"/>
    <n v="3472"/>
    <n v="214"/>
    <n v="84"/>
    <s v="1.12"/>
    <n v="7844.9473684210525"/>
    <x v="1"/>
  </r>
  <r>
    <n v="629"/>
    <s v="fox"/>
    <s v="Ricardo Pacheco"/>
    <x v="15"/>
    <x v="31"/>
    <s v="Fourteen"/>
    <s v="Giants, k1ck, Kinguin, OFFSET"/>
    <n v="19461"/>
    <n v="18938"/>
    <s v="32.10%"/>
    <s v="75.5"/>
    <s v="3.2"/>
    <n v="1058"/>
    <n v="27636"/>
    <s v="0.7"/>
    <s v="0.13"/>
    <s v="0.69"/>
    <s v="0.1"/>
    <s v="0.09"/>
    <n v="13085"/>
    <s v="K - D diff."/>
    <n v="3965"/>
    <n v="3470"/>
    <s v="1.14"/>
    <s v="1.17"/>
    <s v="72.50%"/>
    <s v="21.10%"/>
    <n v="14551"/>
    <n v="8281"/>
    <n v="3501"/>
    <n v="1074"/>
    <n v="211"/>
    <n v="18"/>
    <n v="7300"/>
    <n v="7778"/>
    <n v="682"/>
    <n v="3509"/>
    <n v="201"/>
    <n v="28"/>
    <s v="1.02"/>
    <n v="7091.9473684210525"/>
    <x v="1"/>
  </r>
  <r>
    <n v="8576"/>
    <s v="ZOREE"/>
    <s v="Lasse Uronen"/>
    <x v="8"/>
    <x v="4"/>
    <s v="temp"/>
    <s v="HAVU, iGame.com, SJ"/>
    <n v="31855"/>
    <n v="27425"/>
    <s v="32.30%"/>
    <s v="73.7"/>
    <s v="3.7"/>
    <n v="1661"/>
    <n v="44157"/>
    <s v="0.72"/>
    <s v="0.1"/>
    <s v="0.62"/>
    <s v="0.08"/>
    <s v="0.1"/>
    <n v="21438"/>
    <s v="K - D diff."/>
    <n v="4748"/>
    <n v="3508"/>
    <s v="1.35"/>
    <s v="1.07"/>
    <s v="74.30%"/>
    <s v="15.50%"/>
    <n v="22719"/>
    <n v="13573"/>
    <n v="5715"/>
    <n v="1777"/>
    <n v="344"/>
    <n v="29"/>
    <n v="9260"/>
    <n v="15053"/>
    <n v="1601"/>
    <n v="5526"/>
    <n v="328"/>
    <n v="141"/>
    <s v="1.09"/>
    <n v="11097.78947368421"/>
    <x v="1"/>
  </r>
  <r>
    <n v="15007"/>
    <s v="Cooper"/>
    <s v="Austin Abadir"/>
    <x v="8"/>
    <x v="0"/>
    <s v="Mythic"/>
    <s v="Swole Patrol, eUnited, Triumph"/>
    <n v="14703"/>
    <n v="12697"/>
    <s v="32.40%"/>
    <n v="74"/>
    <s v="2.2"/>
    <n v="771"/>
    <n v="19991"/>
    <s v="0.74"/>
    <s v="0.09"/>
    <s v="0.64"/>
    <s v="0.09"/>
    <s v="0.1"/>
    <n v="9890"/>
    <s v="K - D diff."/>
    <n v="2420"/>
    <n v="1820"/>
    <s v="1.33"/>
    <s v="1.12"/>
    <s v="75.10%"/>
    <s v="17.30%"/>
    <n v="10101"/>
    <n v="6220"/>
    <n v="2695"/>
    <n v="819"/>
    <n v="144"/>
    <n v="12"/>
    <n v="4855"/>
    <n v="6855"/>
    <n v="504"/>
    <n v="2381"/>
    <n v="89"/>
    <n v="44"/>
    <s v="1.12"/>
    <n v="4854.25"/>
    <x v="0"/>
  </r>
  <r>
    <n v="8124"/>
    <s v="DavCost"/>
    <s v="Vadim Vasilyev"/>
    <x v="13"/>
    <x v="1"/>
    <s v="INDE IRAE"/>
    <s v="INDE IRAE, Spirit, 1WIN"/>
    <n v="23631"/>
    <n v="21705"/>
    <s v="32.40%"/>
    <s v="73.8"/>
    <s v="3.2"/>
    <n v="1279"/>
    <n v="33713"/>
    <s v="0.7"/>
    <s v="0.12"/>
    <s v="0.64"/>
    <s v="0.09"/>
    <s v="0.09"/>
    <n v="16050"/>
    <s v="K - D diff."/>
    <n v="3711"/>
    <n v="2752"/>
    <s v="1.35"/>
    <s v="1.08"/>
    <s v="74.30%"/>
    <s v="16.10%"/>
    <n v="17663"/>
    <n v="10292"/>
    <n v="4253"/>
    <n v="1219"/>
    <n v="258"/>
    <n v="28"/>
    <n v="5078"/>
    <n v="11946"/>
    <n v="1134"/>
    <n v="5142"/>
    <n v="290"/>
    <n v="78"/>
    <s v="1.04"/>
    <n v="8432.7368421052633"/>
    <x v="1"/>
  </r>
  <r>
    <n v="9895"/>
    <s v="mertz"/>
    <s v="Daniel Mertz"/>
    <x v="4"/>
    <x v="2"/>
    <m/>
    <s v="North Academy, Heroic, North, Nordavind, Singularity"/>
    <n v="19077"/>
    <n v="16483"/>
    <s v="32.50%"/>
    <s v="77.4"/>
    <s v="2.4"/>
    <n v="955"/>
    <n v="25333"/>
    <s v="0.75"/>
    <s v="0.1"/>
    <s v="0.65"/>
    <s v="0.1"/>
    <s v="0.1"/>
    <n v="12723"/>
    <s v="K - D diff."/>
    <n v="3710"/>
    <n v="2616"/>
    <s v="1.42"/>
    <s v="1.23"/>
    <s v="74.10%"/>
    <s v="21.20%"/>
    <n v="12610"/>
    <n v="7947"/>
    <n v="3448"/>
    <n v="1096"/>
    <n v="214"/>
    <n v="18"/>
    <n v="3881"/>
    <n v="10977"/>
    <n v="630"/>
    <n v="3478"/>
    <n v="142"/>
    <n v="35"/>
    <s v="1.1"/>
    <n v="6598.5789473684208"/>
    <x v="0"/>
  </r>
  <r>
    <n v="8396"/>
    <s v="BENDJI"/>
    <s v="Benjamin SÃ¶derena"/>
    <x v="13"/>
    <x v="15"/>
    <s v="Deportivo"/>
    <s v="Singularity, DenDD"/>
    <n v="16055"/>
    <n v="15918"/>
    <s v="32.50%"/>
    <s v="75.4"/>
    <s v="5.3"/>
    <n v="878"/>
    <n v="23318"/>
    <s v="0.69"/>
    <s v="0.14"/>
    <s v="0.68"/>
    <s v="0.1"/>
    <s v="0.1"/>
    <n v="10999"/>
    <s v="K - D diff."/>
    <n v="2352"/>
    <n v="2005"/>
    <s v="1.17"/>
    <s v="1.03"/>
    <s v="74.70%"/>
    <s v="15.20%"/>
    <n v="12319"/>
    <n v="7080"/>
    <n v="2953"/>
    <n v="811"/>
    <n v="144"/>
    <n v="11"/>
    <n v="6621"/>
    <n v="5144"/>
    <n v="729"/>
    <n v="3233"/>
    <n v="340"/>
    <n v="10"/>
    <s v="0.99"/>
    <n v="5837.894736842105"/>
    <x v="0"/>
  </r>
  <r>
    <n v="5736"/>
    <s v="kNgV-"/>
    <s v="Vito Giuseppe"/>
    <x v="1"/>
    <x v="6"/>
    <m/>
    <s v="MIBR, INTZ"/>
    <n v="16548"/>
    <n v="14142"/>
    <s v="32.70%"/>
    <s v="78.5"/>
    <s v="2.1"/>
    <n v="827"/>
    <n v="21606"/>
    <s v="0.77"/>
    <s v="0.1"/>
    <s v="0.65"/>
    <s v="0.08"/>
    <s v="0.09"/>
    <n v="10956"/>
    <s v="K - D diff."/>
    <n v="2929"/>
    <n v="2200"/>
    <s v="1.33"/>
    <s v="1.17"/>
    <s v="74.60%"/>
    <s v="19.40%"/>
    <n v="10650"/>
    <n v="6792"/>
    <n v="2989"/>
    <n v="945"/>
    <n v="207"/>
    <n v="23"/>
    <n v="5082"/>
    <n v="7983"/>
    <n v="732"/>
    <n v="2586"/>
    <n v="142"/>
    <n v="48"/>
    <s v="1.12"/>
    <n v="5651.9473684210525"/>
    <x v="0"/>
  </r>
  <r>
    <n v="15565"/>
    <s v="Spargo"/>
    <s v="Jarkko Rahja"/>
    <x v="10"/>
    <x v="4"/>
    <s v="HAVU"/>
    <s v="KOVA, hREDS"/>
    <n v="8415"/>
    <n v="8026"/>
    <s v="32.90%"/>
    <s v="70.4"/>
    <s v="2.3"/>
    <n v="448"/>
    <n v="12107"/>
    <s v="0.7"/>
    <s v="0.09"/>
    <s v="0.66"/>
    <s v="0.09"/>
    <s v="0.09"/>
    <n v="5678"/>
    <s v="K - D diff."/>
    <n v="1527"/>
    <n v="1216"/>
    <s v="1.26"/>
    <s v="1.13"/>
    <s v="71.10%"/>
    <s v="18.60%"/>
    <n v="6429"/>
    <n v="3641"/>
    <n v="1449"/>
    <n v="484"/>
    <n v="96"/>
    <n v="8"/>
    <n v="2149"/>
    <n v="4521"/>
    <n v="226"/>
    <n v="1448"/>
    <n v="63"/>
    <n v="36"/>
    <s v="1.05"/>
    <n v="3050.8947368421054"/>
    <x v="3"/>
  </r>
  <r>
    <n v="8848"/>
    <s v="Ryxxo"/>
    <s v="Thomas Nielsen"/>
    <x v="3"/>
    <x v="2"/>
    <s v="Sashi"/>
    <s v="Tricked, Singularity"/>
    <n v="15855"/>
    <n v="13957"/>
    <s v="33.10%"/>
    <s v="76.1"/>
    <s v="6.3"/>
    <n v="841"/>
    <n v="22116"/>
    <s v="0.72"/>
    <s v="0.12"/>
    <s v="0.63"/>
    <s v="0.09"/>
    <s v="0.1"/>
    <n v="10637"/>
    <s v="K - D diff."/>
    <n v="2445"/>
    <n v="1817"/>
    <s v="1.35"/>
    <s v="1.08"/>
    <s v="73.90%"/>
    <s v="16.30%"/>
    <n v="11479"/>
    <n v="6701"/>
    <n v="2845"/>
    <n v="916"/>
    <n v="160"/>
    <n v="15"/>
    <n v="4026"/>
    <n v="7747"/>
    <n v="917"/>
    <n v="2840"/>
    <n v="333"/>
    <n v="28"/>
    <s v="1.08"/>
    <n v="5561.8421052631575"/>
    <x v="0"/>
  </r>
  <r>
    <n v="8526"/>
    <s v="smike"/>
    <s v="Sergey Sklyarenko"/>
    <x v="2"/>
    <x v="29"/>
    <s v="spray'n'pray"/>
    <s v="spray'n'pray, pro100, ACG, eXplosive, k1ck"/>
    <n v="9299"/>
    <n v="8644"/>
    <s v="33.10%"/>
    <s v="75.6"/>
    <s v="1.4"/>
    <n v="480"/>
    <n v="12461"/>
    <s v="0.75"/>
    <s v="0.1"/>
    <s v="0.69"/>
    <s v="0.09"/>
    <s v="0.08"/>
    <n v="6095"/>
    <s v="K - D diff."/>
    <n v="1897"/>
    <n v="1490"/>
    <s v="1.27"/>
    <s v="1.23"/>
    <s v="75.00%"/>
    <s v="23.10%"/>
    <n v="6366"/>
    <n v="3757"/>
    <n v="1616"/>
    <n v="592"/>
    <n v="116"/>
    <n v="14"/>
    <n v="2091"/>
    <n v="4861"/>
    <n v="377"/>
    <n v="1927"/>
    <n v="41"/>
    <n v="22"/>
    <s v="1.07"/>
    <n v="3270.8421052631579"/>
    <x v="3"/>
  </r>
  <r>
    <n v="4576"/>
    <s v="dEE"/>
    <s v="MiloÅ¡ MarÄeta"/>
    <x v="13"/>
    <x v="19"/>
    <s v="KTRL"/>
    <s v="lvlUP, 4glory, Juggernauts, BLUEJAYS"/>
    <n v="8385"/>
    <n v="7808"/>
    <s v="33.10%"/>
    <s v="72.6"/>
    <s v="2.9"/>
    <n v="449"/>
    <n v="11891"/>
    <s v="0.71"/>
    <s v="0.1"/>
    <s v="0.66"/>
    <s v="0.09"/>
    <s v="0.1"/>
    <n v="5715"/>
    <s v="K - D diff."/>
    <n v="1333"/>
    <n v="1047"/>
    <s v="1.27"/>
    <s v="1.08"/>
    <s v="71.60%"/>
    <s v="16.50%"/>
    <n v="6176"/>
    <n v="3662"/>
    <n v="1528"/>
    <n v="443"/>
    <n v="72"/>
    <n v="10"/>
    <n v="2086"/>
    <n v="4246"/>
    <n v="512"/>
    <n v="1468"/>
    <n v="72"/>
    <n v="33"/>
    <s v="1.07"/>
    <n v="2996.6315789473683"/>
    <x v="3"/>
  </r>
  <r>
    <n v="15501"/>
    <s v="b0denmaster"/>
    <s v="Jonathan Bodenmalm"/>
    <x v="2"/>
    <x v="15"/>
    <s v="ATK"/>
    <s v="ATK, Lilmix"/>
    <n v="9950"/>
    <n v="9399"/>
    <s v="33.40%"/>
    <s v="73.6"/>
    <s v="4.8"/>
    <n v="542"/>
    <n v="14478"/>
    <s v="0.69"/>
    <s v="0.11"/>
    <s v="0.65"/>
    <s v="0.09"/>
    <s v="0.08"/>
    <n v="6750"/>
    <s v="K - D diff."/>
    <n v="1892"/>
    <n v="1548"/>
    <s v="1.22"/>
    <s v="1.14"/>
    <s v="72.90%"/>
    <s v="19.20%"/>
    <n v="7728"/>
    <n v="4315"/>
    <n v="1798"/>
    <n v="520"/>
    <n v="106"/>
    <n v="11"/>
    <n v="3034"/>
    <n v="4937"/>
    <n v="314"/>
    <n v="1494"/>
    <n v="131"/>
    <n v="69"/>
    <s v="1.08"/>
    <n v="3632.4210526315787"/>
    <x v="2"/>
  </r>
  <r>
    <n v="973"/>
    <s v="SZPERO"/>
    <s v="Grzegorz DziamaÅ‚ek"/>
    <x v="14"/>
    <x v="3"/>
    <m/>
    <s v="Wisla Krakow, Kinguin, AGO"/>
    <n v="36985"/>
    <n v="36135"/>
    <s v="33.40%"/>
    <s v="72.5"/>
    <s v="3.4"/>
    <n v="2058"/>
    <n v="54420"/>
    <s v="0.68"/>
    <s v="0.12"/>
    <s v="0.66"/>
    <s v="0.07"/>
    <s v="0.07"/>
    <n v="25423"/>
    <s v="K - D diff."/>
    <n v="6407"/>
    <n v="5753"/>
    <s v="1.11"/>
    <s v="1.08"/>
    <s v="74.20%"/>
    <s v="17.10%"/>
    <n v="28997"/>
    <n v="16587"/>
    <n v="6530"/>
    <n v="1924"/>
    <n v="358"/>
    <n v="24"/>
    <n v="13721"/>
    <n v="14286"/>
    <n v="1747"/>
    <n v="6492"/>
    <n v="525"/>
    <n v="291"/>
    <n v="1"/>
    <n v="12933.2"/>
    <x v="1"/>
  </r>
  <r>
    <n v="16487"/>
    <s v="eraa"/>
    <s v="Sean Knutsson"/>
    <x v="11"/>
    <x v="15"/>
    <s v="Young Ninjas"/>
    <s v="GamerLegion"/>
    <n v="11072"/>
    <n v="10401"/>
    <s v="33.50%"/>
    <s v="73.3"/>
    <s v="3.4"/>
    <n v="579"/>
    <n v="15674"/>
    <s v="0.71"/>
    <s v="0.1"/>
    <s v="0.66"/>
    <s v="0.08"/>
    <s v="0.09"/>
    <n v="7495"/>
    <s v="K - D diff."/>
    <n v="1832"/>
    <n v="1524"/>
    <s v="1.2"/>
    <s v="1.09"/>
    <s v="71.60%"/>
    <s v="16.80%"/>
    <n v="8179"/>
    <n v="4783"/>
    <n v="2001"/>
    <n v="568"/>
    <n v="132"/>
    <n v="11"/>
    <n v="3661"/>
    <n v="5245"/>
    <n v="264"/>
    <n v="1785"/>
    <n v="121"/>
    <n v="35"/>
    <s v="1.06"/>
    <n v="3966.4210526315787"/>
    <x v="2"/>
  </r>
  <r>
    <n v="12126"/>
    <s v="poizon"/>
    <s v="Valentin Vasilev"/>
    <x v="4"/>
    <x v="9"/>
    <s v="fnatic"/>
    <s v="Complexity, Windigo, Bpro"/>
    <n v="21485"/>
    <n v="18630"/>
    <s v="33.60%"/>
    <n v="78"/>
    <s v="3.8"/>
    <n v="1101"/>
    <n v="29160"/>
    <s v="0.74"/>
    <s v="0.12"/>
    <s v="0.64"/>
    <s v="0.09"/>
    <s v="0.1"/>
    <n v="14140"/>
    <s v="K - D diff."/>
    <n v="3694"/>
    <n v="2772"/>
    <s v="1.33"/>
    <s v="1.14"/>
    <s v="76.20%"/>
    <s v="18.40%"/>
    <n v="15020"/>
    <n v="8731"/>
    <n v="3815"/>
    <n v="1285"/>
    <n v="276"/>
    <n v="33"/>
    <n v="6183"/>
    <n v="11134"/>
    <n v="375"/>
    <n v="3612"/>
    <n v="213"/>
    <n v="30"/>
    <s v="1.14"/>
    <n v="7088.35"/>
    <x v="1"/>
  </r>
  <r>
    <n v="13300"/>
    <s v="Farlig"/>
    <s v="Asger Jensen"/>
    <x v="4"/>
    <x v="2"/>
    <s v="Astralis"/>
    <s v="Astralis, Copenhagen Flames, FunPlus Phoenix, GODSENT"/>
    <n v="14044"/>
    <n v="12253"/>
    <s v="33.60%"/>
    <s v="71.7"/>
    <s v="2.4"/>
    <n v="731"/>
    <n v="19507"/>
    <s v="0.72"/>
    <s v="0.09"/>
    <s v="0.63"/>
    <s v="0.08"/>
    <s v="0.1"/>
    <n v="9419"/>
    <s v="K - D diff."/>
    <n v="2407"/>
    <n v="1582"/>
    <s v="1.52"/>
    <s v="1.15"/>
    <s v="75.40%"/>
    <s v="18.20%"/>
    <n v="10088"/>
    <n v="5957"/>
    <n v="2493"/>
    <n v="791"/>
    <n v="162"/>
    <n v="16"/>
    <n v="3897"/>
    <n v="7374"/>
    <n v="295"/>
    <n v="2370"/>
    <n v="119"/>
    <n v="29"/>
    <s v="1.1"/>
    <n v="4922.8421052631575"/>
    <x v="0"/>
  </r>
  <r>
    <n v="10587"/>
    <s v="InfrequeNt"/>
    <s v="Jesse Barker"/>
    <x v="6"/>
    <x v="16"/>
    <m/>
    <s v="Athletico, Tainted Minds, Chiefs"/>
    <n v="8937"/>
    <n v="8017"/>
    <s v="33.80%"/>
    <s v="76.2"/>
    <s v="4.2"/>
    <n v="479"/>
    <n v="12350"/>
    <s v="0.72"/>
    <s v="0.12"/>
    <s v="0.65"/>
    <s v="0.09"/>
    <s v="0.1"/>
    <n v="5989"/>
    <s v="K - D diff."/>
    <n v="1635"/>
    <n v="1217"/>
    <s v="1.34"/>
    <s v="1.16"/>
    <s v="75.70%"/>
    <s v="19.20%"/>
    <n v="6361"/>
    <n v="3745"/>
    <n v="1656"/>
    <n v="480"/>
    <n v="100"/>
    <n v="8"/>
    <n v="2367"/>
    <n v="4240"/>
    <n v="351"/>
    <n v="1823"/>
    <n v="132"/>
    <n v="62"/>
    <s v="1.07"/>
    <n v="3155.2105263157896"/>
    <x v="3"/>
  </r>
  <r>
    <n v="11842"/>
    <s v="Ramz1kBO$$"/>
    <s v="Ramazan Bashizov"/>
    <x v="9"/>
    <x v="10"/>
    <s v="Golden Knights"/>
    <s v="Tengri, Syman"/>
    <n v="8110"/>
    <n v="7557"/>
    <s v="33.80%"/>
    <s v="75.9"/>
    <s v="1.5"/>
    <n v="425"/>
    <n v="11070"/>
    <s v="0.73"/>
    <s v="0.1"/>
    <s v="0.68"/>
    <s v="0.07"/>
    <s v="0.08"/>
    <n v="5420"/>
    <s v="K - D diff."/>
    <n v="1558"/>
    <n v="1275"/>
    <s v="1.22"/>
    <s v="1.18"/>
    <s v="73.40%"/>
    <s v="20.70%"/>
    <n v="5650"/>
    <n v="3377"/>
    <n v="1494"/>
    <n v="457"/>
    <n v="86"/>
    <n v="6"/>
    <n v="2720"/>
    <n v="3573"/>
    <n v="231"/>
    <n v="1528"/>
    <n v="57"/>
    <n v="11"/>
    <s v="1.09"/>
    <n v="2873.9473684210525"/>
    <x v="3"/>
  </r>
  <r>
    <n v="7810"/>
    <s v="ShahZaM"/>
    <s v="Shahzeb Khan"/>
    <x v="8"/>
    <x v="0"/>
    <m/>
    <s v="Complexity, Misfits, Echo Fox, Conquest, OpTic"/>
    <n v="18509"/>
    <n v="16451"/>
    <s v="34.00%"/>
    <s v="74.8"/>
    <s v="2.4"/>
    <n v="966"/>
    <n v="25252"/>
    <s v="0.73"/>
    <s v="0.1"/>
    <s v="0.65"/>
    <s v="0.09"/>
    <s v="0.1"/>
    <n v="12368"/>
    <s v="K - D diff."/>
    <n v="3270"/>
    <n v="2472"/>
    <s v="1.32"/>
    <s v="1.15"/>
    <s v="74.50%"/>
    <s v="18.80%"/>
    <n v="12884"/>
    <n v="7748"/>
    <n v="3362"/>
    <n v="1037"/>
    <n v="193"/>
    <n v="28"/>
    <n v="4329"/>
    <n v="9773"/>
    <n v="465"/>
    <n v="3816"/>
    <n v="118"/>
    <n v="36"/>
    <s v="1.08"/>
    <n v="6477.7368421052633"/>
    <x v="0"/>
  </r>
  <r>
    <n v="8786"/>
    <s v="jR"/>
    <s v="Dmitriy Chervak"/>
    <x v="8"/>
    <x v="29"/>
    <s v="Run or Die"/>
    <s v="Vega Squadron, HellRaisers"/>
    <n v="16101"/>
    <n v="15547"/>
    <s v="34.00%"/>
    <s v="71.6"/>
    <s v="3.3"/>
    <n v="892"/>
    <n v="23804"/>
    <s v="0.68"/>
    <s v="0.11"/>
    <s v="0.65"/>
    <s v="0.08"/>
    <s v="0.07"/>
    <n v="11015"/>
    <s v="K - D diff."/>
    <n v="2992"/>
    <n v="2625"/>
    <s v="1.14"/>
    <s v="1.11"/>
    <s v="72.60%"/>
    <s v="18.20%"/>
    <n v="12789"/>
    <n v="7131"/>
    <n v="2872"/>
    <n v="837"/>
    <n v="161"/>
    <n v="14"/>
    <n v="3890"/>
    <n v="8352"/>
    <n v="815"/>
    <n v="2845"/>
    <n v="166"/>
    <n v="72"/>
    <s v="1.01"/>
    <n v="5943.1578947368425"/>
    <x v="0"/>
  </r>
  <r>
    <n v="7369"/>
    <s v="peet"/>
    <s v="Piotr Ä†wikliÅ„ski"/>
    <x v="14"/>
    <x v="3"/>
    <m/>
    <s v="AGG, Vexed, SEAL, eBettle"/>
    <n v="6788"/>
    <n v="6691"/>
    <s v="34.00%"/>
    <n v="71"/>
    <s v="2.1"/>
    <n v="379"/>
    <n v="9993"/>
    <s v="0.68"/>
    <s v="0.12"/>
    <s v="0.67"/>
    <s v="0.1"/>
    <s v="0.1"/>
    <n v="4623"/>
    <s v="K - D diff."/>
    <n v="1193"/>
    <n v="989"/>
    <s v="1.21"/>
    <s v="1.1"/>
    <s v="74.40%"/>
    <s v="17.50%"/>
    <n v="5370"/>
    <n v="2985"/>
    <n v="1200"/>
    <n v="366"/>
    <n v="64"/>
    <n v="8"/>
    <n v="2930"/>
    <n v="2378"/>
    <n v="232"/>
    <n v="1161"/>
    <n v="61"/>
    <n v="28"/>
    <n v="1"/>
    <n v="2262.4285714285716"/>
    <x v="3"/>
  </r>
  <r>
    <n v="12840"/>
    <s v="hallzerk"/>
    <s v="HÃ¥kon FjÃ¦rli"/>
    <x v="9"/>
    <x v="28"/>
    <s v="Complexity"/>
    <s v="Dignitas, Nordavind"/>
    <n v="14681"/>
    <n v="13276"/>
    <s v="34.10%"/>
    <n v="74"/>
    <s v="3.1"/>
    <n v="746"/>
    <n v="20275"/>
    <s v="0.72"/>
    <s v="0.09"/>
    <s v="0.65"/>
    <s v="0.1"/>
    <s v="0.11"/>
    <n v="9763"/>
    <s v="K - D diff."/>
    <n v="2557"/>
    <n v="1895"/>
    <s v="1.35"/>
    <s v="1.14"/>
    <s v="74.20%"/>
    <s v="18.60%"/>
    <n v="10512"/>
    <n v="6073"/>
    <n v="2688"/>
    <n v="810"/>
    <n v="158"/>
    <n v="34"/>
    <n v="3690"/>
    <n v="7933"/>
    <n v="365"/>
    <n v="2570"/>
    <n v="124"/>
    <n v="41"/>
    <s v="1.1"/>
    <n v="4913.25"/>
    <x v="0"/>
  </r>
  <r>
    <n v="9358"/>
    <s v="DEV7L"/>
    <s v="Patrik StuchlÃ­k"/>
    <x v="3"/>
    <x v="22"/>
    <m/>
    <s v="eXtatus"/>
    <n v="9988"/>
    <n v="9406"/>
    <s v="34.20%"/>
    <s v="72.4"/>
    <s v="2.7"/>
    <n v="549"/>
    <n v="14256"/>
    <s v="0.7"/>
    <s v="0.1"/>
    <s v="0.66"/>
    <s v="0.09"/>
    <s v="0.1"/>
    <n v="6792"/>
    <s v="K - D diff."/>
    <n v="1491"/>
    <n v="1324"/>
    <s v="1.13"/>
    <s v="1.03"/>
    <s v="76.90%"/>
    <s v="15.30%"/>
    <n v="7464"/>
    <n v="4355"/>
    <n v="1798"/>
    <n v="532"/>
    <n v="94"/>
    <n v="13"/>
    <n v="3446"/>
    <n v="4069"/>
    <n v="351"/>
    <n v="2026"/>
    <n v="85"/>
    <n v="26"/>
    <s v="1.03"/>
    <n v="3582.3684210526317"/>
    <x v="2"/>
  </r>
  <r>
    <n v="11238"/>
    <s v="Oderus"/>
    <s v="Chad Miller"/>
    <x v="4"/>
    <x v="0"/>
    <m/>
    <s v="Spacestation, BlackOut, The Pioneers"/>
    <n v="8738"/>
    <n v="8790"/>
    <s v="34.30%"/>
    <s v="72.3"/>
    <s v="1.8"/>
    <n v="473"/>
    <n v="12356"/>
    <s v="0.71"/>
    <s v="0.09"/>
    <s v="0.71"/>
    <s v="0.1"/>
    <s v="0.1"/>
    <n v="5863"/>
    <s v="K - D diff."/>
    <n v="1737"/>
    <n v="1547"/>
    <s v="1.12"/>
    <s v="1.16"/>
    <s v="70.30%"/>
    <s v="20.40%"/>
    <n v="6493"/>
    <n v="3718"/>
    <n v="1532"/>
    <n v="505"/>
    <n v="99"/>
    <n v="9"/>
    <n v="2379"/>
    <n v="4372"/>
    <n v="365"/>
    <n v="1578"/>
    <n v="55"/>
    <n v="12"/>
    <s v="1.04"/>
    <n v="3190.5789473684213"/>
    <x v="3"/>
  </r>
  <r>
    <n v="9680"/>
    <s v="Noobster"/>
    <s v="Andy Zhang"/>
    <x v="3"/>
    <x v="16"/>
    <m/>
    <s v="Ground Zero, Paradox, SYF"/>
    <n v="8741"/>
    <n v="8534"/>
    <s v="34.50%"/>
    <s v="73.2"/>
    <n v="4"/>
    <n v="495"/>
    <n v="12785"/>
    <s v="0.68"/>
    <s v="0.12"/>
    <s v="0.67"/>
    <s v="0.09"/>
    <s v="0.09"/>
    <n v="5874"/>
    <s v="K - D diff."/>
    <n v="1571"/>
    <n v="1310"/>
    <s v="1.2"/>
    <s v="1.11"/>
    <s v="72.50%"/>
    <s v="18.30%"/>
    <n v="6911"/>
    <n v="3716"/>
    <n v="1582"/>
    <n v="458"/>
    <n v="103"/>
    <n v="15"/>
    <n v="2520"/>
    <n v="4060"/>
    <n v="390"/>
    <n v="1650"/>
    <n v="114"/>
    <n v="20"/>
    <s v="1.01"/>
    <n v="3042.65"/>
    <x v="3"/>
  </r>
  <r>
    <n v="2555"/>
    <s v="yam"/>
    <s v="Yaman Ergenekon"/>
    <x v="7"/>
    <x v="16"/>
    <m/>
    <s v="Renegades, Tainted Minds"/>
    <n v="9755"/>
    <n v="9105"/>
    <s v="34.60%"/>
    <s v="74.5"/>
    <s v="4.9"/>
    <n v="547"/>
    <n v="14003"/>
    <s v="0.7"/>
    <s v="0.13"/>
    <s v="0.65"/>
    <s v="0.09"/>
    <s v="0.09"/>
    <n v="6656"/>
    <s v="K - D diff."/>
    <n v="1771"/>
    <n v="1377"/>
    <s v="1.29"/>
    <s v="1.14"/>
    <s v="78.40%"/>
    <s v="18.20%"/>
    <n v="7347"/>
    <n v="4288"/>
    <n v="1756"/>
    <n v="512"/>
    <n v="87"/>
    <n v="13"/>
    <n v="3399"/>
    <n v="3743"/>
    <n v="554"/>
    <n v="1808"/>
    <n v="213"/>
    <n v="60"/>
    <s v="1.03"/>
    <n v="3526"/>
    <x v="2"/>
  </r>
  <r>
    <n v="10499"/>
    <s v="JonY BoY"/>
    <s v="Jonathan MuÃ±oz"/>
    <x v="5"/>
    <x v="32"/>
    <s v="Leviatan"/>
    <s v="Gale Force, Miami Flamingos, Furious, Isurus"/>
    <n v="7625"/>
    <n v="7272"/>
    <s v="34.60%"/>
    <n v="75"/>
    <s v="3.7"/>
    <n v="425"/>
    <n v="10919"/>
    <s v="0.7"/>
    <s v="0.11"/>
    <s v="0.67"/>
    <s v="0.09"/>
    <s v="0.09"/>
    <n v="5151"/>
    <s v="K - D diff."/>
    <n v="1416"/>
    <n v="1089"/>
    <s v="1.3"/>
    <s v="1.15"/>
    <s v="71.80%"/>
    <s v="18.90%"/>
    <n v="5768"/>
    <n v="3305"/>
    <n v="1336"/>
    <n v="406"/>
    <n v="90"/>
    <n v="14"/>
    <n v="2262"/>
    <n v="3566"/>
    <n v="308"/>
    <n v="1377"/>
    <n v="105"/>
    <n v="26"/>
    <s v="1.03"/>
    <n v="2626.75"/>
    <x v="3"/>
  </r>
  <r>
    <n v="17306"/>
    <s v="degster"/>
    <s v="Abdul Gasanov"/>
    <x v="10"/>
    <x v="1"/>
    <s v="OG"/>
    <s v="Espada, Spirit"/>
    <n v="14351"/>
    <n v="10988"/>
    <s v="34.70%"/>
    <s v="79.3"/>
    <s v="2.9"/>
    <n v="686"/>
    <n v="18284"/>
    <s v="0.78"/>
    <s v="0.09"/>
    <s v="0.6"/>
    <s v="0.07"/>
    <s v="0.1"/>
    <n v="9383"/>
    <s v="K - D diff."/>
    <n v="2480"/>
    <n v="1469"/>
    <s v="1.69"/>
    <s v="1.21"/>
    <s v="73.90%"/>
    <s v="19.20%"/>
    <n v="8901"/>
    <n v="5669"/>
    <n v="2677"/>
    <n v="841"/>
    <n v="175"/>
    <n v="21"/>
    <n v="4118"/>
    <n v="7544"/>
    <n v="253"/>
    <n v="2266"/>
    <n v="181"/>
    <n v="49"/>
    <s v="1.21"/>
    <n v="4754.5263157894733"/>
    <x v="2"/>
  </r>
  <r>
    <n v="7993"/>
    <s v="Detrony"/>
    <s v="Dimitri Hadjipaschali"/>
    <x v="14"/>
    <x v="33"/>
    <m/>
    <s v="Bravado"/>
    <n v="7633"/>
    <n v="6771"/>
    <s v="34.70%"/>
    <s v="77.4"/>
    <s v="4.4"/>
    <n v="412"/>
    <n v="10449"/>
    <s v="0.73"/>
    <s v="0.13"/>
    <s v="0.65"/>
    <s v="0.1"/>
    <s v="0.09"/>
    <n v="5105"/>
    <s v="K - D diff."/>
    <n v="1271"/>
    <n v="957"/>
    <s v="1.33"/>
    <s v="1.12"/>
    <s v="79.10%"/>
    <s v="17.90%"/>
    <n v="5344"/>
    <n v="3235"/>
    <n v="1326"/>
    <n v="442"/>
    <n v="91"/>
    <n v="11"/>
    <n v="3310"/>
    <n v="2430"/>
    <n v="373"/>
    <n v="1396"/>
    <n v="111"/>
    <n v="27"/>
    <s v="1.08"/>
    <n v="2668.1052631578946"/>
    <x v="3"/>
  </r>
  <r>
    <n v="12937"/>
    <s v="WolfY"/>
    <s v="Adam Andersson"/>
    <x v="4"/>
    <x v="0"/>
    <s v="ECSTATIC"/>
    <s v="ECSTATIC, Lyngby Vikings, Secret Club"/>
    <n v="9790"/>
    <n v="8809"/>
    <s v="34.70%"/>
    <s v="71.3"/>
    <n v="3"/>
    <n v="529"/>
    <n v="14082"/>
    <s v="0.7"/>
    <s v="0.1"/>
    <s v="0.63"/>
    <s v="0.09"/>
    <s v="0.11"/>
    <n v="6755"/>
    <s v="K - D diff."/>
    <n v="1615"/>
    <n v="1224"/>
    <s v="1.32"/>
    <s v="1.1"/>
    <s v="73.00%"/>
    <s v="16.60%"/>
    <n v="7327"/>
    <n v="4418"/>
    <n v="1742"/>
    <n v="499"/>
    <n v="89"/>
    <n v="7"/>
    <n v="3317"/>
    <n v="4460"/>
    <n v="378"/>
    <n v="1559"/>
    <n v="90"/>
    <n v="20"/>
    <s v="1.08"/>
    <n v="3335.65"/>
    <x v="2"/>
  </r>
  <r>
    <n v="19926"/>
    <s v="afro"/>
    <s v="AurÃ©lien Drapier"/>
    <x v="4"/>
    <x v="26"/>
    <s v="HEET"/>
    <s v="HEET, DBL PONEY, LDLC"/>
    <n v="10973"/>
    <n v="9994"/>
    <s v="34.80%"/>
    <s v="72.2"/>
    <s v="5.3"/>
    <n v="591"/>
    <n v="15808"/>
    <s v="0.69"/>
    <s v="0.11"/>
    <s v="0.63"/>
    <s v="0.08"/>
    <s v="0.09"/>
    <n v="7361"/>
    <s v="K - D diff."/>
    <n v="1913"/>
    <n v="1554"/>
    <s v="1.23"/>
    <s v="1.11"/>
    <s v="74.10%"/>
    <s v="17.00%"/>
    <n v="8447"/>
    <n v="4657"/>
    <n v="1937"/>
    <n v="641"/>
    <n v="111"/>
    <n v="15"/>
    <n v="4043"/>
    <n v="4871"/>
    <n v="190"/>
    <n v="1701"/>
    <n v="175"/>
    <n v="55"/>
    <s v="1.08"/>
    <n v="3949.3157894736842"/>
    <x v="2"/>
  </r>
  <r>
    <n v="12521"/>
    <s v="arT"/>
    <s v="Andrei Piovezan"/>
    <x v="13"/>
    <x v="6"/>
    <s v="FURIA"/>
    <s v="FURIA"/>
    <n v="18525"/>
    <n v="18493"/>
    <s v="34.80%"/>
    <s v="78.1"/>
    <s v="3.8"/>
    <n v="1008"/>
    <n v="26196"/>
    <s v="0.71"/>
    <s v="0.14"/>
    <s v="0.71"/>
    <s v="0.1"/>
    <s v="0.07"/>
    <n v="12438"/>
    <s v="K - D diff."/>
    <n v="4580"/>
    <n v="4507"/>
    <s v="1.02"/>
    <s v="1.25"/>
    <s v="73.70%"/>
    <s v="23.90%"/>
    <n v="13758"/>
    <n v="7860"/>
    <n v="3315"/>
    <n v="1040"/>
    <n v="200"/>
    <n v="23"/>
    <n v="8744"/>
    <n v="5652"/>
    <n v="1303"/>
    <n v="2440"/>
    <n v="209"/>
    <n v="238"/>
    <s v="1.09"/>
    <n v="6869.9473684210525"/>
    <x v="0"/>
  </r>
  <r>
    <n v="6453"/>
    <s v="arya"/>
    <s v="Arya Hekmat"/>
    <x v="1"/>
    <x v="0"/>
    <m/>
    <s v="Splyce, 3sUP"/>
    <n v="7277"/>
    <n v="8145"/>
    <s v="34.90%"/>
    <s v="72.6"/>
    <s v="3.5"/>
    <n v="440"/>
    <n v="11291"/>
    <s v="0.64"/>
    <s v="0.14"/>
    <s v="0.72"/>
    <s v="0.11"/>
    <s v="0.09"/>
    <n v="4960"/>
    <s v="K - D diff."/>
    <n v="1266"/>
    <n v="1514"/>
    <s v="0.84"/>
    <n v="1"/>
    <s v="73.10%"/>
    <s v="17.30%"/>
    <n v="6331"/>
    <n v="3182"/>
    <n v="1333"/>
    <n v="361"/>
    <n v="78"/>
    <n v="6"/>
    <n v="3343"/>
    <n v="1799"/>
    <n v="394"/>
    <n v="1494"/>
    <n v="119"/>
    <n v="142"/>
    <s v="0.92"/>
    <n v="2673.8"/>
    <x v="3"/>
  </r>
  <r>
    <n v="7592"/>
    <s v="device"/>
    <s v="Nicolai Reedtz"/>
    <x v="13"/>
    <x v="2"/>
    <s v="NIP"/>
    <s v="Astralis, TSM"/>
    <n v="36293"/>
    <n v="29085"/>
    <s v="35.00%"/>
    <s v="80.3"/>
    <s v="4.3"/>
    <n v="1793"/>
    <n v="46666"/>
    <s v="0.78"/>
    <s v="0.13"/>
    <s v="0.62"/>
    <s v="0.07"/>
    <s v="0.08"/>
    <n v="23693"/>
    <s v="K - D diff."/>
    <n v="6207"/>
    <n v="4437"/>
    <s v="1.4"/>
    <s v="1.17"/>
    <s v="78.50%"/>
    <s v="18.90%"/>
    <n v="22973"/>
    <n v="14353"/>
    <n v="6700"/>
    <n v="2125"/>
    <n v="467"/>
    <n v="48"/>
    <n v="14483"/>
    <n v="12758"/>
    <n v="1566"/>
    <n v="6978"/>
    <n v="431"/>
    <n v="121"/>
    <s v="1.16"/>
    <n v="12167.21052631579"/>
    <x v="1"/>
  </r>
  <r>
    <n v="11139"/>
    <s v="aliStair"/>
    <s v="Alistair Johnston"/>
    <x v="2"/>
    <x v="16"/>
    <s v="ORDER"/>
    <s v="ORDER, Chiefs, Renegades"/>
    <n v="19564"/>
    <n v="16750"/>
    <s v="35.10%"/>
    <n v="76"/>
    <s v="3.4"/>
    <n v="1057"/>
    <n v="26844"/>
    <s v="0.73"/>
    <s v="0.12"/>
    <s v="0.62"/>
    <s v="0.09"/>
    <s v="0.09"/>
    <n v="13106"/>
    <s v="K - D diff."/>
    <n v="3629"/>
    <n v="2820"/>
    <s v="1.29"/>
    <s v="1.17"/>
    <s v="77.30%"/>
    <s v="18.70%"/>
    <n v="13738"/>
    <n v="8245"/>
    <n v="3539"/>
    <n v="1072"/>
    <n v="225"/>
    <n v="25"/>
    <n v="7121"/>
    <n v="7659"/>
    <n v="1103"/>
    <n v="3380"/>
    <n v="290"/>
    <n v="70"/>
    <s v="1.14"/>
    <n v="6515.65"/>
    <x v="0"/>
  </r>
  <r>
    <n v="14445"/>
    <s v="kai"/>
    <s v="Kaique Guidotti"/>
    <x v="6"/>
    <x v="6"/>
    <m/>
    <s v="Bravos, C4, RED Canids"/>
    <n v="8814"/>
    <n v="8399"/>
    <s v="35.30%"/>
    <s v="75.9"/>
    <s v="4.4"/>
    <n v="483"/>
    <n v="12692"/>
    <s v="0.69"/>
    <s v="0.14"/>
    <s v="0.66"/>
    <s v="0.09"/>
    <s v="0.11"/>
    <n v="5992"/>
    <s v="K - D diff."/>
    <n v="1035"/>
    <n v="961"/>
    <s v="1.08"/>
    <s v="0.95"/>
    <s v="74.40%"/>
    <s v="11.80%"/>
    <n v="6700"/>
    <n v="3892"/>
    <n v="1500"/>
    <n v="487"/>
    <n v="104"/>
    <n v="9"/>
    <n v="6007"/>
    <n v="752"/>
    <n v="405"/>
    <n v="1582"/>
    <n v="74"/>
    <n v="8"/>
    <s v="1.07"/>
    <n v="3152.4210526315787"/>
    <x v="3"/>
  </r>
  <r>
    <n v="7433"/>
    <s v="adreN"/>
    <s v="Eric Hoag"/>
    <x v="0"/>
    <x v="0"/>
    <s v="Liquid"/>
    <s v="Liquid, Mythic"/>
    <n v="12259"/>
    <n v="11879"/>
    <s v="35.30%"/>
    <s v="76.5"/>
    <s v="5.7"/>
    <n v="697"/>
    <n v="18241"/>
    <s v="0.67"/>
    <s v="0.15"/>
    <s v="0.65"/>
    <s v="0.1"/>
    <s v="0.12"/>
    <n v="8474"/>
    <s v="K - D diff."/>
    <n v="1655"/>
    <n v="1449"/>
    <s v="1.14"/>
    <s v="0.99"/>
    <s v="75.40%"/>
    <s v="13.40%"/>
    <n v="9767"/>
    <n v="5589"/>
    <n v="2139"/>
    <n v="619"/>
    <n v="117"/>
    <n v="10"/>
    <n v="6304"/>
    <n v="3011"/>
    <n v="457"/>
    <n v="2204"/>
    <n v="261"/>
    <n v="34"/>
    <n v="1"/>
    <n v="4258.3500000000004"/>
    <x v="2"/>
  </r>
  <r>
    <n v="9102"/>
    <s v="Sico"/>
    <s v="Simon Williams"/>
    <x v="6"/>
    <x v="30"/>
    <s v="ORDER"/>
    <s v="ORDER, Renegades, Grayhound, Kings"/>
    <n v="17188"/>
    <n v="13437"/>
    <s v="35.40%"/>
    <s v="79.1"/>
    <s v="6.9"/>
    <n v="902"/>
    <n v="22858"/>
    <s v="0.75"/>
    <s v="0.14"/>
    <s v="0.59"/>
    <s v="0.09"/>
    <s v="0.1"/>
    <n v="11611"/>
    <s v="K - D diff."/>
    <n v="2600"/>
    <n v="1399"/>
    <s v="1.86"/>
    <s v="1.13"/>
    <s v="80.90%"/>
    <s v="16.10%"/>
    <n v="11247"/>
    <n v="7366"/>
    <n v="3111"/>
    <n v="954"/>
    <n v="162"/>
    <n v="18"/>
    <n v="5220"/>
    <n v="7131"/>
    <n v="982"/>
    <n v="3423"/>
    <n v="439"/>
    <n v="29"/>
    <s v="1.15"/>
    <n v="5793.5263157894733"/>
    <x v="0"/>
  </r>
  <r>
    <n v="13670"/>
    <s v="nawwk"/>
    <s v="Tim Jonasson"/>
    <x v="2"/>
    <x v="15"/>
    <s v="Apeks"/>
    <s v="Apeks, GamerLegion, NIP, x6tence Galaxy"/>
    <n v="17547"/>
    <n v="14717"/>
    <s v="35.40%"/>
    <s v="73.5"/>
    <s v="2.8"/>
    <n v="894"/>
    <n v="23861"/>
    <s v="0.74"/>
    <s v="0.09"/>
    <s v="0.62"/>
    <s v="0.09"/>
    <s v="0.11"/>
    <n v="11865"/>
    <s v="K - D diff."/>
    <n v="2434"/>
    <n v="1584"/>
    <s v="1.54"/>
    <s v="1.07"/>
    <s v="76.20%"/>
    <s v="15.20%"/>
    <n v="11996"/>
    <n v="7534"/>
    <n v="3173"/>
    <n v="979"/>
    <n v="165"/>
    <n v="14"/>
    <n v="5716"/>
    <n v="8044"/>
    <n v="613"/>
    <n v="2996"/>
    <n v="180"/>
    <n v="57"/>
    <s v="1.12"/>
    <n v="6019.4210526315792"/>
    <x v="0"/>
  </r>
  <r>
    <n v="12379"/>
    <s v="Impulse"/>
    <s v="Aleksa StankiÄ‡"/>
    <x v="13"/>
    <x v="19"/>
    <s v="ex-4glory"/>
    <s v="Valiance, ONYX, lvlUP, RESISTANCE"/>
    <n v="14877"/>
    <n v="13289"/>
    <s v="35.40%"/>
    <s v="75.5"/>
    <s v="3.6"/>
    <n v="780"/>
    <n v="20732"/>
    <s v="0.72"/>
    <s v="0.11"/>
    <s v="0.64"/>
    <s v="0.1"/>
    <s v="0.11"/>
    <n v="9972"/>
    <s v="K - D diff."/>
    <n v="2282"/>
    <n v="1662"/>
    <s v="1.37"/>
    <s v="1.08"/>
    <s v="74.40%"/>
    <s v="16.10%"/>
    <n v="10760"/>
    <n v="6304"/>
    <n v="2657"/>
    <n v="804"/>
    <n v="188"/>
    <n v="19"/>
    <n v="5033"/>
    <n v="6700"/>
    <n v="162"/>
    <n v="2813"/>
    <n v="189"/>
    <n v="26"/>
    <s v="1.11"/>
    <n v="5223.6315789473683"/>
    <x v="0"/>
  </r>
  <r>
    <n v="8611"/>
    <s v="es3tag"/>
    <s v="Patrick Hansen"/>
    <x v="13"/>
    <x v="2"/>
    <s v="NIP"/>
    <s v="Heroic, Tricked"/>
    <n v="23769"/>
    <n v="22950"/>
    <s v="35.40%"/>
    <s v="76.3"/>
    <s v="5.1"/>
    <n v="1325"/>
    <n v="34703"/>
    <s v="0.68"/>
    <s v="0.15"/>
    <s v="0.66"/>
    <s v="0.1"/>
    <s v="0.1"/>
    <n v="16107"/>
    <s v="K - D diff."/>
    <n v="3798"/>
    <n v="3577"/>
    <s v="1.06"/>
    <s v="1.04"/>
    <s v="73.30%"/>
    <s v="15.70%"/>
    <n v="18596"/>
    <n v="10348"/>
    <n v="4166"/>
    <n v="1308"/>
    <n v="261"/>
    <n v="24"/>
    <n v="15404"/>
    <n v="2683"/>
    <n v="1267"/>
    <n v="3941"/>
    <n v="391"/>
    <n v="129"/>
    <s v="1.01"/>
    <n v="8670.894736842105"/>
    <x v="1"/>
  </r>
  <r>
    <n v="11747"/>
    <s v="jnt"/>
    <s v="Jhonatan Silva"/>
    <x v="8"/>
    <x v="6"/>
    <s v="Sharks"/>
    <s v="Sharks"/>
    <n v="10397"/>
    <n v="10260"/>
    <s v="35.60%"/>
    <s v="68.9"/>
    <s v="4.1"/>
    <n v="628"/>
    <n v="16249"/>
    <s v="0.64"/>
    <s v="0.11"/>
    <s v="0.63"/>
    <s v="0.09"/>
    <s v="0.09"/>
    <n v="7221"/>
    <s v="K - D diff."/>
    <n v="1570"/>
    <n v="1340"/>
    <s v="1.17"/>
    <s v="1.01"/>
    <s v="73.70%"/>
    <s v="13.90%"/>
    <n v="9028"/>
    <n v="4737"/>
    <n v="1898"/>
    <n v="484"/>
    <n v="98"/>
    <n v="4"/>
    <n v="4871"/>
    <n v="3246"/>
    <n v="499"/>
    <n v="1626"/>
    <n v="149"/>
    <n v="36"/>
    <s v="1.03"/>
    <n v="3912.6842105263158"/>
    <x v="2"/>
  </r>
  <r>
    <n v="10981"/>
    <s v="mantuu"/>
    <s v="Mateusz Wilczewski"/>
    <x v="2"/>
    <x v="3"/>
    <m/>
    <s v="OG, ALTERNATE aTTaX, PANTHERS"/>
    <n v="13904"/>
    <n v="11530"/>
    <s v="35.70%"/>
    <s v="76.7"/>
    <s v="3.4"/>
    <n v="696"/>
    <n v="18646"/>
    <s v="0.75"/>
    <s v="0.11"/>
    <s v="0.62"/>
    <s v="0.09"/>
    <s v="0.12"/>
    <n v="9247"/>
    <s v="K - D diff."/>
    <n v="2203"/>
    <n v="1553"/>
    <s v="1.42"/>
    <s v="1.12"/>
    <s v="73.40%"/>
    <s v="17.30%"/>
    <n v="9399"/>
    <n v="5767"/>
    <n v="2516"/>
    <n v="774"/>
    <n v="167"/>
    <n v="23"/>
    <n v="5626"/>
    <n v="5438"/>
    <n v="448"/>
    <n v="2252"/>
    <n v="151"/>
    <n v="31"/>
    <s v="1.16"/>
    <n v="4756.3684210526317"/>
    <x v="2"/>
  </r>
  <r>
    <n v="13138"/>
    <s v="Maka"/>
    <s v="Bryan Canda"/>
    <x v="3"/>
    <x v="26"/>
    <s v="Falcons"/>
    <s v="Heretics, LDLC, 3DMAX"/>
    <n v="22548"/>
    <n v="20403"/>
    <s v="35.80%"/>
    <s v="74.7"/>
    <s v="4.6"/>
    <n v="1199"/>
    <n v="31846"/>
    <s v="0.71"/>
    <s v="0.11"/>
    <s v="0.64"/>
    <s v="0.09"/>
    <s v="0.08"/>
    <n v="15203"/>
    <s v="K - D diff."/>
    <n v="4195"/>
    <n v="3247"/>
    <s v="1.29"/>
    <s v="1.16"/>
    <s v="71.90%"/>
    <s v="18.70%"/>
    <n v="16643"/>
    <n v="9669"/>
    <n v="4031"/>
    <n v="1228"/>
    <n v="242"/>
    <n v="33"/>
    <n v="7140"/>
    <n v="10178"/>
    <n v="934"/>
    <n v="3969"/>
    <n v="317"/>
    <n v="101"/>
    <s v="1.1"/>
    <n v="8059.2631578947367"/>
    <x v="1"/>
  </r>
  <r>
    <n v="1964"/>
    <s v="Twista"/>
    <s v="Slaava RÃ¤sÃ¤nen"/>
    <x v="15"/>
    <x v="4"/>
    <s v="temp"/>
    <s v="RCTIC, iGame.com, LGR"/>
    <n v="5863"/>
    <n v="7012"/>
    <s v="35.90%"/>
    <s v="67.4"/>
    <s v="5.1"/>
    <n v="380"/>
    <n v="9970"/>
    <s v="0.59"/>
    <s v="0.16"/>
    <s v="0.7"/>
    <s v="0.09"/>
    <s v="0.09"/>
    <n v="4209"/>
    <s v="K - D diff."/>
    <n v="753"/>
    <n v="1121"/>
    <s v="0.67"/>
    <s v="0.86"/>
    <s v="72.40%"/>
    <s v="11.00%"/>
    <n v="5761"/>
    <n v="2920"/>
    <n v="971"/>
    <n v="275"/>
    <n v="43"/>
    <n v="0"/>
    <n v="4327"/>
    <n v="27"/>
    <n v="343"/>
    <n v="1061"/>
    <n v="102"/>
    <n v="8"/>
    <s v="0.85"/>
    <n v="2376.1052631578946"/>
    <x v="3"/>
  </r>
  <r>
    <n v="13238"/>
    <s v="PTC"/>
    <s v="Kitikawin Rattanasukol"/>
    <x v="4"/>
    <x v="12"/>
    <m/>
    <s v="Lucid Dream, 5POWER"/>
    <n v="9304"/>
    <n v="7896"/>
    <s v="36.10%"/>
    <s v="76.9"/>
    <n v="2"/>
    <n v="476"/>
    <n v="12393"/>
    <s v="0.75"/>
    <s v="0.1"/>
    <s v="0.64"/>
    <s v="0.08"/>
    <s v="0.09"/>
    <n v="6199"/>
    <s v="K - D diff."/>
    <n v="1542"/>
    <n v="1102"/>
    <s v="1.4"/>
    <s v="1.14"/>
    <s v="73.10%"/>
    <s v="17.50%"/>
    <n v="6194"/>
    <n v="3885"/>
    <n v="1655"/>
    <n v="538"/>
    <n v="110"/>
    <n v="11"/>
    <n v="3249"/>
    <n v="3987"/>
    <n v="349"/>
    <n v="1649"/>
    <n v="63"/>
    <n v="27"/>
    <s v="1.14"/>
    <n v="3031.55"/>
    <x v="3"/>
  </r>
  <r>
    <n v="8752"/>
    <s v="SileNt"/>
    <s v="Samuel Portillo"/>
    <x v="6"/>
    <x v="0"/>
    <m/>
    <s v="Swole Patrol, Method, NRG"/>
    <n v="10751"/>
    <n v="11539"/>
    <s v="36.10%"/>
    <s v="70.9"/>
    <s v="2.6"/>
    <n v="624"/>
    <n v="16235"/>
    <s v="0.66"/>
    <s v="0.12"/>
    <s v="0.71"/>
    <s v="0.1"/>
    <s v="0.09"/>
    <n v="7389"/>
    <s v="K - D diff."/>
    <n v="1772"/>
    <n v="1853"/>
    <s v="0.96"/>
    <s v="1.02"/>
    <s v="70.20%"/>
    <s v="15.90%"/>
    <n v="8846"/>
    <n v="4827"/>
    <n v="1898"/>
    <n v="540"/>
    <n v="118"/>
    <n v="6"/>
    <n v="4464"/>
    <n v="3446"/>
    <n v="587"/>
    <n v="2114"/>
    <n v="112"/>
    <n v="39"/>
    <s v="0.94"/>
    <n v="4061.0526315789475"/>
    <x v="2"/>
  </r>
  <r>
    <n v="9042"/>
    <s v="ryx"/>
    <s v="Ronnie Bylicki"/>
    <x v="1"/>
    <x v="0"/>
    <m/>
    <s v="Echo Fox, Splyce, Ghost, Dignitas, Tempo Storm, Conquest"/>
    <n v="9797"/>
    <n v="8616"/>
    <s v="36.30%"/>
    <s v="83.7"/>
    <s v="3.6"/>
    <n v="491"/>
    <n v="12856"/>
    <s v="0.76"/>
    <s v="0.16"/>
    <s v="0.67"/>
    <s v="0.09"/>
    <s v="0.12"/>
    <n v="6615"/>
    <s v="K - D diff."/>
    <n v="1145"/>
    <n v="864"/>
    <s v="1.33"/>
    <n v="1"/>
    <s v="76.80%"/>
    <s v="13.50%"/>
    <n v="6241"/>
    <n v="4174"/>
    <n v="1844"/>
    <n v="474"/>
    <n v="111"/>
    <n v="12"/>
    <n v="7011"/>
    <n v="135"/>
    <n v="717"/>
    <n v="1794"/>
    <n v="131"/>
    <n v="26"/>
    <s v="1.09"/>
    <n v="3152.75"/>
    <x v="3"/>
  </r>
  <r>
    <n v="9069"/>
    <s v="Nifty"/>
    <s v="Noah Francis"/>
    <x v="2"/>
    <x v="0"/>
    <m/>
    <s v="Renegades, Envy, Selfless"/>
    <n v="15336"/>
    <n v="15026"/>
    <s v="36.30%"/>
    <s v="70.2"/>
    <s v="3.2"/>
    <n v="865"/>
    <n v="22686"/>
    <s v="0.68"/>
    <s v="0.09"/>
    <s v="0.66"/>
    <s v="0.1"/>
    <s v="0.09"/>
    <n v="10342"/>
    <s v="K - D diff."/>
    <n v="2683"/>
    <n v="2403"/>
    <s v="1.12"/>
    <s v="1.08"/>
    <s v="73.50%"/>
    <s v="17.50%"/>
    <n v="12344"/>
    <n v="6570"/>
    <n v="2770"/>
    <n v="800"/>
    <n v="184"/>
    <n v="18"/>
    <n v="4529"/>
    <n v="7276"/>
    <n v="684"/>
    <n v="2673"/>
    <n v="156"/>
    <n v="45"/>
    <s v="1.01"/>
    <n v="5652.105263157895"/>
    <x v="0"/>
  </r>
  <r>
    <n v="7214"/>
    <s v="strux1"/>
    <s v="Hendrik Goetzendorff"/>
    <x v="14"/>
    <x v="14"/>
    <m/>
    <s v="PENTA, 3DMAX, Planetkey"/>
    <n v="6648"/>
    <n v="6894"/>
    <s v="36.30%"/>
    <n v="76"/>
    <s v="1.8"/>
    <n v="403"/>
    <n v="10276"/>
    <s v="0.65"/>
    <s v="0.14"/>
    <s v="0.67"/>
    <s v="0.09"/>
    <s v="0.09"/>
    <n v="4650"/>
    <s v="K - D diff."/>
    <n v="731"/>
    <n v="683"/>
    <s v="1.07"/>
    <s v="0.91"/>
    <s v="78.00%"/>
    <s v="11.20%"/>
    <n v="5626"/>
    <n v="3115"/>
    <n v="1168"/>
    <n v="311"/>
    <n v="51"/>
    <n v="5"/>
    <n v="4584"/>
    <n v="432"/>
    <n v="277"/>
    <n v="1148"/>
    <n v="199"/>
    <n v="8"/>
    <s v="0.95"/>
    <n v="2364.25"/>
    <x v="3"/>
  </r>
  <r>
    <n v="8555"/>
    <s v="jayzaR"/>
    <s v="Aleksandar Zarkovic"/>
    <x v="3"/>
    <x v="15"/>
    <m/>
    <s v="Valiance, Enyoy"/>
    <n v="10437"/>
    <n v="9487"/>
    <s v="36.40%"/>
    <n v="79"/>
    <s v="3.5"/>
    <n v="528"/>
    <n v="13954"/>
    <s v="0.75"/>
    <s v="0.12"/>
    <s v="0.68"/>
    <s v="0.09"/>
    <s v="0.1"/>
    <n v="6882"/>
    <s v="K - D diff."/>
    <n v="1769"/>
    <n v="1402"/>
    <s v="1.26"/>
    <s v="1.13"/>
    <s v="72.80%"/>
    <s v="18.90%"/>
    <n v="7072"/>
    <n v="4196"/>
    <n v="1970"/>
    <n v="575"/>
    <n v="129"/>
    <n v="12"/>
    <n v="3869"/>
    <n v="3914"/>
    <n v="331"/>
    <n v="2166"/>
    <n v="149"/>
    <n v="34"/>
    <s v="1.08"/>
    <n v="3447.75"/>
    <x v="2"/>
  </r>
  <r>
    <n v="15662"/>
    <s v="zorte"/>
    <s v="Aleksandr Zagodyrenko"/>
    <x v="2"/>
    <x v="1"/>
    <s v="forZe"/>
    <s v="forZe, Unique"/>
    <n v="14696"/>
    <n v="12200"/>
    <s v="36.50%"/>
    <s v="74.3"/>
    <s v="2.7"/>
    <n v="754"/>
    <n v="20154"/>
    <s v="0.73"/>
    <s v="0.09"/>
    <s v="0.61"/>
    <s v="0.09"/>
    <s v="0.11"/>
    <n v="9854"/>
    <s v="K - D diff."/>
    <n v="2584"/>
    <n v="1670"/>
    <s v="1.55"/>
    <s v="1.17"/>
    <s v="74.10%"/>
    <s v="18.60%"/>
    <n v="10300"/>
    <n v="6195"/>
    <n v="2676"/>
    <n v="805"/>
    <n v="156"/>
    <n v="22"/>
    <n v="4279"/>
    <n v="7548"/>
    <n v="239"/>
    <n v="2509"/>
    <n v="139"/>
    <n v="27"/>
    <s v="1.15"/>
    <n v="5095.105263157895"/>
    <x v="0"/>
  </r>
  <r>
    <n v="1915"/>
    <s v="SEMPHIS"/>
    <s v="Kory Friesen"/>
    <x v="7"/>
    <x v="5"/>
    <s v="Gaimin Gladiators"/>
    <s v="Splyce, TSM, Complexity"/>
    <n v="15472"/>
    <n v="15505"/>
    <s v="36.50%"/>
    <s v="73.6"/>
    <s v="3.1"/>
    <n v="848"/>
    <n v="21936"/>
    <s v="0.71"/>
    <s v="0.14"/>
    <s v="0.71"/>
    <s v="0.1"/>
    <s v="0.1"/>
    <n v="10488"/>
    <s v="K - D diff."/>
    <n v="2409"/>
    <n v="2211"/>
    <s v="1.09"/>
    <s v="1.05"/>
    <s v="71.60%"/>
    <s v="15.80%"/>
    <n v="11448"/>
    <n v="6664"/>
    <n v="2849"/>
    <n v="818"/>
    <n v="148"/>
    <n v="9"/>
    <n v="6452"/>
    <n v="4597"/>
    <n v="799"/>
    <n v="3415"/>
    <n v="204"/>
    <n v="38"/>
    <s v="0.99"/>
    <n v="5595.2631578947367"/>
    <x v="0"/>
  </r>
  <r>
    <n v="14505"/>
    <s v="ekul"/>
    <s v="Luke Blakey"/>
    <x v="6"/>
    <x v="16"/>
    <m/>
    <s v="Paradox, SYF"/>
    <n v="8895"/>
    <n v="7909"/>
    <s v="36.60%"/>
    <n v="80"/>
    <s v="2.9"/>
    <n v="452"/>
    <n v="11703"/>
    <s v="0.76"/>
    <s v="0.11"/>
    <s v="0.68"/>
    <s v="0.08"/>
    <s v="0.09"/>
    <n v="5842"/>
    <s v="K - D diff."/>
    <n v="1757"/>
    <n v="1334"/>
    <s v="1.32"/>
    <s v="1.23"/>
    <s v="71.80%"/>
    <s v="21.70%"/>
    <n v="5861"/>
    <n v="3584"/>
    <n v="1605"/>
    <n v="526"/>
    <n v="112"/>
    <n v="15"/>
    <n v="3116"/>
    <n v="3874"/>
    <n v="187"/>
    <n v="1615"/>
    <n v="77"/>
    <n v="43"/>
    <s v="1.14"/>
    <n v="2929.35"/>
    <x v="3"/>
  </r>
  <r>
    <n v="3849"/>
    <s v="JW"/>
    <s v="Jesper Wecksell"/>
    <x v="6"/>
    <x v="15"/>
    <s v="EYEBALLERS"/>
    <s v="fnatic"/>
    <n v="37544"/>
    <n v="35005"/>
    <s v="36.60%"/>
    <s v="76.2"/>
    <n v="4"/>
    <n v="1955"/>
    <n v="51388"/>
    <s v="0.73"/>
    <s v="0.14"/>
    <s v="0.68"/>
    <s v="0.08"/>
    <s v="0.08"/>
    <n v="24935"/>
    <s v="K - D diff."/>
    <n v="7189"/>
    <n v="6363"/>
    <s v="1.13"/>
    <s v="1.16"/>
    <s v="76.30%"/>
    <s v="20.20%"/>
    <n v="26453"/>
    <n v="15449"/>
    <n v="6913"/>
    <n v="2130"/>
    <n v="407"/>
    <n v="36"/>
    <n v="14368"/>
    <n v="12911"/>
    <n v="1228"/>
    <n v="7496"/>
    <n v="602"/>
    <n v="1001"/>
    <s v="1.05"/>
    <n v="12668.85"/>
    <x v="1"/>
  </r>
  <r>
    <n v="15072"/>
    <s v="nin9"/>
    <s v="Yesuntumur Gantulga"/>
    <x v="2"/>
    <x v="34"/>
    <s v="IHC"/>
    <s v="TIGER, Renewal, Mazaalai, IHC"/>
    <n v="7326"/>
    <n v="6646"/>
    <s v="36.60%"/>
    <s v="74.6"/>
    <s v="4.8"/>
    <n v="398"/>
    <n v="10487"/>
    <s v="0.7"/>
    <s v="0.11"/>
    <s v="0.63"/>
    <s v="0.08"/>
    <s v="0.09"/>
    <n v="5012"/>
    <s v="K - D diff."/>
    <n v="1214"/>
    <n v="943"/>
    <s v="1.29"/>
    <s v="1.1"/>
    <s v="75.00%"/>
    <s v="16.90%"/>
    <n v="5475"/>
    <n v="3259"/>
    <n v="1276"/>
    <n v="401"/>
    <n v="68"/>
    <n v="8"/>
    <n v="2604"/>
    <n v="3064"/>
    <n v="357"/>
    <n v="1147"/>
    <n v="137"/>
    <n v="58"/>
    <s v="1.09"/>
    <n v="2625.2631578947367"/>
    <x v="3"/>
  </r>
  <r>
    <n v="2553"/>
    <s v="Snax"/>
    <s v="Janusz Pogorzelski"/>
    <x v="1"/>
    <x v="3"/>
    <m/>
    <s v="Virtus.pro, Anonymo"/>
    <n v="39509"/>
    <n v="36701"/>
    <s v="36.60%"/>
    <s v="74.8"/>
    <s v="4.4"/>
    <n v="2127"/>
    <n v="56083"/>
    <s v="0.7"/>
    <s v="0.13"/>
    <s v="0.65"/>
    <s v="0.08"/>
    <s v="0.08"/>
    <n v="26714"/>
    <s v="K - D diff."/>
    <n v="6308"/>
    <n v="5876"/>
    <s v="1.07"/>
    <s v="1.05"/>
    <s v="73.80%"/>
    <s v="16.30%"/>
    <n v="29369"/>
    <n v="17049"/>
    <n v="7065"/>
    <n v="2156"/>
    <n v="402"/>
    <n v="42"/>
    <n v="20396"/>
    <n v="8929"/>
    <n v="2183"/>
    <n v="6728"/>
    <n v="638"/>
    <n v="680"/>
    <s v="1.04"/>
    <n v="14155.526315789473"/>
    <x v="1"/>
  </r>
  <r>
    <n v="20113"/>
    <s v="deko"/>
    <s v="Denis Zhukov"/>
    <x v="10"/>
    <x v="1"/>
    <s v="1WIN"/>
    <s v="1WIN"/>
    <n v="8738"/>
    <n v="6397"/>
    <s v="36.70%"/>
    <s v="80.4"/>
    <s v="3.4"/>
    <n v="404"/>
    <n v="10913"/>
    <s v="0.8"/>
    <s v="0.1"/>
    <s v="0.59"/>
    <s v="0.09"/>
    <s v="0.11"/>
    <n v="5785"/>
    <s v="K - D diff."/>
    <n v="1261"/>
    <n v="727"/>
    <s v="1.73"/>
    <s v="1.13"/>
    <s v="76.40%"/>
    <s v="16.70%"/>
    <n v="5128"/>
    <n v="3598"/>
    <n v="1549"/>
    <n v="518"/>
    <n v="112"/>
    <n v="8"/>
    <n v="2664"/>
    <n v="4348"/>
    <n v="181"/>
    <n v="1459"/>
    <n v="86"/>
    <n v="40"/>
    <s v="1.23"/>
    <n v="2837.6842105263158"/>
    <x v="3"/>
  </r>
  <r>
    <n v="7218"/>
    <s v="kRYSTAL"/>
    <s v="Kevin Amend"/>
    <x v="1"/>
    <x v="14"/>
    <s v="cowana"/>
    <s v="PENTA, ALTERNATE aTTaX, GODSENT"/>
    <n v="29499"/>
    <n v="32932"/>
    <s v="36.70%"/>
    <s v="67.3"/>
    <s v="5.4"/>
    <n v="1864"/>
    <n v="48739"/>
    <s v="0.61"/>
    <s v="0.15"/>
    <s v="0.68"/>
    <s v="0.1"/>
    <s v="0.08"/>
    <n v="20712"/>
    <s v="K - D diff."/>
    <n v="4581"/>
    <n v="5119"/>
    <s v="0.89"/>
    <s v="0.96"/>
    <s v="72.40%"/>
    <s v="13.60%"/>
    <n v="28027"/>
    <n v="14001"/>
    <n v="5006"/>
    <n v="1412"/>
    <n v="265"/>
    <n v="28"/>
    <n v="15027"/>
    <n v="5942"/>
    <n v="2198"/>
    <n v="5682"/>
    <n v="583"/>
    <n v="111"/>
    <s v="0.9"/>
    <n v="11669.894736842105"/>
    <x v="1"/>
  </r>
  <r>
    <n v="9294"/>
    <s v="NaToSaphiX"/>
    <s v="NielsÂ Christian Sillassen"/>
    <x v="3"/>
    <x v="2"/>
    <m/>
    <s v="Sprout, Nordavind"/>
    <n v="17805"/>
    <n v="15366"/>
    <s v="36.80%"/>
    <s v="71.9"/>
    <s v="3.2"/>
    <n v="948"/>
    <n v="25338"/>
    <s v="0.7"/>
    <s v="0.1"/>
    <s v="0.61"/>
    <s v="0.09"/>
    <s v="0.1"/>
    <n v="12138"/>
    <s v="K - D diff."/>
    <n v="2661"/>
    <n v="1865"/>
    <s v="1.43"/>
    <s v="1.07"/>
    <s v="73.90%"/>
    <s v="15.30%"/>
    <n v="13200"/>
    <n v="7772"/>
    <n v="3264"/>
    <n v="916"/>
    <n v="173"/>
    <n v="13"/>
    <n v="5861"/>
    <n v="7788"/>
    <n v="648"/>
    <n v="3284"/>
    <n v="223"/>
    <n v="48"/>
    <s v="1.07"/>
    <n v="6279.5263157894733"/>
    <x v="0"/>
  </r>
  <r>
    <n v="17353"/>
    <s v="cxzi"/>
    <s v="Danny Strzelczyk"/>
    <x v="9"/>
    <x v="0"/>
    <s v="BHOP"/>
    <s v="Triumph"/>
    <n v="8583"/>
    <n v="8457"/>
    <s v="36.90%"/>
    <s v="81.1"/>
    <n v="5"/>
    <n v="455"/>
    <n v="11795"/>
    <s v="0.73"/>
    <s v="0.14"/>
    <s v="0.72"/>
    <s v="0.1"/>
    <s v="0.08"/>
    <n v="5669"/>
    <s v="K - D diff."/>
    <n v="1515"/>
    <n v="1438"/>
    <s v="1.05"/>
    <s v="1.11"/>
    <s v="71.20%"/>
    <s v="18.40%"/>
    <n v="6126"/>
    <n v="3522"/>
    <n v="1517"/>
    <n v="506"/>
    <n v="111"/>
    <n v="13"/>
    <n v="4534"/>
    <n v="2054"/>
    <n v="420"/>
    <n v="1476"/>
    <n v="96"/>
    <n v="40"/>
    <s v="1.09"/>
    <n v="2916.6"/>
    <x v="3"/>
  </r>
  <r>
    <n v="8770"/>
    <s v="MoeycQ"/>
    <s v="Mohammed Tizani"/>
    <x v="1"/>
    <x v="16"/>
    <m/>
    <s v="Immunity, Chiefs, Ground Zero, AVANT"/>
    <n v="11650"/>
    <n v="11240"/>
    <s v="36.90%"/>
    <s v="75.2"/>
    <s v="5.1"/>
    <n v="639"/>
    <n v="16594"/>
    <s v="0.7"/>
    <s v="0.12"/>
    <s v="0.68"/>
    <s v="0.09"/>
    <s v="0.09"/>
    <n v="7887"/>
    <s v="K - D diff."/>
    <n v="1515"/>
    <n v="1508"/>
    <n v="1"/>
    <s v="0.97"/>
    <s v="75.20%"/>
    <s v="13.60%"/>
    <n v="8707"/>
    <n v="5053"/>
    <n v="2069"/>
    <n v="617"/>
    <n v="133"/>
    <n v="15"/>
    <n v="6034"/>
    <n v="2516"/>
    <n v="842"/>
    <n v="2028"/>
    <n v="186"/>
    <n v="61"/>
    <s v="1.02"/>
    <n v="3964.75"/>
    <x v="2"/>
  </r>
  <r>
    <n v="10664"/>
    <s v="Olivia"/>
    <s v="Peeratch Ingkudanonda"/>
    <x v="2"/>
    <x v="12"/>
    <s v="LZ"/>
    <s v="Beyond, Alpha Red, Signature"/>
    <n v="12279"/>
    <n v="10714"/>
    <s v="37.00%"/>
    <s v="78.5"/>
    <s v="2.4"/>
    <n v="634"/>
    <n v="16189"/>
    <s v="0.76"/>
    <s v="0.11"/>
    <s v="0.66"/>
    <s v="0.08"/>
    <s v="0.09"/>
    <n v="8107"/>
    <s v="K - D diff."/>
    <n v="2002"/>
    <n v="1468"/>
    <s v="1.36"/>
    <s v="1.13"/>
    <s v="75.20%"/>
    <s v="18.00%"/>
    <n v="8082"/>
    <n v="4975"/>
    <n v="2262"/>
    <n v="719"/>
    <n v="132"/>
    <n v="19"/>
    <n v="6032"/>
    <n v="3508"/>
    <n v="575"/>
    <n v="2052"/>
    <n v="95"/>
    <n v="56"/>
    <s v="1.13"/>
    <n v="4205.2631578947367"/>
    <x v="2"/>
  </r>
  <r>
    <n v="180"/>
    <s v="Savage"/>
    <s v="Bin Liu"/>
    <x v="7"/>
    <x v="35"/>
    <s v="TCG"/>
    <s v="VG.CyberZen, ViCi, CyberZen, 5POWER"/>
    <n v="15647"/>
    <n v="13721"/>
    <s v="37.00%"/>
    <s v="78.2"/>
    <s v="5.5"/>
    <n v="836"/>
    <n v="21434"/>
    <s v="0.73"/>
    <s v="0.13"/>
    <s v="0.64"/>
    <s v="0.09"/>
    <s v="0.09"/>
    <n v="10501"/>
    <s v="K - D diff."/>
    <n v="2515"/>
    <n v="2121"/>
    <s v="1.19"/>
    <s v="1.09"/>
    <s v="76.40%"/>
    <s v="16.30%"/>
    <n v="10933"/>
    <n v="6573"/>
    <n v="2908"/>
    <n v="842"/>
    <n v="158"/>
    <n v="20"/>
    <n v="6149"/>
    <n v="4285"/>
    <n v="1636"/>
    <n v="2916"/>
    <n v="244"/>
    <n v="446"/>
    <s v="1.08"/>
    <n v="5467.6315789473683"/>
    <x v="0"/>
  </r>
  <r>
    <n v="1045"/>
    <s v="Maikelele"/>
    <s v="Mikail Bill"/>
    <x v="14"/>
    <x v="15"/>
    <m/>
    <s v="NoChance, GODSENT"/>
    <n v="18850"/>
    <n v="17905"/>
    <s v="37.00%"/>
    <s v="73.3"/>
    <s v="4.8"/>
    <n v="1067"/>
    <n v="28134"/>
    <s v="0.67"/>
    <s v="0.14"/>
    <s v="0.64"/>
    <s v="0.09"/>
    <s v="0.09"/>
    <n v="12880"/>
    <s v="K - D diff."/>
    <n v="2821"/>
    <n v="2433"/>
    <s v="1.16"/>
    <s v="1.02"/>
    <s v="73.70%"/>
    <s v="14.40%"/>
    <n v="15254"/>
    <n v="8314"/>
    <n v="3399"/>
    <n v="969"/>
    <n v="184"/>
    <n v="14"/>
    <n v="7782"/>
    <n v="6195"/>
    <n v="736"/>
    <n v="3623"/>
    <n v="313"/>
    <n v="223"/>
    <s v="1.01"/>
    <n v="6899.7894736842109"/>
    <x v="0"/>
  </r>
  <r>
    <n v="12872"/>
    <s v="apocdud"/>
    <s v="Tom Henry"/>
    <x v="4"/>
    <x v="16"/>
    <m/>
    <s v="VERTEX, Chiefs, Genuine"/>
    <n v="12832"/>
    <n v="12941"/>
    <s v="37.00%"/>
    <s v="74.9"/>
    <s v="5.5"/>
    <n v="735"/>
    <n v="19035"/>
    <s v="0.67"/>
    <s v="0.14"/>
    <s v="0.68"/>
    <s v="0.11"/>
    <s v="0.1"/>
    <n v="8818"/>
    <s v="K - D diff."/>
    <n v="2147"/>
    <n v="2017"/>
    <s v="1.06"/>
    <s v="1.05"/>
    <s v="76.40%"/>
    <s v="17.10%"/>
    <n v="10217"/>
    <n v="5749"/>
    <n v="2274"/>
    <n v="657"/>
    <n v="126"/>
    <n v="12"/>
    <n v="6377"/>
    <n v="3366"/>
    <n v="721"/>
    <n v="2127"/>
    <n v="248"/>
    <n v="33"/>
    <s v="1.05"/>
    <n v="4759.5789473684208"/>
    <x v="2"/>
  </r>
  <r>
    <n v="7537"/>
    <s v="xartE"/>
    <s v="Mikko VÃ¤limaa"/>
    <x v="5"/>
    <x v="4"/>
    <s v="HAVU"/>
    <s v="SJ, HAVU, ENCE, hREDS"/>
    <n v="18341"/>
    <n v="19976"/>
    <s v="37.10%"/>
    <s v="69.8"/>
    <s v="6.3"/>
    <n v="1151"/>
    <n v="30254"/>
    <s v="0.61"/>
    <s v="0.15"/>
    <s v="0.66"/>
    <s v="0.09"/>
    <s v="0.09"/>
    <n v="12964"/>
    <s v="K - D diff."/>
    <n v="2624"/>
    <n v="2793"/>
    <s v="0.94"/>
    <s v="0.95"/>
    <s v="73.20%"/>
    <s v="12.60%"/>
    <n v="17290"/>
    <n v="8776"/>
    <n v="3192"/>
    <n v="837"/>
    <n v="143"/>
    <n v="16"/>
    <n v="10795"/>
    <n v="2869"/>
    <n v="1079"/>
    <n v="3163"/>
    <n v="408"/>
    <n v="58"/>
    <s v="0.91"/>
    <n v="7196.2631578947367"/>
    <x v="1"/>
  </r>
  <r>
    <n v="8047"/>
    <s v="Lambert"/>
    <s v="Lambert Prigent"/>
    <x v="5"/>
    <x v="26"/>
    <s v="LDLC"/>
    <s v="LDLC, EnVyUs Academy"/>
    <n v="11962"/>
    <n v="13543"/>
    <s v="37.10%"/>
    <s v="63.4"/>
    <s v="3.6"/>
    <n v="775"/>
    <n v="20411"/>
    <s v="0.59"/>
    <s v="0.11"/>
    <s v="0.66"/>
    <s v="0.09"/>
    <s v="0.08"/>
    <n v="8619"/>
    <s v="K - D diff."/>
    <n v="1717"/>
    <n v="1905"/>
    <s v="0.9"/>
    <s v="0.93"/>
    <s v="73.80%"/>
    <s v="12.20%"/>
    <n v="11792"/>
    <n v="5958"/>
    <n v="2064"/>
    <n v="522"/>
    <n v="67"/>
    <n v="8"/>
    <n v="5496"/>
    <n v="2462"/>
    <n v="1615"/>
    <n v="2186"/>
    <n v="151"/>
    <n v="90"/>
    <s v="0.88"/>
    <n v="4807.5263157894733"/>
    <x v="0"/>
  </r>
  <r>
    <n v="13989"/>
    <s v="ryotzz"/>
    <s v="Leon Felipe"/>
    <x v="8"/>
    <x v="6"/>
    <m/>
    <s v="W7M"/>
    <n v="7922"/>
    <n v="8076"/>
    <s v="37.20%"/>
    <s v="80.4"/>
    <s v="5.9"/>
    <n v="447"/>
    <n v="11613"/>
    <s v="0.68"/>
    <s v="0.18"/>
    <s v="0.7"/>
    <s v="0.1"/>
    <s v="0.09"/>
    <n v="5354"/>
    <s v="K - D diff."/>
    <n v="1209"/>
    <n v="1371"/>
    <s v="0.88"/>
    <s v="0.99"/>
    <s v="76.70%"/>
    <s v="15.60%"/>
    <n v="6259"/>
    <n v="3448"/>
    <n v="1351"/>
    <n v="455"/>
    <n v="93"/>
    <n v="7"/>
    <n v="5520"/>
    <n v="211"/>
    <n v="686"/>
    <n v="1368"/>
    <n v="143"/>
    <n v="18"/>
    <s v="1.08"/>
    <n v="2923.7368421052633"/>
    <x v="3"/>
  </r>
  <r>
    <n v="9056"/>
    <s v="koosta"/>
    <s v="Kenneth Suen"/>
    <x v="13"/>
    <x v="0"/>
    <m/>
    <s v="CLG, Ghost, Gen.G, Enemy"/>
    <n v="18522"/>
    <n v="17181"/>
    <s v="37.30%"/>
    <s v="76.1"/>
    <s v="3.6"/>
    <n v="977"/>
    <n v="25766"/>
    <s v="0.72"/>
    <s v="0.12"/>
    <s v="0.67"/>
    <s v="0.09"/>
    <s v="0.1"/>
    <n v="12250"/>
    <s v="K - D diff."/>
    <n v="2966"/>
    <n v="2851"/>
    <s v="1.04"/>
    <s v="1.06"/>
    <s v="72.80%"/>
    <s v="16.70%"/>
    <n v="13516"/>
    <n v="7590"/>
    <n v="3354"/>
    <n v="1029"/>
    <n v="250"/>
    <n v="27"/>
    <n v="7283"/>
    <n v="6180"/>
    <n v="1061"/>
    <n v="3739"/>
    <n v="223"/>
    <n v="78"/>
    <s v="1.06"/>
    <n v="6570.6842105263158"/>
    <x v="0"/>
  </r>
  <r>
    <n v="317"/>
    <s v="pashaBiceps"/>
    <s v="JarosÅ‚aw JarzÄ…bkowski"/>
    <x v="16"/>
    <x v="3"/>
    <m/>
    <s v="Virtus.pro, ESC"/>
    <n v="29501"/>
    <n v="28482"/>
    <s v="37.30%"/>
    <s v="72.5"/>
    <s v="4.2"/>
    <n v="1592"/>
    <n v="41228"/>
    <s v="0.72"/>
    <s v="0.13"/>
    <s v="0.69"/>
    <s v="0.08"/>
    <s v="0.08"/>
    <n v="19703"/>
    <s v="K - D diff."/>
    <n v="5056"/>
    <n v="4818"/>
    <s v="1.05"/>
    <s v="1.09"/>
    <s v="75.10%"/>
    <s v="17.90%"/>
    <n v="21525"/>
    <n v="12292"/>
    <n v="5442"/>
    <n v="1640"/>
    <n v="301"/>
    <n v="28"/>
    <n v="14682"/>
    <n v="7622"/>
    <n v="943"/>
    <n v="5317"/>
    <n v="534"/>
    <n v="429"/>
    <s v="1.02"/>
    <n v="10586.052631578947"/>
    <x v="1"/>
  </r>
  <r>
    <n v="7147"/>
    <s v="Fifflaren"/>
    <s v="Robin Johansson"/>
    <x v="16"/>
    <x v="15"/>
    <m/>
    <s v="NIP"/>
    <n v="7894"/>
    <n v="7934"/>
    <s v="37.50%"/>
    <s v="91.7"/>
    <s v="6.2"/>
    <n v="538"/>
    <n v="13220"/>
    <s v="0.6"/>
    <s v="0.15"/>
    <s v="0.6"/>
    <s v="0.04"/>
    <s v="0.16"/>
    <n v="5664"/>
    <s v="K - D diff."/>
    <n v="1271"/>
    <n v="1085"/>
    <s v="1.17"/>
    <s v="1.01"/>
    <s v="81.90%"/>
    <s v="13.20%"/>
    <n v="7556"/>
    <n v="3929"/>
    <n v="1341"/>
    <n v="338"/>
    <n v="53"/>
    <n v="3"/>
    <n v="4759"/>
    <n v="1355"/>
    <n v="187"/>
    <n v="1389"/>
    <n v="188"/>
    <n v="16"/>
    <s v="0.94"/>
    <n v="3090.5263157894738"/>
    <x v="3"/>
  </r>
  <r>
    <n v="18743"/>
    <s v="nython"/>
    <s v="Gabriel Lino"/>
    <x v="2"/>
    <x v="6"/>
    <s v="paiN"/>
    <s v="RED Canids, PaquetÃ¡, paiN"/>
    <n v="10480"/>
    <n v="9064"/>
    <s v="37.60%"/>
    <s v="76.7"/>
    <s v="2.3"/>
    <n v="524"/>
    <n v="13953"/>
    <s v="0.75"/>
    <s v="0.11"/>
    <s v="0.65"/>
    <s v="0.09"/>
    <s v="0.1"/>
    <n v="7048"/>
    <s v="K - D diff."/>
    <n v="1772"/>
    <n v="1254"/>
    <s v="1.41"/>
    <s v="1.15"/>
    <s v="73.90%"/>
    <s v="17.80%"/>
    <n v="6905"/>
    <n v="4449"/>
    <n v="1899"/>
    <n v="575"/>
    <n v="117"/>
    <n v="8"/>
    <n v="4112"/>
    <n v="4257"/>
    <n v="327"/>
    <n v="1734"/>
    <n v="60"/>
    <n v="19"/>
    <s v="1.14"/>
    <n v="3608.2631578947367"/>
    <x v="2"/>
  </r>
  <r>
    <n v="8745"/>
    <s v="Rickeh"/>
    <s v="Ricardo Mulholland"/>
    <x v="5"/>
    <x v="16"/>
    <s v="Aftershock"/>
    <s v="ORDER, CLG, Rogue"/>
    <n v="17834"/>
    <n v="15446"/>
    <s v="37.70%"/>
    <s v="77.3"/>
    <s v="5.2"/>
    <n v="962"/>
    <n v="25181"/>
    <s v="0.71"/>
    <s v="0.13"/>
    <s v="0.61"/>
    <s v="0.08"/>
    <s v="0.09"/>
    <n v="12120"/>
    <s v="K - D diff."/>
    <n v="2940"/>
    <n v="2320"/>
    <s v="1.27"/>
    <s v="1.1"/>
    <s v="74.10%"/>
    <s v="16.30%"/>
    <n v="13061"/>
    <n v="7736"/>
    <n v="3269"/>
    <n v="923"/>
    <n v="169"/>
    <n v="23"/>
    <n v="8360"/>
    <n v="5402"/>
    <n v="670"/>
    <n v="3105"/>
    <n v="260"/>
    <n v="105"/>
    <s v="1.07"/>
    <n v="6309.7894736842109"/>
    <x v="0"/>
  </r>
  <r>
    <n v="329"/>
    <s v="Kairi"/>
    <s v="David de Miguel"/>
    <x v="16"/>
    <x v="11"/>
    <m/>
    <s v="x6tence, PENTA"/>
    <n v="6763"/>
    <n v="6967"/>
    <s v="37.70%"/>
    <s v="74.1"/>
    <n v="6"/>
    <n v="404"/>
    <n v="10297"/>
    <s v="0.66"/>
    <s v="0.15"/>
    <s v="0.68"/>
    <s v="0.1"/>
    <s v="0.09"/>
    <n v="4657"/>
    <s v="K - D diff."/>
    <n v="1168"/>
    <n v="1119"/>
    <s v="1.04"/>
    <s v="1.05"/>
    <s v="69.90%"/>
    <s v="16.30%"/>
    <n v="5640"/>
    <n v="3045"/>
    <n v="1200"/>
    <n v="344"/>
    <n v="64"/>
    <n v="4"/>
    <n v="3208"/>
    <n v="1595"/>
    <n v="319"/>
    <n v="1471"/>
    <n v="170"/>
    <n v="14"/>
    <s v="0.96"/>
    <n v="2422.75"/>
    <x v="3"/>
  </r>
  <r>
    <n v="8523"/>
    <s v="tarik"/>
    <s v="Tarik Celik"/>
    <x v="13"/>
    <x v="0"/>
    <m/>
    <s v="CLG, Evil Geniuses, Cloud9, OpTic"/>
    <n v="26620"/>
    <n v="25304"/>
    <s v="37.80%"/>
    <s v="76.8"/>
    <s v="2.9"/>
    <n v="1438"/>
    <n v="37326"/>
    <s v="0.71"/>
    <s v="0.14"/>
    <s v="0.68"/>
    <s v="0.11"/>
    <s v="0.1"/>
    <n v="17847"/>
    <s v="K - D diff."/>
    <n v="4197"/>
    <n v="3980"/>
    <s v="1.05"/>
    <s v="1.05"/>
    <s v="74.40%"/>
    <s v="15.90%"/>
    <n v="19479"/>
    <n v="11207"/>
    <n v="4876"/>
    <n v="1439"/>
    <n v="292"/>
    <n v="33"/>
    <n v="18462"/>
    <n v="2211"/>
    <n v="797"/>
    <n v="4839"/>
    <n v="241"/>
    <n v="126"/>
    <s v="1.03"/>
    <n v="9511.2631578947367"/>
    <x v="1"/>
  </r>
  <r>
    <n v="9349"/>
    <s v="AiyvaN"/>
    <s v="Ivan Semenets"/>
    <x v="13"/>
    <x v="29"/>
    <s v="GUESS"/>
    <s v="pro100, spray'n'pray"/>
    <n v="12635"/>
    <n v="12043"/>
    <s v="37.80%"/>
    <s v="74.2"/>
    <s v="3.2"/>
    <n v="694"/>
    <n v="18045"/>
    <s v="0.7"/>
    <s v="0.11"/>
    <s v="0.67"/>
    <s v="0.1"/>
    <s v="0.1"/>
    <n v="8487"/>
    <s v="K - D diff."/>
    <n v="2101"/>
    <n v="1832"/>
    <s v="1.15"/>
    <s v="1.08"/>
    <s v="71.30%"/>
    <s v="16.90%"/>
    <n v="9558"/>
    <n v="5377"/>
    <n v="2243"/>
    <n v="716"/>
    <n v="131"/>
    <n v="20"/>
    <n v="4625"/>
    <n v="4915"/>
    <n v="654"/>
    <n v="2264"/>
    <n v="125"/>
    <n v="77"/>
    <s v="1.03"/>
    <n v="4554.8421052631575"/>
    <x v="2"/>
  </r>
  <r>
    <n v="165"/>
    <s v="NEO"/>
    <s v="Filip Kubski"/>
    <x v="15"/>
    <x v="3"/>
    <s v="HONORIS"/>
    <s v="Virtus.pro, HONORIS"/>
    <n v="34383"/>
    <n v="35933"/>
    <s v="37.80%"/>
    <s v="72.1"/>
    <s v="5.9"/>
    <n v="2030"/>
    <n v="52985"/>
    <s v="0.65"/>
    <s v="0.16"/>
    <s v="0.68"/>
    <s v="0.09"/>
    <s v="0.08"/>
    <n v="23611"/>
    <s v="K - D diff."/>
    <n v="4704"/>
    <n v="5483"/>
    <s v="0.86"/>
    <s v="0.94"/>
    <s v="72.00%"/>
    <s v="12.60%"/>
    <n v="29374"/>
    <n v="15441"/>
    <n v="6063"/>
    <n v="1722"/>
    <n v="341"/>
    <n v="44"/>
    <n v="22487"/>
    <n v="3414"/>
    <n v="1587"/>
    <n v="6094"/>
    <n v="661"/>
    <n v="185"/>
    <s v="0.95"/>
    <n v="12975.894736842105"/>
    <x v="1"/>
  </r>
  <r>
    <n v="921"/>
    <s v="BERRY"/>
    <s v="Danny KrÃ¼ger"/>
    <x v="0"/>
    <x v="2"/>
    <s v="Sprout"/>
    <s v="Ambush, OPAA"/>
    <n v="12987"/>
    <n v="15332"/>
    <s v="38.00%"/>
    <s v="71.7"/>
    <s v="5.8"/>
    <n v="802"/>
    <n v="20987"/>
    <s v="0.62"/>
    <s v="0.15"/>
    <s v="0.73"/>
    <s v="0.1"/>
    <s v="0.08"/>
    <n v="9097"/>
    <s v="K - D diff."/>
    <n v="2259"/>
    <n v="2738"/>
    <s v="0.83"/>
    <s v="0.99"/>
    <s v="73.40%"/>
    <s v="16.20%"/>
    <n v="11890"/>
    <n v="6099"/>
    <n v="2250"/>
    <n v="624"/>
    <n v="113"/>
    <n v="11"/>
    <n v="7656"/>
    <n v="1301"/>
    <n v="1561"/>
    <n v="2205"/>
    <n v="236"/>
    <n v="38"/>
    <s v="0.87"/>
    <n v="5167.6842105263158"/>
    <x v="0"/>
  </r>
  <r>
    <n v="8370"/>
    <s v="mixwell"/>
    <s v="Oscar CaÃ±ellas"/>
    <x v="13"/>
    <x v="11"/>
    <m/>
    <s v="OpTic, Movistar Riders"/>
    <n v="16275"/>
    <n v="14364"/>
    <s v="38.10%"/>
    <s v="79.5"/>
    <s v="5.7"/>
    <n v="840"/>
    <n v="21804"/>
    <s v="0.75"/>
    <s v="0.13"/>
    <s v="0.66"/>
    <s v="0.1"/>
    <s v="0.1"/>
    <n v="10742"/>
    <s v="K - D diff."/>
    <n v="2859"/>
    <n v="2317"/>
    <s v="1.23"/>
    <s v="1.15"/>
    <s v="74.40%"/>
    <s v="18.60%"/>
    <n v="11062"/>
    <n v="6669"/>
    <n v="2862"/>
    <n v="994"/>
    <n v="192"/>
    <n v="25"/>
    <n v="6823"/>
    <n v="5352"/>
    <n v="807"/>
    <n v="2952"/>
    <n v="315"/>
    <n v="60"/>
    <s v="1.09"/>
    <n v="5648.105263157895"/>
    <x v="0"/>
  </r>
  <r>
    <n v="18053"/>
    <s v="broky"/>
    <s v="Helvijs Saukants"/>
    <x v="10"/>
    <x v="36"/>
    <s v="FaZe"/>
    <s v="FaZe, Epsilon"/>
    <n v="13326"/>
    <n v="11624"/>
    <s v="38.10%"/>
    <n v="73"/>
    <s v="3.6"/>
    <n v="714"/>
    <n v="19063"/>
    <s v="0.7"/>
    <s v="0.1"/>
    <s v="0.61"/>
    <s v="0.1"/>
    <s v="0.11"/>
    <n v="9046"/>
    <s v="K - D diff."/>
    <n v="1615"/>
    <n v="1126"/>
    <s v="1.43"/>
    <s v="0.99"/>
    <s v="75.20%"/>
    <s v="12.20%"/>
    <n v="10017"/>
    <n v="5798"/>
    <n v="2387"/>
    <n v="706"/>
    <n v="139"/>
    <n v="16"/>
    <n v="5531"/>
    <n v="4868"/>
    <n v="474"/>
    <n v="2310"/>
    <n v="125"/>
    <n v="51"/>
    <s v="1.1"/>
    <n v="4450.45"/>
    <x v="2"/>
  </r>
  <r>
    <n v="10330"/>
    <s v="acoR"/>
    <s v="Frederik Gyldstrand"/>
    <x v="3"/>
    <x v="2"/>
    <s v="MOUZ"/>
    <s v="Tricked, North Academy, MAD Lions, MOUZ"/>
    <n v="19475"/>
    <n v="17493"/>
    <s v="38.10%"/>
    <s v="73.2"/>
    <s v="3.7"/>
    <n v="1057"/>
    <n v="27637"/>
    <s v="0.7"/>
    <s v="0.1"/>
    <s v="0.63"/>
    <s v="0.09"/>
    <s v="0.1"/>
    <n v="13069"/>
    <s v="K - D diff."/>
    <n v="3109"/>
    <n v="2527"/>
    <s v="1.23"/>
    <s v="1.08"/>
    <s v="75.30%"/>
    <s v="16.30%"/>
    <n v="14568"/>
    <n v="8203"/>
    <n v="3574"/>
    <n v="1063"/>
    <n v="210"/>
    <n v="19"/>
    <n v="6682"/>
    <n v="8611"/>
    <n v="683"/>
    <n v="3218"/>
    <n v="266"/>
    <n v="62"/>
    <s v="1.06"/>
    <n v="6922.4210526315792"/>
    <x v="1"/>
  </r>
  <r>
    <n v="8943"/>
    <s v="splashske"/>
    <s v="Nevin Aw"/>
    <x v="4"/>
    <x v="37"/>
    <m/>
    <s v="BOOT-d[S], HZ, BOOT, dream[S]cape"/>
    <n v="14145"/>
    <n v="12334"/>
    <s v="38.40%"/>
    <s v="78.5"/>
    <s v="3.5"/>
    <n v="722"/>
    <n v="18651"/>
    <s v="0.76"/>
    <s v="0.11"/>
    <s v="0.66"/>
    <s v="0.09"/>
    <s v="0.09"/>
    <n v="9213"/>
    <s v="K - D diff."/>
    <n v="2658"/>
    <n v="1858"/>
    <s v="1.43"/>
    <s v="1.21"/>
    <s v="73.60%"/>
    <s v="20.10%"/>
    <n v="9438"/>
    <n v="5577"/>
    <n v="2549"/>
    <n v="897"/>
    <n v="171"/>
    <n v="19"/>
    <n v="4741"/>
    <n v="6178"/>
    <n v="525"/>
    <n v="2539"/>
    <n v="167"/>
    <n v="24"/>
    <s v="1.11"/>
    <n v="4863.4736842105267"/>
    <x v="0"/>
  </r>
  <r>
    <n v="8716"/>
    <s v="DeadFox"/>
    <s v="Bence BÃ¶rÃ¶cz"/>
    <x v="6"/>
    <x v="7"/>
    <m/>
    <s v="HellRaisers"/>
    <n v="13856"/>
    <n v="13910"/>
    <s v="38.40%"/>
    <s v="69.5"/>
    <s v="3.5"/>
    <n v="807"/>
    <n v="21060"/>
    <s v="0.66"/>
    <s v="0.13"/>
    <s v="0.66"/>
    <s v="0.1"/>
    <s v="0.11"/>
    <n v="9453"/>
    <s v="K - D diff."/>
    <n v="2154"/>
    <n v="2095"/>
    <s v="1.03"/>
    <s v="1.01"/>
    <s v="73.20%"/>
    <s v="14.60%"/>
    <n v="11607"/>
    <n v="6098"/>
    <n v="2476"/>
    <n v="727"/>
    <n v="138"/>
    <n v="14"/>
    <n v="7021"/>
    <n v="3405"/>
    <n v="864"/>
    <n v="2387"/>
    <n v="173"/>
    <n v="22"/>
    <s v="0.98"/>
    <n v="5171.9473684210525"/>
    <x v="0"/>
  </r>
  <r>
    <n v="9798"/>
    <s v="lunAtic"/>
    <s v="Dawid CieÅ›lak"/>
    <x v="1"/>
    <x v="3"/>
    <s v="PACT"/>
    <s v="PACT"/>
    <n v="14808"/>
    <n v="16557"/>
    <s v="38.80%"/>
    <s v="67.9"/>
    <s v="5.4"/>
    <n v="895"/>
    <n v="24330"/>
    <s v="0.61"/>
    <s v="0.12"/>
    <s v="0.68"/>
    <s v="0.1"/>
    <s v="0.09"/>
    <n v="10498"/>
    <s v="K - D diff."/>
    <n v="2135"/>
    <n v="2083"/>
    <s v="1.02"/>
    <s v="0.96"/>
    <s v="74.10%"/>
    <s v="13.30%"/>
    <n v="13832"/>
    <n v="7077"/>
    <n v="2656"/>
    <n v="646"/>
    <n v="114"/>
    <n v="5"/>
    <n v="8246"/>
    <n v="2955"/>
    <n v="1095"/>
    <n v="2247"/>
    <n v="279"/>
    <n v="45"/>
    <s v="0.9"/>
    <n v="5815.9473684210525"/>
    <x v="0"/>
  </r>
  <r>
    <n v="12083"/>
    <s v="YDNA"/>
    <s v="Andrew Adams"/>
    <x v="4"/>
    <x v="16"/>
    <s v="rewound"/>
    <s v="Breakaway, Funky Monkeys, Dark Sided"/>
    <n v="7636"/>
    <n v="7533"/>
    <s v="38.90%"/>
    <n v="71"/>
    <s v="2.9"/>
    <n v="435"/>
    <n v="11265"/>
    <s v="0.68"/>
    <s v="0.11"/>
    <s v="0.67"/>
    <s v="0.09"/>
    <s v="0.1"/>
    <n v="5215"/>
    <s v="K - D diff."/>
    <n v="1305"/>
    <n v="1112"/>
    <s v="1.17"/>
    <s v="1.08"/>
    <s v="72.70%"/>
    <s v="17.40%"/>
    <n v="6050"/>
    <n v="3350"/>
    <n v="1379"/>
    <n v="418"/>
    <n v="66"/>
    <n v="2"/>
    <n v="2527"/>
    <n v="3134"/>
    <n v="317"/>
    <n v="1576"/>
    <n v="85"/>
    <n v="11"/>
    <s v="1.03"/>
    <n v="2674.35"/>
    <x v="3"/>
  </r>
  <r>
    <n v="147"/>
    <s v="SIXER"/>
    <s v="Christophe Xia"/>
    <x v="14"/>
    <x v="26"/>
    <s v="Ambush"/>
    <s v="LDLC, Envy"/>
    <n v="18867"/>
    <n v="17915"/>
    <s v="39.10%"/>
    <s v="69.9"/>
    <s v="2.7"/>
    <n v="1087"/>
    <n v="28664"/>
    <s v="0.66"/>
    <s v="0.11"/>
    <s v="0.62"/>
    <s v="0.09"/>
    <s v="0.1"/>
    <n v="13166"/>
    <s v="K - D diff."/>
    <n v="2502"/>
    <n v="2160"/>
    <s v="1.16"/>
    <s v="0.98"/>
    <s v="72.20%"/>
    <s v="12.60%"/>
    <n v="15498"/>
    <n v="8715"/>
    <n v="3361"/>
    <n v="940"/>
    <n v="140"/>
    <n v="10"/>
    <n v="8126"/>
    <n v="6032"/>
    <n v="854"/>
    <n v="3695"/>
    <n v="171"/>
    <n v="47"/>
    <n v="1"/>
    <n v="6597.55"/>
    <x v="0"/>
  </r>
  <r>
    <n v="9816"/>
    <s v="Aleksib"/>
    <s v="Aleksi Virolainen"/>
    <x v="3"/>
    <x v="4"/>
    <s v="G2"/>
    <s v="OG, ENCE, HAVU"/>
    <n v="17605"/>
    <n v="17978"/>
    <s v="39.10%"/>
    <s v="74.4"/>
    <s v="8.5"/>
    <n v="1037"/>
    <n v="27513"/>
    <s v="0.64"/>
    <s v="0.17"/>
    <s v="0.65"/>
    <s v="0.11"/>
    <s v="0.1"/>
    <n v="12258"/>
    <s v="K - D diff."/>
    <n v="2754"/>
    <n v="3050"/>
    <s v="0.9"/>
    <s v="0.98"/>
    <s v="74.10%"/>
    <s v="14.00%"/>
    <n v="15255"/>
    <n v="8110"/>
    <n v="3106"/>
    <n v="897"/>
    <n v="133"/>
    <n v="12"/>
    <n v="11946"/>
    <n v="660"/>
    <n v="1692"/>
    <n v="2714"/>
    <n v="564"/>
    <n v="79"/>
    <s v="0.96"/>
    <n v="6703.3157894736842"/>
    <x v="0"/>
  </r>
  <r>
    <n v="15165"/>
    <s v="blameF"/>
    <s v="Benjamin Bremer"/>
    <x v="3"/>
    <x v="2"/>
    <s v="Astralis"/>
    <s v="Astralis, Complexity, Heroic, Epsilon"/>
    <n v="18058"/>
    <n v="14312"/>
    <s v="39.20%"/>
    <s v="85.6"/>
    <s v="7.1"/>
    <n v="884"/>
    <n v="23631"/>
    <s v="0.76"/>
    <s v="0.14"/>
    <s v="0.61"/>
    <s v="0.07"/>
    <s v="0.09"/>
    <n v="12024"/>
    <s v="K - D diff."/>
    <n v="2857"/>
    <n v="1995"/>
    <s v="1.43"/>
    <s v="1.13"/>
    <s v="74.10%"/>
    <s v="17.60%"/>
    <n v="11607"/>
    <n v="7531"/>
    <n v="3222"/>
    <n v="1024"/>
    <n v="224"/>
    <n v="23"/>
    <n v="14032"/>
    <n v="164"/>
    <n v="827"/>
    <n v="2661"/>
    <n v="397"/>
    <n v="64"/>
    <s v="1.22"/>
    <n v="6080.894736842105"/>
    <x v="0"/>
  </r>
  <r>
    <n v="13679"/>
    <s v="nukkye"/>
    <s v="Å½ygimantas Chmieliauskas"/>
    <x v="2"/>
    <x v="38"/>
    <m/>
    <s v="Imperial, HellRaisers, NoChance"/>
    <n v="11227"/>
    <n v="9897"/>
    <s v="39.20%"/>
    <s v="78.3"/>
    <s v="2.6"/>
    <n v="592"/>
    <n v="15492"/>
    <s v="0.72"/>
    <s v="0.12"/>
    <s v="0.64"/>
    <s v="0.08"/>
    <s v="0.09"/>
    <n v="7452"/>
    <s v="K - D diff."/>
    <n v="1600"/>
    <n v="1494"/>
    <s v="1.07"/>
    <s v="1.02"/>
    <s v="74.00%"/>
    <s v="14.70%"/>
    <n v="8040"/>
    <n v="4642"/>
    <n v="2006"/>
    <n v="660"/>
    <n v="127"/>
    <n v="17"/>
    <n v="6305"/>
    <n v="2657"/>
    <n v="250"/>
    <n v="1945"/>
    <n v="81"/>
    <n v="6"/>
    <s v="1.12"/>
    <n v="3920.5263157894738"/>
    <x v="2"/>
  </r>
  <r>
    <n v="13155"/>
    <s v="speed4k"/>
    <s v="Anton Titov"/>
    <x v="13"/>
    <x v="1"/>
    <s v="FreeTON"/>
    <s v="DreamEaters, Nemiga"/>
    <n v="13678"/>
    <n v="13110"/>
    <s v="39.20%"/>
    <s v="69.9"/>
    <s v="2.9"/>
    <n v="767"/>
    <n v="20579"/>
    <s v="0.66"/>
    <s v="0.11"/>
    <s v="0.64"/>
    <s v="0.09"/>
    <s v="0.09"/>
    <n v="9399"/>
    <s v="K - D diff."/>
    <n v="2080"/>
    <n v="1696"/>
    <s v="1.23"/>
    <s v="1.03"/>
    <s v="72.10%"/>
    <s v="14.40%"/>
    <n v="11180"/>
    <n v="6136"/>
    <n v="2408"/>
    <n v="713"/>
    <n v="123"/>
    <n v="19"/>
    <n v="4808"/>
    <n v="5901"/>
    <n v="655"/>
    <n v="2197"/>
    <n v="135"/>
    <n v="28"/>
    <s v="1.05"/>
    <n v="5032.2105263157891"/>
    <x v="0"/>
  </r>
  <r>
    <n v="8568"/>
    <s v="boltz"/>
    <s v="Ricardo Prass"/>
    <x v="3"/>
    <x v="6"/>
    <s v="Imperial"/>
    <s v="Immortals, Luminosity, SK, MIBR"/>
    <n v="24204"/>
    <n v="21578"/>
    <s v="39.30%"/>
    <s v="81.8"/>
    <s v="8.8"/>
    <n v="1304"/>
    <n v="33995"/>
    <s v="0.71"/>
    <s v="0.17"/>
    <s v="0.63"/>
    <s v="0.08"/>
    <s v="0.09"/>
    <n v="16321"/>
    <s v="K - D diff."/>
    <n v="2988"/>
    <n v="2624"/>
    <s v="1.14"/>
    <s v="0.98"/>
    <s v="77.50%"/>
    <s v="12.70%"/>
    <n v="17674"/>
    <n v="10362"/>
    <n v="4351"/>
    <n v="1317"/>
    <n v="268"/>
    <n v="23"/>
    <n v="18029"/>
    <n v="174"/>
    <n v="1286"/>
    <n v="3973"/>
    <n v="741"/>
    <n v="42"/>
    <s v="1.07"/>
    <n v="8487.0526315789466"/>
    <x v="1"/>
  </r>
  <r>
    <n v="823"/>
    <s v="Maniac"/>
    <s v="Mathieu Quiquerez"/>
    <x v="0"/>
    <x v="39"/>
    <m/>
    <s v="LDLC, Titan"/>
    <n v="14478"/>
    <n v="14866"/>
    <s v="39.40%"/>
    <s v="74.4"/>
    <s v="2.1"/>
    <n v="837"/>
    <n v="22049"/>
    <s v="0.66"/>
    <s v="0.14"/>
    <s v="0.67"/>
    <s v="0.08"/>
    <s v="0.08"/>
    <n v="9958"/>
    <s v="K - D diff."/>
    <n v="1767"/>
    <n v="2096"/>
    <s v="0.84"/>
    <s v="0.91"/>
    <s v="72.70%"/>
    <s v="11.50%"/>
    <n v="12091"/>
    <n v="6527"/>
    <n v="2556"/>
    <n v="719"/>
    <n v="145"/>
    <n v="11"/>
    <n v="10700"/>
    <n v="151"/>
    <n v="716"/>
    <n v="2739"/>
    <n v="158"/>
    <n v="21"/>
    <s v="0.96"/>
    <n v="5399.2105263157891"/>
    <x v="0"/>
  </r>
  <r>
    <n v="10404"/>
    <s v="Console"/>
    <s v="Mads Skovby"/>
    <x v="13"/>
    <x v="2"/>
    <m/>
    <s v="Tricked, ALTERNATE aTTaX, Copenhagen Flames, Singularity"/>
    <n v="11948"/>
    <n v="12530"/>
    <s v="39.50%"/>
    <n v="74"/>
    <s v="3.2"/>
    <n v="708"/>
    <n v="18612"/>
    <s v="0.64"/>
    <s v="0.15"/>
    <s v="0.67"/>
    <s v="0.11"/>
    <s v="0.09"/>
    <n v="8219"/>
    <s v="K - D diff."/>
    <n v="1621"/>
    <n v="1799"/>
    <s v="0.9"/>
    <s v="0.94"/>
    <s v="72.70%"/>
    <s v="12.20%"/>
    <n v="10393"/>
    <n v="5367"/>
    <n v="2104"/>
    <n v="630"/>
    <n v="107"/>
    <n v="11"/>
    <n v="8413"/>
    <n v="103"/>
    <n v="1128"/>
    <n v="2041"/>
    <n v="168"/>
    <n v="112"/>
    <s v="0.95"/>
    <n v="4304.3999999999996"/>
    <x v="2"/>
  </r>
  <r>
    <n v="11485"/>
    <s v="malta"/>
    <s v="Liam Schembri"/>
    <x v="13"/>
    <x v="16"/>
    <s v="VERTEX"/>
    <s v="Grayhound, Chiefs, Renegades"/>
    <n v="17732"/>
    <n v="16298"/>
    <s v="39.60%"/>
    <s v="77.1"/>
    <s v="3.7"/>
    <n v="1004"/>
    <n v="25565"/>
    <s v="0.69"/>
    <s v="0.15"/>
    <s v="0.64"/>
    <s v="0.09"/>
    <s v="0.08"/>
    <n v="11968"/>
    <s v="K - D diff."/>
    <n v="2470"/>
    <n v="2493"/>
    <s v="0.99"/>
    <s v="0.99"/>
    <s v="76.40%"/>
    <s v="12.90%"/>
    <n v="13597"/>
    <n v="7608"/>
    <n v="3183"/>
    <n v="970"/>
    <n v="187"/>
    <n v="20"/>
    <n v="12729"/>
    <n v="369"/>
    <n v="1400"/>
    <n v="2987"/>
    <n v="228"/>
    <n v="63"/>
    <s v="1.1"/>
    <n v="6361.6315789473683"/>
    <x v="0"/>
  </r>
  <r>
    <n v="11217"/>
    <s v="SPELLAN"/>
    <s v="Teodor Nikolov"/>
    <x v="2"/>
    <x v="9"/>
    <s v="BeyondPossible"/>
    <s v="SKADE, Outlaws, Windigo, Epsilon"/>
    <n v="24704"/>
    <n v="24951"/>
    <s v="39.60%"/>
    <s v="74.1"/>
    <s v="5.4"/>
    <n v="1438"/>
    <n v="37654"/>
    <s v="0.66"/>
    <s v="0.13"/>
    <s v="0.66"/>
    <s v="0.08"/>
    <s v="0.08"/>
    <n v="17050"/>
    <s v="K - D diff."/>
    <n v="3809"/>
    <n v="3839"/>
    <s v="0.99"/>
    <n v="1"/>
    <s v="73.30%"/>
    <s v="14.20%"/>
    <n v="20604"/>
    <n v="11198"/>
    <n v="4335"/>
    <n v="1259"/>
    <n v="231"/>
    <n v="27"/>
    <n v="14660"/>
    <n v="3489"/>
    <n v="2456"/>
    <n v="3602"/>
    <n v="434"/>
    <n v="115"/>
    <s v="1.03"/>
    <n v="8792.7999999999993"/>
    <x v="1"/>
  </r>
  <r>
    <n v="16207"/>
    <s v="DANK1NG"/>
    <s v="Zhenghao Lv"/>
    <x v="9"/>
    <x v="35"/>
    <s v="TYLOO"/>
    <s v="TYLOO, EHOME"/>
    <n v="8149"/>
    <n v="6556"/>
    <s v="39.70%"/>
    <s v="79.8"/>
    <s v="2.3"/>
    <n v="391"/>
    <n v="10366"/>
    <s v="0.79"/>
    <s v="0.1"/>
    <s v="0.63"/>
    <s v="0.09"/>
    <s v="0.1"/>
    <n v="5400"/>
    <s v="K - D diff."/>
    <n v="1384"/>
    <n v="921"/>
    <s v="1.5"/>
    <s v="1.19"/>
    <s v="73.30%"/>
    <s v="18.30%"/>
    <n v="4966"/>
    <n v="3335"/>
    <n v="1499"/>
    <n v="458"/>
    <n v="98"/>
    <n v="10"/>
    <n v="3124"/>
    <n v="3177"/>
    <n v="318"/>
    <n v="1435"/>
    <n v="64"/>
    <n v="66"/>
    <s v="1.2"/>
    <n v="2721.9473684210525"/>
    <x v="3"/>
  </r>
  <r>
    <n v="8138"/>
    <s v="Davidp"/>
    <s v="David Prins"/>
    <x v="6"/>
    <x v="23"/>
    <m/>
    <s v="3DMAX, Heretics"/>
    <n v="14255"/>
    <n v="13246"/>
    <s v="39.70%"/>
    <s v="77.9"/>
    <s v="7.6"/>
    <n v="774"/>
    <n v="20539"/>
    <s v="0.69"/>
    <s v="0.14"/>
    <s v="0.64"/>
    <s v="0.07"/>
    <s v="0.08"/>
    <n v="9655"/>
    <s v="K - D diff."/>
    <n v="1928"/>
    <n v="1923"/>
    <n v="1"/>
    <s v="0.98"/>
    <s v="75.10%"/>
    <s v="14.10%"/>
    <n v="10884"/>
    <n v="6129"/>
    <n v="2611"/>
    <n v="772"/>
    <n v="127"/>
    <n v="16"/>
    <n v="9318"/>
    <n v="739"/>
    <n v="1122"/>
    <n v="2278"/>
    <n v="310"/>
    <n v="507"/>
    <s v="1.03"/>
    <n v="4856.7"/>
    <x v="0"/>
  </r>
  <r>
    <n v="2826"/>
    <s v="MINISE"/>
    <s v="Jacek Jeziak"/>
    <x v="8"/>
    <x v="3"/>
    <m/>
    <s v="PACT, PRIDE, Kinguin"/>
    <n v="34615"/>
    <n v="34010"/>
    <s v="39.70%"/>
    <s v="73.9"/>
    <s v="4.9"/>
    <n v="1871"/>
    <n v="49905"/>
    <s v="0.69"/>
    <s v="0.12"/>
    <s v="0.68"/>
    <s v="0.08"/>
    <s v="0.07"/>
    <n v="23430"/>
    <s v="K - D diff."/>
    <n v="6675"/>
    <n v="6246"/>
    <s v="1.07"/>
    <s v="1.13"/>
    <s v="72.60%"/>
    <s v="19.20%"/>
    <n v="26475"/>
    <n v="14883"/>
    <n v="6356"/>
    <n v="1796"/>
    <n v="363"/>
    <n v="32"/>
    <n v="12491"/>
    <n v="14033"/>
    <n v="1414"/>
    <n v="6010"/>
    <n v="598"/>
    <n v="131"/>
    <n v="1"/>
    <n v="12066.75"/>
    <x v="1"/>
  </r>
  <r>
    <n v="2161"/>
    <s v="Noktse"/>
    <s v="NicolÃ¡s DÃ¡vila"/>
    <x v="1"/>
    <x v="32"/>
    <s v="Isurus"/>
    <s v="Isurus"/>
    <n v="13891"/>
    <n v="13644"/>
    <s v="39.70%"/>
    <s v="74.2"/>
    <s v="4.6"/>
    <n v="789"/>
    <n v="20642"/>
    <s v="0.67"/>
    <s v="0.13"/>
    <s v="0.66"/>
    <s v="0.09"/>
    <s v="0.09"/>
    <n v="9484"/>
    <s v="K - D diff."/>
    <n v="2545"/>
    <n v="2321"/>
    <s v="1.1"/>
    <s v="1.1"/>
    <s v="74.30%"/>
    <s v="17.40%"/>
    <n v="11158"/>
    <n v="6102"/>
    <n v="2510"/>
    <n v="728"/>
    <n v="135"/>
    <n v="9"/>
    <n v="5726"/>
    <n v="5066"/>
    <n v="724"/>
    <n v="2223"/>
    <n v="161"/>
    <n v="33"/>
    <s v="1.06"/>
    <n v="5152.1578947368425"/>
    <x v="0"/>
  </r>
  <r>
    <n v="11498"/>
    <s v="NickelBack"/>
    <s v="Aleksei Trofimov"/>
    <x v="3"/>
    <x v="1"/>
    <s v="Entropiq"/>
    <s v="Entropiq, pro100, Winstrike"/>
    <n v="24785"/>
    <n v="24853"/>
    <s v="39.70%"/>
    <s v="75.5"/>
    <s v="6.4"/>
    <n v="1407"/>
    <n v="37420"/>
    <s v="0.66"/>
    <s v="0.16"/>
    <s v="0.66"/>
    <s v="0.11"/>
    <s v="0.1"/>
    <n v="17096"/>
    <s v="K - D diff."/>
    <n v="3263"/>
    <n v="3391"/>
    <s v="0.96"/>
    <s v="0.95"/>
    <s v="72.50%"/>
    <s v="12.20%"/>
    <n v="20324"/>
    <n v="11254"/>
    <n v="4308"/>
    <n v="1246"/>
    <n v="263"/>
    <n v="25"/>
    <n v="17403"/>
    <n v="1015"/>
    <n v="1871"/>
    <n v="3905"/>
    <n v="588"/>
    <n v="55"/>
    <s v="1.05"/>
    <n v="9182.7368421052633"/>
    <x v="1"/>
  </r>
  <r>
    <n v="1331"/>
    <s v="Xp3"/>
    <s v="David Garrido"/>
    <x v="15"/>
    <x v="26"/>
    <m/>
    <s v="Winterfox, Denial, ELEVATE"/>
    <n v="8326"/>
    <n v="9118"/>
    <s v="39.70%"/>
    <s v="70.5"/>
    <s v="3.4"/>
    <n v="502"/>
    <n v="13113"/>
    <s v="0.63"/>
    <s v="0.13"/>
    <s v="0.7"/>
    <s v="0.09"/>
    <s v="0.08"/>
    <n v="5742"/>
    <s v="K - D diff."/>
    <n v="1313"/>
    <n v="1355"/>
    <s v="0.97"/>
    <n v="1"/>
    <s v="69.30%"/>
    <s v="14.40%"/>
    <n v="7371"/>
    <n v="3738"/>
    <n v="1512"/>
    <n v="416"/>
    <n v="69"/>
    <n v="7"/>
    <n v="3410"/>
    <n v="2727"/>
    <n v="249"/>
    <n v="1839"/>
    <n v="112"/>
    <n v="10"/>
    <s v="0.92"/>
    <n v="3046.5"/>
    <x v="3"/>
  </r>
  <r>
    <n v="7131"/>
    <s v="BnTeT"/>
    <s v="Hansel Ferdinand"/>
    <x v="13"/>
    <x v="27"/>
    <s v="TYLOO"/>
    <s v="TYLOO, Gen.G, EXTREMUM"/>
    <n v="20591"/>
    <n v="16796"/>
    <s v="39.80%"/>
    <n v="83"/>
    <s v="5.1"/>
    <n v="1033"/>
    <n v="26924"/>
    <s v="0.76"/>
    <s v="0.14"/>
    <s v="0.62"/>
    <s v="0.1"/>
    <s v="0.12"/>
    <n v="13454"/>
    <s v="K - D diff."/>
    <n v="2330"/>
    <n v="1934"/>
    <s v="1.2"/>
    <s v="0.98"/>
    <s v="75.70%"/>
    <s v="12.20%"/>
    <n v="13470"/>
    <n v="8251"/>
    <n v="3628"/>
    <n v="1255"/>
    <n v="281"/>
    <n v="39"/>
    <n v="15155"/>
    <n v="728"/>
    <n v="1169"/>
    <n v="3259"/>
    <n v="305"/>
    <n v="45"/>
    <s v="1.15"/>
    <n v="6536.5"/>
    <x v="0"/>
  </r>
  <r>
    <n v="7508"/>
    <s v="alexRr"/>
    <s v="Alexander Frisch"/>
    <x v="13"/>
    <x v="14"/>
    <m/>
    <s v="expert, Planetkey, DIVIZON"/>
    <n v="7438"/>
    <n v="7992"/>
    <s v="39.80%"/>
    <s v="72.6"/>
    <s v="3.8"/>
    <n v="433"/>
    <n v="11346"/>
    <s v="0.66"/>
    <s v="0.12"/>
    <s v="0.7"/>
    <s v="0.09"/>
    <s v="0.07"/>
    <n v="4993"/>
    <s v="K - D diff."/>
    <n v="1437"/>
    <n v="1652"/>
    <s v="0.87"/>
    <s v="1.06"/>
    <s v="73.10%"/>
    <s v="18.70%"/>
    <n v="6353"/>
    <n v="3205"/>
    <n v="1269"/>
    <n v="403"/>
    <n v="102"/>
    <n v="14"/>
    <n v="3032"/>
    <n v="2165"/>
    <n v="531"/>
    <n v="1601"/>
    <n v="92"/>
    <n v="27"/>
    <s v="0.95"/>
    <n v="2846.5789473684213"/>
    <x v="3"/>
  </r>
  <r>
    <n v="7156"/>
    <s v="MSL"/>
    <s v="Mathias Lauridsen"/>
    <x v="6"/>
    <x v="2"/>
    <s v="Tokyo Revengers"/>
    <s v="Dignitas, North"/>
    <n v="28946"/>
    <n v="32199"/>
    <s v="39.90%"/>
    <s v="70.8"/>
    <s v="3.8"/>
    <n v="1718"/>
    <n v="44890"/>
    <s v="0.64"/>
    <s v="0.15"/>
    <s v="0.72"/>
    <s v="0.11"/>
    <s v="0.08"/>
    <n v="19814"/>
    <s v="K - D diff."/>
    <n v="5642"/>
    <n v="6315"/>
    <s v="0.89"/>
    <s v="1.06"/>
    <s v="74.50%"/>
    <s v="18.10%"/>
    <n v="25076"/>
    <n v="12913"/>
    <n v="5047"/>
    <n v="1526"/>
    <n v="304"/>
    <n v="24"/>
    <n v="17704"/>
    <n v="4449"/>
    <n v="2114"/>
    <n v="4168"/>
    <n v="438"/>
    <n v="96"/>
    <s v="0.92"/>
    <n v="11230.684210526315"/>
    <x v="1"/>
  </r>
  <r>
    <n v="16546"/>
    <s v="cynic"/>
    <s v="David Polster"/>
    <x v="9"/>
    <x v="0"/>
    <s v="Gaimin Gladiators"/>
    <s v="Gaimin Gladiators, Party Astronauts, Triumph"/>
    <n v="13098"/>
    <n v="11487"/>
    <s v="40.00%"/>
    <s v="80.6"/>
    <s v="5.5"/>
    <n v="681"/>
    <n v="17699"/>
    <s v="0.74"/>
    <s v="0.14"/>
    <s v="0.65"/>
    <s v="0.1"/>
    <s v="0.11"/>
    <n v="8814"/>
    <s v="K - D diff."/>
    <n v="1518"/>
    <n v="1332"/>
    <s v="1.14"/>
    <s v="0.97"/>
    <s v="76.50%"/>
    <s v="12.40%"/>
    <n v="8885"/>
    <n v="5575"/>
    <n v="2360"/>
    <n v="727"/>
    <n v="138"/>
    <n v="14"/>
    <n v="7804"/>
    <n v="1969"/>
    <n v="826"/>
    <n v="2157"/>
    <n v="221"/>
    <n v="185"/>
    <s v="1.14"/>
    <n v="4499.4736842105267"/>
    <x v="2"/>
  </r>
  <r>
    <n v="12317"/>
    <s v="fleav"/>
    <s v="Fodor Levente"/>
    <x v="10"/>
    <x v="7"/>
    <s v="Budapest Five"/>
    <s v="Budapest Five, GameAgents"/>
    <n v="10884"/>
    <n v="10448"/>
    <s v="40.00%"/>
    <s v="79.9"/>
    <s v="2.8"/>
    <n v="567"/>
    <n v="14903"/>
    <s v="0.73"/>
    <s v="0.13"/>
    <s v="0.7"/>
    <s v="0.09"/>
    <s v="0.1"/>
    <n v="7267"/>
    <s v="K - D diff."/>
    <n v="1546"/>
    <n v="1485"/>
    <s v="1.04"/>
    <s v="1.02"/>
    <s v="71.50%"/>
    <s v="15.40%"/>
    <n v="7636"/>
    <n v="4546"/>
    <n v="1977"/>
    <n v="602"/>
    <n v="132"/>
    <n v="10"/>
    <n v="6725"/>
    <n v="1731"/>
    <n v="464"/>
    <n v="1886"/>
    <n v="91"/>
    <n v="23"/>
    <s v="1.08"/>
    <n v="3838.0526315789475"/>
    <x v="2"/>
  </r>
  <r>
    <n v="14954"/>
    <s v="void"/>
    <s v="Cooper Farrell"/>
    <x v="10"/>
    <x v="16"/>
    <m/>
    <s v="Ground Zero, Dark Sided"/>
    <n v="7854"/>
    <n v="7727"/>
    <s v="40.00%"/>
    <s v="74.1"/>
    <s v="2.8"/>
    <n v="437"/>
    <n v="11368"/>
    <s v="0.69"/>
    <s v="0.13"/>
    <s v="0.68"/>
    <s v="0.1"/>
    <s v="0.11"/>
    <n v="5389"/>
    <s v="K - D diff."/>
    <n v="837"/>
    <n v="829"/>
    <s v="1.01"/>
    <s v="0.91"/>
    <s v="72.20%"/>
    <s v="10.80%"/>
    <n v="5979"/>
    <n v="3494"/>
    <n v="1410"/>
    <n v="404"/>
    <n v="77"/>
    <n v="4"/>
    <n v="5845"/>
    <n v="156"/>
    <n v="339"/>
    <n v="1400"/>
    <n v="74"/>
    <n v="45"/>
    <s v="1.03"/>
    <n v="2824.6315789473683"/>
    <x v="3"/>
  </r>
  <r>
    <n v="18219"/>
    <s v="Adam9130"/>
    <s v="Adam Ahmad"/>
    <x v="2"/>
    <x v="8"/>
    <s v="Into the Breach"/>
    <s v="Into the Breach, GamerLegion, Vexed"/>
    <n v="7936"/>
    <n v="9133"/>
    <s v="40.10%"/>
    <s v="72.9"/>
    <s v="5.6"/>
    <n v="471"/>
    <n v="12683"/>
    <s v="0.63"/>
    <s v="0.15"/>
    <s v="0.72"/>
    <s v="0.1"/>
    <s v="0.08"/>
    <n v="5509"/>
    <s v="K - D diff."/>
    <n v="1517"/>
    <n v="1781"/>
    <s v="0.85"/>
    <s v="1.03"/>
    <s v="72.60%"/>
    <s v="17.50%"/>
    <n v="7174"/>
    <n v="3656"/>
    <n v="1380"/>
    <n v="381"/>
    <n v="83"/>
    <n v="9"/>
    <n v="5650"/>
    <n v="64"/>
    <n v="966"/>
    <n v="1125"/>
    <n v="122"/>
    <n v="32"/>
    <s v="0.97"/>
    <n v="3140.6315789473683"/>
    <x v="3"/>
  </r>
  <r>
    <n v="5187"/>
    <s v="captainMo"/>
    <s v="Ke Liu"/>
    <x v="7"/>
    <x v="35"/>
    <s v="Steel Helmet"/>
    <s v="TYLOO, OneThree"/>
    <n v="14956"/>
    <n v="14339"/>
    <s v="40.20%"/>
    <s v="74.2"/>
    <s v="2.5"/>
    <n v="814"/>
    <n v="20980"/>
    <s v="0.71"/>
    <s v="0.12"/>
    <s v="0.68"/>
    <s v="0.1"/>
    <s v="0.1"/>
    <n v="10057"/>
    <s v="K - D diff."/>
    <n v="2528"/>
    <n v="2453"/>
    <s v="1.03"/>
    <s v="1.07"/>
    <s v="76.90%"/>
    <s v="16.60%"/>
    <n v="10923"/>
    <n v="6370"/>
    <n v="2682"/>
    <n v="813"/>
    <n v="178"/>
    <n v="14"/>
    <n v="7174"/>
    <n v="4145"/>
    <n v="850"/>
    <n v="2636"/>
    <n v="130"/>
    <n v="47"/>
    <s v="1.03"/>
    <n v="5373.105263157895"/>
    <x v="0"/>
  </r>
  <r>
    <n v="19021"/>
    <s v="chawzyyy"/>
    <s v="Hugo GÃ¼nther"/>
    <x v="17"/>
    <x v="15"/>
    <s v="Apeks"/>
    <s v="Galaxy Racer, Apeks"/>
    <n v="7398"/>
    <n v="6961"/>
    <s v="40.20%"/>
    <s v="74.6"/>
    <s v="4.2"/>
    <n v="405"/>
    <n v="10828"/>
    <s v="0.68"/>
    <s v="0.13"/>
    <s v="0.64"/>
    <s v="0.09"/>
    <s v="0.09"/>
    <n v="5019"/>
    <s v="K - D diff."/>
    <n v="1106"/>
    <n v="1214"/>
    <s v="0.91"/>
    <s v="0.99"/>
    <s v="71.80%"/>
    <s v="14.10%"/>
    <n v="5809"/>
    <n v="3223"/>
    <n v="1312"/>
    <n v="392"/>
    <n v="85"/>
    <n v="7"/>
    <n v="4435"/>
    <n v="1405"/>
    <n v="263"/>
    <n v="1198"/>
    <n v="89"/>
    <n v="40"/>
    <s v="1.07"/>
    <n v="2694.1578947368421"/>
    <x v="3"/>
  </r>
  <r>
    <n v="1916"/>
    <s v="seang@res"/>
    <s v="Sean Gares"/>
    <x v="16"/>
    <x v="0"/>
    <s v="Old Guys Club"/>
    <s v="Cloud9, Misfits, Echo Fox"/>
    <n v="10904"/>
    <n v="12533"/>
    <s v="40.20%"/>
    <s v="67.4"/>
    <s v="4.8"/>
    <n v="713"/>
    <n v="18391"/>
    <s v="0.59"/>
    <s v="0.14"/>
    <s v="0.68"/>
    <s v="0.11"/>
    <s v="0.08"/>
    <n v="7755"/>
    <s v="K - D diff."/>
    <n v="1591"/>
    <n v="1959"/>
    <s v="0.81"/>
    <s v="0.92"/>
    <s v="74.70%"/>
    <s v="12.60%"/>
    <n v="10636"/>
    <n v="5262"/>
    <n v="1945"/>
    <n v="469"/>
    <n v="73"/>
    <n v="6"/>
    <n v="6675"/>
    <n v="1179"/>
    <n v="892"/>
    <n v="1894"/>
    <n v="207"/>
    <n v="63"/>
    <s v="0.88"/>
    <n v="4376.1578947368425"/>
    <x v="2"/>
  </r>
  <r>
    <n v="8521"/>
    <s v="daps"/>
    <s v="Damian Steele"/>
    <x v="1"/>
    <x v="5"/>
    <s v="Liquid"/>
    <s v="NRG, OpTic, Gen.G"/>
    <n v="16274"/>
    <n v="18638"/>
    <s v="40.20%"/>
    <s v="66.8"/>
    <s v="4.4"/>
    <n v="1075"/>
    <n v="28101"/>
    <s v="0.58"/>
    <s v="0.14"/>
    <s v="0.66"/>
    <s v="0.1"/>
    <s v="0.07"/>
    <n v="11689"/>
    <s v="K - D diff."/>
    <n v="2052"/>
    <n v="2776"/>
    <s v="0.74"/>
    <s v="0.87"/>
    <s v="74.20%"/>
    <s v="10.30%"/>
    <n v="16412"/>
    <n v="8038"/>
    <n v="2848"/>
    <n v="679"/>
    <n v="118"/>
    <n v="6"/>
    <n v="10614"/>
    <n v="378"/>
    <n v="2239"/>
    <n v="2761"/>
    <n v="268"/>
    <n v="28"/>
    <s v="0.88"/>
    <n v="6578.6315789473683"/>
    <x v="0"/>
  </r>
  <r>
    <n v="11847"/>
    <s v="Texta"/>
    <s v="Matthew O'Rourke"/>
    <x v="10"/>
    <x v="16"/>
    <m/>
    <s v="Chiefs, Athletico, Dark Sided"/>
    <n v="12510"/>
    <n v="10760"/>
    <s v="40.30%"/>
    <s v="87.1"/>
    <s v="3.6"/>
    <n v="625"/>
    <n v="15713"/>
    <s v="0.8"/>
    <s v="0.18"/>
    <s v="0.68"/>
    <s v="0.1"/>
    <s v="0.13"/>
    <n v="8125"/>
    <s v="K - D diff."/>
    <n v="1908"/>
    <n v="1825"/>
    <s v="1.05"/>
    <s v="1.08"/>
    <s v="75.80%"/>
    <s v="16.90%"/>
    <n v="7588"/>
    <n v="4887"/>
    <n v="2284"/>
    <n v="775"/>
    <n v="165"/>
    <n v="14"/>
    <n v="9814"/>
    <n v="148"/>
    <n v="264"/>
    <n v="2192"/>
    <n v="109"/>
    <n v="6"/>
    <s v="1.21"/>
    <n v="4195.3684210526317"/>
    <x v="2"/>
  </r>
  <r>
    <n v="9277"/>
    <s v="FREDDyFROG"/>
    <s v="Fredrik Gustafsson"/>
    <x v="1"/>
    <x v="15"/>
    <m/>
    <s v="Chaos, Red Reserve, Apeks, Japaleno, Galaxy Racer"/>
    <n v="23743"/>
    <n v="20127"/>
    <s v="40.30%"/>
    <s v="80.4"/>
    <s v="3.9"/>
    <n v="1207"/>
    <n v="32156"/>
    <s v="0.74"/>
    <s v="0.14"/>
    <s v="0.63"/>
    <s v="0.09"/>
    <s v="0.11"/>
    <n v="15874"/>
    <s v="K - D diff."/>
    <n v="3341"/>
    <n v="2595"/>
    <s v="1.29"/>
    <s v="1.05"/>
    <s v="71.60%"/>
    <s v="14.80%"/>
    <n v="16282"/>
    <n v="10005"/>
    <n v="4180"/>
    <n v="1409"/>
    <n v="249"/>
    <n v="31"/>
    <n v="16327"/>
    <n v="1351"/>
    <n v="1505"/>
    <n v="4241"/>
    <n v="289"/>
    <n v="116"/>
    <s v="1.11"/>
    <n v="8159.3684210526317"/>
    <x v="1"/>
  </r>
  <r>
    <n v="13843"/>
    <s v="Lucky"/>
    <s v="Philip Ewald"/>
    <x v="12"/>
    <x v="2"/>
    <s v="Tricked"/>
    <s v="Tricked, Astralis"/>
    <n v="8479"/>
    <n v="7731"/>
    <s v="40.30%"/>
    <n v="71"/>
    <s v="2.8"/>
    <n v="454"/>
    <n v="12275"/>
    <s v="0.69"/>
    <s v="0.09"/>
    <s v="0.63"/>
    <s v="0.09"/>
    <s v="0.1"/>
    <n v="5748"/>
    <s v="K - D diff."/>
    <n v="1320"/>
    <n v="1005"/>
    <s v="1.31"/>
    <s v="1.07"/>
    <s v="70.10%"/>
    <s v="15.40%"/>
    <n v="6527"/>
    <n v="3674"/>
    <n v="1515"/>
    <n v="466"/>
    <n v="88"/>
    <n v="5"/>
    <n v="2884"/>
    <n v="3894"/>
    <n v="144"/>
    <n v="1499"/>
    <n v="66"/>
    <n v="24"/>
    <s v="1.07"/>
    <n v="2893.45"/>
    <x v="3"/>
  </r>
  <r>
    <n v="11205"/>
    <s v="stadodo"/>
    <s v="Renato GonÃ§alves"/>
    <x v="3"/>
    <x v="31"/>
    <s v="FTW"/>
    <s v="SAW, OFFSET"/>
    <n v="13896"/>
    <n v="13273"/>
    <s v="40.30%"/>
    <s v="73.8"/>
    <s v="5.8"/>
    <n v="783"/>
    <n v="20600"/>
    <s v="0.67"/>
    <s v="0.13"/>
    <s v="0.64"/>
    <s v="0.09"/>
    <s v="0.09"/>
    <n v="9557"/>
    <s v="K - D diff."/>
    <n v="2627"/>
    <n v="2107"/>
    <s v="1.25"/>
    <s v="1.13"/>
    <s v="72.70%"/>
    <s v="18.20%"/>
    <n v="11043"/>
    <n v="6240"/>
    <n v="2441"/>
    <n v="744"/>
    <n v="118"/>
    <n v="14"/>
    <n v="5770"/>
    <n v="4686"/>
    <n v="840"/>
    <n v="2372"/>
    <n v="238"/>
    <n v="53"/>
    <s v="1.08"/>
    <n v="5126.4210526315792"/>
    <x v="0"/>
  </r>
  <r>
    <n v="10186"/>
    <s v="ayaya"/>
    <s v="YangYang Zheng"/>
    <x v="4"/>
    <x v="35"/>
    <s v="After"/>
    <s v="Eclipse, Born Of Fire, Flash, AllGamers"/>
    <n v="8333"/>
    <n v="8231"/>
    <s v="40.30%"/>
    <n v="78"/>
    <s v="2.7"/>
    <n v="462"/>
    <n v="11695"/>
    <s v="0.71"/>
    <s v="0.14"/>
    <s v="0.7"/>
    <s v="0.09"/>
    <s v="0.09"/>
    <n v="5627"/>
    <s v="K - D diff."/>
    <n v="1358"/>
    <n v="1270"/>
    <s v="1.07"/>
    <s v="1.07"/>
    <s v="74.70%"/>
    <s v="16.90%"/>
    <n v="6068"/>
    <n v="3556"/>
    <n v="1536"/>
    <n v="444"/>
    <n v="82"/>
    <n v="9"/>
    <n v="5189"/>
    <n v="1087"/>
    <n v="533"/>
    <n v="1437"/>
    <n v="71"/>
    <n v="33"/>
    <s v="1.01"/>
    <n v="2854.95"/>
    <x v="3"/>
  </r>
  <r>
    <n v="9626"/>
    <s v="XELLOW"/>
    <s v="Adrian GuÈ›Äƒ"/>
    <x v="10"/>
    <x v="40"/>
    <s v="ECSTATIC"/>
    <s v="Nexus"/>
    <n v="22423"/>
    <n v="19052"/>
    <s v="40.40%"/>
    <n v="80"/>
    <s v="1.8"/>
    <n v="1097"/>
    <n v="28850"/>
    <s v="0.78"/>
    <s v="0.11"/>
    <s v="0.66"/>
    <s v="0.09"/>
    <s v="0.11"/>
    <n v="14611"/>
    <s v="K - D diff."/>
    <n v="3983"/>
    <n v="2960"/>
    <s v="1.35"/>
    <s v="1.19"/>
    <s v="73.40%"/>
    <s v="19.80%"/>
    <n v="14239"/>
    <n v="8851"/>
    <n v="4086"/>
    <n v="1327"/>
    <n v="316"/>
    <n v="31"/>
    <n v="8583"/>
    <n v="9211"/>
    <n v="507"/>
    <n v="3998"/>
    <n v="133"/>
    <n v="50"/>
    <s v="1.13"/>
    <n v="7219.4"/>
    <x v="1"/>
  </r>
  <r>
    <n v="11355"/>
    <s v="QKA"/>
    <s v="ZhiHai Fu"/>
    <x v="8"/>
    <x v="35"/>
    <s v="WDNMD"/>
    <s v="5POWER, UYA, BOOT"/>
    <n v="7690"/>
    <n v="6988"/>
    <s v="40.40%"/>
    <s v="75.8"/>
    <s v="1.6"/>
    <n v="402"/>
    <n v="10409"/>
    <s v="0.74"/>
    <s v="0.1"/>
    <s v="0.67"/>
    <s v="0.08"/>
    <s v="0.09"/>
    <n v="5156"/>
    <s v="K - D diff."/>
    <n v="1298"/>
    <n v="990"/>
    <s v="1.31"/>
    <s v="1.13"/>
    <s v="72.10%"/>
    <s v="17.70%"/>
    <n v="5253"/>
    <n v="3246"/>
    <n v="1386"/>
    <n v="428"/>
    <n v="92"/>
    <n v="4"/>
    <n v="2496"/>
    <n v="2960"/>
    <n v="537"/>
    <n v="1562"/>
    <n v="61"/>
    <n v="89"/>
    <s v="1.1"/>
    <n v="2686.6842105263158"/>
    <x v="3"/>
  </r>
  <r>
    <n v="8951"/>
    <s v="roseau"/>
    <s v="Baskoro Dwi Putra"/>
    <x v="1"/>
    <x v="27"/>
    <m/>
    <s v="Recca, nxl"/>
    <n v="7419"/>
    <n v="7300"/>
    <s v="40.40%"/>
    <s v="78.1"/>
    <n v="3"/>
    <n v="412"/>
    <n v="10376"/>
    <s v="0.72"/>
    <s v="0.15"/>
    <s v="0.7"/>
    <s v="0.11"/>
    <s v="0.11"/>
    <n v="4939"/>
    <s v="K - D diff."/>
    <n v="1212"/>
    <n v="1236"/>
    <s v="0.98"/>
    <s v="1.05"/>
    <s v="74.20%"/>
    <s v="16.70%"/>
    <n v="5437"/>
    <n v="3049"/>
    <n v="1386"/>
    <n v="426"/>
    <n v="71"/>
    <n v="7"/>
    <n v="5311"/>
    <n v="437"/>
    <n v="436"/>
    <n v="1173"/>
    <n v="65"/>
    <n v="3"/>
    <s v="1.02"/>
    <n v="2534.9"/>
    <x v="3"/>
  </r>
  <r>
    <n v="9766"/>
    <s v="hampus"/>
    <s v="Hampus Poser"/>
    <x v="4"/>
    <x v="15"/>
    <s v="NIP"/>
    <s v="NIP, GamerLegion, Red Reserve, GODSENT"/>
    <n v="25535"/>
    <n v="25276"/>
    <s v="40.40%"/>
    <s v="79.9"/>
    <s v="4.3"/>
    <n v="1367"/>
    <n v="36338"/>
    <s v="0.7"/>
    <s v="0.15"/>
    <s v="0.7"/>
    <s v="0.08"/>
    <s v="0.08"/>
    <n v="17025"/>
    <s v="K - D diff."/>
    <n v="4268"/>
    <n v="4587"/>
    <s v="0.93"/>
    <s v="1.04"/>
    <s v="74.10%"/>
    <s v="16.90%"/>
    <n v="19313"/>
    <n v="10665"/>
    <n v="4587"/>
    <n v="1435"/>
    <n v="299"/>
    <n v="39"/>
    <n v="17463"/>
    <n v="1682"/>
    <n v="1374"/>
    <n v="4633"/>
    <n v="331"/>
    <n v="90"/>
    <s v="1.01"/>
    <n v="9279.3157894736851"/>
    <x v="1"/>
  </r>
  <r>
    <n v="4726"/>
    <s v="jaxi"/>
    <s v="Costin VrÃ®nceanu"/>
    <x v="8"/>
    <x v="40"/>
    <m/>
    <s v="Nexus"/>
    <n v="8103"/>
    <n v="7920"/>
    <s v="40.50%"/>
    <s v="73.7"/>
    <s v="2.9"/>
    <n v="472"/>
    <n v="12125"/>
    <s v="0.67"/>
    <s v="0.14"/>
    <s v="0.65"/>
    <s v="0.09"/>
    <s v="0.11"/>
    <n v="5590"/>
    <s v="K - D diff."/>
    <n v="1133"/>
    <n v="1043"/>
    <s v="1.09"/>
    <s v="0.99"/>
    <s v="74.80%"/>
    <s v="13.20%"/>
    <n v="6535"/>
    <n v="3622"/>
    <n v="1505"/>
    <n v="383"/>
    <n v="78"/>
    <n v="2"/>
    <n v="4508"/>
    <n v="1494"/>
    <n v="451"/>
    <n v="1551"/>
    <n v="103"/>
    <n v="14"/>
    <s v="0.99"/>
    <n v="2980.6315789473683"/>
    <x v="3"/>
  </r>
  <r>
    <n v="7499"/>
    <s v="Spiidi"/>
    <s v="Timo Richter"/>
    <x v="13"/>
    <x v="14"/>
    <s v="Sprout"/>
    <s v="Sprout, MOUZ"/>
    <n v="36428"/>
    <n v="36257"/>
    <s v="40.50%"/>
    <s v="73.7"/>
    <n v="5"/>
    <n v="2104"/>
    <n v="55937"/>
    <s v="0.65"/>
    <s v="0.15"/>
    <s v="0.65"/>
    <s v="0.09"/>
    <s v="0.09"/>
    <n v="25044"/>
    <s v="K - D diff."/>
    <n v="4208"/>
    <n v="4759"/>
    <s v="0.88"/>
    <s v="0.9"/>
    <s v="72.10%"/>
    <s v="10.50%"/>
    <n v="30893"/>
    <n v="16370"/>
    <n v="6407"/>
    <n v="1893"/>
    <n v="345"/>
    <n v="29"/>
    <n v="26981"/>
    <n v="988"/>
    <n v="1760"/>
    <n v="6101"/>
    <n v="451"/>
    <n v="231"/>
    <s v="0.98"/>
    <n v="12859.55"/>
    <x v="1"/>
  </r>
  <r>
    <n v="8137"/>
    <s v="reltuC"/>
    <s v="Stephen Cutler"/>
    <x v="7"/>
    <x v="0"/>
    <m/>
    <s v="CLG"/>
    <n v="14788"/>
    <n v="14862"/>
    <s v="40.50%"/>
    <s v="73.3"/>
    <s v="3.7"/>
    <n v="865"/>
    <n v="22664"/>
    <s v="0.65"/>
    <s v="0.15"/>
    <s v="0.66"/>
    <s v="0.09"/>
    <s v="0.1"/>
    <n v="10411"/>
    <s v="K - D diff."/>
    <n v="1888"/>
    <n v="1855"/>
    <s v="1.02"/>
    <s v="0.95"/>
    <s v="73.80%"/>
    <s v="12.30%"/>
    <n v="12253"/>
    <n v="6991"/>
    <n v="2630"/>
    <n v="656"/>
    <n v="122"/>
    <n v="12"/>
    <n v="10174"/>
    <n v="805"/>
    <n v="760"/>
    <n v="2803"/>
    <n v="215"/>
    <n v="50"/>
    <s v="0.97"/>
    <n v="5516"/>
    <x v="0"/>
  </r>
  <r>
    <n v="8150"/>
    <s v="maeVe"/>
    <s v="Lasse Elgaard"/>
    <x v="0"/>
    <x v="2"/>
    <m/>
    <s v="Tricked, Escape, Reason"/>
    <n v="8154"/>
    <n v="8285"/>
    <s v="40.50%"/>
    <s v="72.3"/>
    <s v="3.5"/>
    <n v="487"/>
    <n v="12606"/>
    <s v="0.65"/>
    <s v="0.14"/>
    <s v="0.66"/>
    <s v="0.08"/>
    <s v="0.07"/>
    <n v="5661"/>
    <s v="K - D diff."/>
    <n v="1096"/>
    <n v="1205"/>
    <s v="0.91"/>
    <s v="0.94"/>
    <s v="75.40%"/>
    <s v="12.60%"/>
    <n v="6945"/>
    <n v="3700"/>
    <n v="1504"/>
    <n v="390"/>
    <n v="64"/>
    <n v="3"/>
    <n v="5400"/>
    <n v="630"/>
    <n v="542"/>
    <n v="1448"/>
    <n v="104"/>
    <n v="40"/>
    <s v="0.96"/>
    <n v="3066.5263157894738"/>
    <x v="3"/>
  </r>
  <r>
    <n v="8231"/>
    <s v="matty"/>
    <s v="Mateusz KoÅ‚odziejczyk"/>
    <x v="13"/>
    <x v="3"/>
    <m/>
    <s v="EC Brugge, Izako Boars"/>
    <n v="9201"/>
    <n v="9897"/>
    <s v="40.60%"/>
    <s v="76.2"/>
    <n v="6"/>
    <n v="536"/>
    <n v="14203"/>
    <s v="0.65"/>
    <s v="0.17"/>
    <s v="0.7"/>
    <s v="0.1"/>
    <s v="0.11"/>
    <n v="6393"/>
    <s v="K - D diff."/>
    <n v="1299"/>
    <n v="1591"/>
    <s v="0.82"/>
    <s v="0.94"/>
    <s v="71.60%"/>
    <s v="13.50%"/>
    <n v="7810"/>
    <n v="4194"/>
    <n v="1677"/>
    <n v="442"/>
    <n v="73"/>
    <n v="7"/>
    <n v="7125"/>
    <n v="88"/>
    <n v="487"/>
    <n v="1309"/>
    <n v="193"/>
    <n v="30"/>
    <s v="0.93"/>
    <n v="3328.05"/>
    <x v="2"/>
  </r>
  <r>
    <n v="12269"/>
    <s v="Jyo"/>
    <s v="Rassim Valijev"/>
    <x v="6"/>
    <x v="41"/>
    <s v="Nemiga"/>
    <s v="Nemiga"/>
    <n v="21484"/>
    <n v="20479"/>
    <s v="40.70%"/>
    <s v="74.8"/>
    <s v="5.6"/>
    <n v="1178"/>
    <n v="31522"/>
    <s v="0.68"/>
    <s v="0.13"/>
    <s v="0.65"/>
    <s v="0.1"/>
    <s v="0.09"/>
    <n v="14727"/>
    <s v="K - D diff."/>
    <n v="3144"/>
    <n v="3175"/>
    <s v="0.99"/>
    <n v="1"/>
    <s v="71.10%"/>
    <s v="13.90%"/>
    <n v="16795"/>
    <n v="9568"/>
    <n v="3819"/>
    <n v="1104"/>
    <n v="214"/>
    <n v="22"/>
    <n v="14087"/>
    <n v="2437"/>
    <n v="1229"/>
    <n v="3341"/>
    <n v="325"/>
    <n v="133"/>
    <s v="1.07"/>
    <n v="7439.2"/>
    <x v="1"/>
  </r>
  <r>
    <n v="12113"/>
    <s v="Jonji"/>
    <s v="Jonathan Carey"/>
    <x v="9"/>
    <x v="5"/>
    <s v="EG.PA"/>
    <s v="Bad News Bears, Rise Nation, Chaos"/>
    <n v="19280"/>
    <n v="19771"/>
    <s v="40.70%"/>
    <s v="80.7"/>
    <s v="6.7"/>
    <n v="1078"/>
    <n v="27630"/>
    <s v="0.7"/>
    <s v="0.17"/>
    <s v="0.72"/>
    <s v="0.11"/>
    <s v="0.08"/>
    <n v="13051"/>
    <s v="K - D diff."/>
    <n v="3784"/>
    <n v="4016"/>
    <s v="0.94"/>
    <s v="1.11"/>
    <s v="73.10%"/>
    <s v="18.80%"/>
    <n v="14579"/>
    <n v="8349"/>
    <n v="3424"/>
    <n v="1047"/>
    <n v="213"/>
    <n v="18"/>
    <n v="12995"/>
    <n v="909"/>
    <n v="1666"/>
    <n v="3301"/>
    <n v="310"/>
    <n v="154"/>
    <s v="1.09"/>
    <n v="7135.5263157894733"/>
    <x v="1"/>
  </r>
  <r>
    <n v="4218"/>
    <s v="Dav"/>
    <s v="David MiljaniÄ‡"/>
    <x v="5"/>
    <x v="19"/>
    <s v="iNation"/>
    <s v="iNation, Squared, ONYX"/>
    <n v="7539"/>
    <n v="8361"/>
    <s v="40.70%"/>
    <s v="71.2"/>
    <s v="4.7"/>
    <n v="468"/>
    <n v="12095"/>
    <s v="0.62"/>
    <s v="0.15"/>
    <s v="0.69"/>
    <s v="0.11"/>
    <s v="0.11"/>
    <n v="5225"/>
    <s v="K - D diff."/>
    <n v="1037"/>
    <n v="1224"/>
    <s v="0.85"/>
    <s v="0.93"/>
    <s v="68.90%"/>
    <s v="12.50%"/>
    <n v="6870"/>
    <n v="3441"/>
    <n v="1336"/>
    <n v="376"/>
    <n v="62"/>
    <n v="10"/>
    <n v="4927"/>
    <n v="741"/>
    <n v="455"/>
    <n v="1311"/>
    <n v="109"/>
    <n v="22"/>
    <s v="0.91"/>
    <n v="2926.7894736842104"/>
    <x v="3"/>
  </r>
  <r>
    <n v="7528"/>
    <s v="KRIMZ"/>
    <s v="Freddy Johansson"/>
    <x v="8"/>
    <x v="15"/>
    <s v="fnatic"/>
    <s v="fnatic"/>
    <n v="33075"/>
    <n v="30004"/>
    <s v="40.80%"/>
    <s v="76.4"/>
    <s v="4.2"/>
    <n v="1791"/>
    <n v="47130"/>
    <s v="0.7"/>
    <s v="0.15"/>
    <s v="0.64"/>
    <s v="0.09"/>
    <s v="0.1"/>
    <n v="22418"/>
    <s v="K - D diff."/>
    <n v="4166"/>
    <n v="3869"/>
    <s v="1.08"/>
    <s v="0.97"/>
    <s v="74.40%"/>
    <s v="12.40%"/>
    <n v="24712"/>
    <n v="14335"/>
    <n v="5934"/>
    <n v="1795"/>
    <n v="321"/>
    <n v="33"/>
    <n v="24818"/>
    <n v="744"/>
    <n v="1307"/>
    <n v="5724"/>
    <n v="378"/>
    <n v="156"/>
    <s v="1.05"/>
    <n v="11721.578947368422"/>
    <x v="1"/>
  </r>
  <r>
    <n v="7382"/>
    <s v="steel"/>
    <s v="Lucas Lopes"/>
    <x v="8"/>
    <x v="6"/>
    <s v="Case"/>
    <s v="Movistar Riders, Luminosity, Immortals"/>
    <n v="24479"/>
    <n v="25364"/>
    <s v="40.80%"/>
    <s v="71.7"/>
    <s v="3.7"/>
    <n v="1452"/>
    <n v="37974"/>
    <s v="0.64"/>
    <s v="0.13"/>
    <s v="0.67"/>
    <s v="0.1"/>
    <s v="0.09"/>
    <n v="17126"/>
    <s v="K - D diff."/>
    <n v="3323"/>
    <n v="3583"/>
    <s v="0.93"/>
    <s v="0.95"/>
    <s v="75.20%"/>
    <s v="12.70%"/>
    <n v="20848"/>
    <n v="11449"/>
    <n v="4267"/>
    <n v="1175"/>
    <n v="214"/>
    <n v="21"/>
    <n v="17974"/>
    <n v="350"/>
    <n v="1752"/>
    <n v="3940"/>
    <n v="335"/>
    <n v="175"/>
    <s v="0.95"/>
    <n v="9252.6842105263149"/>
    <x v="1"/>
  </r>
  <r>
    <n v="9289"/>
    <s v="qqGOD"/>
    <s v="Phoomphat Phodjanat"/>
    <x v="2"/>
    <x v="12"/>
    <s v="LZ"/>
    <s v="Signature, Beyond, Lucid Dream"/>
    <n v="10674"/>
    <n v="10394"/>
    <s v="40.90%"/>
    <s v="79.2"/>
    <s v="3.3"/>
    <n v="584"/>
    <n v="15180"/>
    <s v="0.7"/>
    <s v="0.16"/>
    <s v="0.68"/>
    <s v="0.09"/>
    <s v="0.09"/>
    <n v="7111"/>
    <s v="K - D diff."/>
    <n v="1651"/>
    <n v="1819"/>
    <s v="0.91"/>
    <s v="1.01"/>
    <s v="73.70%"/>
    <s v="15.50%"/>
    <n v="8069"/>
    <n v="4432"/>
    <n v="1932"/>
    <n v="620"/>
    <n v="117"/>
    <n v="10"/>
    <n v="7580"/>
    <n v="503"/>
    <n v="651"/>
    <n v="1839"/>
    <n v="95"/>
    <n v="31"/>
    <s v="1.02"/>
    <n v="3857.4736842105262"/>
    <x v="2"/>
  </r>
  <r>
    <n v="2469"/>
    <s v="cajunb"/>
    <s v="RenÃ© Borg"/>
    <x v="0"/>
    <x v="2"/>
    <s v="ex-AGF"/>
    <s v="North, TSM, OpTic, Dignitas"/>
    <n v="31980"/>
    <n v="29096"/>
    <s v="41.00%"/>
    <s v="73.5"/>
    <s v="3.1"/>
    <n v="1745"/>
    <n v="45680"/>
    <s v="0.7"/>
    <s v="0.12"/>
    <s v="0.64"/>
    <s v="0.09"/>
    <s v="0.1"/>
    <n v="21552"/>
    <s v="K - D diff."/>
    <n v="4269"/>
    <n v="3762"/>
    <s v="1.13"/>
    <n v="1"/>
    <s v="74.50%"/>
    <s v="13.30%"/>
    <n v="24128"/>
    <n v="13704"/>
    <n v="5692"/>
    <n v="1795"/>
    <n v="329"/>
    <n v="32"/>
    <n v="19160"/>
    <n v="5310"/>
    <n v="1048"/>
    <n v="6084"/>
    <n v="326"/>
    <n v="91"/>
    <s v="1.05"/>
    <n v="10789.2"/>
    <x v="1"/>
  </r>
  <r>
    <n v="8764"/>
    <s v="zewsy"/>
    <s v="Ryan Palmer"/>
    <x v="3"/>
    <x v="30"/>
    <m/>
    <s v="Tainted Minds, Chiefs, Winterfox"/>
    <n v="11142"/>
    <n v="10475"/>
    <s v="41.00%"/>
    <n v="79"/>
    <s v="3.4"/>
    <n v="618"/>
    <n v="15666"/>
    <s v="0.71"/>
    <s v="0.16"/>
    <s v="0.67"/>
    <s v="0.11"/>
    <s v="0.1"/>
    <n v="7441"/>
    <s v="K - D diff."/>
    <n v="1564"/>
    <n v="1626"/>
    <s v="0.96"/>
    <s v="0.99"/>
    <s v="75.70%"/>
    <s v="14.10%"/>
    <n v="8225"/>
    <n v="4653"/>
    <n v="2034"/>
    <n v="618"/>
    <n v="115"/>
    <n v="21"/>
    <n v="8186"/>
    <n v="98"/>
    <n v="846"/>
    <n v="1883"/>
    <n v="117"/>
    <n v="32"/>
    <s v="1.04"/>
    <n v="3771.95"/>
    <x v="2"/>
  </r>
  <r>
    <n v="15428"/>
    <s v="Goofy"/>
    <s v="Krzysiek Gorski"/>
    <x v="10"/>
    <x v="3"/>
    <m/>
    <s v="Wisla Krakow, PACT, x-kom"/>
    <n v="21149"/>
    <n v="20816"/>
    <s v="41.10%"/>
    <s v="78.6"/>
    <s v="4.8"/>
    <n v="1110"/>
    <n v="30021"/>
    <s v="0.7"/>
    <s v="0.15"/>
    <s v="0.69"/>
    <s v="0.1"/>
    <s v="0.11"/>
    <n v="14098"/>
    <s v="K - D diff."/>
    <n v="3181"/>
    <n v="3490"/>
    <s v="0.91"/>
    <n v="1"/>
    <s v="71.10%"/>
    <s v="15.00%"/>
    <n v="15923"/>
    <n v="8888"/>
    <n v="3691"/>
    <n v="1223"/>
    <n v="270"/>
    <n v="26"/>
    <n v="15308"/>
    <n v="333"/>
    <n v="1303"/>
    <n v="3953"/>
    <n v="282"/>
    <n v="45"/>
    <s v="1.08"/>
    <n v="7255.55"/>
    <x v="1"/>
  </r>
  <r>
    <n v="9295"/>
    <s v="sycrone"/>
    <s v="Dennis Nielsen"/>
    <x v="13"/>
    <x v="2"/>
    <s v="MOUZ"/>
    <s v="Sprout, North Academy, Tricked, Team123"/>
    <n v="8771"/>
    <n v="9749"/>
    <s v="41.10%"/>
    <s v="70.4"/>
    <s v="4.3"/>
    <n v="553"/>
    <n v="14608"/>
    <s v="0.6"/>
    <s v="0.15"/>
    <s v="0.67"/>
    <s v="0.1"/>
    <s v="0.09"/>
    <n v="6241"/>
    <s v="K - D diff."/>
    <n v="1024"/>
    <n v="1202"/>
    <s v="0.85"/>
    <s v="0.88"/>
    <s v="70.70%"/>
    <s v="9.90%"/>
    <n v="8367"/>
    <n v="4244"/>
    <n v="1542"/>
    <n v="384"/>
    <n v="64"/>
    <n v="7"/>
    <n v="5953"/>
    <n v="212"/>
    <n v="755"/>
    <n v="1731"/>
    <n v="113"/>
    <n v="26"/>
    <s v="0.9"/>
    <n v="3449.7894736842104"/>
    <x v="2"/>
  </r>
  <r>
    <n v="11893"/>
    <s v="ZywOo"/>
    <s v="Mathieu Herbaut"/>
    <x v="10"/>
    <x v="26"/>
    <s v="Vitality"/>
    <s v="Vitality, aAa"/>
    <n v="22622"/>
    <n v="16458"/>
    <s v="41.20%"/>
    <n v="88"/>
    <s v="3.6"/>
    <n v="1020"/>
    <n v="26803"/>
    <s v="0.84"/>
    <s v="0.12"/>
    <s v="0.61"/>
    <s v="0.1"/>
    <s v="0.12"/>
    <n v="14196"/>
    <s v="K - D diff."/>
    <n v="4152"/>
    <n v="2592"/>
    <s v="1.6"/>
    <s v="1.28"/>
    <s v="73.10%"/>
    <s v="21.40%"/>
    <n v="12607"/>
    <n v="8195"/>
    <n v="4087"/>
    <n v="1474"/>
    <n v="369"/>
    <n v="71"/>
    <n v="8261"/>
    <n v="8552"/>
    <n v="1290"/>
    <n v="4262"/>
    <n v="260"/>
    <n v="49"/>
    <s v="1.32"/>
    <n v="6870.4"/>
    <x v="0"/>
  </r>
  <r>
    <n v="7429"/>
    <s v="Happy"/>
    <s v="Vincent Schopenhauer"/>
    <x v="5"/>
    <x v="26"/>
    <m/>
    <s v="Envy, LDLC"/>
    <n v="28022"/>
    <n v="25277"/>
    <s v="41.20%"/>
    <s v="77.5"/>
    <s v="2.7"/>
    <n v="1464"/>
    <n v="37933"/>
    <s v="0.74"/>
    <s v="0.12"/>
    <s v="0.67"/>
    <s v="0.06"/>
    <s v="0.07"/>
    <n v="19093"/>
    <s v="K - D diff."/>
    <n v="3392"/>
    <n v="2451"/>
    <s v="1.38"/>
    <s v="1.01"/>
    <s v="78.90%"/>
    <s v="13.40%"/>
    <n v="18840"/>
    <n v="12242"/>
    <n v="5129"/>
    <n v="1444"/>
    <n v="254"/>
    <n v="24"/>
    <n v="17098"/>
    <n v="2853"/>
    <n v="1662"/>
    <n v="5911"/>
    <n v="408"/>
    <n v="113"/>
    <s v="1.06"/>
    <n v="9663.6842105263149"/>
    <x v="1"/>
  </r>
  <r>
    <n v="12590"/>
    <s v="soju_j"/>
    <s v="Jay Jeong"/>
    <x v="2"/>
    <x v="30"/>
    <m/>
    <s v="Legacy, AVANT, Chiefs, Dire Wolves"/>
    <n v="9148"/>
    <n v="9558"/>
    <s v="41.20%"/>
    <s v="72.1"/>
    <s v="4.2"/>
    <n v="554"/>
    <n v="14231"/>
    <s v="0.64"/>
    <s v="0.14"/>
    <s v="0.67"/>
    <s v="0.11"/>
    <s v="0.1"/>
    <n v="6320"/>
    <s v="K - D diff."/>
    <n v="1217"/>
    <n v="1435"/>
    <s v="0.85"/>
    <s v="0.93"/>
    <s v="71.30%"/>
    <s v="11.70%"/>
    <n v="7911"/>
    <n v="4143"/>
    <n v="1617"/>
    <n v="473"/>
    <n v="83"/>
    <n v="4"/>
    <n v="6687"/>
    <n v="101"/>
    <n v="713"/>
    <n v="1537"/>
    <n v="129"/>
    <n v="26"/>
    <s v="1.01"/>
    <n v="3467.7368421052633"/>
    <x v="2"/>
  </r>
  <r>
    <n v="3631"/>
    <s v="Polly"/>
    <s v="PÃ¥l Kammen"/>
    <x v="14"/>
    <x v="28"/>
    <s v="Apeks"/>
    <s v="LGB, London Conspiracy, Apeks"/>
    <n v="7641"/>
    <n v="8243"/>
    <s v="41.20%"/>
    <n v="63"/>
    <n v="3"/>
    <n v="460"/>
    <n v="11957"/>
    <s v="0.64"/>
    <s v="0.12"/>
    <s v="0.69"/>
    <s v="0.09"/>
    <s v="0.07"/>
    <n v="5247"/>
    <s v="K - D diff."/>
    <n v="1299"/>
    <n v="1297"/>
    <n v="1"/>
    <s v="1.03"/>
    <s v="73.90%"/>
    <s v="16.30%"/>
    <n v="6710"/>
    <n v="3414"/>
    <n v="1376"/>
    <n v="381"/>
    <n v="64"/>
    <n v="12"/>
    <n v="3342"/>
    <n v="2452"/>
    <n v="253"/>
    <n v="1456"/>
    <n v="99"/>
    <n v="48"/>
    <s v="0.93"/>
    <n v="2537.181818181818"/>
    <x v="3"/>
  </r>
  <r>
    <n v="7998"/>
    <s v="s1mple"/>
    <s v="Aleksandr Kostyliev"/>
    <x v="2"/>
    <x v="29"/>
    <s v="Natus Vincere"/>
    <s v="Natus Vincere"/>
    <n v="35512"/>
    <n v="26413"/>
    <s v="41.30%"/>
    <s v="86.4"/>
    <s v="2.4"/>
    <n v="1571"/>
    <n v="41491"/>
    <s v="0.86"/>
    <s v="0.1"/>
    <s v="0.64"/>
    <s v="0.08"/>
    <s v="0.11"/>
    <n v="22559"/>
    <s v="K - D diff."/>
    <n v="6014"/>
    <n v="3734"/>
    <s v="1.61"/>
    <s v="1.24"/>
    <s v="75.20%"/>
    <s v="20.80%"/>
    <n v="18932"/>
    <n v="13085"/>
    <n v="6644"/>
    <n v="2262"/>
    <n v="504"/>
    <n v="64"/>
    <n v="14717"/>
    <n v="13451"/>
    <n v="901"/>
    <n v="6057"/>
    <n v="199"/>
    <n v="254"/>
    <s v="1.25"/>
    <n v="11282.315789473685"/>
    <x v="1"/>
  </r>
  <r>
    <n v="7443"/>
    <s v="twist"/>
    <s v="Simon Eliasson"/>
    <x v="6"/>
    <x v="15"/>
    <s v="Finest"/>
    <s v="GODSENT, fnatic, NIP"/>
    <n v="32522"/>
    <n v="30773"/>
    <s v="41.30%"/>
    <s v="76.7"/>
    <n v="5"/>
    <n v="1734"/>
    <n v="45940"/>
    <s v="0.71"/>
    <s v="0.14"/>
    <s v="0.67"/>
    <s v="0.09"/>
    <s v="0.09"/>
    <n v="21834"/>
    <s v="K - D diff."/>
    <n v="5174"/>
    <n v="5113"/>
    <s v="1.01"/>
    <s v="1.04"/>
    <s v="73.00%"/>
    <s v="16.10%"/>
    <n v="24106"/>
    <n v="13847"/>
    <n v="5769"/>
    <n v="1806"/>
    <n v="360"/>
    <n v="52"/>
    <n v="16619"/>
    <n v="8144"/>
    <n v="1155"/>
    <n v="6023"/>
    <n v="479"/>
    <n v="167"/>
    <s v="1.04"/>
    <n v="11081.1"/>
    <x v="1"/>
  </r>
  <r>
    <n v="8508"/>
    <s v="DAVEY"/>
    <s v="David Stafford"/>
    <x v="13"/>
    <x v="5"/>
    <m/>
    <s v="Splyce, Mythic"/>
    <n v="14132"/>
    <n v="14426"/>
    <s v="41.30%"/>
    <s v="76.7"/>
    <s v="2.8"/>
    <n v="801"/>
    <n v="20713"/>
    <s v="0.68"/>
    <s v="0.14"/>
    <s v="0.7"/>
    <s v="0.08"/>
    <s v="0.08"/>
    <n v="9545"/>
    <s v="K - D diff."/>
    <n v="1962"/>
    <n v="2163"/>
    <s v="0.91"/>
    <s v="0.97"/>
    <s v="71.40%"/>
    <s v="14.20%"/>
    <n v="11168"/>
    <n v="6118"/>
    <n v="2493"/>
    <n v="742"/>
    <n v="169"/>
    <n v="23"/>
    <n v="8903"/>
    <n v="919"/>
    <n v="1382"/>
    <n v="2508"/>
    <n v="129"/>
    <n v="314"/>
    <s v="0.98"/>
    <n v="5190"/>
    <x v="0"/>
  </r>
  <r>
    <n v="13497"/>
    <s v="Lucky"/>
    <s v="Lucas Chastang"/>
    <x v="2"/>
    <x v="26"/>
    <s v="HEET"/>
    <s v="HEET, Heretics, DBL PONEY, G2, 3DMAX"/>
    <n v="22491"/>
    <n v="21014"/>
    <s v="41.40%"/>
    <s v="76.8"/>
    <s v="6.4"/>
    <n v="1224"/>
    <n v="32709"/>
    <s v="0.69"/>
    <s v="0.14"/>
    <s v="0.64"/>
    <s v="0.1"/>
    <s v="0.1"/>
    <n v="15284"/>
    <s v="K - D diff."/>
    <n v="3167"/>
    <n v="2858"/>
    <s v="1.11"/>
    <s v="1.01"/>
    <s v="73.20%"/>
    <s v="13.60%"/>
    <n v="17425"/>
    <n v="9841"/>
    <n v="3970"/>
    <n v="1205"/>
    <n v="245"/>
    <n v="23"/>
    <n v="14530"/>
    <n v="2790"/>
    <n v="1111"/>
    <n v="3670"/>
    <n v="411"/>
    <n v="38"/>
    <s v="1.09"/>
    <n v="8105.5789473684208"/>
    <x v="1"/>
  </r>
  <r>
    <n v="7170"/>
    <s v="SmithZz"/>
    <s v="Edouard Dubourdeaux"/>
    <x v="7"/>
    <x v="26"/>
    <m/>
    <s v="G2, Titan, VeryGames, Envy, LDLC"/>
    <n v="19726"/>
    <n v="20269"/>
    <s v="41.40%"/>
    <s v="66.1"/>
    <s v="2.3"/>
    <n v="1161"/>
    <n v="30130"/>
    <s v="0.65"/>
    <s v="0.14"/>
    <s v="0.67"/>
    <s v="0.1"/>
    <s v="0.08"/>
    <n v="13534"/>
    <s v="K - D diff."/>
    <n v="3512"/>
    <n v="3506"/>
    <n v="1"/>
    <s v="1.06"/>
    <s v="76.60%"/>
    <s v="16.70%"/>
    <n v="16596"/>
    <n v="8813"/>
    <n v="3519"/>
    <n v="1007"/>
    <n v="176"/>
    <n v="19"/>
    <n v="9307"/>
    <n v="5426"/>
    <n v="924"/>
    <n v="3816"/>
    <n v="210"/>
    <n v="59"/>
    <s v="0.96"/>
    <n v="7085.55"/>
    <x v="1"/>
  </r>
  <r>
    <n v="13018"/>
    <s v="Thomas"/>
    <s v="Thomas Utting"/>
    <x v="2"/>
    <x v="8"/>
    <m/>
    <s v="Endpoint"/>
    <n v="17959"/>
    <n v="17065"/>
    <s v="41.50%"/>
    <s v="81.1"/>
    <s v="5.4"/>
    <n v="948"/>
    <n v="25198"/>
    <s v="0.71"/>
    <s v="0.17"/>
    <s v="0.68"/>
    <s v="0.11"/>
    <s v="0.11"/>
    <n v="12199"/>
    <s v="K - D diff."/>
    <n v="2521"/>
    <n v="2220"/>
    <s v="1.14"/>
    <s v="1.02"/>
    <s v="74.90%"/>
    <s v="14.70%"/>
    <n v="12999"/>
    <n v="7811"/>
    <n v="3238"/>
    <n v="947"/>
    <n v="184"/>
    <n v="19"/>
    <n v="12825"/>
    <n v="494"/>
    <n v="1339"/>
    <n v="3047"/>
    <n v="232"/>
    <n v="76"/>
    <s v="1.12"/>
    <n v="6385.3157894736842"/>
    <x v="0"/>
  </r>
  <r>
    <n v="2730"/>
    <s v="chrisJ"/>
    <s v="Chris de Jong"/>
    <x v="0"/>
    <x v="13"/>
    <m/>
    <s v="MOUZ"/>
    <n v="31011"/>
    <n v="29926"/>
    <s v="41.50%"/>
    <s v="70.1"/>
    <s v="3.3"/>
    <n v="1727"/>
    <n v="45400"/>
    <s v="0.68"/>
    <s v="0.11"/>
    <s v="0.66"/>
    <s v="0.1"/>
    <s v="0.08"/>
    <n v="20889"/>
    <s v="K - D diff."/>
    <n v="5696"/>
    <n v="5087"/>
    <s v="1.12"/>
    <s v="1.11"/>
    <s v="73.20%"/>
    <s v="17.70%"/>
    <n v="24511"/>
    <n v="13268"/>
    <n v="5599"/>
    <n v="1637"/>
    <n v="342"/>
    <n v="43"/>
    <n v="11822"/>
    <n v="11455"/>
    <n v="1588"/>
    <n v="5737"/>
    <n v="331"/>
    <n v="113"/>
    <s v="1.01"/>
    <n v="11378"/>
    <x v="1"/>
  </r>
  <r>
    <n v="2799"/>
    <s v="bubble"/>
    <s v="Kamen Kostadinov"/>
    <x v="5"/>
    <x v="9"/>
    <s v="SKADE"/>
    <s v="Windigo, E-frag.net, Fiend"/>
    <n v="38738"/>
    <n v="38199"/>
    <s v="41.50%"/>
    <s v="74.2"/>
    <s v="5.1"/>
    <n v="2219"/>
    <n v="58263"/>
    <s v="0.66"/>
    <s v="0.15"/>
    <s v="0.66"/>
    <s v="0.1"/>
    <s v="0.1"/>
    <n v="26821"/>
    <s v="K - D diff."/>
    <n v="5839"/>
    <n v="5883"/>
    <s v="0.99"/>
    <n v="1"/>
    <s v="75.20%"/>
    <s v="14.00%"/>
    <n v="31442"/>
    <n v="17614"/>
    <n v="6930"/>
    <n v="1901"/>
    <n v="334"/>
    <n v="42"/>
    <n v="23031"/>
    <n v="6762"/>
    <n v="1758"/>
    <n v="6438"/>
    <n v="673"/>
    <n v="170"/>
    <s v="0.99"/>
    <n v="13652.9"/>
    <x v="1"/>
  </r>
  <r>
    <n v="7166"/>
    <s v="Ex6TenZ"/>
    <s v="KÃ©vin Droolans"/>
    <x v="0"/>
    <x v="23"/>
    <m/>
    <s v="Titan, LDLC, VeryGames, G2"/>
    <n v="22665"/>
    <n v="23729"/>
    <s v="41.50%"/>
    <s v="74.8"/>
    <n v="4"/>
    <n v="1393"/>
    <n v="36352"/>
    <s v="0.62"/>
    <s v="0.15"/>
    <s v="0.65"/>
    <s v="0.09"/>
    <s v="0.08"/>
    <n v="15885"/>
    <s v="K - D diff."/>
    <n v="3279"/>
    <n v="3270"/>
    <n v="1"/>
    <s v="0.97"/>
    <s v="74.30%"/>
    <s v="13.00%"/>
    <n v="20467"/>
    <n v="10631"/>
    <n v="3982"/>
    <n v="1083"/>
    <n v="176"/>
    <n v="13"/>
    <n v="16115"/>
    <n v="1234"/>
    <n v="757"/>
    <n v="4177"/>
    <n v="397"/>
    <n v="11"/>
    <s v="0.94"/>
    <n v="7886.7142857142853"/>
    <x v="1"/>
  </r>
  <r>
    <n v="15698"/>
    <s v="dumau"/>
    <s v="Eduardo Wolkmer"/>
    <x v="18"/>
    <x v="6"/>
    <s v="00NATION"/>
    <s v="GODSENT, Yeah"/>
    <n v="9294"/>
    <n v="7852"/>
    <s v="41.60%"/>
    <s v="80.2"/>
    <s v="4.7"/>
    <n v="473"/>
    <n v="12553"/>
    <s v="0.74"/>
    <s v="0.13"/>
    <s v="0.63"/>
    <s v="0.08"/>
    <s v="0.11"/>
    <n v="6282"/>
    <s v="K - D diff."/>
    <n v="1373"/>
    <n v="1058"/>
    <s v="1.3"/>
    <s v="1.07"/>
    <s v="73.60%"/>
    <s v="15.60%"/>
    <n v="6271"/>
    <n v="3982"/>
    <n v="1707"/>
    <n v="483"/>
    <n v="101"/>
    <n v="9"/>
    <n v="6343"/>
    <n v="1035"/>
    <n v="267"/>
    <n v="1487"/>
    <n v="140"/>
    <n v="71"/>
    <s v="1.16"/>
    <n v="3199"/>
    <x v="3"/>
  </r>
  <r>
    <n v="17861"/>
    <s v="JOTA"/>
    <s v="Jhonatan Willian"/>
    <x v="2"/>
    <x v="6"/>
    <s v="MIBR"/>
    <s v="MIBR, Bravos, Keyd"/>
    <n v="8183"/>
    <n v="7194"/>
    <s v="41.60%"/>
    <s v="82.2"/>
    <s v="6.2"/>
    <n v="430"/>
    <n v="11228"/>
    <s v="0.73"/>
    <s v="0.16"/>
    <s v="0.64"/>
    <s v="0.09"/>
    <s v="0.1"/>
    <n v="5472"/>
    <s v="K - D diff."/>
    <n v="1177"/>
    <n v="986"/>
    <s v="1.19"/>
    <s v="1.04"/>
    <s v="75.80%"/>
    <s v="15.40%"/>
    <n v="5756"/>
    <n v="3434"/>
    <n v="1477"/>
    <n v="459"/>
    <n v="92"/>
    <n v="10"/>
    <n v="6151"/>
    <n v="408"/>
    <n v="257"/>
    <n v="1242"/>
    <n v="142"/>
    <n v="40"/>
    <s v="1.15"/>
    <n v="2849.3684210526317"/>
    <x v="3"/>
  </r>
  <r>
    <n v="4076"/>
    <s v="Aerial"/>
    <s v="Jani Jussila"/>
    <x v="1"/>
    <x v="4"/>
    <s v="HAVU"/>
    <s v="HAVU, ENCE"/>
    <n v="17911"/>
    <n v="16694"/>
    <s v="41.60%"/>
    <s v="78.5"/>
    <s v="2.7"/>
    <n v="943"/>
    <n v="25018"/>
    <s v="0.72"/>
    <s v="0.15"/>
    <s v="0.67"/>
    <s v="0.11"/>
    <s v="0.11"/>
    <n v="12006"/>
    <s v="K - D diff."/>
    <n v="2860"/>
    <n v="2739"/>
    <s v="1.04"/>
    <s v="1.06"/>
    <s v="74.70%"/>
    <s v="16.30%"/>
    <n v="13012"/>
    <n v="7556"/>
    <n v="3256"/>
    <n v="952"/>
    <n v="223"/>
    <n v="19"/>
    <n v="14074"/>
    <n v="39"/>
    <n v="1083"/>
    <n v="2570"/>
    <n v="164"/>
    <n v="14"/>
    <s v="1.11"/>
    <n v="6375.4210526315792"/>
    <x v="0"/>
  </r>
  <r>
    <n v="4954"/>
    <s v="Xyp9x"/>
    <s v="Andreas HÃ¸jsleth"/>
    <x v="13"/>
    <x v="2"/>
    <s v="Astralis"/>
    <s v="Astralis, TSM"/>
    <n v="34025"/>
    <n v="31738"/>
    <s v="41.60%"/>
    <s v="74.8"/>
    <s v="6.1"/>
    <n v="1984"/>
    <n v="51687"/>
    <s v="0.66"/>
    <s v="0.16"/>
    <s v="0.61"/>
    <s v="0.08"/>
    <s v="0.09"/>
    <n v="23320"/>
    <s v="K - D diff."/>
    <n v="3808"/>
    <n v="3529"/>
    <s v="1.08"/>
    <s v="0.92"/>
    <s v="77.00%"/>
    <s v="10.30%"/>
    <n v="28367"/>
    <n v="15176"/>
    <n v="6084"/>
    <n v="1669"/>
    <n v="354"/>
    <n v="37"/>
    <n v="26230"/>
    <n v="314"/>
    <n v="1586"/>
    <n v="5077"/>
    <n v="745"/>
    <n v="124"/>
    <s v="1.02"/>
    <n v="12413.368421052632"/>
    <x v="1"/>
  </r>
  <r>
    <n v="14218"/>
    <s v="Plopski"/>
    <s v="Nicolas Gonzalez Zamora"/>
    <x v="11"/>
    <x v="15"/>
    <s v="NIP"/>
    <s v="NIP, x6tence Galaxy, Singularity"/>
    <n v="18805"/>
    <n v="17985"/>
    <s v="41.60%"/>
    <s v="76.5"/>
    <s v="4.9"/>
    <n v="1027"/>
    <n v="27188"/>
    <s v="0.69"/>
    <s v="0.14"/>
    <s v="0.66"/>
    <s v="0.1"/>
    <s v="0.11"/>
    <n v="12826"/>
    <s v="K - D diff."/>
    <n v="2624"/>
    <n v="2646"/>
    <s v="0.99"/>
    <s v="0.99"/>
    <s v="71.50%"/>
    <s v="13.50%"/>
    <n v="14362"/>
    <n v="8246"/>
    <n v="3389"/>
    <n v="996"/>
    <n v="182"/>
    <n v="13"/>
    <n v="13951"/>
    <n v="229"/>
    <n v="1264"/>
    <n v="3051"/>
    <n v="317"/>
    <n v="57"/>
    <s v="1.08"/>
    <n v="6797.7894736842109"/>
    <x v="0"/>
  </r>
  <r>
    <n v="338"/>
    <s v="markeloff"/>
    <s v="Yegor Markelov"/>
    <x v="16"/>
    <x v="29"/>
    <m/>
    <s v="FlipSid3, HellRaisers"/>
    <n v="19780"/>
    <n v="19292"/>
    <s v="41.60%"/>
    <s v="74.3"/>
    <n v="5"/>
    <n v="1143"/>
    <n v="29624"/>
    <s v="0.67"/>
    <s v="0.15"/>
    <s v="0.65"/>
    <s v="0.08"/>
    <s v="0.09"/>
    <n v="13622"/>
    <s v="K - D diff."/>
    <n v="2299"/>
    <n v="2181"/>
    <s v="1.05"/>
    <s v="0.93"/>
    <s v="74.20%"/>
    <s v="11.50%"/>
    <n v="16002"/>
    <n v="8902"/>
    <n v="3532"/>
    <n v="1000"/>
    <n v="172"/>
    <n v="16"/>
    <n v="13350"/>
    <n v="1913"/>
    <n v="724"/>
    <n v="3380"/>
    <n v="363"/>
    <n v="61"/>
    <s v="0.99"/>
    <n v="6868.05"/>
    <x v="0"/>
  </r>
  <r>
    <n v="11840"/>
    <s v="Boombl4"/>
    <s v="Kirill Mikhailov"/>
    <x v="4"/>
    <x v="1"/>
    <s v="Natus Vincere"/>
    <s v="Natus Vincere, Winstrike, Quantum Bellator Fire"/>
    <n v="19172"/>
    <n v="19592"/>
    <s v="41.60%"/>
    <s v="75.9"/>
    <s v="4.6"/>
    <n v="1085"/>
    <n v="28745"/>
    <s v="0.67"/>
    <s v="0.14"/>
    <s v="0.68"/>
    <s v="0.09"/>
    <s v="0.08"/>
    <n v="13011"/>
    <s v="K - D diff."/>
    <n v="3374"/>
    <n v="3772"/>
    <s v="0.89"/>
    <s v="1.03"/>
    <s v="72.00%"/>
    <s v="16.30%"/>
    <n v="15734"/>
    <n v="8347"/>
    <n v="3402"/>
    <n v="1051"/>
    <n v="187"/>
    <n v="24"/>
    <n v="12736"/>
    <n v="443"/>
    <n v="2210"/>
    <n v="3386"/>
    <n v="260"/>
    <n v="191"/>
    <s v="1.04"/>
    <n v="7195.894736842105"/>
    <x v="1"/>
  </r>
  <r>
    <n v="11746"/>
    <s v="YJ"/>
    <s v="Lucas Yuji"/>
    <x v="13"/>
    <x v="6"/>
    <m/>
    <s v="W7M"/>
    <n v="8424"/>
    <n v="8495"/>
    <s v="41.60%"/>
    <n v="71"/>
    <s v="4.1"/>
    <n v="514"/>
    <n v="13425"/>
    <s v="0.63"/>
    <s v="0.13"/>
    <s v="0.63"/>
    <s v="0.07"/>
    <s v="0.08"/>
    <n v="5954"/>
    <s v="K - D diff."/>
    <n v="963"/>
    <n v="985"/>
    <s v="0.98"/>
    <s v="0.9"/>
    <s v="71.30%"/>
    <s v="10.10%"/>
    <n v="7471"/>
    <n v="3987"/>
    <n v="1535"/>
    <n v="363"/>
    <n v="67"/>
    <n v="2"/>
    <n v="6196"/>
    <n v="125"/>
    <n v="645"/>
    <n v="1370"/>
    <n v="95"/>
    <n v="20"/>
    <n v="1"/>
    <n v="2890.8571428571427"/>
    <x v="3"/>
  </r>
  <r>
    <n v="13718"/>
    <s v="birdfromsky"/>
    <s v="Thomas Due-Frederiksen"/>
    <x v="8"/>
    <x v="2"/>
    <m/>
    <s v="Lyngby Vikings, ECSTATIC"/>
    <n v="13060"/>
    <n v="15183"/>
    <s v="41.60%"/>
    <s v="72.5"/>
    <s v="7.7"/>
    <n v="812"/>
    <n v="21860"/>
    <s v="0.6"/>
    <s v="0.17"/>
    <s v="0.69"/>
    <s v="0.14"/>
    <s v="0.09"/>
    <n v="9313"/>
    <s v="K - D diff."/>
    <n v="2337"/>
    <n v="2770"/>
    <s v="0.84"/>
    <s v="0.99"/>
    <s v="73.60%"/>
    <s v="15.50%"/>
    <n v="12547"/>
    <n v="6343"/>
    <n v="2322"/>
    <n v="532"/>
    <n v="103"/>
    <n v="13"/>
    <n v="8808"/>
    <n v="696"/>
    <n v="1296"/>
    <n v="1916"/>
    <n v="333"/>
    <n v="82"/>
    <s v="0.99"/>
    <n v="5280.3157894736842"/>
    <x v="0"/>
  </r>
  <r>
    <n v="8604"/>
    <s v="aumaN"/>
    <s v="ZhiHong Liu"/>
    <x v="8"/>
    <x v="35"/>
    <m/>
    <s v="ViCi"/>
    <n v="15892"/>
    <n v="14709"/>
    <s v="41.70%"/>
    <s v="80.9"/>
    <s v="5.8"/>
    <n v="874"/>
    <n v="22423"/>
    <s v="0.71"/>
    <s v="0.16"/>
    <s v="0.66"/>
    <s v="0.08"/>
    <s v="0.08"/>
    <n v="10799"/>
    <s v="K - D diff."/>
    <n v="2329"/>
    <n v="2153"/>
    <s v="1.08"/>
    <s v="1.03"/>
    <s v="77.60%"/>
    <s v="14.70%"/>
    <n v="11624"/>
    <n v="6913"/>
    <n v="2890"/>
    <n v="805"/>
    <n v="173"/>
    <n v="18"/>
    <n v="10678"/>
    <n v="591"/>
    <n v="1946"/>
    <n v="2381"/>
    <n v="251"/>
    <n v="94"/>
    <s v="1.04"/>
    <n v="5660.1578947368425"/>
    <x v="0"/>
  </r>
  <r>
    <n v="8520"/>
    <s v="NAF"/>
    <s v="Keith Markovic"/>
    <x v="2"/>
    <x v="5"/>
    <s v="Liquid"/>
    <s v="Liquid, OpTic"/>
    <n v="30083"/>
    <n v="26060"/>
    <s v="41.80%"/>
    <s v="81.4"/>
    <s v="5.8"/>
    <n v="1575"/>
    <n v="41364"/>
    <s v="0.73"/>
    <s v="0.15"/>
    <s v="0.63"/>
    <s v="0.1"/>
    <s v="0.11"/>
    <n v="20192"/>
    <s v="K - D diff."/>
    <n v="3798"/>
    <n v="3047"/>
    <s v="1.25"/>
    <n v="1"/>
    <s v="75.10%"/>
    <s v="12.90%"/>
    <n v="21172"/>
    <n v="12729"/>
    <n v="5455"/>
    <n v="1640"/>
    <n v="330"/>
    <n v="38"/>
    <n v="19111"/>
    <n v="3089"/>
    <n v="1848"/>
    <n v="5436"/>
    <n v="538"/>
    <n v="155"/>
    <s v="1.09"/>
    <n v="9883.0499999999993"/>
    <x v="1"/>
  </r>
  <r>
    <n v="12089"/>
    <s v="vanity"/>
    <s v="Anthony Malaspina"/>
    <x v="4"/>
    <x v="0"/>
    <m/>
    <s v="Chaos, eUnited, Gorilla Gang"/>
    <n v="10461"/>
    <n v="10381"/>
    <s v="41.80%"/>
    <n v="74"/>
    <s v="4.6"/>
    <n v="609"/>
    <n v="15688"/>
    <s v="0.67"/>
    <s v="0.13"/>
    <s v="0.66"/>
    <s v="0.1"/>
    <s v="0.09"/>
    <n v="7175"/>
    <s v="K - D diff."/>
    <n v="1741"/>
    <n v="1661"/>
    <s v="1.05"/>
    <s v="1.05"/>
    <s v="74.90%"/>
    <s v="15.60%"/>
    <n v="8513"/>
    <n v="4662"/>
    <n v="1865"/>
    <n v="532"/>
    <n v="107"/>
    <n v="9"/>
    <n v="5631"/>
    <n v="1891"/>
    <n v="811"/>
    <n v="1902"/>
    <n v="168"/>
    <n v="84"/>
    <s v="1.06"/>
    <n v="3698.25"/>
    <x v="2"/>
  </r>
  <r>
    <n v="7368"/>
    <s v="Hyper"/>
    <s v="Bartosz Wolny"/>
    <x v="0"/>
    <x v="3"/>
    <m/>
    <s v="AGG, Vexed, Kinguin, Izako Boars"/>
    <n v="11144"/>
    <n v="11311"/>
    <s v="41.80%"/>
    <s v="69.9"/>
    <s v="2.8"/>
    <n v="646"/>
    <n v="16949"/>
    <s v="0.66"/>
    <s v="0.12"/>
    <s v="0.67"/>
    <s v="0.08"/>
    <s v="0.08"/>
    <n v="7776"/>
    <s v="K - D diff."/>
    <n v="1364"/>
    <n v="1556"/>
    <s v="0.88"/>
    <s v="0.92"/>
    <s v="71.40%"/>
    <s v="11.50%"/>
    <n v="9173"/>
    <n v="5154"/>
    <n v="2004"/>
    <n v="516"/>
    <n v="90"/>
    <n v="12"/>
    <n v="7734"/>
    <n v="640"/>
    <n v="792"/>
    <n v="1832"/>
    <n v="128"/>
    <n v="29"/>
    <s v="0.96"/>
    <n v="4150"/>
    <x v="2"/>
  </r>
  <r>
    <n v="7405"/>
    <s v="ub1que"/>
    <s v="Alexey Polivanov"/>
    <x v="5"/>
    <x v="1"/>
    <m/>
    <s v="EPG, PiTER, Preparation"/>
    <n v="8319"/>
    <n v="8815"/>
    <s v="41.80%"/>
    <s v="73.3"/>
    <s v="3.1"/>
    <n v="491"/>
    <n v="12691"/>
    <s v="0.66"/>
    <s v="0.13"/>
    <s v="0.69"/>
    <s v="0.09"/>
    <s v="0.09"/>
    <n v="5811"/>
    <s v="K - D diff."/>
    <n v="928"/>
    <n v="988"/>
    <s v="0.94"/>
    <s v="0.9"/>
    <s v="73.60%"/>
    <s v="11.10%"/>
    <n v="6880"/>
    <n v="3828"/>
    <n v="1537"/>
    <n v="377"/>
    <n v="66"/>
    <n v="3"/>
    <n v="5617"/>
    <n v="260"/>
    <n v="371"/>
    <n v="1906"/>
    <n v="140"/>
    <n v="38"/>
    <s v="0.94"/>
    <n v="3108.7368421052633"/>
    <x v="3"/>
  </r>
  <r>
    <n v="499"/>
    <s v="hooch"/>
    <s v="Dmitry Bogdanov"/>
    <x v="15"/>
    <x v="1"/>
    <s v="Entropiq"/>
    <s v="EPG, Gambit"/>
    <n v="14410"/>
    <n v="16212"/>
    <s v="41.80%"/>
    <s v="70.9"/>
    <s v="4.4"/>
    <n v="894"/>
    <n v="23450"/>
    <s v="0.61"/>
    <s v="0.14"/>
    <s v="0.69"/>
    <s v="0.08"/>
    <s v="0.07"/>
    <n v="10101"/>
    <s v="K - D diff."/>
    <n v="1891"/>
    <n v="2377"/>
    <s v="0.8"/>
    <s v="0.9"/>
    <s v="69.70%"/>
    <s v="11.50%"/>
    <n v="13349"/>
    <n v="6734"/>
    <n v="2555"/>
    <n v="699"/>
    <n v="105"/>
    <n v="8"/>
    <n v="9139"/>
    <n v="1118"/>
    <n v="1109"/>
    <n v="2748"/>
    <n v="243"/>
    <n v="72"/>
    <s v="0.9"/>
    <n v="5642.8421052631575"/>
    <x v="0"/>
  </r>
  <r>
    <n v="9350"/>
    <s v="def"/>
    <s v="Dima Lemeshchuk"/>
    <x v="6"/>
    <x v="29"/>
    <m/>
    <s v="pro100, ACG"/>
    <n v="9243"/>
    <n v="10836"/>
    <s v="41.80%"/>
    <s v="67.4"/>
    <s v="3.4"/>
    <n v="605"/>
    <n v="15797"/>
    <s v="0.59"/>
    <s v="0.14"/>
    <s v="0.69"/>
    <s v="0.11"/>
    <s v="0.08"/>
    <n v="6637"/>
    <s v="K - D diff."/>
    <n v="1224"/>
    <n v="1575"/>
    <s v="0.78"/>
    <s v="0.89"/>
    <s v="71.70%"/>
    <s v="11.20%"/>
    <n v="9160"/>
    <n v="4548"/>
    <n v="1651"/>
    <n v="366"/>
    <n v="65"/>
    <n v="7"/>
    <n v="6387"/>
    <n v="148"/>
    <n v="1005"/>
    <n v="1532"/>
    <n v="127"/>
    <n v="60"/>
    <s v="0.86"/>
    <n v="3735.4210526315787"/>
    <x v="2"/>
  </r>
  <r>
    <n v="7026"/>
    <s v="DD"/>
    <s v="Hui Wu"/>
    <x v="6"/>
    <x v="35"/>
    <m/>
    <s v="TYLOO, OneThree"/>
    <n v="17368"/>
    <n v="15847"/>
    <s v="41.90%"/>
    <s v="81.5"/>
    <s v="3.1"/>
    <n v="913"/>
    <n v="23620"/>
    <s v="0.74"/>
    <s v="0.16"/>
    <s v="0.67"/>
    <s v="0.11"/>
    <s v="0.1"/>
    <n v="11622"/>
    <s v="K - D diff."/>
    <n v="2398"/>
    <n v="2263"/>
    <s v="1.06"/>
    <s v="1.01"/>
    <s v="75.40%"/>
    <s v="13.90%"/>
    <n v="11998"/>
    <n v="7318"/>
    <n v="3083"/>
    <n v="1027"/>
    <n v="171"/>
    <n v="23"/>
    <n v="12857"/>
    <n v="633"/>
    <n v="930"/>
    <n v="2814"/>
    <n v="141"/>
    <n v="28"/>
    <s v="1.07"/>
    <n v="6055.4736842105267"/>
    <x v="0"/>
  </r>
  <r>
    <n v="5440"/>
    <s v="flashie"/>
    <s v="Viktor TamÃ¡s Bea"/>
    <x v="13"/>
    <x v="7"/>
    <s v="CLG Red"/>
    <s v="GameAgents, Orgless"/>
    <n v="10179"/>
    <n v="10697"/>
    <s v="41.90%"/>
    <s v="72.3"/>
    <s v="3.8"/>
    <n v="594"/>
    <n v="15719"/>
    <s v="0.65"/>
    <s v="0.14"/>
    <s v="0.68"/>
    <s v="0.1"/>
    <s v="0.09"/>
    <n v="7032"/>
    <s v="K - D diff."/>
    <n v="1187"/>
    <n v="1415"/>
    <s v="0.84"/>
    <s v="0.89"/>
    <s v="71.80%"/>
    <s v="11.00%"/>
    <n v="8687"/>
    <n v="4597"/>
    <n v="1832"/>
    <n v="507"/>
    <n v="89"/>
    <n v="7"/>
    <n v="7310"/>
    <n v="292"/>
    <n v="787"/>
    <n v="1613"/>
    <n v="148"/>
    <n v="56"/>
    <s v="0.95"/>
    <n v="3828.8421052631579"/>
    <x v="2"/>
  </r>
  <r>
    <n v="472"/>
    <s v="B1ad3"/>
    <s v="Andrey Gorodenskiy"/>
    <x v="15"/>
    <x v="29"/>
    <s v="Natus Vincere"/>
    <s v="FlipSid3"/>
    <n v="13472"/>
    <n v="16880"/>
    <s v="41.90%"/>
    <s v="66.5"/>
    <s v="2.6"/>
    <n v="899"/>
    <n v="23232"/>
    <s v="0.58"/>
    <s v="0.16"/>
    <s v="0.73"/>
    <s v="0.1"/>
    <s v="0.07"/>
    <n v="9604"/>
    <s v="K - D diff."/>
    <n v="1977"/>
    <n v="2548"/>
    <s v="0.78"/>
    <s v="0.91"/>
    <s v="73.40%"/>
    <s v="12.90%"/>
    <n v="13628"/>
    <n v="6564"/>
    <n v="2346"/>
    <n v="582"/>
    <n v="105"/>
    <n v="7"/>
    <n v="10064"/>
    <n v="67"/>
    <n v="860"/>
    <n v="2256"/>
    <n v="118"/>
    <n v="108"/>
    <s v="0.83"/>
    <n v="5543"/>
    <x v="0"/>
  </r>
  <r>
    <n v="3055"/>
    <s v="flusha"/>
    <s v="Robin RÃ¶nnquist"/>
    <x v="8"/>
    <x v="15"/>
    <s v="EYEBALLERS"/>
    <s v="fnatic"/>
    <n v="35063"/>
    <n v="32431"/>
    <s v="42.00%"/>
    <s v="81.1"/>
    <s v="9.2"/>
    <n v="1893"/>
    <n v="49688"/>
    <s v="0.71"/>
    <s v="0.17"/>
    <s v="0.65"/>
    <s v="0.09"/>
    <s v="0.08"/>
    <n v="23622"/>
    <s v="K - D diff."/>
    <n v="4372"/>
    <n v="4035"/>
    <s v="1.08"/>
    <s v="0.97"/>
    <s v="75.30%"/>
    <s v="12.50%"/>
    <n v="26066"/>
    <n v="15014"/>
    <n v="6304"/>
    <n v="1887"/>
    <n v="383"/>
    <n v="34"/>
    <n v="23260"/>
    <n v="1373"/>
    <n v="2914"/>
    <n v="6307"/>
    <n v="1003"/>
    <n v="270"/>
    <s v="1.04"/>
    <n v="12416.78947368421"/>
    <x v="1"/>
  </r>
  <r>
    <n v="11064"/>
    <s v="dazzLe"/>
    <s v="Will Loafman"/>
    <x v="13"/>
    <x v="0"/>
    <m/>
    <s v="eUnited, Rise Nation, New Identity"/>
    <n v="12753"/>
    <n v="12761"/>
    <s v="42.00%"/>
    <s v="80.9"/>
    <s v="3.5"/>
    <n v="690"/>
    <n v="17971"/>
    <s v="0.71"/>
    <s v="0.16"/>
    <s v="0.71"/>
    <s v="0.1"/>
    <s v="0.09"/>
    <n v="8488"/>
    <s v="K - D diff."/>
    <n v="2103"/>
    <n v="2238"/>
    <s v="0.94"/>
    <s v="1.04"/>
    <s v="75.90%"/>
    <s v="17.00%"/>
    <n v="9483"/>
    <n v="5304"/>
    <n v="2280"/>
    <n v="742"/>
    <n v="147"/>
    <n v="15"/>
    <n v="9181"/>
    <n v="264"/>
    <n v="1124"/>
    <n v="2054"/>
    <n v="120"/>
    <n v="30"/>
    <s v="1.08"/>
    <n v="4618.3157894736842"/>
    <x v="2"/>
  </r>
  <r>
    <n v="4637"/>
    <s v="zeff"/>
    <s v="Min-Seok Park"/>
    <x v="7"/>
    <x v="25"/>
    <m/>
    <s v="MVP PK"/>
    <n v="8381"/>
    <n v="8327"/>
    <s v="42.00%"/>
    <s v="77.8"/>
    <s v="4.9"/>
    <n v="482"/>
    <n v="12229"/>
    <s v="0.69"/>
    <s v="0.17"/>
    <s v="0.68"/>
    <s v="0.13"/>
    <s v="0.11"/>
    <n v="5672"/>
    <s v="K - D diff."/>
    <n v="1512"/>
    <n v="1519"/>
    <n v="1"/>
    <s v="1.08"/>
    <s v="77.10%"/>
    <s v="17.60%"/>
    <n v="6557"/>
    <n v="3641"/>
    <n v="1453"/>
    <n v="491"/>
    <n v="74"/>
    <n v="13"/>
    <n v="5704"/>
    <n v="499"/>
    <n v="687"/>
    <n v="1350"/>
    <n v="131"/>
    <n v="27"/>
    <n v="1"/>
    <n v="2797.6666666666665"/>
    <x v="3"/>
  </r>
  <r>
    <n v="12129"/>
    <s v="stk"/>
    <s v="Anupong Mueangngam"/>
    <x v="3"/>
    <x v="12"/>
    <s v="LZ"/>
    <s v="Beyond, Signature, Alpha Red"/>
    <n v="10034"/>
    <n v="10257"/>
    <s v="42.00%"/>
    <s v="74.5"/>
    <n v="3"/>
    <n v="591"/>
    <n v="15136"/>
    <s v="0.66"/>
    <s v="0.15"/>
    <s v="0.68"/>
    <s v="0.13"/>
    <s v="0.11"/>
    <n v="6919"/>
    <s v="K - D diff."/>
    <n v="1377"/>
    <n v="1459"/>
    <s v="0.94"/>
    <s v="0.96"/>
    <s v="73.20%"/>
    <s v="12.70%"/>
    <n v="8217"/>
    <n v="4552"/>
    <n v="1743"/>
    <n v="509"/>
    <n v="106"/>
    <n v="9"/>
    <n v="7220"/>
    <n v="31"/>
    <n v="1011"/>
    <n v="1656"/>
    <n v="82"/>
    <n v="55"/>
    <s v="1.05"/>
    <n v="3548.35"/>
    <x v="2"/>
  </r>
  <r>
    <n v="10192"/>
    <s v="DeStRoYeR"/>
    <s v="JiaMing Gu"/>
    <x v="8"/>
    <x v="35"/>
    <s v="Invictus"/>
    <s v="Invictus, EHOME, BOOT"/>
    <n v="10691"/>
    <n v="10922"/>
    <s v="42.10%"/>
    <s v="74.2"/>
    <s v="2.7"/>
    <n v="598"/>
    <n v="15794"/>
    <s v="0.68"/>
    <s v="0.12"/>
    <s v="0.69"/>
    <s v="0.09"/>
    <s v="0.09"/>
    <n v="7376"/>
    <s v="K - D diff."/>
    <n v="1647"/>
    <n v="1660"/>
    <s v="0.99"/>
    <s v="1.01"/>
    <s v="70.70%"/>
    <s v="15.30%"/>
    <n v="8418"/>
    <n v="4822"/>
    <n v="1913"/>
    <n v="528"/>
    <n v="106"/>
    <n v="7"/>
    <n v="5374"/>
    <n v="2683"/>
    <n v="637"/>
    <n v="1925"/>
    <n v="65"/>
    <n v="38"/>
    <s v="0.97"/>
    <n v="3958.1052631578946"/>
    <x v="2"/>
  </r>
  <r>
    <n v="7925"/>
    <s v="gabesson"/>
    <s v="GÃ¡bor MÃ¡lovics"/>
    <x v="0"/>
    <x v="7"/>
    <m/>
    <s v="GameAgents, volgare"/>
    <n v="7943"/>
    <n v="8207"/>
    <s v="42.10%"/>
    <n v="76"/>
    <s v="4.6"/>
    <n v="441"/>
    <n v="11654"/>
    <s v="0.68"/>
    <s v="0.16"/>
    <s v="0.7"/>
    <s v="0.11"/>
    <s v="0.11"/>
    <n v="5470"/>
    <s v="K - D diff."/>
    <n v="1142"/>
    <n v="1096"/>
    <s v="1.04"/>
    <n v="1"/>
    <s v="71.80%"/>
    <s v="14.70%"/>
    <n v="6184"/>
    <n v="3575"/>
    <n v="1428"/>
    <n v="369"/>
    <n v="93"/>
    <n v="5"/>
    <n v="4880"/>
    <n v="1030"/>
    <n v="288"/>
    <n v="1628"/>
    <n v="92"/>
    <n v="46"/>
    <s v="0.97"/>
    <n v="2649.9047619047619"/>
    <x v="3"/>
  </r>
  <r>
    <n v="17145"/>
    <s v="Rainwaker"/>
    <s v="Aleks Petrov"/>
    <x v="10"/>
    <x v="9"/>
    <s v="SKADE"/>
    <s v="SKADE"/>
    <n v="21206"/>
    <n v="19252"/>
    <s v="42.30%"/>
    <s v="77.1"/>
    <s v="4.5"/>
    <n v="1127"/>
    <n v="30404"/>
    <s v="0.7"/>
    <s v="0.13"/>
    <s v="0.63"/>
    <s v="0.08"/>
    <s v="0.1"/>
    <n v="14268"/>
    <s v="K - D diff."/>
    <n v="2605"/>
    <n v="2454"/>
    <s v="1.06"/>
    <s v="0.96"/>
    <s v="72.20%"/>
    <s v="11.90%"/>
    <n v="16136"/>
    <n v="9022"/>
    <n v="3845"/>
    <n v="1139"/>
    <n v="233"/>
    <n v="29"/>
    <n v="16167"/>
    <n v="492"/>
    <n v="940"/>
    <n v="3358"/>
    <n v="263"/>
    <n v="57"/>
    <s v="1.1"/>
    <n v="7526.1578947368425"/>
    <x v="1"/>
  </r>
  <r>
    <n v="3183"/>
    <s v="spyleadeR"/>
    <s v="Emiliyan Dimitrov"/>
    <x v="0"/>
    <x v="9"/>
    <s v="FATE"/>
    <s v="E-frag.net, MK, GPlay"/>
    <n v="16849"/>
    <n v="16756"/>
    <s v="42.30%"/>
    <n v="81"/>
    <s v="4.7"/>
    <n v="899"/>
    <n v="23232"/>
    <s v="0.73"/>
    <s v="0.18"/>
    <s v="0.72"/>
    <s v="0.1"/>
    <s v="0.08"/>
    <n v="11300"/>
    <s v="K - D diff."/>
    <n v="2845"/>
    <n v="2903"/>
    <s v="0.98"/>
    <s v="1.07"/>
    <s v="77.70%"/>
    <s v="17.70%"/>
    <n v="11932"/>
    <n v="7121"/>
    <n v="3040"/>
    <n v="936"/>
    <n v="191"/>
    <n v="12"/>
    <n v="12202"/>
    <n v="168"/>
    <n v="1356"/>
    <n v="2848"/>
    <n v="260"/>
    <n v="23"/>
    <s v="1.01"/>
    <n v="5747.7"/>
    <x v="0"/>
  </r>
  <r>
    <n v="8570"/>
    <s v="GruBy"/>
    <s v="Dominik Swiderski"/>
    <x v="6"/>
    <x v="3"/>
    <s v="UNGENTIUM"/>
    <s v="AGO"/>
    <n v="31122"/>
    <n v="30364"/>
    <s v="42.40%"/>
    <s v="78.3"/>
    <s v="3.4"/>
    <n v="1690"/>
    <n v="44986"/>
    <s v="0.69"/>
    <s v="0.15"/>
    <s v="0.67"/>
    <s v="0.1"/>
    <s v="0.11"/>
    <n v="20895"/>
    <s v="K - D diff."/>
    <n v="4076"/>
    <n v="4254"/>
    <s v="0.96"/>
    <s v="0.96"/>
    <s v="73.50%"/>
    <s v="13.00%"/>
    <n v="24091"/>
    <n v="13188"/>
    <n v="5593"/>
    <n v="1749"/>
    <n v="327"/>
    <n v="38"/>
    <n v="23846"/>
    <n v="501"/>
    <n v="1043"/>
    <n v="5352"/>
    <n v="363"/>
    <n v="92"/>
    <s v="1.01"/>
    <n v="11240.526315789473"/>
    <x v="1"/>
  </r>
  <r>
    <n v="14203"/>
    <s v="Shakezullah"/>
    <s v="Alan Hardeman"/>
    <x v="2"/>
    <x v="0"/>
    <s v="Bad News Bears"/>
    <s v="Bad News Bears, Triumph, Singularity, iNTACT"/>
    <n v="13373"/>
    <n v="13829"/>
    <s v="42.40%"/>
    <s v="68.9"/>
    <s v="5.1"/>
    <n v="836"/>
    <n v="21792"/>
    <s v="0.61"/>
    <s v="0.13"/>
    <s v="0.63"/>
    <s v="0.1"/>
    <s v="0.08"/>
    <n v="9476"/>
    <s v="K - D diff."/>
    <n v="1812"/>
    <n v="2054"/>
    <s v="0.88"/>
    <s v="0.93"/>
    <s v="71.20%"/>
    <s v="11.40%"/>
    <n v="12316"/>
    <n v="6395"/>
    <n v="2372"/>
    <n v="607"/>
    <n v="97"/>
    <n v="5"/>
    <n v="8780"/>
    <n v="997"/>
    <n v="1267"/>
    <n v="1992"/>
    <n v="208"/>
    <n v="185"/>
    <n v="1"/>
    <n v="4919.7"/>
    <x v="0"/>
  </r>
  <r>
    <n v="11140"/>
    <s v="INS"/>
    <s v="Joshua Potter"/>
    <x v="4"/>
    <x v="16"/>
    <s v="ORDER"/>
    <s v="ORDER, Renegades, Chiefs, Tainted Minds"/>
    <n v="18179"/>
    <n v="15568"/>
    <s v="42.50%"/>
    <s v="85.6"/>
    <s v="8.5"/>
    <n v="946"/>
    <n v="23988"/>
    <s v="0.76"/>
    <s v="0.17"/>
    <s v="0.65"/>
    <s v="0.1"/>
    <s v="0.09"/>
    <n v="11887"/>
    <s v="K - D diff."/>
    <n v="2792"/>
    <n v="2439"/>
    <s v="1.14"/>
    <s v="1.08"/>
    <s v="77.50%"/>
    <s v="15.90%"/>
    <n v="12101"/>
    <n v="7199"/>
    <n v="3368"/>
    <n v="1063"/>
    <n v="230"/>
    <n v="27"/>
    <n v="12322"/>
    <n v="825"/>
    <n v="1492"/>
    <n v="3018"/>
    <n v="490"/>
    <n v="77"/>
    <s v="1.19"/>
    <n v="6211.105263157895"/>
    <x v="0"/>
  </r>
  <r>
    <n v="2299"/>
    <s v="NENO"/>
    <s v="Anel CekoviÄ‡"/>
    <x v="8"/>
    <x v="42"/>
    <s v="0to100"/>
    <s v="Binary Dragons, Valiance"/>
    <n v="11861"/>
    <n v="11265"/>
    <s v="42.50%"/>
    <s v="75.1"/>
    <s v="4.3"/>
    <n v="664"/>
    <n v="17181"/>
    <s v="0.69"/>
    <s v="0.13"/>
    <s v="0.66"/>
    <s v="0.09"/>
    <s v="0.09"/>
    <n v="8123"/>
    <s v="K - D diff."/>
    <n v="1576"/>
    <n v="1444"/>
    <s v="1.09"/>
    <s v="0.99"/>
    <s v="74.10%"/>
    <s v="12.70%"/>
    <n v="9058"/>
    <n v="5230"/>
    <n v="2188"/>
    <n v="592"/>
    <n v="98"/>
    <n v="15"/>
    <n v="7874"/>
    <n v="757"/>
    <n v="1039"/>
    <n v="1991"/>
    <n v="190"/>
    <n v="25"/>
    <s v="1.02"/>
    <n v="4272.1578947368425"/>
    <x v="2"/>
  </r>
  <r>
    <n v="7388"/>
    <s v="SOKER"/>
    <s v="Aitor FernÃ¡ndez"/>
    <x v="1"/>
    <x v="11"/>
    <s v="Gravity 0"/>
    <s v="Movistar Riders, x6tence, k1ck"/>
    <n v="11465"/>
    <n v="11889"/>
    <s v="42.50%"/>
    <s v="75.8"/>
    <s v="2.8"/>
    <n v="642"/>
    <n v="16858"/>
    <s v="0.68"/>
    <s v="0.15"/>
    <s v="0.71"/>
    <s v="0.12"/>
    <s v="0.11"/>
    <n v="7823"/>
    <s v="K - D diff."/>
    <n v="1925"/>
    <n v="1980"/>
    <s v="0.97"/>
    <s v="1.04"/>
    <s v="71.10%"/>
    <s v="16.30%"/>
    <n v="9035"/>
    <n v="5047"/>
    <n v="2058"/>
    <n v="587"/>
    <n v="114"/>
    <n v="17"/>
    <n v="7625"/>
    <n v="985"/>
    <n v="665"/>
    <n v="2089"/>
    <n v="99"/>
    <n v="28"/>
    <s v="0.97"/>
    <n v="4259.5263157894733"/>
    <x v="2"/>
  </r>
  <r>
    <n v="9845"/>
    <s v="vSa"/>
    <s v="Andy Xu"/>
    <x v="8"/>
    <x v="5"/>
    <m/>
    <s v="Rise Nation, Vision, Ghost"/>
    <n v="6351"/>
    <n v="6673"/>
    <s v="42.50%"/>
    <s v="70.6"/>
    <s v="2.8"/>
    <n v="385"/>
    <n v="10066"/>
    <s v="0.63"/>
    <s v="0.15"/>
    <s v="0.66"/>
    <s v="0.12"/>
    <s v="0.11"/>
    <n v="4455"/>
    <s v="K - D diff."/>
    <n v="511"/>
    <n v="648"/>
    <s v="0.79"/>
    <s v="0.81"/>
    <s v="70.80%"/>
    <s v="6.90%"/>
    <n v="5611"/>
    <n v="3010"/>
    <n v="1085"/>
    <n v="282"/>
    <n v="65"/>
    <n v="13"/>
    <n v="4351"/>
    <n v="159"/>
    <n v="503"/>
    <n v="1279"/>
    <n v="69"/>
    <n v="4"/>
    <s v="0.94"/>
    <n v="2395.7894736842104"/>
    <x v="3"/>
  </r>
  <r>
    <n v="1889"/>
    <s v="LOMME"/>
    <s v="Frederik Nielsen"/>
    <x v="8"/>
    <x v="2"/>
    <m/>
    <s v="North Academy, Tricked, No Problem!"/>
    <n v="10221"/>
    <n v="10753"/>
    <s v="42.50%"/>
    <n v="72"/>
    <s v="4.5"/>
    <n v="623"/>
    <n v="16172"/>
    <s v="0.63"/>
    <s v="0.15"/>
    <s v="0.66"/>
    <s v="0.1"/>
    <s v="0.09"/>
    <n v="7137"/>
    <s v="K - D diff."/>
    <n v="1289"/>
    <n v="1481"/>
    <s v="0.87"/>
    <s v="0.91"/>
    <s v="72.80%"/>
    <s v="11.20%"/>
    <n v="9035"/>
    <n v="4713"/>
    <n v="1859"/>
    <n v="483"/>
    <n v="75"/>
    <n v="7"/>
    <n v="7417"/>
    <n v="124"/>
    <n v="751"/>
    <n v="1771"/>
    <n v="144"/>
    <n v="28"/>
    <s v="0.94"/>
    <n v="3707.75"/>
    <x v="2"/>
  </r>
  <r>
    <n v="14290"/>
    <s v="SkulL"/>
    <s v="Jordan Newland"/>
    <x v="2"/>
    <x v="16"/>
    <s v="Antic"/>
    <s v="Genuine, Taboo, Masterminds, Chiefs"/>
    <n v="10297"/>
    <n v="11362"/>
    <s v="42.50%"/>
    <s v="75.9"/>
    <s v="5.5"/>
    <n v="598"/>
    <n v="15642"/>
    <s v="0.66"/>
    <s v="0.15"/>
    <s v="0.73"/>
    <s v="0.11"/>
    <s v="0.1"/>
    <n v="7005"/>
    <s v="K - D diff."/>
    <n v="1792"/>
    <n v="2166"/>
    <s v="0.83"/>
    <s v="1.01"/>
    <s v="72.30%"/>
    <s v="17.20%"/>
    <n v="8637"/>
    <n v="4488"/>
    <n v="1870"/>
    <n v="531"/>
    <n v="104"/>
    <n v="12"/>
    <n v="6777"/>
    <n v="858"/>
    <n v="915"/>
    <n v="1569"/>
    <n v="145"/>
    <n v="59"/>
    <s v="1.01"/>
    <n v="3938.2631578947367"/>
    <x v="2"/>
  </r>
  <r>
    <n v="7529"/>
    <s v="SAGGERTON"/>
    <s v="Saku Jokinen"/>
    <x v="13"/>
    <x v="4"/>
    <m/>
    <s v="iGame.com, RCTIC, LGR"/>
    <n v="9723"/>
    <n v="9954"/>
    <s v="42.60%"/>
    <s v="75.4"/>
    <s v="4.6"/>
    <n v="540"/>
    <n v="14097"/>
    <s v="0.69"/>
    <s v="0.15"/>
    <s v="0.71"/>
    <s v="0.11"/>
    <s v="0.1"/>
    <n v="6493"/>
    <s v="K - D diff."/>
    <n v="1492"/>
    <n v="1586"/>
    <s v="0.94"/>
    <s v="1.01"/>
    <s v="74.80%"/>
    <s v="15.60%"/>
    <n v="7604"/>
    <n v="4065"/>
    <n v="1749"/>
    <n v="573"/>
    <n v="94"/>
    <n v="12"/>
    <n v="7165"/>
    <n v="121"/>
    <n v="418"/>
    <n v="1840"/>
    <n v="140"/>
    <n v="47"/>
    <s v="0.99"/>
    <n v="3563.8421052631579"/>
    <x v="2"/>
  </r>
  <r>
    <n v="10563"/>
    <s v="caike"/>
    <s v="Caike Costa"/>
    <x v="6"/>
    <x v="6"/>
    <m/>
    <s v="g3x, Yeah, Isurus, TeamOne"/>
    <n v="8518"/>
    <n v="8892"/>
    <s v="42.60%"/>
    <s v="71.7"/>
    <n v="4"/>
    <n v="501"/>
    <n v="13104"/>
    <s v="0.65"/>
    <s v="0.14"/>
    <s v="0.68"/>
    <s v="0.1"/>
    <s v="0.09"/>
    <n v="5901"/>
    <s v="K - D diff."/>
    <n v="1263"/>
    <n v="1395"/>
    <s v="0.91"/>
    <s v="0.97"/>
    <s v="74.10%"/>
    <s v="13.30%"/>
    <n v="7203"/>
    <n v="3884"/>
    <n v="1508"/>
    <n v="427"/>
    <n v="73"/>
    <n v="9"/>
    <n v="5526"/>
    <n v="671"/>
    <n v="665"/>
    <n v="1516"/>
    <n v="108"/>
    <n v="54"/>
    <s v="0.95"/>
    <n v="3061.1"/>
    <x v="3"/>
  </r>
  <r>
    <n v="9104"/>
    <s v="DANZ"/>
    <s v="Daniel Whitfield"/>
    <x v="8"/>
    <x v="16"/>
    <m/>
    <s v="Corvidae, Kanga, AVANT"/>
    <n v="6730"/>
    <n v="7350"/>
    <s v="42.60%"/>
    <n v="72"/>
    <s v="2.3"/>
    <n v="391"/>
    <n v="10173"/>
    <s v="0.66"/>
    <s v="0.13"/>
    <s v="0.72"/>
    <s v="0.09"/>
    <s v="0.1"/>
    <n v="4611"/>
    <s v="K - D diff."/>
    <n v="782"/>
    <n v="979"/>
    <s v="0.8"/>
    <s v="0.89"/>
    <s v="74.40%"/>
    <s v="12.20%"/>
    <n v="5562"/>
    <n v="3014"/>
    <n v="1160"/>
    <n v="356"/>
    <n v="78"/>
    <n v="3"/>
    <n v="4515"/>
    <n v="476"/>
    <n v="389"/>
    <n v="1279"/>
    <n v="70"/>
    <n v="18"/>
    <s v="0.93"/>
    <n v="2400.4"/>
    <x v="3"/>
  </r>
  <r>
    <n v="44"/>
    <s v="BARBARR"/>
    <s v="AndrÃ© MÃ¶ller"/>
    <x v="0"/>
    <x v="15"/>
    <m/>
    <s v="Epsilon, x6tence Galaxy, Singularity"/>
    <n v="15776"/>
    <n v="15796"/>
    <s v="42.70%"/>
    <s v="74.8"/>
    <s v="3.9"/>
    <n v="876"/>
    <n v="23180"/>
    <s v="0.68"/>
    <s v="0.13"/>
    <s v="0.68"/>
    <s v="0.09"/>
    <s v="0.09"/>
    <n v="10702"/>
    <s v="K - D diff."/>
    <n v="2510"/>
    <n v="2507"/>
    <n v="1"/>
    <s v="1.03"/>
    <s v="72.80%"/>
    <s v="15.60%"/>
    <n v="12478"/>
    <n v="6854"/>
    <n v="2826"/>
    <n v="840"/>
    <n v="165"/>
    <n v="17"/>
    <n v="8303"/>
    <n v="2784"/>
    <n v="1510"/>
    <n v="2938"/>
    <n v="198"/>
    <n v="66"/>
    <s v="0.99"/>
    <n v="5516.35"/>
    <x v="0"/>
  </r>
  <r>
    <n v="8459"/>
    <s v="Kvik"/>
    <s v="Aurimas KvakÅ¡ys"/>
    <x v="13"/>
    <x v="38"/>
    <m/>
    <s v="Quantum Bellator Fire, Winstrike"/>
    <n v="13682"/>
    <n v="14349"/>
    <s v="42.70%"/>
    <s v="75.1"/>
    <s v="3.8"/>
    <n v="780"/>
    <n v="20389"/>
    <s v="0.67"/>
    <s v="0.14"/>
    <s v="0.7"/>
    <s v="0.1"/>
    <s v="0.1"/>
    <n v="9371"/>
    <s v="K - D diff."/>
    <n v="1841"/>
    <n v="1951"/>
    <s v="0.94"/>
    <s v="0.96"/>
    <s v="74.10%"/>
    <s v="13.50%"/>
    <n v="11018"/>
    <n v="6055"/>
    <n v="2482"/>
    <n v="687"/>
    <n v="133"/>
    <n v="14"/>
    <n v="8760"/>
    <n v="1308"/>
    <n v="795"/>
    <n v="2627"/>
    <n v="145"/>
    <n v="75"/>
    <s v="0.96"/>
    <n v="5076.9473684210525"/>
    <x v="0"/>
  </r>
  <r>
    <n v="8549"/>
    <s v="EXUS"/>
    <s v="Konrad JeÅ„czeÅ„"/>
    <x v="2"/>
    <x v="3"/>
    <s v="UNGENTIUM"/>
    <s v="PRIDE, Izako Boars"/>
    <n v="15251"/>
    <n v="16330"/>
    <s v="42.70%"/>
    <s v="71.2"/>
    <s v="3.6"/>
    <n v="882"/>
    <n v="23538"/>
    <s v="0.65"/>
    <s v="0.13"/>
    <s v="0.69"/>
    <s v="0.09"/>
    <s v="0.09"/>
    <n v="10499"/>
    <s v="K - D diff."/>
    <n v="2499"/>
    <n v="2586"/>
    <s v="0.97"/>
    <s v="1.01"/>
    <s v="72.80%"/>
    <s v="15.60%"/>
    <n v="13039"/>
    <n v="6826"/>
    <n v="2750"/>
    <n v="776"/>
    <n v="138"/>
    <n v="9"/>
    <n v="8402"/>
    <n v="3254"/>
    <n v="649"/>
    <n v="2734"/>
    <n v="230"/>
    <n v="37"/>
    <s v="0.94"/>
    <n v="5812.0526315789475"/>
    <x v="0"/>
  </r>
  <r>
    <n v="7797"/>
    <s v="spiker"/>
    <s v="Alexander Ivanov"/>
    <x v="8"/>
    <x v="1"/>
    <m/>
    <s v="Monolith, PiTER, Empire, Rebels"/>
    <n v="6837"/>
    <n v="7811"/>
    <s v="42.70%"/>
    <s v="71.5"/>
    <s v="2.6"/>
    <n v="415"/>
    <n v="10974"/>
    <s v="0.62"/>
    <s v="0.14"/>
    <s v="0.71"/>
    <s v="0.08"/>
    <s v="0.08"/>
    <n v="4748"/>
    <s v="K - D diff."/>
    <n v="972"/>
    <n v="1169"/>
    <s v="0.83"/>
    <s v="0.93"/>
    <s v="71.60%"/>
    <s v="13.00%"/>
    <n v="6226"/>
    <n v="3138"/>
    <n v="1202"/>
    <n v="349"/>
    <n v="54"/>
    <n v="5"/>
    <n v="4010"/>
    <n v="1131"/>
    <n v="335"/>
    <n v="1263"/>
    <n v="71"/>
    <n v="34"/>
    <s v="0.89"/>
    <n v="2670.7368421052633"/>
    <x v="3"/>
  </r>
  <r>
    <n v="10994"/>
    <s v="stavn"/>
    <s v="Martin Lund"/>
    <x v="11"/>
    <x v="2"/>
    <s v="Heroic"/>
    <s v="Heroic, Fragsters"/>
    <n v="21743"/>
    <n v="20242"/>
    <s v="42.90%"/>
    <s v="81.1"/>
    <s v="4.1"/>
    <n v="1120"/>
    <n v="29840"/>
    <s v="0.73"/>
    <s v="0.14"/>
    <s v="0.68"/>
    <s v="0.09"/>
    <s v="0.1"/>
    <n v="14585"/>
    <s v="K - D diff."/>
    <n v="3383"/>
    <n v="3138"/>
    <s v="1.08"/>
    <s v="1.06"/>
    <s v="73.70%"/>
    <s v="16.00%"/>
    <n v="15255"/>
    <n v="9161"/>
    <n v="3973"/>
    <n v="1193"/>
    <n v="233"/>
    <n v="25"/>
    <n v="14788"/>
    <n v="2122"/>
    <n v="969"/>
    <n v="3546"/>
    <n v="271"/>
    <n v="115"/>
    <s v="1.12"/>
    <n v="7668.5263157894733"/>
    <x v="1"/>
  </r>
  <r>
    <n v="10436"/>
    <s v="sXe"/>
    <s v="Cristian NiÈ›Äƒ"/>
    <x v="2"/>
    <x v="40"/>
    <s v="KTRL"/>
    <s v="Nexus, XPC"/>
    <n v="10081"/>
    <n v="10170"/>
    <s v="42.90%"/>
    <s v="74.4"/>
    <s v="3.1"/>
    <n v="577"/>
    <n v="14992"/>
    <s v="0.67"/>
    <s v="0.14"/>
    <s v="0.68"/>
    <s v="0.1"/>
    <s v="0.1"/>
    <n v="6855"/>
    <s v="K - D diff."/>
    <n v="1197"/>
    <n v="1431"/>
    <s v="0.84"/>
    <s v="0.91"/>
    <s v="73.40%"/>
    <s v="11.30%"/>
    <n v="8137"/>
    <n v="4421"/>
    <n v="1769"/>
    <n v="545"/>
    <n v="113"/>
    <n v="7"/>
    <n v="7001"/>
    <n v="198"/>
    <n v="901"/>
    <n v="1878"/>
    <n v="110"/>
    <n v="18"/>
    <s v="0.98"/>
    <n v="3705.3157894736842"/>
    <x v="2"/>
  </r>
  <r>
    <n v="5327"/>
    <s v="nkl"/>
    <s v="Nikolay Krastev"/>
    <x v="8"/>
    <x v="9"/>
    <m/>
    <s v="E-frag.net, GPlay, MK, Orbit"/>
    <n v="9990"/>
    <n v="11036"/>
    <s v="42.90%"/>
    <s v="68.3"/>
    <s v="3.3"/>
    <n v="642"/>
    <n v="16554"/>
    <s v="0.6"/>
    <s v="0.15"/>
    <s v="0.67"/>
    <s v="0.1"/>
    <s v="0.07"/>
    <n v="7138"/>
    <s v="K - D diff."/>
    <n v="1323"/>
    <n v="1508"/>
    <s v="0.88"/>
    <s v="0.91"/>
    <s v="74.80%"/>
    <s v="11.00%"/>
    <n v="9416"/>
    <n v="4851"/>
    <n v="1813"/>
    <n v="400"/>
    <n v="69"/>
    <n v="5"/>
    <n v="7602"/>
    <n v="182"/>
    <n v="164"/>
    <n v="1877"/>
    <n v="156"/>
    <n v="12"/>
    <s v="0.9"/>
    <n v="3933.5789473684213"/>
    <x v="2"/>
  </r>
  <r>
    <n v="12715"/>
    <s v="BL1TZ"/>
    <s v="Peter Athanasatos"/>
    <x v="1"/>
    <x v="16"/>
    <m/>
    <s v="Chiefs, Legacy, AVANT, Funky Monkeys"/>
    <n v="13957"/>
    <n v="12329"/>
    <s v="43.00%"/>
    <s v="75.2"/>
    <s v="2.4"/>
    <n v="732"/>
    <n v="18819"/>
    <s v="0.74"/>
    <s v="0.1"/>
    <s v="0.66"/>
    <s v="0.08"/>
    <s v="0.09"/>
    <n v="9266"/>
    <s v="K - D diff."/>
    <n v="2293"/>
    <n v="1838"/>
    <s v="1.25"/>
    <s v="1.11"/>
    <s v="76.30%"/>
    <s v="18.00%"/>
    <n v="9553"/>
    <n v="5738"/>
    <n v="2570"/>
    <n v="770"/>
    <n v="171"/>
    <n v="17"/>
    <n v="6381"/>
    <n v="4569"/>
    <n v="576"/>
    <n v="2343"/>
    <n v="96"/>
    <n v="28"/>
    <s v="1.1"/>
    <n v="4844.5263157894733"/>
    <x v="0"/>
  </r>
  <r>
    <n v="5388"/>
    <s v="rallen"/>
    <s v="Karol Rodowicz"/>
    <x v="8"/>
    <x v="3"/>
    <m/>
    <s v="Kinguin, AGO"/>
    <n v="33812"/>
    <n v="30796"/>
    <s v="43.00%"/>
    <n v="82"/>
    <s v="7.5"/>
    <n v="1757"/>
    <n v="46953"/>
    <s v="0.72"/>
    <s v="0.16"/>
    <s v="0.66"/>
    <s v="0.09"/>
    <s v="0.09"/>
    <n v="22894"/>
    <s v="K - D diff."/>
    <n v="4845"/>
    <n v="4113"/>
    <s v="1.18"/>
    <s v="1.04"/>
    <s v="74.60%"/>
    <s v="14.90%"/>
    <n v="24059"/>
    <n v="14496"/>
    <n v="6246"/>
    <n v="1825"/>
    <n v="297"/>
    <n v="30"/>
    <n v="21723"/>
    <n v="3916"/>
    <n v="1780"/>
    <n v="5507"/>
    <n v="671"/>
    <n v="257"/>
    <s v="1.05"/>
    <n v="11302.95"/>
    <x v="1"/>
  </r>
  <r>
    <n v="429"/>
    <s v="karrigan"/>
    <s v="Finn Andersen"/>
    <x v="0"/>
    <x v="2"/>
    <s v="FaZe"/>
    <s v="FaZe, MOUZ, TSM"/>
    <n v="33193"/>
    <n v="36823"/>
    <s v="43.10%"/>
    <s v="68.8"/>
    <n v="5"/>
    <n v="2031"/>
    <n v="53271"/>
    <s v="0.62"/>
    <s v="0.13"/>
    <s v="0.69"/>
    <s v="0.09"/>
    <s v="0.07"/>
    <n v="22967"/>
    <s v="K - D diff."/>
    <n v="5280"/>
    <n v="6411"/>
    <s v="0.82"/>
    <s v="0.96"/>
    <s v="74.50%"/>
    <s v="13.80%"/>
    <n v="30304"/>
    <n v="15099"/>
    <n v="5905"/>
    <n v="1634"/>
    <n v="304"/>
    <n v="25"/>
    <n v="20680"/>
    <n v="3866"/>
    <n v="2528"/>
    <n v="5557"/>
    <n v="466"/>
    <n v="137"/>
    <s v="0.91"/>
    <n v="12324.3"/>
    <x v="1"/>
  </r>
  <r>
    <n v="11337"/>
    <s v="RCF"/>
    <s v="Rodrigo Figueiredo"/>
    <x v="9"/>
    <x v="6"/>
    <s v="Case"/>
    <s v="Sharks, Yeah, High Coast"/>
    <n v="12100"/>
    <n v="11539"/>
    <s v="43.20%"/>
    <s v="75.1"/>
    <s v="2.9"/>
    <n v="649"/>
    <n v="17027"/>
    <s v="0.71"/>
    <s v="0.11"/>
    <s v="0.68"/>
    <s v="0.1"/>
    <s v="0.1"/>
    <n v="8150"/>
    <s v="K - D diff."/>
    <n v="2308"/>
    <n v="2014"/>
    <s v="1.15"/>
    <s v="1.15"/>
    <s v="73.80%"/>
    <s v="19.90%"/>
    <n v="8877"/>
    <n v="5114"/>
    <n v="2269"/>
    <n v="634"/>
    <n v="119"/>
    <n v="14"/>
    <n v="5242"/>
    <n v="3866"/>
    <n v="774"/>
    <n v="2055"/>
    <n v="107"/>
    <n v="102"/>
    <s v="1.09"/>
    <n v="4366.3157894736842"/>
    <x v="2"/>
  </r>
  <r>
    <n v="1278"/>
    <s v="pNshr"/>
    <s v="Nikolay Paunin"/>
    <x v="5"/>
    <x v="9"/>
    <m/>
    <s v="Windigo, ex-Outlaws"/>
    <n v="9802"/>
    <n v="10611"/>
    <s v="43.20%"/>
    <s v="71.1"/>
    <s v="3.1"/>
    <n v="595"/>
    <n v="15532"/>
    <s v="0.63"/>
    <s v="0.15"/>
    <s v="0.68"/>
    <s v="0.1"/>
    <s v="0.09"/>
    <n v="6901"/>
    <s v="K - D diff."/>
    <n v="1169"/>
    <n v="1417"/>
    <s v="0.82"/>
    <s v="0.89"/>
    <s v="72.40%"/>
    <s v="10.40%"/>
    <n v="8631"/>
    <n v="4645"/>
    <n v="1706"/>
    <n v="465"/>
    <n v="80"/>
    <n v="5"/>
    <n v="7248"/>
    <n v="88"/>
    <n v="688"/>
    <n v="1635"/>
    <n v="144"/>
    <n v="15"/>
    <s v="0.92"/>
    <n v="3756.6842105263158"/>
    <x v="2"/>
  </r>
  <r>
    <n v="13229"/>
    <s v="Snakes"/>
    <s v="Ryan Amann"/>
    <x v="11"/>
    <x v="0"/>
    <s v="ONET4P"/>
    <s v="Spacestation, The Quest, SoaR"/>
    <n v="7426"/>
    <n v="6938"/>
    <s v="43.30%"/>
    <s v="77.4"/>
    <s v="4.6"/>
    <n v="410"/>
    <n v="10503"/>
    <s v="0.71"/>
    <s v="0.13"/>
    <s v="0.66"/>
    <s v="0.11"/>
    <s v="0.1"/>
    <n v="4989"/>
    <s v="K - D diff."/>
    <n v="962"/>
    <n v="897"/>
    <s v="1.07"/>
    <s v="0.98"/>
    <s v="73.50%"/>
    <s v="13.20%"/>
    <n v="5514"/>
    <n v="3158"/>
    <n v="1326"/>
    <n v="414"/>
    <n v="81"/>
    <n v="10"/>
    <n v="4615"/>
    <n v="785"/>
    <n v="548"/>
    <n v="1372"/>
    <n v="98"/>
    <n v="30"/>
    <s v="1.09"/>
    <n v="2635.5789473684213"/>
    <x v="3"/>
  </r>
  <r>
    <n v="7296"/>
    <s v="Puls3"/>
    <s v="Reece Marrs"/>
    <x v="8"/>
    <x v="8"/>
    <s v="Max&amp;BigGarlicDips"/>
    <s v="Endpoint, FMESPORTS"/>
    <n v="7860"/>
    <n v="7786"/>
    <s v="43.30%"/>
    <s v="74.7"/>
    <s v="3.8"/>
    <n v="436"/>
    <n v="11572"/>
    <s v="0.68"/>
    <s v="0.15"/>
    <s v="0.67"/>
    <s v="0.11"/>
    <s v="0.12"/>
    <n v="5377"/>
    <s v="K - D diff."/>
    <n v="1063"/>
    <n v="995"/>
    <s v="1.07"/>
    <s v="0.98"/>
    <s v="70.50%"/>
    <s v="13.20%"/>
    <n v="6195"/>
    <n v="3482"/>
    <n v="1401"/>
    <n v="409"/>
    <n v="79"/>
    <n v="6"/>
    <n v="5040"/>
    <n v="795"/>
    <n v="456"/>
    <n v="1451"/>
    <n v="103"/>
    <n v="23"/>
    <s v="0.99"/>
    <n v="2869.9473684210525"/>
    <x v="3"/>
  </r>
  <r>
    <n v="8522"/>
    <s v="FugLy"/>
    <s v="Jacob Medina"/>
    <x v="6"/>
    <x v="0"/>
    <m/>
    <s v="NRG, Liquid, Envy"/>
    <n v="18921"/>
    <n v="18300"/>
    <s v="43.40%"/>
    <s v="73.5"/>
    <s v="3.5"/>
    <n v="1083"/>
    <n v="28153"/>
    <s v="0.67"/>
    <s v="0.13"/>
    <s v="0.65"/>
    <s v="0.1"/>
    <s v="0.11"/>
    <n v="12947"/>
    <s v="K - D diff."/>
    <n v="2381"/>
    <n v="2328"/>
    <s v="1.02"/>
    <s v="0.95"/>
    <s v="73.40%"/>
    <s v="12.00%"/>
    <n v="15206"/>
    <n v="8446"/>
    <n v="3296"/>
    <n v="975"/>
    <n v="206"/>
    <n v="24"/>
    <n v="13588"/>
    <n v="345"/>
    <n v="1334"/>
    <n v="3423"/>
    <n v="194"/>
    <n v="52"/>
    <s v="1.01"/>
    <n v="6905.3684210526317"/>
    <x v="1"/>
  </r>
  <r>
    <n v="19190"/>
    <s v="Liki"/>
    <s v="Benson Niuila"/>
    <x v="4"/>
    <x v="16"/>
    <m/>
    <s v="Looking For Org, Dire Wolves"/>
    <n v="6567"/>
    <n v="6403"/>
    <s v="43.40%"/>
    <s v="73.9"/>
    <s v="5.9"/>
    <n v="395"/>
    <n v="9991"/>
    <s v="0.66"/>
    <s v="0.15"/>
    <s v="0.64"/>
    <s v="0.12"/>
    <s v="0.1"/>
    <n v="4549"/>
    <s v="K - D diff."/>
    <n v="923"/>
    <n v="930"/>
    <s v="0.99"/>
    <s v="0.97"/>
    <s v="72.20%"/>
    <s v="12.80%"/>
    <n v="5442"/>
    <n v="2990"/>
    <n v="1175"/>
    <n v="316"/>
    <n v="61"/>
    <n v="7"/>
    <n v="4708"/>
    <n v="240"/>
    <n v="516"/>
    <n v="953"/>
    <n v="148"/>
    <n v="33"/>
    <s v="1.07"/>
    <n v="2439.3157894736842"/>
    <x v="3"/>
  </r>
  <r>
    <n v="484"/>
    <s v="Zeus"/>
    <s v="Danylo Teslenko"/>
    <x v="16"/>
    <x v="29"/>
    <m/>
    <s v="Natus Vincere"/>
    <n v="23470"/>
    <n v="25460"/>
    <s v="43.50%"/>
    <s v="69.9"/>
    <s v="5.5"/>
    <n v="1405"/>
    <n v="37152"/>
    <s v="0.63"/>
    <s v="0.17"/>
    <s v="0.69"/>
    <s v="0.11"/>
    <s v="0.08"/>
    <n v="16526"/>
    <s v="K - D diff."/>
    <n v="3259"/>
    <n v="3779"/>
    <s v="0.86"/>
    <s v="0.94"/>
    <s v="74.10%"/>
    <s v="12.30%"/>
    <n v="20626"/>
    <n v="11121"/>
    <n v="4124"/>
    <n v="1088"/>
    <n v="180"/>
    <n v="13"/>
    <n v="16873"/>
    <n v="517"/>
    <n v="1567"/>
    <n v="3915"/>
    <n v="388"/>
    <n v="223"/>
    <s v="0.92"/>
    <n v="9036.105263157895"/>
    <x v="1"/>
  </r>
  <r>
    <n v="9221"/>
    <s v="reversive"/>
    <s v="Roberto Themtham"/>
    <x v="5"/>
    <x v="32"/>
    <s v="Leviatan"/>
    <s v="Leviatan, Isurus"/>
    <n v="10944"/>
    <n v="10827"/>
    <s v="43.60%"/>
    <s v="75.5"/>
    <s v="4.5"/>
    <n v="619"/>
    <n v="16203"/>
    <s v="0.68"/>
    <s v="0.14"/>
    <s v="0.67"/>
    <s v="0.1"/>
    <s v="0.1"/>
    <n v="7500"/>
    <s v="K - D diff."/>
    <n v="1539"/>
    <n v="1502"/>
    <s v="1.02"/>
    <s v="0.99"/>
    <s v="73.80%"/>
    <s v="13.60%"/>
    <n v="8703"/>
    <n v="4870"/>
    <n v="1938"/>
    <n v="579"/>
    <n v="104"/>
    <n v="9"/>
    <n v="7428"/>
    <n v="556"/>
    <n v="923"/>
    <n v="1903"/>
    <n v="143"/>
    <n v="17"/>
    <s v="0.99"/>
    <n v="4016.1578947368421"/>
    <x v="2"/>
  </r>
  <r>
    <n v="9019"/>
    <s v="Surreal"/>
    <s v="Kia Man"/>
    <x v="13"/>
    <x v="8"/>
    <s v="Endpoint"/>
    <s v="Endpoint, Epsilon, Complexity"/>
    <n v="26062"/>
    <n v="26818"/>
    <s v="43.60%"/>
    <s v="72.2"/>
    <s v="3.3"/>
    <n v="1518"/>
    <n v="39795"/>
    <s v="0.65"/>
    <s v="0.13"/>
    <s v="0.67"/>
    <s v="0.1"/>
    <s v="0.09"/>
    <n v="17945"/>
    <s v="K - D diff."/>
    <n v="4108"/>
    <n v="4290"/>
    <s v="0.96"/>
    <n v="1"/>
    <s v="71.10%"/>
    <s v="14.50%"/>
    <n v="21850"/>
    <n v="11747"/>
    <n v="4581"/>
    <n v="1342"/>
    <n v="248"/>
    <n v="27"/>
    <n v="17259"/>
    <n v="2721"/>
    <n v="1319"/>
    <n v="4470"/>
    <n v="314"/>
    <n v="58"/>
    <s v="0.96"/>
    <n v="9323.65"/>
    <x v="1"/>
  </r>
  <r>
    <n v="13976"/>
    <s v="boX"/>
    <s v="Anton Burko"/>
    <x v="6"/>
    <x v="18"/>
    <s v="Nemiga"/>
    <s v="Nemiga, GoodJob"/>
    <n v="21726"/>
    <n v="23045"/>
    <s v="43.60%"/>
    <s v="75.2"/>
    <s v="5.9"/>
    <n v="1261"/>
    <n v="33615"/>
    <s v="0.65"/>
    <s v="0.16"/>
    <s v="0.69"/>
    <s v="0.1"/>
    <s v="0.08"/>
    <n v="15065"/>
    <s v="K - D diff."/>
    <n v="4424"/>
    <n v="4589"/>
    <s v="0.96"/>
    <s v="1.1"/>
    <s v="73.10%"/>
    <s v="18.90%"/>
    <n v="18550"/>
    <n v="9960"/>
    <n v="3789"/>
    <n v="1091"/>
    <n v="210"/>
    <n v="15"/>
    <n v="14632"/>
    <n v="1796"/>
    <n v="1663"/>
    <n v="3241"/>
    <n v="345"/>
    <n v="115"/>
    <s v="1.04"/>
    <n v="8375.3684210526317"/>
    <x v="1"/>
  </r>
  <r>
    <n v="10961"/>
    <s v="Kristou"/>
    <s v="Kristoffer Aamand"/>
    <x v="11"/>
    <x v="2"/>
    <m/>
    <s v="AGF, North"/>
    <n v="6701"/>
    <n v="7027"/>
    <s v="43.70%"/>
    <n v="68"/>
    <s v="3.4"/>
    <n v="390"/>
    <n v="10304"/>
    <s v="0.65"/>
    <s v="0.09"/>
    <s v="0.68"/>
    <s v="0.09"/>
    <s v="0.08"/>
    <n v="4566"/>
    <s v="K - D diff."/>
    <n v="1279"/>
    <n v="1299"/>
    <s v="0.98"/>
    <s v="1.08"/>
    <s v="74.00%"/>
    <s v="18.80%"/>
    <n v="5738"/>
    <n v="2952"/>
    <n v="1184"/>
    <n v="350"/>
    <n v="69"/>
    <n v="11"/>
    <n v="2685"/>
    <n v="2627"/>
    <n v="225"/>
    <n v="1097"/>
    <n v="71"/>
    <n v="19"/>
    <s v="0.99"/>
    <n v="2433.1"/>
    <x v="3"/>
  </r>
  <r>
    <n v="11492"/>
    <s v="Noisia"/>
    <s v="Alec Gulabovski"/>
    <x v="13"/>
    <x v="16"/>
    <m/>
    <s v="AVANT, Breakaway, Dark Sided"/>
    <n v="9682"/>
    <n v="10298"/>
    <s v="43.70%"/>
    <s v="72.5"/>
    <s v="4.8"/>
    <n v="579"/>
    <n v="15033"/>
    <s v="0.64"/>
    <s v="0.14"/>
    <s v="0.69"/>
    <s v="0.09"/>
    <s v="0.08"/>
    <n v="6751"/>
    <s v="K - D diff."/>
    <n v="1152"/>
    <n v="1284"/>
    <s v="0.9"/>
    <s v="0.91"/>
    <s v="72.30%"/>
    <s v="11.30%"/>
    <n v="8282"/>
    <n v="4453"/>
    <n v="1767"/>
    <n v="446"/>
    <n v="68"/>
    <n v="17"/>
    <n v="6773"/>
    <n v="254"/>
    <n v="833"/>
    <n v="1648"/>
    <n v="158"/>
    <n v="37"/>
    <s v="0.99"/>
    <n v="3658.6842105263158"/>
    <x v="2"/>
  </r>
  <r>
    <n v="9219"/>
    <s v="felps"/>
    <s v="JoÃ£o Vasconcellos"/>
    <x v="3"/>
    <x v="6"/>
    <m/>
    <s v="SK, GODSENT, Immortals, Tempo Storm"/>
    <n v="19490"/>
    <n v="17889"/>
    <s v="43.90%"/>
    <s v="84.6"/>
    <s v="3.5"/>
    <n v="998"/>
    <n v="25554"/>
    <s v="0.76"/>
    <s v="0.16"/>
    <s v="0.7"/>
    <s v="0.1"/>
    <s v="0.09"/>
    <n v="12790"/>
    <s v="K - D diff."/>
    <n v="3354"/>
    <n v="3317"/>
    <s v="1.01"/>
    <s v="1.11"/>
    <s v="75.50%"/>
    <s v="18.00%"/>
    <n v="12764"/>
    <n v="7808"/>
    <n v="3545"/>
    <n v="1181"/>
    <n v="231"/>
    <n v="25"/>
    <n v="13991"/>
    <n v="919"/>
    <n v="1262"/>
    <n v="3071"/>
    <n v="198"/>
    <n v="98"/>
    <s v="1.08"/>
    <n v="6762.3684210526317"/>
    <x v="0"/>
  </r>
  <r>
    <n v="9108"/>
    <s v="tucks"/>
    <s v="Tyler Reilly"/>
    <x v="3"/>
    <x v="16"/>
    <m/>
    <s v="Chiefs"/>
    <n v="12952"/>
    <n v="11725"/>
    <s v="43.90%"/>
    <n v="76"/>
    <s v="4.1"/>
    <n v="718"/>
    <n v="18208"/>
    <s v="0.71"/>
    <s v="0.13"/>
    <s v="0.64"/>
    <s v="0.09"/>
    <s v="0.09"/>
    <n v="8719"/>
    <s v="K - D diff."/>
    <n v="1889"/>
    <n v="1716"/>
    <s v="1.1"/>
    <s v="1.03"/>
    <s v="78.10%"/>
    <s v="14.60%"/>
    <n v="9489"/>
    <n v="5483"/>
    <n v="2375"/>
    <n v="737"/>
    <n v="112"/>
    <n v="12"/>
    <n v="8633"/>
    <n v="1246"/>
    <n v="867"/>
    <n v="2023"/>
    <n v="171"/>
    <n v="30"/>
    <s v="1.06"/>
    <n v="4359.05"/>
    <x v="2"/>
  </r>
  <r>
    <n v="9256"/>
    <s v="disco doplan"/>
    <s v="Joakim Gidetun"/>
    <x v="13"/>
    <x v="15"/>
    <m/>
    <s v="GODSENT, Epsilon, Galaxy Racer, Red Reserve"/>
    <n v="22193"/>
    <n v="21099"/>
    <s v="43.90%"/>
    <s v="76.1"/>
    <s v="3.6"/>
    <n v="1207"/>
    <n v="32000"/>
    <s v="0.69"/>
    <s v="0.13"/>
    <s v="0.66"/>
    <s v="0.09"/>
    <s v="0.1"/>
    <n v="15109"/>
    <s v="K - D diff."/>
    <n v="2964"/>
    <n v="2973"/>
    <n v="1"/>
    <s v="0.97"/>
    <s v="73.10%"/>
    <s v="13.20%"/>
    <n v="16891"/>
    <n v="9676"/>
    <n v="4049"/>
    <n v="1143"/>
    <n v="215"/>
    <n v="26"/>
    <n v="14277"/>
    <n v="2647"/>
    <n v="867"/>
    <n v="4100"/>
    <n v="293"/>
    <n v="53"/>
    <s v="1.02"/>
    <n v="7589.15"/>
    <x v="1"/>
  </r>
  <r>
    <n v="8446"/>
    <s v="ELUSIVE"/>
    <s v="Ruan van Wyk"/>
    <x v="1"/>
    <x v="33"/>
    <m/>
    <s v="Bravado"/>
    <n v="6410"/>
    <n v="6354"/>
    <s v="43.90%"/>
    <s v="69.6"/>
    <s v="3.6"/>
    <n v="397"/>
    <n v="10059"/>
    <s v="0.64"/>
    <s v="0.14"/>
    <s v="0.63"/>
    <s v="0.1"/>
    <s v="0.11"/>
    <n v="4506"/>
    <s v="K - D diff."/>
    <n v="733"/>
    <n v="707"/>
    <s v="1.04"/>
    <s v="0.91"/>
    <s v="77.80%"/>
    <s v="10.60%"/>
    <n v="5553"/>
    <n v="3018"/>
    <n v="1131"/>
    <n v="308"/>
    <n v="43"/>
    <n v="6"/>
    <n v="4707"/>
    <n v="157"/>
    <n v="413"/>
    <n v="1051"/>
    <n v="78"/>
    <n v="27"/>
    <s v="0.97"/>
    <n v="2403.0526315789475"/>
    <x v="3"/>
  </r>
  <r>
    <n v="8151"/>
    <s v="AcilioN"/>
    <s v="Asger Larsen"/>
    <x v="3"/>
    <x v="2"/>
    <s v="Apeks"/>
    <s v="Copenhagen Flames, SK, Apeks"/>
    <n v="30139"/>
    <n v="31648"/>
    <s v="43.90%"/>
    <s v="72.4"/>
    <s v="4.4"/>
    <n v="1765"/>
    <n v="46574"/>
    <s v="0.65"/>
    <s v="0.15"/>
    <s v="0.68"/>
    <s v="0.11"/>
    <s v="0.09"/>
    <n v="20872"/>
    <s v="K - D diff."/>
    <n v="4685"/>
    <n v="5068"/>
    <s v="0.92"/>
    <s v="0.99"/>
    <s v="73.40%"/>
    <s v="14.50%"/>
    <n v="25702"/>
    <n v="13743"/>
    <n v="5318"/>
    <n v="1524"/>
    <n v="264"/>
    <n v="23"/>
    <n v="22436"/>
    <n v="815"/>
    <n v="2011"/>
    <n v="4482"/>
    <n v="404"/>
    <n v="73"/>
    <s v="0.95"/>
    <n v="11449.78947368421"/>
    <x v="1"/>
  </r>
  <r>
    <n v="7463"/>
    <s v="Inzta"/>
    <s v="Peter Kragelund"/>
    <x v="1"/>
    <x v="2"/>
    <m/>
    <s v="Tricked, Singularity"/>
    <n v="12779"/>
    <n v="13628"/>
    <s v="43.90%"/>
    <s v="72.5"/>
    <s v="2.6"/>
    <n v="754"/>
    <n v="19798"/>
    <s v="0.65"/>
    <s v="0.14"/>
    <s v="0.69"/>
    <s v="0.1"/>
    <s v="0.09"/>
    <n v="8729"/>
    <s v="K - D diff."/>
    <n v="1712"/>
    <n v="2170"/>
    <s v="0.79"/>
    <s v="0.92"/>
    <s v="73.20%"/>
    <s v="12.60%"/>
    <n v="11069"/>
    <n v="5634"/>
    <n v="2296"/>
    <n v="662"/>
    <n v="121"/>
    <n v="16"/>
    <n v="9025"/>
    <n v="394"/>
    <n v="1075"/>
    <n v="2170"/>
    <n v="120"/>
    <n v="11"/>
    <s v="0.94"/>
    <n v="4850.6842105263158"/>
    <x v="0"/>
  </r>
  <r>
    <n v="13182"/>
    <s v="xCeeD"/>
    <s v="Jack Holiman"/>
    <x v="9"/>
    <x v="0"/>
    <m/>
    <s v="The Quest, Triumph, SoaR"/>
    <n v="8078"/>
    <n v="7894"/>
    <s v="44.00%"/>
    <s v="75.4"/>
    <n v="3"/>
    <n v="449"/>
    <n v="11596"/>
    <s v="0.7"/>
    <s v="0.13"/>
    <s v="0.68"/>
    <s v="0.11"/>
    <s v="0.11"/>
    <n v="5403"/>
    <s v="K - D diff."/>
    <n v="1221"/>
    <n v="1289"/>
    <s v="0.95"/>
    <s v="1.01"/>
    <s v="71.00%"/>
    <s v="14.60%"/>
    <n v="6193"/>
    <n v="3383"/>
    <n v="1481"/>
    <n v="433"/>
    <n v="96"/>
    <n v="10"/>
    <n v="6019"/>
    <n v="144"/>
    <n v="435"/>
    <n v="1423"/>
    <n v="68"/>
    <n v="12"/>
    <s v="1.07"/>
    <n v="2781.5"/>
    <x v="3"/>
  </r>
  <r>
    <n v="11701"/>
    <s v="mirbit"/>
    <s v="Sabit Coktasar"/>
    <x v="3"/>
    <x v="14"/>
    <s v="Nordavind"/>
    <s v="ALTERNATE aTTaX, EURONICS, Sprout, Nordavind"/>
    <n v="15351"/>
    <n v="14425"/>
    <s v="44.00%"/>
    <s v="73.5"/>
    <s v="5.7"/>
    <n v="866"/>
    <n v="23162"/>
    <s v="0.66"/>
    <s v="0.13"/>
    <s v="0.62"/>
    <s v="0.09"/>
    <s v="0.09"/>
    <n v="10700"/>
    <s v="K - D diff."/>
    <n v="1826"/>
    <n v="1667"/>
    <s v="1.1"/>
    <s v="0.94"/>
    <s v="70.30%"/>
    <s v="10.60%"/>
    <n v="12462"/>
    <n v="7087"/>
    <n v="2754"/>
    <n v="699"/>
    <n v="141"/>
    <n v="19"/>
    <n v="11159"/>
    <n v="602"/>
    <n v="1002"/>
    <n v="2354"/>
    <n v="214"/>
    <n v="70"/>
    <s v="1.06"/>
    <n v="5608.4210526315792"/>
    <x v="0"/>
  </r>
  <r>
    <n v="302"/>
    <s v="kUcheR"/>
    <s v="Emil Akhundov"/>
    <x v="7"/>
    <x v="1"/>
    <m/>
    <s v="HellRaisers, Virtus.pro"/>
    <n v="14944"/>
    <n v="15089"/>
    <s v="44.00%"/>
    <s v="74.2"/>
    <s v="2.6"/>
    <n v="852"/>
    <n v="22314"/>
    <s v="0.67"/>
    <s v="0.15"/>
    <s v="0.68"/>
    <s v="0.1"/>
    <s v="0.1"/>
    <n v="10358"/>
    <s v="K - D diff."/>
    <n v="1930"/>
    <n v="1725"/>
    <s v="1.12"/>
    <s v="0.97"/>
    <s v="74.30%"/>
    <s v="12.60%"/>
    <n v="11956"/>
    <n v="6807"/>
    <n v="2730"/>
    <n v="683"/>
    <n v="119"/>
    <n v="19"/>
    <n v="10659"/>
    <n v="1101"/>
    <n v="364"/>
    <n v="2630"/>
    <n v="181"/>
    <n v="16"/>
    <s v="0.97"/>
    <n v="5498.7894736842109"/>
    <x v="0"/>
  </r>
  <r>
    <n v="12271"/>
    <s v="moose"/>
    <s v="Kaleb Jayne"/>
    <x v="2"/>
    <x v="5"/>
    <m/>
    <s v="eUnited, Rise Nation"/>
    <n v="14503"/>
    <n v="12528"/>
    <s v="44.10%"/>
    <s v="79.2"/>
    <n v="2"/>
    <n v="752"/>
    <n v="19559"/>
    <s v="0.74"/>
    <s v="0.12"/>
    <s v="0.64"/>
    <s v="0.08"/>
    <s v="0.09"/>
    <n v="9691"/>
    <s v="K - D diff."/>
    <n v="2043"/>
    <n v="1500"/>
    <s v="1.36"/>
    <s v="1.06"/>
    <s v="76.50%"/>
    <s v="15.30%"/>
    <n v="9868"/>
    <n v="6043"/>
    <n v="2660"/>
    <n v="828"/>
    <n v="144"/>
    <n v="16"/>
    <n v="10480"/>
    <n v="939"/>
    <n v="753"/>
    <n v="2236"/>
    <n v="95"/>
    <n v="28"/>
    <s v="1.14"/>
    <n v="4733.3999999999996"/>
    <x v="2"/>
  </r>
  <r>
    <n v="11586"/>
    <s v="dapr"/>
    <s v="Michael Gulino"/>
    <x v="4"/>
    <x v="0"/>
    <m/>
    <s v="eUnited"/>
    <n v="11313"/>
    <n v="10311"/>
    <s v="44.10%"/>
    <s v="80.8"/>
    <s v="6.4"/>
    <n v="594"/>
    <n v="15426"/>
    <s v="0.73"/>
    <s v="0.15"/>
    <s v="0.67"/>
    <s v="0.1"/>
    <s v="0.11"/>
    <n v="7453"/>
    <s v="K - D diff."/>
    <n v="1664"/>
    <n v="1652"/>
    <s v="1.01"/>
    <s v="1.03"/>
    <s v="74.30%"/>
    <s v="15.40%"/>
    <n v="7973"/>
    <n v="4588"/>
    <n v="2051"/>
    <n v="646"/>
    <n v="155"/>
    <n v="13"/>
    <n v="7504"/>
    <n v="727"/>
    <n v="851"/>
    <n v="1992"/>
    <n v="203"/>
    <n v="58"/>
    <s v="1.13"/>
    <n v="3956.5263157894738"/>
    <x v="2"/>
  </r>
  <r>
    <n v="5792"/>
    <s v="KILLDREAM"/>
    <s v="Joao Ferreira"/>
    <x v="1"/>
    <x v="31"/>
    <m/>
    <s v="AlienTech, k1ck, Giants"/>
    <n v="7851"/>
    <n v="7867"/>
    <s v="44.20%"/>
    <s v="81.9"/>
    <s v="3.4"/>
    <n v="429"/>
    <n v="11159"/>
    <s v="0.7"/>
    <s v="0.16"/>
    <s v="0.7"/>
    <s v="0.1"/>
    <s v="0.11"/>
    <n v="5256"/>
    <s v="K - D diff."/>
    <n v="1162"/>
    <n v="1187"/>
    <s v="0.98"/>
    <s v="1.01"/>
    <s v="73.10%"/>
    <s v="15.50%"/>
    <n v="5903"/>
    <n v="3288"/>
    <n v="1441"/>
    <n v="449"/>
    <n v="69"/>
    <n v="9"/>
    <n v="5830"/>
    <n v="217"/>
    <n v="308"/>
    <n v="1409"/>
    <n v="77"/>
    <n v="16"/>
    <n v="1"/>
    <n v="2696.4"/>
    <x v="3"/>
  </r>
  <r>
    <n v="11248"/>
    <s v="Leaf"/>
    <s v="Sattawut Reathong"/>
    <x v="8"/>
    <x v="12"/>
    <m/>
    <s v="Lucid Dream, Maple, Signature"/>
    <n v="6618"/>
    <n v="6689"/>
    <s v="44.20%"/>
    <s v="72.1"/>
    <s v="3.5"/>
    <n v="398"/>
    <n v="10120"/>
    <s v="0.65"/>
    <s v="0.13"/>
    <s v="0.66"/>
    <s v="0.09"/>
    <s v="0.08"/>
    <n v="4618"/>
    <s v="K - D diff."/>
    <n v="882"/>
    <n v="809"/>
    <s v="1.09"/>
    <s v="0.97"/>
    <s v="71.50%"/>
    <s v="12.40%"/>
    <n v="5502"/>
    <n v="3054"/>
    <n v="1179"/>
    <n v="338"/>
    <n v="43"/>
    <n v="4"/>
    <n v="3794"/>
    <n v="708"/>
    <n v="833"/>
    <n v="1216"/>
    <n v="59"/>
    <n v="15"/>
    <s v="1.02"/>
    <n v="2467.3157894736842"/>
    <x v="3"/>
  </r>
  <r>
    <n v="14221"/>
    <s v="kaper"/>
    <s v="Kacper SÅ‚oma"/>
    <x v="13"/>
    <x v="3"/>
    <s v="GRAFICIARZE"/>
    <s v="AGO, Kinguin, Wisla Krakow, adwokacik"/>
    <n v="9154"/>
    <n v="9322"/>
    <s v="44.20%"/>
    <s v="72.1"/>
    <s v="3.8"/>
    <n v="536"/>
    <n v="14240"/>
    <s v="0.64"/>
    <s v="0.14"/>
    <s v="0.65"/>
    <s v="0.1"/>
    <s v="0.1"/>
    <n v="6379"/>
    <s v="K - D diff."/>
    <n v="1169"/>
    <n v="1176"/>
    <s v="0.99"/>
    <s v="0.94"/>
    <s v="72.20%"/>
    <s v="11.80%"/>
    <n v="7861"/>
    <n v="4256"/>
    <n v="1573"/>
    <n v="455"/>
    <n v="88"/>
    <n v="7"/>
    <n v="6585"/>
    <n v="161"/>
    <n v="707"/>
    <n v="1571"/>
    <n v="140"/>
    <n v="5"/>
    <s v="1.02"/>
    <n v="3441.3157894736842"/>
    <x v="2"/>
  </r>
  <r>
    <n v="12553"/>
    <s v="yuurih"/>
    <s v="Yuri Santos"/>
    <x v="9"/>
    <x v="6"/>
    <s v="FURIA"/>
    <s v="FURIA"/>
    <n v="20149"/>
    <n v="16995"/>
    <s v="44.30%"/>
    <s v="84.2"/>
    <n v="5"/>
    <n v="1022"/>
    <n v="26677"/>
    <s v="0.76"/>
    <s v="0.15"/>
    <s v="0.64"/>
    <s v="0.09"/>
    <s v="0.11"/>
    <n v="13336"/>
    <s v="K - D diff."/>
    <n v="2580"/>
    <n v="1877"/>
    <s v="1.37"/>
    <s v="1.03"/>
    <s v="76.40%"/>
    <s v="13.70%"/>
    <n v="13341"/>
    <n v="8292"/>
    <n v="3570"/>
    <n v="1201"/>
    <n v="251"/>
    <n v="22"/>
    <n v="15471"/>
    <n v="453"/>
    <n v="744"/>
    <n v="3219"/>
    <n v="286"/>
    <n v="43"/>
    <s v="1.18"/>
    <n v="6476.7"/>
    <x v="0"/>
  </r>
  <r>
    <n v="8735"/>
    <s v="autimatic"/>
    <s v="Timothy Ta"/>
    <x v="3"/>
    <x v="0"/>
    <s v="Evil Geniuses"/>
    <s v="Cloud9, Gen.G"/>
    <n v="22601"/>
    <n v="20356"/>
    <s v="44.30%"/>
    <s v="79.4"/>
    <s v="3.9"/>
    <n v="1166"/>
    <n v="30439"/>
    <s v="0.74"/>
    <s v="0.13"/>
    <s v="0.67"/>
    <s v="0.1"/>
    <s v="0.1"/>
    <n v="15178"/>
    <s v="K - D diff."/>
    <n v="3098"/>
    <n v="2604"/>
    <s v="1.19"/>
    <s v="1.03"/>
    <s v="74.10%"/>
    <s v="14.50%"/>
    <n v="15261"/>
    <n v="9552"/>
    <n v="4111"/>
    <n v="1257"/>
    <n v="238"/>
    <n v="20"/>
    <n v="13738"/>
    <n v="3495"/>
    <n v="967"/>
    <n v="4100"/>
    <n v="285"/>
    <n v="57"/>
    <s v="1.07"/>
    <n v="7817"/>
    <x v="1"/>
  </r>
  <r>
    <n v="7511"/>
    <s v="denis"/>
    <s v="Denis Howell"/>
    <x v="6"/>
    <x v="14"/>
    <m/>
    <s v="Sprout, MOUZ"/>
    <n v="32721"/>
    <n v="34569"/>
    <s v="44.30%"/>
    <n v="75"/>
    <s v="3.6"/>
    <n v="1830"/>
    <n v="48692"/>
    <s v="0.67"/>
    <s v="0.14"/>
    <s v="0.71"/>
    <s v="0.11"/>
    <s v="0.09"/>
    <n v="22383"/>
    <s v="K - D diff."/>
    <n v="5751"/>
    <n v="6153"/>
    <s v="0.93"/>
    <s v="1.05"/>
    <s v="74.80%"/>
    <s v="17.20%"/>
    <n v="26309"/>
    <n v="14452"/>
    <n v="5914"/>
    <n v="1669"/>
    <n v="323"/>
    <n v="25"/>
    <n v="23331"/>
    <n v="2098"/>
    <n v="1541"/>
    <n v="5366"/>
    <n v="371"/>
    <n v="67"/>
    <s v="0.95"/>
    <n v="11682"/>
    <x v="1"/>
  </r>
  <r>
    <n v="6455"/>
    <s v="OCEAN"/>
    <s v="Kyle O'Brien"/>
    <x v="15"/>
    <x v="5"/>
    <m/>
    <s v="subtLe, SKDC, Splyce"/>
    <n v="5530"/>
    <n v="7492"/>
    <s v="44.30%"/>
    <s v="59.7"/>
    <s v="3.6"/>
    <n v="410"/>
    <n v="10602"/>
    <s v="0.52"/>
    <s v="0.12"/>
    <s v="0.71"/>
    <s v="0.09"/>
    <s v="0.08"/>
    <n v="4080"/>
    <s v="K - D diff."/>
    <n v="588"/>
    <n v="939"/>
    <s v="0.63"/>
    <s v="0.8"/>
    <s v="71.80%"/>
    <s v="8.70%"/>
    <n v="6522"/>
    <n v="2901"/>
    <n v="950"/>
    <n v="192"/>
    <n v="33"/>
    <n v="4"/>
    <n v="3711"/>
    <n v="316"/>
    <n v="452"/>
    <n v="940"/>
    <n v="71"/>
    <n v="51"/>
    <s v="0.77"/>
    <n v="2409.6842105263158"/>
    <x v="3"/>
  </r>
  <r>
    <n v="10470"/>
    <s v="mitch"/>
    <s v="Mitch Semago"/>
    <x v="3"/>
    <x v="0"/>
    <m/>
    <s v="Selfless, Bad News Bears, Dignitas, Riot Squad"/>
    <n v="14179"/>
    <n v="13547"/>
    <s v="44.40%"/>
    <s v="76.8"/>
    <n v="4"/>
    <n v="807"/>
    <n v="20719"/>
    <s v="0.68"/>
    <s v="0.14"/>
    <s v="0.65"/>
    <s v="0.1"/>
    <s v="0.11"/>
    <n v="9748"/>
    <s v="K - D diff."/>
    <n v="2066"/>
    <n v="1954"/>
    <s v="1.06"/>
    <s v="1.01"/>
    <s v="71.10%"/>
    <s v="13.60%"/>
    <n v="10971"/>
    <n v="6361"/>
    <n v="2495"/>
    <n v="744"/>
    <n v="144"/>
    <n v="4"/>
    <n v="9347"/>
    <n v="1218"/>
    <n v="841"/>
    <n v="2541"/>
    <n v="199"/>
    <n v="61"/>
    <s v="1.01"/>
    <n v="4897.5"/>
    <x v="0"/>
  </r>
  <r>
    <n v="7687"/>
    <s v="nitr0"/>
    <s v="Nick Cannella"/>
    <x v="13"/>
    <x v="0"/>
    <s v="Liquid"/>
    <s v="Liquid"/>
    <n v="24560"/>
    <n v="24088"/>
    <s v="44.40%"/>
    <s v="71.5"/>
    <s v="4.9"/>
    <n v="1401"/>
    <n v="36557"/>
    <s v="0.67"/>
    <s v="0.14"/>
    <s v="0.66"/>
    <s v="0.11"/>
    <s v="0.1"/>
    <n v="16723"/>
    <s v="K - D diff."/>
    <n v="3743"/>
    <n v="3758"/>
    <n v="1"/>
    <s v="1.01"/>
    <s v="75.10%"/>
    <s v="14.50%"/>
    <n v="19834"/>
    <n v="10725"/>
    <n v="4456"/>
    <n v="1289"/>
    <n v="228"/>
    <n v="25"/>
    <n v="15315"/>
    <n v="2886"/>
    <n v="1640"/>
    <n v="4256"/>
    <n v="385"/>
    <n v="108"/>
    <n v="1"/>
    <n v="8189.4761904761908"/>
    <x v="1"/>
  </r>
  <r>
    <n v="11286"/>
    <s v="ponczek"/>
    <s v="Patryk Wites"/>
    <x v="6"/>
    <x v="3"/>
    <s v="Impression"/>
    <s v="Wisla Krakow"/>
    <n v="8674"/>
    <n v="8925"/>
    <s v="44.50%"/>
    <s v="70.8"/>
    <n v="4"/>
    <n v="504"/>
    <n v="13584"/>
    <s v="0.64"/>
    <s v="0.13"/>
    <s v="0.66"/>
    <s v="0.09"/>
    <s v="0.08"/>
    <n v="6044"/>
    <s v="K - D diff."/>
    <n v="986"/>
    <n v="1065"/>
    <s v="0.93"/>
    <s v="0.9"/>
    <s v="73.30%"/>
    <s v="10.70%"/>
    <n v="7540"/>
    <n v="4016"/>
    <n v="1505"/>
    <n v="450"/>
    <n v="67"/>
    <n v="6"/>
    <n v="6371"/>
    <n v="90"/>
    <n v="586"/>
    <n v="1517"/>
    <n v="111"/>
    <n v="21"/>
    <n v="1"/>
    <n v="2955.5714285714284"/>
    <x v="3"/>
  </r>
  <r>
    <n v="4829"/>
    <s v="mynio"/>
    <s v="Wiktor Kruk"/>
    <x v="13"/>
    <x v="3"/>
    <m/>
    <s v="Wisla Krakow, Anonymo"/>
    <n v="13340"/>
    <n v="14565"/>
    <s v="44.50%"/>
    <s v="77.1"/>
    <s v="6.9"/>
    <n v="768"/>
    <n v="20598"/>
    <s v="0.65"/>
    <s v="0.16"/>
    <s v="0.71"/>
    <s v="0.09"/>
    <s v="0.08"/>
    <n v="9145"/>
    <s v="K - D diff."/>
    <n v="2070"/>
    <n v="2456"/>
    <s v="0.84"/>
    <s v="0.97"/>
    <s v="72.00%"/>
    <s v="14.70%"/>
    <n v="11453"/>
    <n v="5945"/>
    <n v="2367"/>
    <n v="686"/>
    <n v="135"/>
    <n v="12"/>
    <n v="9440"/>
    <n v="741"/>
    <n v="724"/>
    <n v="2226"/>
    <n v="216"/>
    <n v="20"/>
    <s v="0.93"/>
    <n v="5100.3684210526317"/>
    <x v="0"/>
  </r>
  <r>
    <n v="169"/>
    <s v="nak"/>
    <s v="Renato Nakano"/>
    <x v="15"/>
    <x v="6"/>
    <m/>
    <s v="Sharks, RED Canids"/>
    <n v="8158"/>
    <n v="8829"/>
    <s v="44.50%"/>
    <s v="70.8"/>
    <s v="4.5"/>
    <n v="514"/>
    <n v="13305"/>
    <s v="0.61"/>
    <s v="0.15"/>
    <s v="0.66"/>
    <s v="0.1"/>
    <s v="0.09"/>
    <n v="5727"/>
    <s v="K - D diff."/>
    <n v="969"/>
    <n v="1145"/>
    <s v="0.85"/>
    <s v="0.89"/>
    <s v="76.30%"/>
    <s v="10.80%"/>
    <n v="7578"/>
    <n v="3800"/>
    <n v="1490"/>
    <n v="376"/>
    <n v="55"/>
    <n v="6"/>
    <n v="6055"/>
    <n v="64"/>
    <n v="566"/>
    <n v="1322"/>
    <n v="124"/>
    <n v="50"/>
    <s v="0.92"/>
    <n v="3164.8947368421054"/>
    <x v="3"/>
  </r>
  <r>
    <n v="11213"/>
    <s v="delboNi"/>
    <s v="Felipe Delboni"/>
    <x v="2"/>
    <x v="6"/>
    <s v="Corinthians"/>
    <s v="Imperial, Case, Yeah"/>
    <n v="9708"/>
    <n v="9374"/>
    <s v="44.60%"/>
    <s v="74.8"/>
    <s v="3.7"/>
    <n v="544"/>
    <n v="14126"/>
    <s v="0.69"/>
    <s v="0.13"/>
    <s v="0.66"/>
    <s v="0.1"/>
    <s v="0.11"/>
    <n v="6612"/>
    <s v="K - D diff."/>
    <n v="1102"/>
    <n v="1101"/>
    <n v="1"/>
    <s v="0.93"/>
    <s v="74.20%"/>
    <s v="11.60%"/>
    <n v="7514"/>
    <n v="4299"/>
    <n v="1672"/>
    <n v="511"/>
    <n v="118"/>
    <n v="12"/>
    <n v="7005"/>
    <n v="305"/>
    <n v="455"/>
    <n v="1832"/>
    <n v="123"/>
    <n v="23"/>
    <s v="1.05"/>
    <n v="3321.85"/>
    <x v="2"/>
  </r>
  <r>
    <n v="9916"/>
    <s v="mono"/>
    <s v="MichaÅ‚ Gabszewicz"/>
    <x v="13"/>
    <x v="3"/>
    <m/>
    <s v="x-kom, Illuminar, Izako Boars"/>
    <n v="11640"/>
    <n v="11657"/>
    <s v="44.60%"/>
    <s v="75.5"/>
    <s v="5.7"/>
    <n v="662"/>
    <n v="17680"/>
    <s v="0.66"/>
    <s v="0.13"/>
    <s v="0.66"/>
    <s v="0.07"/>
    <s v="0.09"/>
    <n v="8123"/>
    <s v="K - D diff."/>
    <n v="1224"/>
    <n v="1198"/>
    <s v="1.02"/>
    <s v="0.9"/>
    <s v="71.20%"/>
    <s v="9.90%"/>
    <n v="9557"/>
    <n v="5385"/>
    <n v="2079"/>
    <n v="552"/>
    <n v="94"/>
    <n v="13"/>
    <n v="8223"/>
    <n v="329"/>
    <n v="741"/>
    <n v="2159"/>
    <n v="201"/>
    <n v="28"/>
    <s v="0.97"/>
    <n v="4291.8421052631575"/>
    <x v="2"/>
  </r>
  <r>
    <n v="3730"/>
    <s v="HOLMES"/>
    <s v="Petar DimitrijeviÄ‡"/>
    <x v="5"/>
    <x v="19"/>
    <s v="iNation"/>
    <s v="Squared"/>
    <n v="8068"/>
    <n v="8433"/>
    <s v="44.60%"/>
    <s v="77.9"/>
    <s v="4.5"/>
    <n v="459"/>
    <n v="12013"/>
    <s v="0.67"/>
    <s v="0.15"/>
    <s v="0.7"/>
    <s v="0.1"/>
    <s v="0.1"/>
    <n v="5522"/>
    <s v="K - D diff."/>
    <n v="1104"/>
    <n v="1083"/>
    <s v="1.02"/>
    <s v="0.98"/>
    <s v="73.10%"/>
    <s v="14.30%"/>
    <n v="6491"/>
    <n v="3552"/>
    <n v="1489"/>
    <n v="397"/>
    <n v="74"/>
    <n v="10"/>
    <n v="5691"/>
    <n v="68"/>
    <n v="865"/>
    <n v="1308"/>
    <n v="126"/>
    <n v="34"/>
    <s v="0.96"/>
    <n v="2988.7894736842104"/>
    <x v="3"/>
  </r>
  <r>
    <n v="7749"/>
    <s v="queztone"/>
    <s v="Richard StrnÃ¡tko"/>
    <x v="13"/>
    <x v="17"/>
    <m/>
    <s v="eXtatus"/>
    <n v="13135"/>
    <n v="12900"/>
    <s v="44.70%"/>
    <s v="77.1"/>
    <s v="3.2"/>
    <n v="709"/>
    <n v="18569"/>
    <s v="0.71"/>
    <s v="0.14"/>
    <s v="0.69"/>
    <s v="0.1"/>
    <s v="0.1"/>
    <n v="8763"/>
    <s v="K - D diff."/>
    <n v="1895"/>
    <n v="1953"/>
    <s v="0.97"/>
    <n v="1"/>
    <s v="74.60%"/>
    <s v="14.50%"/>
    <n v="9806"/>
    <n v="5504"/>
    <n v="2342"/>
    <n v="743"/>
    <n v="159"/>
    <n v="15"/>
    <n v="8880"/>
    <n v="939"/>
    <n v="559"/>
    <n v="2542"/>
    <n v="155"/>
    <n v="75"/>
    <s v="1.02"/>
    <n v="4482.2"/>
    <x v="2"/>
  </r>
  <r>
    <n v="17553"/>
    <s v="pesadelo"/>
    <s v="Matheus Panisset"/>
    <x v="9"/>
    <x v="6"/>
    <s v="TeamOne"/>
    <s v="TeamOne, RED Canids"/>
    <n v="11119"/>
    <n v="11328"/>
    <s v="44.70%"/>
    <s v="76.9"/>
    <s v="6.3"/>
    <n v="616"/>
    <n v="16090"/>
    <s v="0.69"/>
    <s v="0.14"/>
    <s v="0.7"/>
    <s v="0.1"/>
    <s v="0.09"/>
    <n v="7452"/>
    <s v="K - D diff."/>
    <n v="1566"/>
    <n v="1717"/>
    <s v="0.91"/>
    <s v="0.98"/>
    <s v="71.80%"/>
    <s v="14.00%"/>
    <n v="8638"/>
    <n v="4698"/>
    <n v="1994"/>
    <n v="620"/>
    <n v="127"/>
    <n v="13"/>
    <n v="8235"/>
    <n v="267"/>
    <n v="505"/>
    <n v="1901"/>
    <n v="196"/>
    <n v="40"/>
    <s v="1.04"/>
    <n v="4059.0526315789475"/>
    <x v="2"/>
  </r>
  <r>
    <n v="12490"/>
    <s v="expro"/>
    <s v="Heng Yang"/>
    <x v="4"/>
    <x v="35"/>
    <s v="Lynn Vision"/>
    <s v="Lynn Vision, Invictus, EHOME"/>
    <n v="7817"/>
    <n v="8085"/>
    <s v="44.70%"/>
    <s v="75.4"/>
    <s v="4.4"/>
    <n v="438"/>
    <n v="11619"/>
    <s v="0.67"/>
    <s v="0.13"/>
    <s v="0.7"/>
    <s v="0.1"/>
    <s v="0.09"/>
    <n v="5435"/>
    <s v="K - D diff."/>
    <n v="1250"/>
    <n v="1229"/>
    <s v="1.02"/>
    <s v="1.03"/>
    <s v="72.30%"/>
    <s v="15.60%"/>
    <n v="6184"/>
    <n v="3590"/>
    <n v="1392"/>
    <n v="374"/>
    <n v="74"/>
    <n v="5"/>
    <n v="5250"/>
    <n v="901"/>
    <n v="178"/>
    <n v="1344"/>
    <n v="144"/>
    <n v="24"/>
    <s v="1.03"/>
    <n v="2912.2631578947367"/>
    <x v="3"/>
  </r>
  <r>
    <n v="2148"/>
    <s v="tahsiN"/>
    <s v="Tahsin Broschk"/>
    <x v="14"/>
    <x v="14"/>
    <m/>
    <s v="PENTA, Berzerk, KILLERFISH"/>
    <n v="10261"/>
    <n v="10891"/>
    <s v="44.70%"/>
    <s v="72.6"/>
    <s v="4.9"/>
    <n v="591"/>
    <n v="15363"/>
    <s v="0.67"/>
    <s v="0.14"/>
    <s v="0.71"/>
    <s v="0.09"/>
    <s v="0.08"/>
    <n v="6980"/>
    <s v="K - D diff."/>
    <n v="1504"/>
    <n v="1796"/>
    <s v="0.84"/>
    <s v="0.96"/>
    <s v="67.00%"/>
    <s v="13.60%"/>
    <n v="8383"/>
    <n v="4508"/>
    <n v="1806"/>
    <n v="542"/>
    <n v="110"/>
    <n v="14"/>
    <n v="7341"/>
    <n v="293"/>
    <n v="261"/>
    <n v="2206"/>
    <n v="153"/>
    <n v="23"/>
    <s v="0.96"/>
    <n v="3843.4736842105262"/>
    <x v="2"/>
  </r>
  <r>
    <n v="9325"/>
    <s v="arvid"/>
    <s v="Tony NiemelÃ¤"/>
    <x v="3"/>
    <x v="4"/>
    <s v="temp"/>
    <s v="SJ"/>
    <n v="15700"/>
    <n v="16720"/>
    <s v="44.70%"/>
    <s v="73.2"/>
    <s v="4.4"/>
    <n v="897"/>
    <n v="24098"/>
    <s v="0.65"/>
    <s v="0.14"/>
    <s v="0.69"/>
    <s v="0.1"/>
    <s v="0.1"/>
    <n v="10770"/>
    <s v="K - D diff."/>
    <n v="2378"/>
    <n v="2685"/>
    <s v="0.89"/>
    <s v="0.97"/>
    <s v="74.60%"/>
    <s v="14.80%"/>
    <n v="13328"/>
    <n v="7005"/>
    <n v="2796"/>
    <n v="796"/>
    <n v="150"/>
    <n v="23"/>
    <n v="11850"/>
    <n v="99"/>
    <n v="1073"/>
    <n v="2458"/>
    <n v="219"/>
    <n v="37"/>
    <s v="0.95"/>
    <n v="5951.6842105263158"/>
    <x v="0"/>
  </r>
  <r>
    <n v="8504"/>
    <s v="LeX"/>
    <s v="Alexander Deily"/>
    <x v="0"/>
    <x v="0"/>
    <m/>
    <s v="Mythic, Winterfox, Luminosity"/>
    <n v="7418"/>
    <n v="8680"/>
    <s v="44.70%"/>
    <s v="71.1"/>
    <n v="4"/>
    <n v="462"/>
    <n v="11931"/>
    <s v="0.62"/>
    <s v="0.14"/>
    <s v="0.73"/>
    <s v="0.1"/>
    <s v="0.08"/>
    <n v="5149"/>
    <s v="K - D diff."/>
    <n v="1041"/>
    <n v="1375"/>
    <s v="0.76"/>
    <s v="0.91"/>
    <s v="71.40%"/>
    <s v="12.80%"/>
    <n v="6782"/>
    <n v="3407"/>
    <n v="1306"/>
    <n v="363"/>
    <n v="66"/>
    <n v="7"/>
    <n v="5563"/>
    <n v="120"/>
    <n v="333"/>
    <n v="1275"/>
    <n v="71"/>
    <n v="69"/>
    <s v="0.88"/>
    <n v="2771.1"/>
    <x v="3"/>
  </r>
  <r>
    <n v="19673"/>
    <s v="Patsi"/>
    <s v="Robert Isyanov"/>
    <x v="18"/>
    <x v="1"/>
    <s v="Spirit"/>
    <s v="Spirit, Espada, Spirit Academy"/>
    <n v="9880"/>
    <n v="9564"/>
    <s v="44.80%"/>
    <s v="79.1"/>
    <s v="3.8"/>
    <n v="516"/>
    <n v="13868"/>
    <s v="0.71"/>
    <s v="0.13"/>
    <s v="0.69"/>
    <s v="0.11"/>
    <s v="0.1"/>
    <n v="6551"/>
    <s v="K - D diff."/>
    <n v="1590"/>
    <n v="1629"/>
    <s v="0.98"/>
    <s v="1.04"/>
    <s v="74.70%"/>
    <s v="16.40%"/>
    <n v="7317"/>
    <n v="4068"/>
    <n v="1789"/>
    <n v="555"/>
    <n v="126"/>
    <n v="13"/>
    <n v="7360"/>
    <n v="436"/>
    <n v="492"/>
    <n v="1500"/>
    <n v="87"/>
    <n v="39"/>
    <s v="1.09"/>
    <n v="3546.3157894736842"/>
    <x v="2"/>
  </r>
  <r>
    <n v="11287"/>
    <s v="darko"/>
    <s v="Kacper Åšciera"/>
    <x v="2"/>
    <x v="3"/>
    <s v="Impression"/>
    <s v="PACT"/>
    <n v="14316"/>
    <n v="15126"/>
    <s v="44.90%"/>
    <n v="75"/>
    <s v="6.6"/>
    <n v="804"/>
    <n v="21820"/>
    <s v="0.66"/>
    <s v="0.14"/>
    <s v="0.69"/>
    <s v="0.1"/>
    <s v="0.09"/>
    <n v="9896"/>
    <s v="K - D diff."/>
    <n v="2320"/>
    <n v="2428"/>
    <s v="0.96"/>
    <s v="1.01"/>
    <s v="70.50%"/>
    <s v="15.30%"/>
    <n v="11924"/>
    <n v="6545"/>
    <n v="2459"/>
    <n v="734"/>
    <n v="139"/>
    <n v="19"/>
    <n v="10592"/>
    <n v="338"/>
    <n v="831"/>
    <n v="2267"/>
    <n v="289"/>
    <n v="55"/>
    <s v="1.02"/>
    <n v="5148.8500000000004"/>
    <x v="0"/>
  </r>
  <r>
    <n v="8564"/>
    <s v="fer"/>
    <s v="Fernando Alvarenga"/>
    <x v="5"/>
    <x v="6"/>
    <s v="Imperial"/>
    <s v="SK, MIBR, Luminosity"/>
    <n v="28173"/>
    <n v="25379"/>
    <s v="45.00%"/>
    <s v="82.9"/>
    <n v="5"/>
    <n v="1436"/>
    <n v="37508"/>
    <s v="0.75"/>
    <s v="0.15"/>
    <s v="0.68"/>
    <s v="0.09"/>
    <s v="0.08"/>
    <n v="18644"/>
    <s v="K - D diff."/>
    <n v="4992"/>
    <n v="4238"/>
    <s v="1.18"/>
    <s v="1.14"/>
    <s v="77.90%"/>
    <s v="19.20%"/>
    <n v="18864"/>
    <n v="11560"/>
    <n v="5089"/>
    <n v="1599"/>
    <n v="350"/>
    <n v="46"/>
    <n v="20370"/>
    <n v="391"/>
    <n v="2270"/>
    <n v="4542"/>
    <n v="383"/>
    <n v="257"/>
    <s v="1.08"/>
    <n v="9304.7999999999993"/>
    <x v="1"/>
  </r>
  <r>
    <n v="11154"/>
    <s v="exit"/>
    <s v="Raphael Lacerda"/>
    <x v="3"/>
    <x v="6"/>
    <s v="MIBR"/>
    <s v="MIBR, Sharks"/>
    <n v="13416"/>
    <n v="11515"/>
    <s v="45.10%"/>
    <s v="76.8"/>
    <s v="4.8"/>
    <n v="739"/>
    <n v="19050"/>
    <s v="0.7"/>
    <s v="0.13"/>
    <s v="0.6"/>
    <s v="0.09"/>
    <s v="0.12"/>
    <n v="9135"/>
    <s v="K - D diff."/>
    <n v="1358"/>
    <n v="1079"/>
    <s v="1.26"/>
    <s v="0.93"/>
    <s v="73.60%"/>
    <s v="10.20%"/>
    <n v="9915"/>
    <n v="5878"/>
    <n v="2392"/>
    <n v="719"/>
    <n v="133"/>
    <n v="13"/>
    <n v="10562"/>
    <n v="76"/>
    <n v="561"/>
    <n v="2044"/>
    <n v="198"/>
    <n v="37"/>
    <s v="1.12"/>
    <n v="4674.7368421052633"/>
    <x v="2"/>
  </r>
  <r>
    <n v="9220"/>
    <s v="SHOOWTiME"/>
    <s v="Gustavo GonÃ§alves"/>
    <x v="3"/>
    <x v="6"/>
    <s v="Corinthians"/>
    <s v="Luminosity, Imperial, Tempo Storm"/>
    <n v="17479"/>
    <n v="17781"/>
    <s v="45.10%"/>
    <s v="75.3"/>
    <s v="4.3"/>
    <n v="997"/>
    <n v="25816"/>
    <s v="0.68"/>
    <s v="0.13"/>
    <s v="0.69"/>
    <s v="0.1"/>
    <s v="0.1"/>
    <n v="11932"/>
    <s v="K - D diff."/>
    <n v="2768"/>
    <n v="2692"/>
    <s v="1.03"/>
    <s v="1.03"/>
    <s v="72.70%"/>
    <s v="15.20%"/>
    <n v="13884"/>
    <n v="7672"/>
    <n v="3165"/>
    <n v="918"/>
    <n v="163"/>
    <n v="14"/>
    <n v="12098"/>
    <n v="1355"/>
    <n v="955"/>
    <n v="2816"/>
    <n v="235"/>
    <n v="53"/>
    <s v="0.98"/>
    <n v="6462.7894736842109"/>
    <x v="0"/>
  </r>
  <r>
    <n v="9616"/>
    <s v="AMANEK"/>
    <s v="FranÃ§ois Delaunay"/>
    <x v="8"/>
    <x v="26"/>
    <s v="LDLC"/>
    <s v="LDLC, G2, Misfits"/>
    <n v="18691"/>
    <n v="17492"/>
    <s v="45.20%"/>
    <s v="74.6"/>
    <s v="4.6"/>
    <n v="1030"/>
    <n v="27668"/>
    <s v="0.68"/>
    <s v="0.13"/>
    <s v="0.63"/>
    <s v="0.09"/>
    <s v="0.09"/>
    <n v="12796"/>
    <s v="K - D diff."/>
    <n v="2542"/>
    <n v="2429"/>
    <s v="1.05"/>
    <s v="0.98"/>
    <s v="71.50%"/>
    <s v="12.80%"/>
    <n v="14872"/>
    <n v="8302"/>
    <n v="3318"/>
    <n v="969"/>
    <n v="189"/>
    <n v="18"/>
    <n v="9930"/>
    <n v="2939"/>
    <n v="2687"/>
    <n v="2813"/>
    <n v="223"/>
    <n v="176"/>
    <s v="1.02"/>
    <n v="6793.894736842105"/>
    <x v="0"/>
  </r>
  <r>
    <n v="2398"/>
    <s v="SKYTTEN"/>
    <s v="Alexander Carlsson"/>
    <x v="1"/>
    <x v="15"/>
    <m/>
    <s v="Orbit, LGB"/>
    <n v="7087"/>
    <n v="6759"/>
    <s v="45.20%"/>
    <s v="79.8"/>
    <n v="4"/>
    <n v="382"/>
    <n v="10157"/>
    <s v="0.7"/>
    <s v="0.16"/>
    <s v="0.67"/>
    <s v="0.1"/>
    <s v="0.13"/>
    <n v="4845"/>
    <s v="K - D diff."/>
    <n v="816"/>
    <n v="728"/>
    <s v="1.12"/>
    <s v="0.95"/>
    <s v="74.60%"/>
    <s v="12.00%"/>
    <n v="5312"/>
    <n v="3125"/>
    <n v="1290"/>
    <n v="363"/>
    <n v="59"/>
    <n v="8"/>
    <n v="5397"/>
    <n v="176"/>
    <n v="202"/>
    <n v="1175"/>
    <n v="123"/>
    <n v="16"/>
    <s v="1.02"/>
    <n v="2401.1999999999998"/>
    <x v="3"/>
  </r>
  <r>
    <n v="9857"/>
    <s v="ngiN"/>
    <s v="Engin Kor"/>
    <x v="1"/>
    <x v="20"/>
    <m/>
    <s v="Space Soldiers, Sangal"/>
    <n v="16499"/>
    <n v="17247"/>
    <s v="45.30%"/>
    <s v="68.4"/>
    <s v="4.1"/>
    <n v="1025"/>
    <n v="26895"/>
    <s v="0.61"/>
    <s v="0.13"/>
    <s v="0.64"/>
    <s v="0.09"/>
    <s v="0.09"/>
    <n v="11687"/>
    <s v="K - D diff."/>
    <n v="1934"/>
    <n v="2125"/>
    <s v="0.91"/>
    <s v="0.89"/>
    <s v="75.00%"/>
    <s v="10.30%"/>
    <n v="15208"/>
    <n v="7947"/>
    <n v="2848"/>
    <n v="725"/>
    <n v="154"/>
    <n v="13"/>
    <n v="11239"/>
    <n v="920"/>
    <n v="1379"/>
    <n v="2727"/>
    <n v="243"/>
    <n v="50"/>
    <s v="0.94"/>
    <n v="6361.3157894736842"/>
    <x v="0"/>
  </r>
  <r>
    <n v="10842"/>
    <s v="KHTEX"/>
    <s v="Dener Barchfield"/>
    <x v="3"/>
    <x v="6"/>
    <s v="Los Grandes"/>
    <s v="PaquetÃ¡, Wild, Virtue"/>
    <n v="11128"/>
    <n v="10262"/>
    <s v="45.50%"/>
    <s v="75.1"/>
    <s v="4.3"/>
    <n v="618"/>
    <n v="15955"/>
    <s v="0.7"/>
    <s v="0.13"/>
    <s v="0.64"/>
    <s v="0.09"/>
    <s v="0.1"/>
    <n v="7624"/>
    <s v="K - D diff."/>
    <n v="1557"/>
    <n v="1353"/>
    <s v="1.15"/>
    <s v="1.01"/>
    <s v="73.90%"/>
    <s v="13.50%"/>
    <n v="8331"/>
    <n v="4947"/>
    <n v="1995"/>
    <n v="546"/>
    <n v="127"/>
    <n v="9"/>
    <n v="7137"/>
    <n v="1499"/>
    <n v="612"/>
    <n v="1717"/>
    <n v="182"/>
    <n v="29"/>
    <s v="1.08"/>
    <n v="3980.4210526315787"/>
    <x v="2"/>
  </r>
  <r>
    <n v="3886"/>
    <s v="seb"/>
    <s v="Sebastian Bucki"/>
    <x v="14"/>
    <x v="0"/>
    <m/>
    <s v="Ghost, New Identity, Bee's Money Crew"/>
    <n v="10456"/>
    <n v="10680"/>
    <s v="45.50%"/>
    <n v="76"/>
    <s v="4.1"/>
    <n v="603"/>
    <n v="15586"/>
    <s v="0.67"/>
    <s v="0.15"/>
    <s v="0.69"/>
    <s v="0.11"/>
    <s v="0.11"/>
    <n v="7209"/>
    <s v="K - D diff."/>
    <n v="1287"/>
    <n v="1416"/>
    <s v="0.91"/>
    <s v="0.93"/>
    <s v="70.10%"/>
    <s v="11.60%"/>
    <n v="8377"/>
    <n v="4714"/>
    <n v="1876"/>
    <n v="496"/>
    <n v="113"/>
    <n v="10"/>
    <n v="7010"/>
    <n v="86"/>
    <n v="955"/>
    <n v="2239"/>
    <n v="128"/>
    <n v="60"/>
    <s v="0.97"/>
    <n v="3668.85"/>
    <x v="2"/>
  </r>
  <r>
    <n v="922"/>
    <s v="Snappi"/>
    <s v="Marco Pfeiffer"/>
    <x v="0"/>
    <x v="2"/>
    <s v="ENCE"/>
    <s v="ENCE, Heroic, OpTic"/>
    <n v="27353"/>
    <n v="28322"/>
    <s v="45.50%"/>
    <s v="72.7"/>
    <s v="4.5"/>
    <n v="1591"/>
    <n v="41992"/>
    <s v="0.65"/>
    <s v="0.13"/>
    <s v="0.67"/>
    <s v="0.09"/>
    <s v="0.08"/>
    <n v="19032"/>
    <s v="K - D diff."/>
    <n v="3855"/>
    <n v="3732"/>
    <s v="1.03"/>
    <s v="0.98"/>
    <s v="75.90%"/>
    <s v="13.40%"/>
    <n v="22960"/>
    <n v="12595"/>
    <n v="4861"/>
    <n v="1297"/>
    <n v="254"/>
    <n v="25"/>
    <n v="16110"/>
    <n v="2654"/>
    <n v="3495"/>
    <n v="4753"/>
    <n v="328"/>
    <n v="71"/>
    <s v="0.96"/>
    <n v="10277.894736842105"/>
    <x v="1"/>
  </r>
  <r>
    <n v="3410"/>
    <s v="ROBO"/>
    <s v="Vladimir Neskey"/>
    <x v="1"/>
    <x v="18"/>
    <m/>
    <s v="Nemiga"/>
    <n v="12328"/>
    <n v="11700"/>
    <s v="45.60%"/>
    <n v="74"/>
    <s v="2.7"/>
    <n v="667"/>
    <n v="17746"/>
    <s v="0.69"/>
    <s v="0.11"/>
    <s v="0.66"/>
    <s v="0.09"/>
    <s v="0.1"/>
    <n v="8516"/>
    <s v="K - D diff."/>
    <n v="1900"/>
    <n v="1582"/>
    <s v="1.2"/>
    <s v="1.05"/>
    <s v="71.90%"/>
    <s v="15.40%"/>
    <n v="9230"/>
    <n v="5594"/>
    <n v="2174"/>
    <n v="624"/>
    <n v="107"/>
    <n v="17"/>
    <n v="6643"/>
    <n v="2847"/>
    <n v="622"/>
    <n v="2122"/>
    <n v="98"/>
    <n v="16"/>
    <s v="1.02"/>
    <n v="4230.3500000000004"/>
    <x v="2"/>
  </r>
  <r>
    <n v="13240"/>
    <s v="Lack1"/>
    <s v="Viktor Boldyrev"/>
    <x v="9"/>
    <x v="10"/>
    <m/>
    <s v="Entropiq, Winstrike"/>
    <n v="16518"/>
    <n v="16449"/>
    <s v="45.60%"/>
    <s v="74.1"/>
    <s v="2.7"/>
    <n v="902"/>
    <n v="24117"/>
    <s v="0.68"/>
    <s v="0.13"/>
    <s v="0.68"/>
    <s v="0.09"/>
    <s v="0.09"/>
    <n v="11134"/>
    <s v="K - D diff."/>
    <n v="2600"/>
    <n v="2896"/>
    <s v="0.9"/>
    <s v="1.01"/>
    <s v="71.50%"/>
    <s v="14.70%"/>
    <n v="12983"/>
    <n v="7105"/>
    <n v="2904"/>
    <n v="915"/>
    <n v="190"/>
    <n v="20"/>
    <n v="11530"/>
    <n v="1025"/>
    <n v="1165"/>
    <n v="2650"/>
    <n v="143"/>
    <n v="55"/>
    <s v="1.04"/>
    <n v="6068.4736842105267"/>
    <x v="0"/>
  </r>
  <r>
    <n v="8371"/>
    <s v="alex"/>
    <s v="Alejandro Masanet"/>
    <x v="13"/>
    <x v="11"/>
    <s v="Movistar Riders"/>
    <s v="Movistar Riders"/>
    <n v="24213"/>
    <n v="22720"/>
    <s v="45.70%"/>
    <s v="76.5"/>
    <s v="4.5"/>
    <n v="1315"/>
    <n v="34818"/>
    <s v="0.7"/>
    <s v="0.14"/>
    <s v="0.65"/>
    <s v="0.09"/>
    <s v="0.11"/>
    <n v="16410"/>
    <s v="K - D diff."/>
    <n v="3505"/>
    <n v="3427"/>
    <s v="1.02"/>
    <s v="1.01"/>
    <s v="72.20%"/>
    <s v="14.30%"/>
    <n v="18408"/>
    <n v="10479"/>
    <n v="4352"/>
    <n v="1315"/>
    <n v="239"/>
    <n v="25"/>
    <n v="17048"/>
    <n v="1257"/>
    <n v="1328"/>
    <n v="4226"/>
    <n v="362"/>
    <n v="53"/>
    <s v="1.03"/>
    <n v="8710.5263157894733"/>
    <x v="1"/>
  </r>
  <r>
    <n v="7253"/>
    <s v="steel"/>
    <s v="Joshua Nissan"/>
    <x v="0"/>
    <x v="5"/>
    <m/>
    <s v="Chaos, Ghost, Torqued"/>
    <n v="11498"/>
    <n v="11237"/>
    <s v="45.70%"/>
    <n v="80"/>
    <s v="4.8"/>
    <n v="616"/>
    <n v="16284"/>
    <s v="0.71"/>
    <s v="0.15"/>
    <s v="0.69"/>
    <s v="0.09"/>
    <s v="0.08"/>
    <n v="7680"/>
    <s v="K - D diff."/>
    <n v="2042"/>
    <n v="2030"/>
    <s v="1.01"/>
    <s v="1.09"/>
    <s v="74.50%"/>
    <s v="17.90%"/>
    <n v="8604"/>
    <n v="4782"/>
    <n v="2137"/>
    <n v="631"/>
    <n v="108"/>
    <n v="22"/>
    <n v="6911"/>
    <n v="1359"/>
    <n v="876"/>
    <n v="2025"/>
    <n v="171"/>
    <n v="180"/>
    <s v="1.02"/>
    <n v="3963.65"/>
    <x v="2"/>
  </r>
  <r>
    <n v="13157"/>
    <s v="Jerry"/>
    <s v="Andrey Mekhryakov"/>
    <x v="2"/>
    <x v="1"/>
    <s v="forZe"/>
    <s v="forZe"/>
    <n v="29312"/>
    <n v="29038"/>
    <s v="45.70%"/>
    <s v="76.6"/>
    <s v="4.4"/>
    <n v="1598"/>
    <n v="43012"/>
    <s v="0.68"/>
    <s v="0.14"/>
    <s v="0.68"/>
    <s v="0.1"/>
    <s v="0.09"/>
    <n v="20081"/>
    <s v="K - D diff."/>
    <n v="4508"/>
    <n v="4337"/>
    <s v="1.04"/>
    <s v="1.02"/>
    <s v="73.10%"/>
    <s v="14.60%"/>
    <n v="22931"/>
    <n v="13033"/>
    <n v="5234"/>
    <n v="1480"/>
    <n v="299"/>
    <n v="35"/>
    <n v="21174"/>
    <n v="496"/>
    <n v="2723"/>
    <n v="4648"/>
    <n v="273"/>
    <n v="71"/>
    <s v="1.07"/>
    <n v="10751.736842105263"/>
    <x v="1"/>
  </r>
  <r>
    <n v="13177"/>
    <s v="stellar"/>
    <s v="Brenden McGrath"/>
    <x v="13"/>
    <x v="0"/>
    <m/>
    <s v="Party Astronauts, Vireo.pro, Divine, AA"/>
    <n v="7396"/>
    <n v="7370"/>
    <s v="45.70%"/>
    <s v="76.2"/>
    <s v="4.3"/>
    <n v="427"/>
    <n v="10968"/>
    <s v="0.67"/>
    <s v="0.13"/>
    <s v="0.67"/>
    <s v="0.1"/>
    <s v="0.1"/>
    <n v="5095"/>
    <s v="K - D diff."/>
    <n v="906"/>
    <n v="901"/>
    <s v="1.01"/>
    <s v="0.94"/>
    <s v="69.50%"/>
    <s v="11.70%"/>
    <n v="5873"/>
    <n v="3300"/>
    <n v="1367"/>
    <n v="358"/>
    <n v="62"/>
    <n v="8"/>
    <n v="5076"/>
    <n v="353"/>
    <n v="498"/>
    <n v="1394"/>
    <n v="82"/>
    <n v="6"/>
    <s v="1.05"/>
    <n v="2707.3684210526317"/>
    <x v="3"/>
  </r>
  <r>
    <n v="9480"/>
    <s v="tifa"/>
    <s v="Thiago FranÃ§a"/>
    <x v="13"/>
    <x v="6"/>
    <m/>
    <s v="Imperial, BigGods, Keyd"/>
    <n v="7090"/>
    <n v="7199"/>
    <s v="45.70%"/>
    <s v="74.3"/>
    <s v="3.6"/>
    <n v="407"/>
    <n v="10476"/>
    <s v="0.68"/>
    <s v="0.14"/>
    <s v="0.69"/>
    <s v="0.09"/>
    <s v="0.1"/>
    <n v="4836"/>
    <s v="K - D diff."/>
    <n v="997"/>
    <n v="1106"/>
    <s v="0.9"/>
    <s v="0.97"/>
    <s v="72.00%"/>
    <s v="13.50%"/>
    <n v="5640"/>
    <n v="3109"/>
    <n v="1285"/>
    <n v="363"/>
    <n v="73"/>
    <n v="6"/>
    <n v="5182"/>
    <n v="73"/>
    <n v="442"/>
    <n v="1329"/>
    <n v="62"/>
    <n v="16"/>
    <s v="0.98"/>
    <n v="2615.3157894736842"/>
    <x v="3"/>
  </r>
  <r>
    <n v="8605"/>
    <s v="somebody"/>
    <s v="HaoWen Xu"/>
    <x v="6"/>
    <x v="35"/>
    <m/>
    <s v="TYLOO"/>
    <n v="23702"/>
    <n v="21561"/>
    <s v="45.80%"/>
    <s v="79.9"/>
    <s v="3.5"/>
    <n v="1253"/>
    <n v="32437"/>
    <s v="0.73"/>
    <s v="0.13"/>
    <s v="0.66"/>
    <s v="0.1"/>
    <s v="0.09"/>
    <n v="15837"/>
    <s v="K - D diff."/>
    <n v="3842"/>
    <n v="3575"/>
    <s v="1.07"/>
    <s v="1.08"/>
    <s v="76.20%"/>
    <s v="16.20%"/>
    <n v="16600"/>
    <n v="9947"/>
    <n v="4257"/>
    <n v="1324"/>
    <n v="278"/>
    <n v="31"/>
    <n v="14963"/>
    <n v="2229"/>
    <n v="2071"/>
    <n v="4110"/>
    <n v="199"/>
    <n v="184"/>
    <s v="1.07"/>
    <n v="8336.8421052631584"/>
    <x v="1"/>
  </r>
  <r>
    <n v="12092"/>
    <s v="max"/>
    <s v="Maximiliano Gonzalez"/>
    <x v="4"/>
    <x v="43"/>
    <s v="9z"/>
    <s v="9z, Isurus, Furious"/>
    <n v="10448"/>
    <n v="9800"/>
    <s v="45.80%"/>
    <s v="79.1"/>
    <s v="4.3"/>
    <n v="561"/>
    <n v="14866"/>
    <s v="0.7"/>
    <s v="0.14"/>
    <s v="0.66"/>
    <s v="0.1"/>
    <s v="0.1"/>
    <n v="7086"/>
    <s v="K - D diff."/>
    <n v="1610"/>
    <n v="1522"/>
    <s v="1.06"/>
    <s v="1.04"/>
    <s v="73.70%"/>
    <s v="15.20%"/>
    <n v="7780"/>
    <n v="4514"/>
    <n v="1906"/>
    <n v="555"/>
    <n v="98"/>
    <n v="13"/>
    <n v="8002"/>
    <n v="175"/>
    <n v="581"/>
    <n v="1600"/>
    <n v="99"/>
    <n v="30"/>
    <s v="1.11"/>
    <n v="3749.7894736842104"/>
    <x v="2"/>
  </r>
  <r>
    <n v="3347"/>
    <s v="seized"/>
    <s v="Denis Kostin"/>
    <x v="6"/>
    <x v="1"/>
    <s v="ex-Singularity"/>
    <s v="Natus Vincere"/>
    <n v="26348"/>
    <n v="26940"/>
    <s v="45.80%"/>
    <s v="72.8"/>
    <s v="5.4"/>
    <n v="1507"/>
    <n v="39658"/>
    <s v="0.66"/>
    <s v="0.15"/>
    <s v="0.68"/>
    <s v="0.08"/>
    <s v="0.07"/>
    <n v="18157"/>
    <s v="K - D diff."/>
    <n v="3935"/>
    <n v="4229"/>
    <s v="0.93"/>
    <s v="0.99"/>
    <s v="73.90%"/>
    <s v="14.30%"/>
    <n v="21501"/>
    <n v="11915"/>
    <n v="4642"/>
    <n v="1330"/>
    <n v="247"/>
    <n v="23"/>
    <n v="18815"/>
    <n v="1313"/>
    <n v="1434"/>
    <n v="4193"/>
    <n v="411"/>
    <n v="218"/>
    <s v="0.97"/>
    <n v="9832.4210526315783"/>
    <x v="1"/>
  </r>
  <r>
    <n v="41"/>
    <s v="pronax"/>
    <s v="Markus Wallsten"/>
    <x v="14"/>
    <x v="15"/>
    <m/>
    <s v="fnatic, GODSENT"/>
    <n v="18722"/>
    <n v="20989"/>
    <s v="45.80%"/>
    <s v="64.7"/>
    <n v="4"/>
    <n v="1199"/>
    <n v="31403"/>
    <s v="0.6"/>
    <s v="0.14"/>
    <s v="0.67"/>
    <s v="0.09"/>
    <s v="0.08"/>
    <n v="13294"/>
    <s v="K - D diff."/>
    <n v="2583"/>
    <n v="3318"/>
    <s v="0.78"/>
    <s v="0.9"/>
    <s v="74.20%"/>
    <s v="11.50%"/>
    <n v="18109"/>
    <n v="9042"/>
    <n v="3264"/>
    <n v="845"/>
    <n v="136"/>
    <n v="7"/>
    <n v="14083"/>
    <n v="234"/>
    <n v="1063"/>
    <n v="2976"/>
    <n v="332"/>
    <n v="48"/>
    <s v="0.89"/>
    <n v="7082.55"/>
    <x v="1"/>
  </r>
  <r>
    <n v="10588"/>
    <s v="Liazz"/>
    <s v="Jay Tregillgas"/>
    <x v="2"/>
    <x v="16"/>
    <s v="ORDER"/>
    <s v="ORDER, Renegades, 100 Thieves, Kings, Athletico, EXTREMUM"/>
    <n v="17667"/>
    <n v="15597"/>
    <s v="45.90%"/>
    <s v="78.3"/>
    <s v="4.6"/>
    <n v="978"/>
    <n v="25217"/>
    <s v="0.7"/>
    <s v="0.15"/>
    <s v="0.62"/>
    <s v="0.1"/>
    <s v="0.11"/>
    <n v="11853"/>
    <s v="K - D diff."/>
    <n v="2201"/>
    <n v="1936"/>
    <s v="1.14"/>
    <s v="0.98"/>
    <s v="73.80%"/>
    <s v="11.90%"/>
    <n v="13364"/>
    <n v="7519"/>
    <n v="3105"/>
    <n v="998"/>
    <n v="211"/>
    <n v="20"/>
    <n v="12976"/>
    <n v="169"/>
    <n v="1289"/>
    <n v="2968"/>
    <n v="270"/>
    <n v="48"/>
    <s v="1.07"/>
    <n v="6230.8421052631575"/>
    <x v="0"/>
  </r>
  <r>
    <n v="10870"/>
    <s v="kabal"/>
    <s v="Bat-Enkh Batbayar"/>
    <x v="6"/>
    <x v="34"/>
    <s v="IHC"/>
    <s v="5POWER, TheMongolz, TIGER"/>
    <n v="15043"/>
    <n v="14018"/>
    <s v="45.90%"/>
    <s v="77.6"/>
    <s v="4.7"/>
    <n v="813"/>
    <n v="21372"/>
    <s v="0.7"/>
    <s v="0.13"/>
    <s v="0.66"/>
    <s v="0.08"/>
    <s v="0.09"/>
    <n v="10215"/>
    <s v="K - D diff."/>
    <n v="1929"/>
    <n v="1794"/>
    <s v="1.08"/>
    <s v="0.98"/>
    <s v="74.30%"/>
    <s v="12.60%"/>
    <n v="11157"/>
    <n v="6539"/>
    <n v="2713"/>
    <n v="789"/>
    <n v="159"/>
    <n v="15"/>
    <n v="10285"/>
    <n v="819"/>
    <n v="845"/>
    <n v="2647"/>
    <n v="214"/>
    <n v="274"/>
    <s v="1.09"/>
    <n v="5349.4736842105267"/>
    <x v="0"/>
  </r>
  <r>
    <n v="8744"/>
    <s v="emagine"/>
    <s v="Chris Rowlands"/>
    <x v="14"/>
    <x v="16"/>
    <m/>
    <s v="ORDER, Kings, Winterfox, Immunity"/>
    <n v="12837"/>
    <n v="12350"/>
    <s v="45.90%"/>
    <s v="73.6"/>
    <s v="4.8"/>
    <n v="751"/>
    <n v="18931"/>
    <s v="0.68"/>
    <s v="0.14"/>
    <s v="0.65"/>
    <s v="0.1"/>
    <s v="0.09"/>
    <n v="8799"/>
    <s v="K - D diff."/>
    <n v="1548"/>
    <n v="1650"/>
    <s v="0.94"/>
    <s v="0.93"/>
    <s v="78.40%"/>
    <s v="11.60%"/>
    <n v="10132"/>
    <n v="5668"/>
    <n v="2357"/>
    <n v="654"/>
    <n v="112"/>
    <n v="8"/>
    <n v="9356"/>
    <n v="107"/>
    <n v="1035"/>
    <n v="2079"/>
    <n v="247"/>
    <n v="34"/>
    <s v="1.01"/>
    <n v="4666.0526315789475"/>
    <x v="2"/>
  </r>
  <r>
    <n v="3669"/>
    <s v="innocent"/>
    <s v="PaweÅ‚ Mocek"/>
    <x v="8"/>
    <x v="3"/>
    <s v="Anonymo"/>
    <s v="Anonymo, Illuminar, CSGL"/>
    <n v="32510"/>
    <n v="31989"/>
    <s v="45.90%"/>
    <s v="77.1"/>
    <s v="5.1"/>
    <n v="1781"/>
    <n v="46956"/>
    <s v="0.69"/>
    <s v="0.15"/>
    <s v="0.68"/>
    <s v="0.09"/>
    <s v="0.09"/>
    <n v="22063"/>
    <s v="K - D diff."/>
    <n v="4286"/>
    <n v="4249"/>
    <s v="1.01"/>
    <s v="0.97"/>
    <s v="73.80%"/>
    <s v="13.30%"/>
    <n v="24893"/>
    <n v="14090"/>
    <n v="5872"/>
    <n v="1766"/>
    <n v="310"/>
    <n v="25"/>
    <n v="24182"/>
    <n v="774"/>
    <n v="1270"/>
    <n v="5790"/>
    <n v="483"/>
    <n v="50"/>
    <n v="1"/>
    <n v="11167"/>
    <x v="1"/>
  </r>
  <r>
    <n v="10163"/>
    <s v="pecks"/>
    <s v="Peter Nguyen"/>
    <x v="3"/>
    <x v="16"/>
    <m/>
    <s v="Chiefs"/>
    <n v="6620"/>
    <n v="6458"/>
    <s v="45.90%"/>
    <s v="72.4"/>
    <s v="4.4"/>
    <n v="389"/>
    <n v="9930"/>
    <s v="0.67"/>
    <s v="0.14"/>
    <s v="0.65"/>
    <s v="0.09"/>
    <s v="0.08"/>
    <n v="4527"/>
    <s v="K - D diff."/>
    <n v="763"/>
    <n v="826"/>
    <s v="0.92"/>
    <s v="0.91"/>
    <s v="71.70%"/>
    <s v="10.40%"/>
    <n v="5403"/>
    <n v="2910"/>
    <n v="1214"/>
    <n v="334"/>
    <n v="65"/>
    <n v="4"/>
    <n v="4512"/>
    <n v="91"/>
    <n v="592"/>
    <n v="1324"/>
    <n v="96"/>
    <n v="17"/>
    <n v="1"/>
    <n v="2303.8000000000002"/>
    <x v="3"/>
  </r>
  <r>
    <n v="6451"/>
    <s v="FNS"/>
    <s v="Pujan Mehta"/>
    <x v="5"/>
    <x v="5"/>
    <m/>
    <s v="CLG, TSM"/>
    <n v="15287"/>
    <n v="17081"/>
    <s v="45.90%"/>
    <n v="68"/>
    <s v="4.1"/>
    <n v="953"/>
    <n v="25080"/>
    <s v="0.61"/>
    <s v="0.14"/>
    <s v="0.68"/>
    <s v="0.1"/>
    <s v="0.08"/>
    <n v="10878"/>
    <s v="K - D diff."/>
    <n v="1896"/>
    <n v="2362"/>
    <s v="0.8"/>
    <s v="0.89"/>
    <s v="73.30%"/>
    <s v="10.80%"/>
    <n v="14202"/>
    <n v="7389"/>
    <n v="2704"/>
    <n v="675"/>
    <n v="102"/>
    <n v="8"/>
    <n v="10789"/>
    <n v="199"/>
    <n v="1075"/>
    <n v="2924"/>
    <n v="215"/>
    <n v="106"/>
    <s v="0.89"/>
    <n v="5699.65"/>
    <x v="0"/>
  </r>
  <r>
    <n v="1378"/>
    <s v="zehN"/>
    <s v="Jesse Linjala"/>
    <x v="5"/>
    <x v="4"/>
    <s v="HAVU"/>
    <s v="HAVU, GODSENT, PENTA, FunPlus Phoenix"/>
    <n v="20665"/>
    <n v="18281"/>
    <s v="46.00%"/>
    <s v="80.3"/>
    <s v="7.7"/>
    <n v="1073"/>
    <n v="28305"/>
    <s v="0.73"/>
    <s v="0.14"/>
    <s v="0.65"/>
    <s v="0.08"/>
    <s v="0.09"/>
    <n v="13633"/>
    <s v="K - D diff."/>
    <n v="2478"/>
    <n v="2315"/>
    <s v="1.07"/>
    <s v="0.97"/>
    <s v="75.10%"/>
    <s v="12.60%"/>
    <n v="14672"/>
    <n v="8453"/>
    <n v="3680"/>
    <n v="1182"/>
    <n v="284"/>
    <n v="34"/>
    <n v="14628"/>
    <n v="599"/>
    <n v="1526"/>
    <n v="3366"/>
    <n v="503"/>
    <n v="78"/>
    <s v="1.09"/>
    <n v="7145"/>
    <x v="1"/>
  </r>
  <r>
    <n v="8771"/>
    <s v="USTILO"/>
    <s v="Karlo Pivac"/>
    <x v="8"/>
    <x v="16"/>
    <m/>
    <s v="Renegades, ORDER"/>
    <n v="20989"/>
    <n v="20058"/>
    <s v="46.00%"/>
    <s v="77.5"/>
    <s v="3.2"/>
    <n v="1153"/>
    <n v="29801"/>
    <s v="0.7"/>
    <s v="0.14"/>
    <s v="0.67"/>
    <s v="0.1"/>
    <s v="0.1"/>
    <n v="14006"/>
    <s v="K - D diff."/>
    <n v="3249"/>
    <n v="3541"/>
    <s v="0.92"/>
    <s v="1.01"/>
    <s v="76.50%"/>
    <s v="15.50%"/>
    <n v="15795"/>
    <n v="8793"/>
    <n v="3761"/>
    <n v="1163"/>
    <n v="264"/>
    <n v="25"/>
    <n v="15518"/>
    <n v="204"/>
    <n v="1591"/>
    <n v="3442"/>
    <n v="221"/>
    <n v="61"/>
    <s v="1.03"/>
    <n v="7559.7368421052633"/>
    <x v="1"/>
  </r>
  <r>
    <n v="7775"/>
    <s v="juho"/>
    <s v="Juho Lampinen"/>
    <x v="6"/>
    <x v="4"/>
    <s v="Budapest Five"/>
    <s v="ENCE, iGame.com"/>
    <n v="14727"/>
    <n v="14535"/>
    <s v="46.00%"/>
    <s v="78.7"/>
    <s v="2.4"/>
    <n v="769"/>
    <n v="20213"/>
    <s v="0.73"/>
    <s v="0.14"/>
    <s v="0.72"/>
    <s v="0.1"/>
    <s v="0.09"/>
    <n v="9698"/>
    <s v="K - D diff."/>
    <n v="2612"/>
    <n v="2731"/>
    <s v="0.96"/>
    <s v="1.09"/>
    <s v="73.50%"/>
    <s v="18.70%"/>
    <n v="10515"/>
    <n v="5977"/>
    <n v="2650"/>
    <n v="857"/>
    <n v="193"/>
    <n v="21"/>
    <n v="9212"/>
    <n v="1381"/>
    <n v="965"/>
    <n v="2977"/>
    <n v="91"/>
    <n v="124"/>
    <s v="1.03"/>
    <n v="5276.2105263157891"/>
    <x v="0"/>
  </r>
  <r>
    <n v="15419"/>
    <s v="Viva"/>
    <s v="Lifan Ran"/>
    <x v="9"/>
    <x v="35"/>
    <m/>
    <s v="Invictus, 5POWER, CyberZen"/>
    <n v="10605"/>
    <n v="10125"/>
    <s v="46.00%"/>
    <s v="71.9"/>
    <s v="2.7"/>
    <n v="597"/>
    <n v="15834"/>
    <s v="0.67"/>
    <s v="0.12"/>
    <s v="0.64"/>
    <s v="0.1"/>
    <s v="0.11"/>
    <n v="7280"/>
    <s v="K - D diff."/>
    <n v="1702"/>
    <n v="1464"/>
    <s v="1.16"/>
    <s v="1.05"/>
    <s v="70.60%"/>
    <s v="15.00%"/>
    <n v="8554"/>
    <n v="4767"/>
    <n v="1840"/>
    <n v="553"/>
    <n v="101"/>
    <n v="19"/>
    <n v="5060"/>
    <n v="2964"/>
    <n v="561"/>
    <n v="1922"/>
    <n v="105"/>
    <n v="26"/>
    <s v="1.06"/>
    <n v="3898.8947368421054"/>
    <x v="2"/>
  </r>
  <r>
    <n v="11460"/>
    <s v="Tommy"/>
    <s v="Kumaresan Ramani"/>
    <x v="8"/>
    <x v="37"/>
    <m/>
    <s v="BOOT-d[S]"/>
    <n v="6700"/>
    <n v="7023"/>
    <s v="46.00%"/>
    <s v="76.2"/>
    <s v="2.9"/>
    <n v="387"/>
    <n v="9900"/>
    <s v="0.68"/>
    <s v="0.15"/>
    <s v="0.71"/>
    <s v="0.12"/>
    <s v="0.1"/>
    <n v="4561"/>
    <s v="K - D diff."/>
    <n v="1100"/>
    <n v="1186"/>
    <s v="0.93"/>
    <s v="1.02"/>
    <s v="70.90%"/>
    <s v="15.20%"/>
    <n v="5339"/>
    <n v="2918"/>
    <n v="1225"/>
    <n v="347"/>
    <n v="64"/>
    <n v="7"/>
    <n v="4758"/>
    <n v="141"/>
    <n v="477"/>
    <n v="1269"/>
    <n v="65"/>
    <n v="3"/>
    <s v="1.04"/>
    <n v="2498.4210526315787"/>
    <x v="3"/>
  </r>
  <r>
    <n v="12593"/>
    <s v="J1rah"/>
    <s v="Jireh Youakim"/>
    <x v="9"/>
    <x v="16"/>
    <m/>
    <s v="ORDER, Breakaway"/>
    <n v="13525"/>
    <n v="13541"/>
    <s v="46.10%"/>
    <s v="72.9"/>
    <s v="4.6"/>
    <n v="785"/>
    <n v="20383"/>
    <s v="0.66"/>
    <s v="0.13"/>
    <s v="0.66"/>
    <s v="0.1"/>
    <s v="0.08"/>
    <n v="9221"/>
    <s v="K - D diff."/>
    <n v="2052"/>
    <n v="2261"/>
    <s v="0.91"/>
    <s v="0.99"/>
    <s v="76.00%"/>
    <s v="14.30%"/>
    <n v="11162"/>
    <n v="5957"/>
    <n v="2388"/>
    <n v="731"/>
    <n v="126"/>
    <n v="19"/>
    <n v="9485"/>
    <n v="1002"/>
    <n v="786"/>
    <n v="2026"/>
    <n v="177"/>
    <n v="89"/>
    <s v="1.04"/>
    <n v="5037.6842105263158"/>
    <x v="0"/>
  </r>
  <r>
    <n v="10506"/>
    <s v="tutehen"/>
    <s v="Matias Canale"/>
    <x v="1"/>
    <x v="32"/>
    <s v="VELOX"/>
    <s v="VELOX, Isurus, Gale Force, Miami Flamingos"/>
    <n v="7365"/>
    <n v="7787"/>
    <s v="46.10%"/>
    <s v="70.9"/>
    <s v="4.4"/>
    <n v="450"/>
    <n v="11640"/>
    <s v="0.63"/>
    <s v="0.14"/>
    <s v="0.67"/>
    <s v="0.11"/>
    <s v="0.11"/>
    <n v="5223"/>
    <s v="K - D diff."/>
    <n v="951"/>
    <n v="926"/>
    <s v="1.03"/>
    <s v="0.94"/>
    <s v="71.10%"/>
    <s v="11.50%"/>
    <n v="6417"/>
    <n v="3572"/>
    <n v="1241"/>
    <n v="333"/>
    <n v="73"/>
    <n v="4"/>
    <n v="5371"/>
    <n v="150"/>
    <n v="374"/>
    <n v="1349"/>
    <n v="126"/>
    <n v="12"/>
    <s v="0.93"/>
    <n v="2808.6315789473683"/>
    <x v="3"/>
  </r>
  <r>
    <n v="7910"/>
    <s v="fejtZ"/>
    <s v="Kristjan Allsaar"/>
    <x v="2"/>
    <x v="41"/>
    <s v="Strife"/>
    <s v="SMASH, ArchAngels"/>
    <n v="14831"/>
    <n v="13489"/>
    <s v="46.20%"/>
    <n v="77"/>
    <s v="3.6"/>
    <n v="759"/>
    <n v="20147"/>
    <s v="0.74"/>
    <s v="0.13"/>
    <s v="0.67"/>
    <s v="0.1"/>
    <s v="0.13"/>
    <n v="9885"/>
    <s v="K - D diff."/>
    <n v="1858"/>
    <n v="1618"/>
    <s v="1.15"/>
    <s v="0.99"/>
    <s v="72.80%"/>
    <s v="13.20%"/>
    <n v="10262"/>
    <n v="6165"/>
    <n v="2689"/>
    <n v="859"/>
    <n v="152"/>
    <n v="20"/>
    <n v="9002"/>
    <n v="2361"/>
    <n v="579"/>
    <n v="2725"/>
    <n v="177"/>
    <n v="22"/>
    <s v="1.07"/>
    <n v="4883.8500000000004"/>
    <x v="0"/>
  </r>
  <r>
    <n v="10840"/>
    <s v="tatazin"/>
    <s v="Alef Pereira"/>
    <x v="8"/>
    <x v="6"/>
    <s v="Los Grandes"/>
    <s v="paiN, Wild, Yeah, BigGods"/>
    <n v="13179"/>
    <n v="12188"/>
    <s v="46.20%"/>
    <s v="69.9"/>
    <s v="3.2"/>
    <n v="773"/>
    <n v="20279"/>
    <s v="0.65"/>
    <s v="0.11"/>
    <s v="0.6"/>
    <s v="0.08"/>
    <s v="0.09"/>
    <n v="9185"/>
    <s v="K - D diff."/>
    <n v="1418"/>
    <n v="1163"/>
    <s v="1.22"/>
    <s v="0.92"/>
    <s v="74.80%"/>
    <s v="9.90%"/>
    <n v="11094"/>
    <n v="6063"/>
    <n v="2386"/>
    <n v="610"/>
    <n v="116"/>
    <n v="10"/>
    <n v="10120"/>
    <n v="87"/>
    <n v="705"/>
    <n v="2117"/>
    <n v="148"/>
    <n v="29"/>
    <s v="1.05"/>
    <n v="4824.7368421052633"/>
    <x v="0"/>
  </r>
  <r>
    <n v="7248"/>
    <s v="xseveN"/>
    <s v="Sami Laasanen"/>
    <x v="6"/>
    <x v="4"/>
    <s v="HAVU"/>
    <s v="HAVU, ENCE, iGame.com, RCTIC"/>
    <n v="22799"/>
    <n v="22439"/>
    <s v="46.20%"/>
    <s v="78.7"/>
    <n v="6"/>
    <n v="1275"/>
    <n v="33704"/>
    <s v="0.68"/>
    <s v="0.16"/>
    <s v="0.67"/>
    <s v="0.09"/>
    <s v="0.09"/>
    <n v="15545"/>
    <s v="K - D diff."/>
    <n v="3305"/>
    <n v="3328"/>
    <s v="0.99"/>
    <s v="0.99"/>
    <s v="72.60%"/>
    <s v="13.70%"/>
    <n v="18159"/>
    <n v="10024"/>
    <n v="4082"/>
    <n v="1172"/>
    <n v="240"/>
    <n v="27"/>
    <n v="15494"/>
    <n v="651"/>
    <n v="2069"/>
    <n v="4098"/>
    <n v="440"/>
    <n v="85"/>
    <n v="1"/>
    <n v="7568.7142857142853"/>
    <x v="1"/>
  </r>
  <r>
    <n v="17504"/>
    <s v="KEi"/>
    <s v="Kamil Pietkun"/>
    <x v="10"/>
    <x v="3"/>
    <s v="FLET"/>
    <s v="AVEZ, Anonymo, Sprout"/>
    <n v="12891"/>
    <n v="12282"/>
    <s v="46.30%"/>
    <s v="82.6"/>
    <s v="4.7"/>
    <n v="649"/>
    <n v="17432"/>
    <s v="0.74"/>
    <s v="0.14"/>
    <s v="0.7"/>
    <s v="0.09"/>
    <s v="0.09"/>
    <n v="8505"/>
    <s v="K - D diff."/>
    <n v="2239"/>
    <n v="2167"/>
    <s v="1.03"/>
    <s v="1.1"/>
    <s v="72.40%"/>
    <s v="18.30%"/>
    <n v="8927"/>
    <n v="5242"/>
    <n v="2339"/>
    <n v="744"/>
    <n v="161"/>
    <n v="19"/>
    <n v="9774"/>
    <n v="202"/>
    <n v="704"/>
    <n v="2083"/>
    <n v="129"/>
    <n v="27"/>
    <s v="1.12"/>
    <n v="4553.4736842105267"/>
    <x v="2"/>
  </r>
  <r>
    <n v="7834"/>
    <s v="v1c7oR"/>
    <s v="Viktor Dyankov"/>
    <x v="8"/>
    <x v="9"/>
    <s v="BeyondPossible"/>
    <s v="Windigo, E-frag.net, Fiend"/>
    <n v="33908"/>
    <n v="32682"/>
    <s v="46.30%"/>
    <s v="76.7"/>
    <s v="4.5"/>
    <n v="1865"/>
    <n v="48655"/>
    <s v="0.7"/>
    <s v="0.16"/>
    <s v="0.67"/>
    <s v="0.12"/>
    <s v="0.11"/>
    <n v="22857"/>
    <s v="K - D diff."/>
    <n v="5578"/>
    <n v="5623"/>
    <s v="0.99"/>
    <s v="1.05"/>
    <s v="73.70%"/>
    <s v="15.70%"/>
    <n v="25798"/>
    <n v="14522"/>
    <n v="6102"/>
    <n v="1808"/>
    <n v="379"/>
    <n v="46"/>
    <n v="26515"/>
    <n v="112"/>
    <n v="1113"/>
    <n v="5717"/>
    <n v="472"/>
    <n v="24"/>
    <s v="1.02"/>
    <n v="12304"/>
    <x v="1"/>
  </r>
  <r>
    <n v="8552"/>
    <s v="Attacker"/>
    <s v="YuanZhang Sheng"/>
    <x v="3"/>
    <x v="35"/>
    <s v="TYLOO"/>
    <s v="TYLOO, Flash"/>
    <n v="24187"/>
    <n v="21526"/>
    <s v="46.40%"/>
    <s v="79.3"/>
    <s v="2.3"/>
    <n v="1261"/>
    <n v="32444"/>
    <s v="0.75"/>
    <s v="0.14"/>
    <s v="0.66"/>
    <s v="0.11"/>
    <s v="0.11"/>
    <n v="16192"/>
    <s v="K - D diff."/>
    <n v="3175"/>
    <n v="2896"/>
    <s v="1.1"/>
    <s v="1.01"/>
    <s v="75.90%"/>
    <s v="13.40%"/>
    <n v="16252"/>
    <n v="10171"/>
    <n v="4354"/>
    <n v="1386"/>
    <n v="255"/>
    <n v="26"/>
    <n v="18784"/>
    <n v="233"/>
    <n v="1135"/>
    <n v="3842"/>
    <n v="163"/>
    <n v="113"/>
    <s v="1.08"/>
    <n v="8336.5789473684217"/>
    <x v="1"/>
  </r>
  <r>
    <n v="13188"/>
    <s v="Zellsis"/>
    <s v="Jordan Montemurro"/>
    <x v="2"/>
    <x v="0"/>
    <m/>
    <s v="Swole Patrol, Lazarus"/>
    <n v="11657"/>
    <n v="10854"/>
    <s v="46.40%"/>
    <s v="79.2"/>
    <s v="4.8"/>
    <n v="626"/>
    <n v="16210"/>
    <s v="0.72"/>
    <s v="0.15"/>
    <s v="0.67"/>
    <s v="0.1"/>
    <s v="0.11"/>
    <n v="7836"/>
    <s v="K - D diff."/>
    <n v="1705"/>
    <n v="1715"/>
    <s v="0.99"/>
    <s v="1.02"/>
    <s v="75.40%"/>
    <s v="14.90%"/>
    <n v="8374"/>
    <n v="4949"/>
    <n v="2089"/>
    <n v="674"/>
    <n v="112"/>
    <n v="12"/>
    <n v="7896"/>
    <n v="583"/>
    <n v="960"/>
    <n v="2047"/>
    <n v="168"/>
    <n v="23"/>
    <s v="1.11"/>
    <n v="4131.0526315789475"/>
    <x v="2"/>
  </r>
  <r>
    <n v="10570"/>
    <s v="dzt"/>
    <s v="Denis Fischer"/>
    <x v="3"/>
    <x v="6"/>
    <m/>
    <s v="Imperial, Case, BigGods"/>
    <n v="12004"/>
    <n v="11856"/>
    <s v="46.40%"/>
    <s v="75.6"/>
    <s v="3.8"/>
    <n v="676"/>
    <n v="17504"/>
    <s v="0.69"/>
    <s v="0.13"/>
    <s v="0.68"/>
    <s v="0.1"/>
    <s v="0.09"/>
    <n v="8152"/>
    <s v="K - D diff."/>
    <n v="2100"/>
    <n v="2069"/>
    <s v="1.01"/>
    <s v="1.07"/>
    <s v="73.80%"/>
    <s v="17.10%"/>
    <n v="9352"/>
    <n v="5217"/>
    <n v="2166"/>
    <n v="629"/>
    <n v="132"/>
    <n v="8"/>
    <n v="8221"/>
    <n v="843"/>
    <n v="817"/>
    <n v="1938"/>
    <n v="127"/>
    <n v="105"/>
    <n v="1"/>
    <n v="4195.8500000000004"/>
    <x v="2"/>
  </r>
  <r>
    <n v="16947"/>
    <s v="Perfecto"/>
    <s v="Ilya Zalutskiy"/>
    <x v="9"/>
    <x v="1"/>
    <s v="Natus Vincere"/>
    <s v="Natus Vincere, Syman"/>
    <n v="11892"/>
    <n v="11476"/>
    <s v="46.40%"/>
    <s v="69.8"/>
    <s v="4.5"/>
    <n v="722"/>
    <n v="19078"/>
    <s v="0.62"/>
    <s v="0.13"/>
    <s v="0.6"/>
    <s v="0.09"/>
    <s v="0.09"/>
    <n v="8350"/>
    <s v="K - D diff."/>
    <n v="1218"/>
    <n v="1159"/>
    <s v="1.05"/>
    <s v="0.88"/>
    <s v="73.20%"/>
    <s v="8.80%"/>
    <n v="10728"/>
    <n v="5604"/>
    <n v="2077"/>
    <n v="555"/>
    <n v="101"/>
    <n v="13"/>
    <n v="8644"/>
    <n v="218"/>
    <n v="838"/>
    <n v="1999"/>
    <n v="193"/>
    <n v="44"/>
    <s v="1.04"/>
    <n v="4468.894736842105"/>
    <x v="2"/>
  </r>
  <r>
    <n v="9676"/>
    <s v="NikkeZ"/>
    <s v="Nikhil Victor"/>
    <x v="6"/>
    <x v="16"/>
    <s v="Aftershock"/>
    <s v="Ground Zero, Athletico"/>
    <n v="7903"/>
    <n v="7368"/>
    <s v="46.50%"/>
    <s v="82.5"/>
    <s v="4.5"/>
    <n v="413"/>
    <n v="10628"/>
    <s v="0.74"/>
    <s v="0.15"/>
    <s v="0.69"/>
    <s v="0.09"/>
    <s v="0.1"/>
    <n v="5243"/>
    <s v="K - D diff."/>
    <n v="1090"/>
    <n v="984"/>
    <s v="1.11"/>
    <s v="1.03"/>
    <s v="72.30%"/>
    <s v="14.80%"/>
    <n v="5385"/>
    <n v="3242"/>
    <n v="1459"/>
    <n v="438"/>
    <n v="91"/>
    <n v="13"/>
    <n v="5822"/>
    <n v="234"/>
    <n v="410"/>
    <n v="1324"/>
    <n v="117"/>
    <n v="12"/>
    <s v="1.06"/>
    <n v="2746.1052631578946"/>
    <x v="3"/>
  </r>
  <r>
    <n v="8800"/>
    <s v="stfN"/>
    <s v="Stefan Seier"/>
    <x v="1"/>
    <x v="14"/>
    <s v="cowana"/>
    <s v="ALTERNATE aTTaX"/>
    <n v="24939"/>
    <n v="23516"/>
    <s v="46.50%"/>
    <s v="75.7"/>
    <n v="4"/>
    <n v="1355"/>
    <n v="35985"/>
    <s v="0.69"/>
    <s v="0.14"/>
    <s v="0.65"/>
    <s v="0.1"/>
    <s v="0.12"/>
    <n v="16943"/>
    <s v="K - D diff."/>
    <n v="3555"/>
    <n v="3156"/>
    <s v="1.13"/>
    <s v="1.01"/>
    <s v="71.60%"/>
    <s v="13.90%"/>
    <n v="19042"/>
    <n v="10857"/>
    <n v="4480"/>
    <n v="1323"/>
    <n v="263"/>
    <n v="20"/>
    <n v="17713"/>
    <n v="1282"/>
    <n v="1071"/>
    <n v="4544"/>
    <n v="310"/>
    <n v="65"/>
    <s v="1.03"/>
    <n v="8521.15"/>
    <x v="1"/>
  </r>
  <r>
    <n v="7412"/>
    <s v="gla1ve"/>
    <s v="Lukas Rossander"/>
    <x v="6"/>
    <x v="2"/>
    <s v="Astralis"/>
    <s v="Astralis, CPH Wolves"/>
    <n v="29339"/>
    <n v="29265"/>
    <s v="46.50%"/>
    <s v="74.8"/>
    <s v="6.1"/>
    <n v="1690"/>
    <n v="44425"/>
    <s v="0.66"/>
    <s v="0.16"/>
    <s v="0.66"/>
    <s v="0.1"/>
    <s v="0.08"/>
    <n v="20111"/>
    <s v="K - D diff."/>
    <n v="4617"/>
    <n v="4728"/>
    <s v="0.98"/>
    <s v="1.01"/>
    <s v="75.30%"/>
    <s v="14.40%"/>
    <n v="24314"/>
    <n v="13038"/>
    <n v="5236"/>
    <n v="1561"/>
    <n v="254"/>
    <n v="22"/>
    <n v="20712"/>
    <n v="1079"/>
    <n v="2320"/>
    <n v="4670"/>
    <n v="565"/>
    <n v="53"/>
    <s v="0.98"/>
    <n v="10947.315789473685"/>
    <x v="1"/>
  </r>
  <r>
    <n v="8212"/>
    <s v="ScrunK"/>
    <s v="Robin RÃ¶pke"/>
    <x v="6"/>
    <x v="14"/>
    <s v="Sangal"/>
    <s v="ALTERNATE aTTaX, expert"/>
    <n v="15090"/>
    <n v="17651"/>
    <s v="46.50%"/>
    <s v="71.1"/>
    <s v="6.8"/>
    <n v="932"/>
    <n v="24766"/>
    <s v="0.61"/>
    <s v="0.14"/>
    <s v="0.71"/>
    <s v="0.1"/>
    <s v="0.08"/>
    <n v="10479"/>
    <s v="K - D diff."/>
    <n v="2432"/>
    <n v="3011"/>
    <s v="0.81"/>
    <s v="0.96"/>
    <s v="72.40%"/>
    <s v="14.50%"/>
    <n v="14287"/>
    <n v="6932"/>
    <n v="2648"/>
    <n v="751"/>
    <n v="134"/>
    <n v="14"/>
    <n v="9958"/>
    <n v="878"/>
    <n v="1506"/>
    <n v="2487"/>
    <n v="246"/>
    <n v="65"/>
    <s v="0.88"/>
    <n v="6014.0526315789475"/>
    <x v="0"/>
  </r>
  <r>
    <n v="8711"/>
    <s v="Sonic"/>
    <s v="Aran Groesbeek"/>
    <x v="4"/>
    <x v="33"/>
    <m/>
    <s v="Bravado, Extra Salt, Cloud9"/>
    <n v="17758"/>
    <n v="15541"/>
    <s v="46.60%"/>
    <s v="78.5"/>
    <s v="4.3"/>
    <n v="940"/>
    <n v="24238"/>
    <s v="0.73"/>
    <s v="0.13"/>
    <s v="0.64"/>
    <s v="0.11"/>
    <s v="0.12"/>
    <n v="11844"/>
    <s v="K - D diff."/>
    <n v="2668"/>
    <n v="2096"/>
    <s v="1.27"/>
    <s v="1.07"/>
    <s v="73.40%"/>
    <s v="15.10%"/>
    <n v="12394"/>
    <n v="7417"/>
    <n v="3215"/>
    <n v="960"/>
    <n v="229"/>
    <n v="23"/>
    <n v="10797"/>
    <n v="3452"/>
    <n v="428"/>
    <n v="2795"/>
    <n v="233"/>
    <n v="122"/>
    <s v="1.09"/>
    <n v="6165.7894736842109"/>
    <x v="0"/>
  </r>
  <r>
    <n v="7154"/>
    <s v="Pimp"/>
    <s v="Jacob Winneche"/>
    <x v="13"/>
    <x v="2"/>
    <m/>
    <s v="Dignitas, SK, Liquid, CPH Wolves"/>
    <n v="18116"/>
    <n v="16100"/>
    <s v="46.60%"/>
    <s v="78.3"/>
    <s v="3.9"/>
    <n v="976"/>
    <n v="25052"/>
    <s v="0.72"/>
    <s v="0.14"/>
    <s v="0.64"/>
    <s v="0.1"/>
    <s v="0.11"/>
    <n v="12226"/>
    <s v="K - D diff."/>
    <n v="2152"/>
    <n v="1778"/>
    <s v="1.21"/>
    <s v="0.98"/>
    <s v="76.00%"/>
    <s v="12.40%"/>
    <n v="12826"/>
    <n v="7764"/>
    <n v="3307"/>
    <n v="966"/>
    <n v="175"/>
    <n v="14"/>
    <n v="12059"/>
    <n v="2013"/>
    <n v="422"/>
    <n v="3279"/>
    <n v="326"/>
    <n v="35"/>
    <s v="1.07"/>
    <n v="6294"/>
    <x v="0"/>
  </r>
  <r>
    <n v="8528"/>
    <s v="HObbit"/>
    <s v="Abay Khasenov"/>
    <x v="8"/>
    <x v="10"/>
    <s v="Cloud9"/>
    <s v="Gambit, Winstrike"/>
    <n v="22601"/>
    <n v="20378"/>
    <s v="46.60%"/>
    <n v="80"/>
    <s v="5.6"/>
    <n v="1184"/>
    <n v="31223"/>
    <s v="0.72"/>
    <s v="0.14"/>
    <s v="0.65"/>
    <s v="0.08"/>
    <s v="0.08"/>
    <n v="15178"/>
    <s v="K - D diff."/>
    <n v="3264"/>
    <n v="3115"/>
    <s v="1.05"/>
    <s v="1.02"/>
    <s v="72.80%"/>
    <s v="14.30%"/>
    <n v="16045"/>
    <n v="9574"/>
    <n v="4065"/>
    <n v="1279"/>
    <n v="240"/>
    <n v="20"/>
    <n v="16147"/>
    <n v="682"/>
    <n v="1674"/>
    <n v="3702"/>
    <n v="336"/>
    <n v="102"/>
    <s v="1.07"/>
    <n v="7544.45"/>
    <x v="1"/>
  </r>
  <r>
    <n v="10504"/>
    <s v="NikoM"/>
    <s v="Nicolas Miozzi"/>
    <x v="3"/>
    <x v="32"/>
    <s v="Arvum"/>
    <s v="TeamOne, Isurus, DETONA"/>
    <n v="9126"/>
    <n v="8286"/>
    <s v="46.60%"/>
    <s v="79.7"/>
    <s v="4.5"/>
    <n v="489"/>
    <n v="12550"/>
    <s v="0.73"/>
    <s v="0.14"/>
    <s v="0.66"/>
    <s v="0.1"/>
    <s v="0.11"/>
    <n v="6144"/>
    <s v="K - D diff."/>
    <n v="1188"/>
    <n v="1099"/>
    <s v="1.08"/>
    <s v="0.99"/>
    <s v="72.80%"/>
    <s v="13.10%"/>
    <n v="6406"/>
    <n v="3936"/>
    <n v="1562"/>
    <n v="529"/>
    <n v="106"/>
    <n v="11"/>
    <n v="6418"/>
    <n v="505"/>
    <n v="397"/>
    <n v="1680"/>
    <n v="139"/>
    <n v="19"/>
    <s v="1.06"/>
    <n v="3188.9473684210525"/>
    <x v="3"/>
  </r>
  <r>
    <n v="885"/>
    <s v="olofmeister"/>
    <s v="Olof Kajbjer"/>
    <x v="5"/>
    <x v="15"/>
    <s v="FaZe"/>
    <s v="fnatic, FaZe"/>
    <n v="29037"/>
    <n v="26340"/>
    <s v="46.60%"/>
    <s v="72.8"/>
    <s v="4.4"/>
    <n v="1559"/>
    <n v="40766"/>
    <s v="0.71"/>
    <s v="0.13"/>
    <s v="0.65"/>
    <s v="0.09"/>
    <s v="0.08"/>
    <n v="19497"/>
    <s v="K - D diff."/>
    <n v="4355"/>
    <n v="4110"/>
    <s v="1.06"/>
    <s v="1.03"/>
    <s v="76.60%"/>
    <s v="15.10%"/>
    <n v="21269"/>
    <n v="12275"/>
    <n v="5330"/>
    <n v="1559"/>
    <n v="302"/>
    <n v="31"/>
    <n v="17746"/>
    <n v="4005"/>
    <n v="1357"/>
    <n v="5331"/>
    <n v="413"/>
    <n v="214"/>
    <s v="1.06"/>
    <n v="10289.263157894737"/>
    <x v="1"/>
  </r>
  <r>
    <n v="9961"/>
    <s v="MonttY"/>
    <s v="Martin MeliÅ¡ek"/>
    <x v="4"/>
    <x v="17"/>
    <m/>
    <s v="eXtatus, eSuba"/>
    <n v="9507"/>
    <n v="9169"/>
    <s v="46.60%"/>
    <s v="77.3"/>
    <s v="1.9"/>
    <n v="522"/>
    <n v="13451"/>
    <s v="0.71"/>
    <s v="0.14"/>
    <s v="0.68"/>
    <s v="0.11"/>
    <s v="0.11"/>
    <n v="6421"/>
    <s v="K - D diff."/>
    <n v="1322"/>
    <n v="1388"/>
    <s v="0.95"/>
    <s v="0.99"/>
    <s v="72.20%"/>
    <s v="13.80%"/>
    <n v="7030"/>
    <n v="4088"/>
    <n v="1702"/>
    <n v="513"/>
    <n v="114"/>
    <n v="4"/>
    <n v="7317"/>
    <n v="7"/>
    <n v="544"/>
    <n v="1591"/>
    <n v="60"/>
    <n v="9"/>
    <s v="1.02"/>
    <n v="3408.3684210526317"/>
    <x v="2"/>
  </r>
  <r>
    <n v="8733"/>
    <s v="bodito"/>
    <s v="Patrik Boda"/>
    <x v="2"/>
    <x v="7"/>
    <s v="ONYX"/>
    <s v="Budapest Five, Salamander, Pixel, Sensei"/>
    <n v="8082"/>
    <n v="8487"/>
    <s v="46.60%"/>
    <s v="74.3"/>
    <s v="3.6"/>
    <n v="446"/>
    <n v="11985"/>
    <s v="0.67"/>
    <s v="0.14"/>
    <s v="0.71"/>
    <s v="0.11"/>
    <s v="0.1"/>
    <n v="5492"/>
    <s v="K - D diff."/>
    <n v="1208"/>
    <n v="1385"/>
    <s v="0.87"/>
    <s v="0.98"/>
    <s v="73.10%"/>
    <s v="15.10%"/>
    <n v="6493"/>
    <n v="3526"/>
    <n v="1447"/>
    <n v="431"/>
    <n v="78"/>
    <n v="10"/>
    <n v="5544"/>
    <n v="561"/>
    <n v="296"/>
    <n v="1539"/>
    <n v="96"/>
    <n v="63"/>
    <s v="0.96"/>
    <n v="3008.8947368421054"/>
    <x v="3"/>
  </r>
  <r>
    <n v="8320"/>
    <s v="repo"/>
    <s v="Karol Cybulski"/>
    <x v="3"/>
    <x v="3"/>
    <m/>
    <s v="PRIDE, ESC, AGG, Vexed"/>
    <n v="8647"/>
    <n v="9304"/>
    <s v="46.60%"/>
    <s v="69.4"/>
    <s v="3.8"/>
    <n v="505"/>
    <n v="13254"/>
    <s v="0.65"/>
    <s v="0.13"/>
    <s v="0.7"/>
    <s v="0.1"/>
    <s v="0.09"/>
    <n v="5996"/>
    <s v="K - D diff."/>
    <n v="1225"/>
    <n v="1406"/>
    <s v="0.87"/>
    <s v="0.95"/>
    <s v="71.10%"/>
    <s v="13.30%"/>
    <n v="7258"/>
    <n v="3960"/>
    <n v="1519"/>
    <n v="431"/>
    <n v="77"/>
    <n v="9"/>
    <n v="5984"/>
    <n v="205"/>
    <n v="513"/>
    <n v="1794"/>
    <n v="109"/>
    <n v="54"/>
    <s v="0.94"/>
    <n v="3276.3157894736842"/>
    <x v="3"/>
  </r>
  <r>
    <n v="8944"/>
    <s v="Benkai"/>
    <s v="Benedict Tan"/>
    <x v="3"/>
    <x v="37"/>
    <m/>
    <s v="BOOT-d[S], BOOT, dream[S]cape"/>
    <n v="12164"/>
    <n v="10118"/>
    <s v="46.70%"/>
    <s v="85.4"/>
    <s v="4.2"/>
    <n v="603"/>
    <n v="15560"/>
    <s v="0.78"/>
    <s v="0.14"/>
    <s v="0.65"/>
    <s v="0.07"/>
    <s v="0.1"/>
    <n v="7983"/>
    <s v="K - D diff."/>
    <n v="1838"/>
    <n v="1550"/>
    <s v="1.19"/>
    <s v="1.09"/>
    <s v="75.80%"/>
    <s v="17.00%"/>
    <n v="7577"/>
    <n v="4863"/>
    <n v="2231"/>
    <n v="732"/>
    <n v="142"/>
    <n v="15"/>
    <n v="8704"/>
    <n v="427"/>
    <n v="826"/>
    <n v="1973"/>
    <n v="157"/>
    <n v="101"/>
    <s v="1.14"/>
    <n v="4082.3157894736842"/>
    <x v="2"/>
  </r>
  <r>
    <n v="17011"/>
    <s v="shalfey"/>
    <s v="Alexandr Marenov"/>
    <x v="11"/>
    <x v="1"/>
    <s v="forZe"/>
    <s v="forZe, Unique, Dracarys"/>
    <n v="7532"/>
    <n v="6744"/>
    <s v="46.70%"/>
    <n v="77"/>
    <s v="3.6"/>
    <n v="396"/>
    <n v="10659"/>
    <s v="0.71"/>
    <s v="0.12"/>
    <s v="0.63"/>
    <s v="0.08"/>
    <s v="0.09"/>
    <n v="5166"/>
    <s v="K - D diff."/>
    <n v="1199"/>
    <n v="983"/>
    <s v="1.22"/>
    <s v="1.08"/>
    <s v="72.60%"/>
    <s v="16.10%"/>
    <n v="5493"/>
    <n v="3359"/>
    <n v="1332"/>
    <n v="391"/>
    <n v="84"/>
    <n v="0"/>
    <n v="5469"/>
    <n v="569"/>
    <n v="327"/>
    <n v="1080"/>
    <n v="84"/>
    <n v="26"/>
    <s v="1.11"/>
    <n v="2548.5"/>
    <x v="3"/>
  </r>
  <r>
    <n v="8513"/>
    <s v="yay"/>
    <s v="Jaccob Whiteaker"/>
    <x v="4"/>
    <x v="0"/>
    <m/>
    <s v="Complexity, Orgless"/>
    <n v="12452"/>
    <n v="11848"/>
    <s v="46.70%"/>
    <s v="77.6"/>
    <s v="3.4"/>
    <n v="653"/>
    <n v="17182"/>
    <s v="0.72"/>
    <s v="0.13"/>
    <s v="0.69"/>
    <s v="0.1"/>
    <s v="0.11"/>
    <n v="8170"/>
    <s v="K - D diff."/>
    <n v="2071"/>
    <n v="2084"/>
    <s v="0.99"/>
    <s v="1.07"/>
    <s v="74.10%"/>
    <s v="17.00%"/>
    <n v="9012"/>
    <n v="5001"/>
    <n v="2258"/>
    <n v="737"/>
    <n v="146"/>
    <n v="28"/>
    <n v="8085"/>
    <n v="1511"/>
    <n v="563"/>
    <n v="2162"/>
    <n v="122"/>
    <n v="26"/>
    <s v="1.05"/>
    <n v="4426.894736842105"/>
    <x v="2"/>
  </r>
  <r>
    <n v="8324"/>
    <s v="morelz"/>
    <s v="Piotr Taterka"/>
    <x v="8"/>
    <x v="3"/>
    <s v="Illuminar"/>
    <s v="PRIDE, Virtus.pro"/>
    <n v="20053"/>
    <n v="20255"/>
    <s v="46.70%"/>
    <n v="77"/>
    <s v="3.3"/>
    <n v="1087"/>
    <n v="28887"/>
    <s v="0.69"/>
    <s v="0.13"/>
    <s v="0.7"/>
    <s v="0.09"/>
    <s v="0.09"/>
    <n v="13583"/>
    <s v="K - D diff."/>
    <n v="3044"/>
    <n v="3255"/>
    <s v="0.94"/>
    <s v="1.01"/>
    <s v="72.00%"/>
    <s v="15.20%"/>
    <n v="15304"/>
    <n v="8679"/>
    <n v="3586"/>
    <n v="1089"/>
    <n v="210"/>
    <n v="19"/>
    <n v="14370"/>
    <n v="521"/>
    <n v="1144"/>
    <n v="3680"/>
    <n v="270"/>
    <n v="88"/>
    <s v="0.99"/>
    <n v="6960.05"/>
    <x v="1"/>
  </r>
  <r>
    <n v="9031"/>
    <s v="valde"/>
    <s v="Valdemar BjÃ¸rn VangsÃ¥"/>
    <x v="6"/>
    <x v="2"/>
    <s v="OG"/>
    <s v="North, OG, Heroic"/>
    <n v="24018"/>
    <n v="21192"/>
    <s v="46.80%"/>
    <n v="80"/>
    <s v="4.9"/>
    <n v="1230"/>
    <n v="32676"/>
    <s v="0.74"/>
    <s v="0.13"/>
    <s v="0.65"/>
    <s v="0.1"/>
    <s v="0.1"/>
    <n v="15988"/>
    <s v="K - D diff."/>
    <n v="3085"/>
    <n v="2467"/>
    <s v="1.25"/>
    <s v="1.01"/>
    <s v="75.20%"/>
    <s v="13.70%"/>
    <n v="16688"/>
    <n v="9948"/>
    <n v="4373"/>
    <n v="1378"/>
    <n v="255"/>
    <n v="34"/>
    <n v="18588"/>
    <n v="187"/>
    <n v="1230"/>
    <n v="3690"/>
    <n v="327"/>
    <n v="54"/>
    <s v="1.09"/>
    <n v="7874.4"/>
    <x v="1"/>
  </r>
  <r>
    <n v="12732"/>
    <s v="FL1T"/>
    <s v="Evgenii Lebedev"/>
    <x v="10"/>
    <x v="1"/>
    <s v="Outsiders"/>
    <s v="forZe"/>
    <n v="24608"/>
    <n v="21806"/>
    <s v="46.80%"/>
    <s v="80.3"/>
    <s v="4.3"/>
    <n v="1249"/>
    <n v="33673"/>
    <s v="0.73"/>
    <s v="0.13"/>
    <s v="0.65"/>
    <s v="0.09"/>
    <s v="0.11"/>
    <n v="16583"/>
    <s v="K - D diff."/>
    <n v="2898"/>
    <n v="2660"/>
    <s v="1.09"/>
    <s v="0.97"/>
    <s v="73.50%"/>
    <s v="12.10%"/>
    <n v="17090"/>
    <n v="10492"/>
    <n v="4472"/>
    <n v="1331"/>
    <n v="261"/>
    <n v="27"/>
    <n v="18437"/>
    <n v="940"/>
    <n v="1000"/>
    <n v="3836"/>
    <n v="395"/>
    <n v="93"/>
    <s v="1.13"/>
    <n v="8518.4736842105267"/>
    <x v="1"/>
  </r>
  <r>
    <n v="7808"/>
    <s v="freakazoid"/>
    <s v="Ryan Abadir"/>
    <x v="1"/>
    <x v="0"/>
    <s v="Mythic"/>
    <s v="Swole Patrol, Cloud9, Echo Fox"/>
    <n v="16041"/>
    <n v="16075"/>
    <s v="46.80%"/>
    <s v="77.9"/>
    <s v="4.5"/>
    <n v="901"/>
    <n v="23127"/>
    <s v="0.69"/>
    <s v="0.15"/>
    <s v="0.7"/>
    <s v="0.11"/>
    <s v="0.1"/>
    <n v="10874"/>
    <s v="K - D diff."/>
    <n v="2494"/>
    <n v="2758"/>
    <s v="0.9"/>
    <s v="1.01"/>
    <s v="75.20%"/>
    <s v="15.50%"/>
    <n v="12253"/>
    <n v="6953"/>
    <n v="2888"/>
    <n v="844"/>
    <n v="173"/>
    <n v="16"/>
    <n v="11682"/>
    <n v="87"/>
    <n v="1173"/>
    <n v="2859"/>
    <n v="212"/>
    <n v="61"/>
    <s v="0.99"/>
    <n v="5866.894736842105"/>
    <x v="0"/>
  </r>
  <r>
    <n v="884"/>
    <s v="Xizt"/>
    <s v="Richard LandstrÃ¶m"/>
    <x v="14"/>
    <x v="15"/>
    <s v="Heroic"/>
    <s v="NIP, fnatic"/>
    <n v="28491"/>
    <n v="27984"/>
    <s v="46.80%"/>
    <s v="70.4"/>
    <n v="5"/>
    <n v="1665"/>
    <n v="42830"/>
    <s v="0.67"/>
    <s v="0.17"/>
    <s v="0.65"/>
    <s v="0.1"/>
    <s v="0.1"/>
    <n v="19825"/>
    <s v="K - D diff."/>
    <n v="3698"/>
    <n v="3347"/>
    <s v="1.1"/>
    <s v="0.97"/>
    <s v="77.60%"/>
    <s v="12.40%"/>
    <n v="23005"/>
    <n v="13114"/>
    <n v="5095"/>
    <n v="1369"/>
    <n v="225"/>
    <n v="22"/>
    <n v="21772"/>
    <n v="703"/>
    <n v="920"/>
    <n v="4686"/>
    <n v="365"/>
    <n v="61"/>
    <s v="0.98"/>
    <n v="9959.1"/>
    <x v="1"/>
  </r>
  <r>
    <n v="13250"/>
    <s v="ben1337"/>
    <s v="Ben Smith"/>
    <x v="2"/>
    <x v="0"/>
    <s v="EG.PA"/>
    <s v="Party Astronauts, New England Whalers, High Coast"/>
    <n v="15025"/>
    <n v="16842"/>
    <s v="46.80%"/>
    <s v="69.4"/>
    <s v="5.1"/>
    <n v="940"/>
    <n v="24528"/>
    <s v="0.61"/>
    <s v="0.14"/>
    <s v="0.69"/>
    <s v="0.11"/>
    <s v="0.09"/>
    <n v="10606"/>
    <s v="K - D diff."/>
    <n v="2182"/>
    <n v="2488"/>
    <s v="0.88"/>
    <s v="0.94"/>
    <s v="75.30%"/>
    <s v="12.80%"/>
    <n v="13922"/>
    <n v="7164"/>
    <n v="2620"/>
    <n v="680"/>
    <n v="129"/>
    <n v="13"/>
    <n v="10449"/>
    <n v="654"/>
    <n v="1183"/>
    <n v="2483"/>
    <n v="235"/>
    <n v="68"/>
    <s v="0.97"/>
    <n v="5905.8421052631575"/>
    <x v="0"/>
  </r>
  <r>
    <n v="19044"/>
    <s v="DiMKE"/>
    <s v="Dimitrije VeljkoviÄ‡"/>
    <x v="8"/>
    <x v="19"/>
    <s v="ex-4glory"/>
    <s v="AGO"/>
    <n v="12061"/>
    <n v="11567"/>
    <s v="46.90%"/>
    <s v="79.1"/>
    <s v="4.4"/>
    <n v="649"/>
    <n v="17082"/>
    <s v="0.71"/>
    <s v="0.15"/>
    <s v="0.68"/>
    <s v="0.11"/>
    <s v="0.12"/>
    <n v="8095"/>
    <s v="K - D diff."/>
    <n v="1617"/>
    <n v="1615"/>
    <n v="1"/>
    <s v="0.98"/>
    <s v="72.60%"/>
    <s v="13.90%"/>
    <n v="8987"/>
    <n v="5107"/>
    <n v="2164"/>
    <n v="685"/>
    <n v="126"/>
    <n v="13"/>
    <n v="9182"/>
    <n v="83"/>
    <n v="645"/>
    <n v="1935"/>
    <n v="147"/>
    <n v="89"/>
    <s v="1.03"/>
    <n v="4092.5"/>
    <x v="2"/>
  </r>
  <r>
    <n v="9911"/>
    <s v="kreaz"/>
    <s v="Rasmus Johansson"/>
    <x v="2"/>
    <x v="15"/>
    <s v="Finest"/>
    <s v="Finest, Apeks"/>
    <n v="13418"/>
    <n v="12838"/>
    <s v="46.90%"/>
    <s v="75.7"/>
    <s v="4.5"/>
    <n v="746"/>
    <n v="19847"/>
    <s v="0.68"/>
    <s v="0.14"/>
    <s v="0.65"/>
    <s v="0.09"/>
    <s v="0.1"/>
    <n v="9209"/>
    <s v="K - D diff."/>
    <n v="1709"/>
    <n v="1726"/>
    <s v="0.99"/>
    <s v="0.95"/>
    <s v="74.50%"/>
    <s v="12.70%"/>
    <n v="10638"/>
    <n v="5999"/>
    <n v="2372"/>
    <n v="689"/>
    <n v="137"/>
    <n v="12"/>
    <n v="9286"/>
    <n v="699"/>
    <n v="999"/>
    <n v="2238"/>
    <n v="198"/>
    <n v="54"/>
    <s v="1.01"/>
    <n v="4884.9473684210525"/>
    <x v="0"/>
  </r>
  <r>
    <n v="16816"/>
    <s v="vsm"/>
    <s v="Vinicius Moreira"/>
    <x v="4"/>
    <x v="6"/>
    <s v="00NATION"/>
    <s v="DETONA, 00NATION"/>
    <n v="10883"/>
    <n v="9398"/>
    <s v="47.00%"/>
    <s v="83.6"/>
    <s v="3.1"/>
    <n v="533"/>
    <n v="14130"/>
    <s v="0.77"/>
    <s v="0.13"/>
    <s v="0.67"/>
    <s v="0.09"/>
    <s v="0.1"/>
    <n v="7098"/>
    <s v="K - D diff."/>
    <n v="1806"/>
    <n v="1548"/>
    <s v="1.17"/>
    <s v="1.12"/>
    <s v="73.20%"/>
    <s v="17.90%"/>
    <n v="7032"/>
    <n v="4315"/>
    <n v="1963"/>
    <n v="647"/>
    <n v="164"/>
    <n v="9"/>
    <n v="7544"/>
    <n v="1047"/>
    <n v="404"/>
    <n v="1800"/>
    <n v="99"/>
    <n v="32"/>
    <s v="1.18"/>
    <n v="3708"/>
    <x v="2"/>
  </r>
  <r>
    <n v="16817"/>
    <s v="hardzao"/>
    <s v="Wesley Lopes"/>
    <x v="10"/>
    <x v="6"/>
    <s v="paiN"/>
    <s v="paiN, DETONA"/>
    <n v="12915"/>
    <n v="11407"/>
    <s v="47.00%"/>
    <s v="75.2"/>
    <s v="4.6"/>
    <n v="702"/>
    <n v="18441"/>
    <s v="0.7"/>
    <s v="0.12"/>
    <s v="0.62"/>
    <s v="0.1"/>
    <s v="0.1"/>
    <n v="8787"/>
    <s v="K - D diff."/>
    <n v="1676"/>
    <n v="1495"/>
    <s v="1.12"/>
    <s v="0.99"/>
    <s v="75.80%"/>
    <s v="12.60%"/>
    <n v="9654"/>
    <n v="5630"/>
    <n v="2368"/>
    <n v="630"/>
    <n v="136"/>
    <n v="23"/>
    <n v="8438"/>
    <n v="1139"/>
    <n v="1047"/>
    <n v="2043"/>
    <n v="180"/>
    <n v="115"/>
    <s v="1.11"/>
    <n v="4569.7894736842109"/>
    <x v="2"/>
  </r>
  <r>
    <n v="8566"/>
    <s v="LUCAS1"/>
    <s v="Lucas Teles"/>
    <x v="6"/>
    <x v="6"/>
    <m/>
    <s v="Immortals, Luminosity, MIBR, Tempo Storm"/>
    <n v="16073"/>
    <n v="16554"/>
    <s v="47.00%"/>
    <s v="76.6"/>
    <s v="3.9"/>
    <n v="943"/>
    <n v="24480"/>
    <s v="0.66"/>
    <s v="0.16"/>
    <s v="0.68"/>
    <s v="0.1"/>
    <s v="0.09"/>
    <n v="11048"/>
    <s v="K - D diff."/>
    <n v="2454"/>
    <n v="2613"/>
    <s v="0.94"/>
    <s v="0.99"/>
    <s v="71.30%"/>
    <s v="13.80%"/>
    <n v="13432"/>
    <n v="7188"/>
    <n v="2877"/>
    <n v="816"/>
    <n v="153"/>
    <n v="14"/>
    <n v="11720"/>
    <n v="259"/>
    <n v="722"/>
    <n v="3072"/>
    <n v="206"/>
    <n v="130"/>
    <s v="0.96"/>
    <n v="6039.6842105263158"/>
    <x v="0"/>
  </r>
  <r>
    <n v="9820"/>
    <s v="pietola"/>
    <s v="Lauri Hietala"/>
    <x v="2"/>
    <x v="4"/>
    <m/>
    <s v="KOVA"/>
    <n v="6256"/>
    <n v="6848"/>
    <s v="47.10%"/>
    <s v="69.4"/>
    <n v="5"/>
    <n v="383"/>
    <n v="10178"/>
    <s v="0.61"/>
    <s v="0.13"/>
    <s v="0.67"/>
    <s v="0.09"/>
    <s v="0.1"/>
    <n v="4388"/>
    <s v="K - D diff."/>
    <n v="810"/>
    <n v="991"/>
    <s v="0.82"/>
    <s v="0.9"/>
    <s v="68.90%"/>
    <s v="11.40%"/>
    <n v="5790"/>
    <n v="2924"/>
    <n v="1125"/>
    <n v="280"/>
    <n v="53"/>
    <n v="6"/>
    <n v="4549"/>
    <n v="25"/>
    <n v="418"/>
    <n v="1151"/>
    <n v="116"/>
    <n v="20"/>
    <s v="0.91"/>
    <n v="2315.8000000000002"/>
    <x v="3"/>
  </r>
  <r>
    <n v="15726"/>
    <s v="nawrot"/>
    <s v="Piotr Nawrocki"/>
    <x v="4"/>
    <x v="3"/>
    <m/>
    <s v="AVEZ, Izako Boars"/>
    <n v="9764"/>
    <n v="11501"/>
    <s v="47.10%"/>
    <s v="66.1"/>
    <n v="4"/>
    <n v="603"/>
    <n v="16182"/>
    <s v="0.6"/>
    <s v="0.12"/>
    <s v="0.71"/>
    <s v="0.1"/>
    <s v="0.09"/>
    <n v="6845"/>
    <s v="K - D diff."/>
    <n v="1546"/>
    <n v="1831"/>
    <s v="0.84"/>
    <s v="0.96"/>
    <s v="71.40%"/>
    <s v="13.70%"/>
    <n v="9337"/>
    <n v="4551"/>
    <n v="1756"/>
    <n v="458"/>
    <n v="73"/>
    <n v="7"/>
    <n v="6126"/>
    <n v="1401"/>
    <n v="595"/>
    <n v="1537"/>
    <n v="103"/>
    <n v="28"/>
    <s v="0.92"/>
    <n v="3712.4"/>
    <x v="2"/>
  </r>
  <r>
    <n v="10705"/>
    <s v="Kntz"/>
    <s v="Krit Chaiprasit"/>
    <x v="2"/>
    <x v="12"/>
    <s v="NKT"/>
    <s v="NKT, Alpha Red, Beyond, NSPR"/>
    <n v="9693"/>
    <n v="9024"/>
    <s v="47.20%"/>
    <s v="75.5"/>
    <s v="2.8"/>
    <n v="531"/>
    <n v="13727"/>
    <s v="0.71"/>
    <s v="0.12"/>
    <s v="0.66"/>
    <s v="0.1"/>
    <s v="0.11"/>
    <n v="6642"/>
    <s v="K - D diff."/>
    <n v="1086"/>
    <n v="990"/>
    <s v="1.1"/>
    <s v="0.94"/>
    <s v="70.60%"/>
    <s v="10.90%"/>
    <n v="7085"/>
    <n v="4302"/>
    <n v="1733"/>
    <n v="516"/>
    <n v="78"/>
    <n v="13"/>
    <n v="7478"/>
    <n v="103"/>
    <n v="449"/>
    <n v="1558"/>
    <n v="71"/>
    <n v="66"/>
    <s v="1.07"/>
    <n v="3428.6842105263158"/>
    <x v="2"/>
  </r>
  <r>
    <n v="10818"/>
    <s v="iDk"/>
    <s v="Victor Torraca"/>
    <x v="2"/>
    <x v="6"/>
    <s v="TeamOne"/>
    <s v="TeamOne, PaquetÃ¡, Yeah"/>
    <n v="15793"/>
    <n v="15282"/>
    <s v="47.20%"/>
    <s v="78.2"/>
    <s v="4.7"/>
    <n v="872"/>
    <n v="22741"/>
    <s v="0.69"/>
    <s v="0.15"/>
    <s v="0.67"/>
    <s v="0.1"/>
    <s v="0.09"/>
    <n v="10658"/>
    <s v="K - D diff."/>
    <n v="2317"/>
    <n v="2265"/>
    <s v="1.02"/>
    <s v="1.01"/>
    <s v="74.50%"/>
    <s v="14.50%"/>
    <n v="12083"/>
    <n v="6748"/>
    <n v="2871"/>
    <n v="871"/>
    <n v="150"/>
    <n v="18"/>
    <n v="11294"/>
    <n v="734"/>
    <n v="1013"/>
    <n v="2554"/>
    <n v="186"/>
    <n v="50"/>
    <s v="1.08"/>
    <n v="5710.5263157894733"/>
    <x v="0"/>
  </r>
  <r>
    <n v="11995"/>
    <s v="TMB"/>
    <s v="Thomas BundsbÃ¦k"/>
    <x v="11"/>
    <x v="2"/>
    <s v="ex-MAD Lions"/>
    <s v="MAD Lions, AGF, Copenhagen Flames"/>
    <n v="13000"/>
    <n v="13494"/>
    <s v="47.20%"/>
    <s v="77.6"/>
    <s v="7.5"/>
    <n v="738"/>
    <n v="19595"/>
    <s v="0.66"/>
    <s v="0.16"/>
    <s v="0.69"/>
    <s v="0.1"/>
    <s v="0.09"/>
    <n v="8876"/>
    <s v="K - D diff."/>
    <n v="2238"/>
    <n v="2431"/>
    <s v="0.92"/>
    <s v="1.03"/>
    <s v="73.50%"/>
    <s v="16.20%"/>
    <n v="10719"/>
    <n v="5711"/>
    <n v="2373"/>
    <n v="640"/>
    <n v="137"/>
    <n v="15"/>
    <n v="8927"/>
    <n v="1016"/>
    <n v="705"/>
    <n v="2050"/>
    <n v="288"/>
    <n v="67"/>
    <s v="1.05"/>
    <n v="4895.7894736842109"/>
    <x v="0"/>
  </r>
  <r>
    <n v="3329"/>
    <s v="quix"/>
    <s v="Max Lindkvist"/>
    <x v="1"/>
    <x v="15"/>
    <s v="Lilmix"/>
    <s v="Lilmix, Vexed, Publiclir.se"/>
    <n v="16575"/>
    <n v="18370"/>
    <s v="47.20%"/>
    <s v="74.8"/>
    <s v="5.5"/>
    <n v="936"/>
    <n v="24805"/>
    <s v="0.67"/>
    <s v="0.14"/>
    <s v="0.74"/>
    <s v="0.09"/>
    <s v="0.08"/>
    <n v="11263"/>
    <s v="K - D diff."/>
    <n v="2493"/>
    <n v="2941"/>
    <s v="0.85"/>
    <s v="0.97"/>
    <s v="71.70%"/>
    <s v="14.80%"/>
    <n v="13542"/>
    <n v="7236"/>
    <n v="2952"/>
    <n v="884"/>
    <n v="174"/>
    <n v="17"/>
    <n v="8472"/>
    <n v="2105"/>
    <n v="2715"/>
    <n v="2975"/>
    <n v="257"/>
    <n v="76"/>
    <s v="0.93"/>
    <n v="6252"/>
    <x v="0"/>
  </r>
  <r>
    <n v="8184"/>
    <s v="alex"/>
    <s v="Alex McMeekin"/>
    <x v="13"/>
    <x v="8"/>
    <s v="fnatic"/>
    <s v="LDLC, Vitality, fnatic"/>
    <n v="21407"/>
    <n v="21779"/>
    <s v="47.30%"/>
    <s v="76.3"/>
    <s v="3.5"/>
    <n v="1162"/>
    <n v="30750"/>
    <s v="0.7"/>
    <s v="0.13"/>
    <s v="0.71"/>
    <s v="0.1"/>
    <s v="0.09"/>
    <n v="14301"/>
    <s v="K - D diff."/>
    <n v="3278"/>
    <n v="3941"/>
    <s v="0.83"/>
    <s v="0.99"/>
    <s v="73.10%"/>
    <s v="15.10%"/>
    <n v="16449"/>
    <n v="8992"/>
    <n v="3803"/>
    <n v="1234"/>
    <n v="254"/>
    <n v="18"/>
    <n v="15139"/>
    <n v="620"/>
    <n v="1637"/>
    <n v="3789"/>
    <n v="216"/>
    <n v="54"/>
    <s v="0.99"/>
    <n v="7832.7894736842109"/>
    <x v="1"/>
  </r>
  <r>
    <n v="7805"/>
    <s v="RUSH"/>
    <s v="William Wierzba"/>
    <x v="8"/>
    <x v="0"/>
    <s v="Evil Geniuses"/>
    <s v="Cloud9, Complexity, OpTic"/>
    <n v="24435"/>
    <n v="24806"/>
    <s v="47.30%"/>
    <s v="71.9"/>
    <s v="3.9"/>
    <n v="1413"/>
    <n v="36954"/>
    <s v="0.66"/>
    <s v="0.15"/>
    <s v="0.67"/>
    <s v="0.11"/>
    <s v="0.1"/>
    <n v="16746"/>
    <s v="K - D diff."/>
    <n v="3264"/>
    <n v="3574"/>
    <s v="0.91"/>
    <s v="0.95"/>
    <s v="72.00%"/>
    <s v="12.20%"/>
    <n v="20208"/>
    <n v="10899"/>
    <n v="4308"/>
    <n v="1266"/>
    <n v="256"/>
    <n v="17"/>
    <n v="18454"/>
    <n v="148"/>
    <n v="1128"/>
    <n v="4376"/>
    <n v="323"/>
    <n v="72"/>
    <s v="0.97"/>
    <n v="9086.6842105263149"/>
    <x v="1"/>
  </r>
  <r>
    <n v="7148"/>
    <s v="friberg"/>
    <s v="Adam Friberg"/>
    <x v="5"/>
    <x v="15"/>
    <m/>
    <s v="NIP, Dignitas, Heroic"/>
    <n v="33114"/>
    <n v="34810"/>
    <s v="47.30%"/>
    <s v="70.4"/>
    <s v="5.1"/>
    <n v="1957"/>
    <n v="50987"/>
    <s v="0.65"/>
    <s v="0.16"/>
    <s v="0.68"/>
    <s v="0.11"/>
    <s v="0.09"/>
    <n v="22654"/>
    <s v="K - D diff."/>
    <n v="4942"/>
    <n v="6023"/>
    <s v="0.82"/>
    <s v="0.95"/>
    <s v="73.60%"/>
    <s v="13.30%"/>
    <n v="28333"/>
    <n v="14706"/>
    <n v="5899"/>
    <n v="1679"/>
    <n v="337"/>
    <n v="33"/>
    <n v="25373"/>
    <n v="243"/>
    <n v="1622"/>
    <n v="5252"/>
    <n v="516"/>
    <n v="152"/>
    <s v="0.95"/>
    <n v="12559.578947368422"/>
    <x v="1"/>
  </r>
  <r>
    <n v="12572"/>
    <s v="djL"/>
    <s v="Daniel Narancic"/>
    <x v="8"/>
    <x v="15"/>
    <s v="NIP"/>
    <s v="Chaos, Japaleno, Red Reserve"/>
    <n v="10263"/>
    <n v="11998"/>
    <s v="47.30%"/>
    <n v="63"/>
    <n v="3"/>
    <n v="688"/>
    <n v="18180"/>
    <s v="0.56"/>
    <s v="0.12"/>
    <s v="0.66"/>
    <s v="0.1"/>
    <s v="0.08"/>
    <n v="7476"/>
    <s v="K - D diff."/>
    <n v="1391"/>
    <n v="1607"/>
    <s v="0.87"/>
    <s v="0.9"/>
    <s v="72.60%"/>
    <s v="10.90%"/>
    <n v="10704"/>
    <n v="5250"/>
    <n v="1728"/>
    <n v="440"/>
    <n v="53"/>
    <n v="5"/>
    <n v="7025"/>
    <n v="391"/>
    <n v="1059"/>
    <n v="1673"/>
    <n v="119"/>
    <n v="8"/>
    <s v="0.91"/>
    <n v="3815.4285714285716"/>
    <x v="2"/>
  </r>
  <r>
    <n v="5479"/>
    <s v="suNny"/>
    <s v="Miikka Kemppi"/>
    <x v="6"/>
    <x v="4"/>
    <s v="Tokyo Revengers"/>
    <s v="ENCE, MOUZ, PENTA"/>
    <n v="25493"/>
    <n v="23890"/>
    <s v="47.40%"/>
    <s v="80.7"/>
    <s v="4.9"/>
    <n v="1313"/>
    <n v="34614"/>
    <s v="0.74"/>
    <s v="0.14"/>
    <s v="0.69"/>
    <s v="0.09"/>
    <s v="0.09"/>
    <n v="16897"/>
    <s v="K - D diff."/>
    <n v="3831"/>
    <n v="3737"/>
    <s v="1.03"/>
    <s v="1.04"/>
    <s v="74.80%"/>
    <s v="16.10%"/>
    <n v="17717"/>
    <n v="10501"/>
    <n v="4587"/>
    <n v="1459"/>
    <n v="314"/>
    <n v="36"/>
    <n v="18561"/>
    <n v="471"/>
    <n v="1792"/>
    <n v="4237"/>
    <n v="382"/>
    <n v="96"/>
    <s v="1.06"/>
    <n v="8943.5789473684217"/>
    <x v="1"/>
  </r>
  <r>
    <n v="16599"/>
    <s v="Swisher"/>
    <s v="Michael Schmid"/>
    <x v="4"/>
    <x v="0"/>
    <s v="ATK"/>
    <s v="ATK, Bad News Bears"/>
    <n v="11457"/>
    <n v="11080"/>
    <s v="47.40%"/>
    <s v="78.6"/>
    <s v="5.4"/>
    <n v="619"/>
    <n v="16163"/>
    <s v="0.71"/>
    <s v="0.15"/>
    <s v="0.69"/>
    <s v="0.1"/>
    <s v="0.11"/>
    <n v="7682"/>
    <s v="K - D diff."/>
    <n v="1668"/>
    <n v="1777"/>
    <s v="0.94"/>
    <n v="1"/>
    <s v="73.60%"/>
    <s v="14.60%"/>
    <n v="8481"/>
    <n v="4836"/>
    <n v="2068"/>
    <n v="643"/>
    <n v="119"/>
    <n v="16"/>
    <n v="8315"/>
    <n v="292"/>
    <n v="519"/>
    <n v="1982"/>
    <n v="214"/>
    <n v="180"/>
    <s v="1.08"/>
    <n v="3905.6"/>
    <x v="2"/>
  </r>
  <r>
    <n v="1328"/>
    <s v="flowsicK"/>
    <s v="Kyle Mendez"/>
    <x v="14"/>
    <x v="0"/>
    <m/>
    <s v="Denial, Winterfox, Liquid"/>
    <n v="6257"/>
    <n v="7304"/>
    <s v="47.40%"/>
    <s v="73.6"/>
    <s v="3.7"/>
    <n v="395"/>
    <n v="10074"/>
    <s v="0.62"/>
    <s v="0.15"/>
    <s v="0.73"/>
    <s v="0.11"/>
    <s v="0.08"/>
    <n v="4425"/>
    <s v="K - D diff."/>
    <n v="899"/>
    <n v="1010"/>
    <s v="0.89"/>
    <s v="0.95"/>
    <s v="73.80%"/>
    <s v="13.30%"/>
    <n v="5649"/>
    <n v="2995"/>
    <n v="1089"/>
    <n v="295"/>
    <n v="42"/>
    <n v="4"/>
    <n v="4449"/>
    <n v="18"/>
    <n v="490"/>
    <n v="1199"/>
    <n v="87"/>
    <n v="26"/>
    <s v="0.87"/>
    <n v="2458.2631578947367"/>
    <x v="3"/>
  </r>
  <r>
    <n v="3997"/>
    <s v="loWel"/>
    <s v="Christian Garcia Antoran"/>
    <x v="3"/>
    <x v="11"/>
    <m/>
    <s v="Movistar Riders, PENTA, MOUZ"/>
    <n v="18549"/>
    <n v="16810"/>
    <s v="47.50%"/>
    <s v="75.8"/>
    <s v="4.5"/>
    <n v="1008"/>
    <n v="26413"/>
    <s v="0.7"/>
    <s v="0.13"/>
    <s v="0.64"/>
    <s v="0.09"/>
    <s v="0.11"/>
    <n v="12673"/>
    <s v="K - D diff."/>
    <n v="1933"/>
    <n v="1661"/>
    <s v="1.16"/>
    <s v="0.93"/>
    <s v="74.30%"/>
    <s v="10.80%"/>
    <n v="13740"/>
    <n v="8159"/>
    <n v="3368"/>
    <n v="966"/>
    <n v="156"/>
    <n v="24"/>
    <n v="13621"/>
    <n v="302"/>
    <n v="1086"/>
    <n v="3346"/>
    <n v="204"/>
    <n v="33"/>
    <s v="1.05"/>
    <n v="6529.0526315789475"/>
    <x v="0"/>
  </r>
  <r>
    <n v="8507"/>
    <s v="stanislaw"/>
    <s v="Peter Jarguz"/>
    <x v="8"/>
    <x v="5"/>
    <m/>
    <s v="Evil Geniuses, OpTic, Complexity, Liquid"/>
    <n v="22263"/>
    <n v="22790"/>
    <s v="47.50%"/>
    <s v="72.8"/>
    <n v="6"/>
    <n v="1338"/>
    <n v="34605"/>
    <s v="0.64"/>
    <s v="0.14"/>
    <s v="0.66"/>
    <s v="0.1"/>
    <s v="0.09"/>
    <n v="15402"/>
    <s v="K - D diff."/>
    <n v="3246"/>
    <n v="3668"/>
    <s v="0.88"/>
    <s v="0.96"/>
    <s v="72.90%"/>
    <s v="13.20%"/>
    <n v="19203"/>
    <n v="10067"/>
    <n v="4042"/>
    <n v="1087"/>
    <n v="184"/>
    <n v="22"/>
    <n v="14991"/>
    <n v="755"/>
    <n v="2112"/>
    <n v="3954"/>
    <n v="397"/>
    <n v="100"/>
    <s v="0.96"/>
    <n v="8011.6"/>
    <x v="1"/>
  </r>
  <r>
    <n v="9032"/>
    <s v="Magisk"/>
    <s v="Emil Reif"/>
    <x v="2"/>
    <x v="2"/>
    <s v="Vitality"/>
    <s v="Astralis, SK, Dignitas"/>
    <n v="26714"/>
    <n v="23482"/>
    <s v="47.60%"/>
    <s v="79.7"/>
    <s v="5.8"/>
    <n v="1411"/>
    <n v="37134"/>
    <s v="0.72"/>
    <s v="0.15"/>
    <s v="0.63"/>
    <s v="0.09"/>
    <s v="0.1"/>
    <n v="17827"/>
    <s v="K - D diff."/>
    <n v="3815"/>
    <n v="3451"/>
    <s v="1.11"/>
    <s v="1.03"/>
    <s v="75.80%"/>
    <s v="14.30%"/>
    <n v="19307"/>
    <n v="11146"/>
    <n v="4847"/>
    <n v="1496"/>
    <n v="305"/>
    <n v="33"/>
    <n v="20139"/>
    <n v="526"/>
    <n v="1133"/>
    <n v="4521"/>
    <n v="414"/>
    <n v="56"/>
    <s v="1.08"/>
    <n v="9355.6315789473683"/>
    <x v="1"/>
  </r>
  <r>
    <n v="7873"/>
    <s v="dephh"/>
    <s v="Rory Jackson"/>
    <x v="5"/>
    <x v="8"/>
    <m/>
    <s v="Complexity"/>
    <n v="14252"/>
    <n v="14484"/>
    <s v="47.60%"/>
    <s v="80.6"/>
    <s v="4.9"/>
    <n v="768"/>
    <n v="20106"/>
    <s v="0.71"/>
    <s v="0.16"/>
    <s v="0.72"/>
    <s v="0.11"/>
    <s v="0.1"/>
    <n v="9565"/>
    <s v="K - D diff."/>
    <n v="2501"/>
    <n v="2493"/>
    <n v="1"/>
    <s v="1.08"/>
    <s v="71.10%"/>
    <s v="17.90%"/>
    <n v="10541"/>
    <n v="6003"/>
    <n v="2633"/>
    <n v="753"/>
    <n v="156"/>
    <n v="20"/>
    <n v="8804"/>
    <n v="1444"/>
    <n v="1339"/>
    <n v="2456"/>
    <n v="186"/>
    <n v="52"/>
    <s v="0.99"/>
    <n v="4927.8500000000004"/>
    <x v="0"/>
  </r>
  <r>
    <n v="15204"/>
    <s v="Vegi"/>
    <s v="Arek Nawojski"/>
    <x v="9"/>
    <x v="3"/>
    <s v="Anonymo"/>
    <s v="Anonymo, Virtus.pro, PACT, Illuminar"/>
    <n v="15239"/>
    <n v="15404"/>
    <s v="47.60%"/>
    <n v="77"/>
    <s v="3.7"/>
    <n v="801"/>
    <n v="21935"/>
    <s v="0.69"/>
    <s v="0.13"/>
    <s v="0.7"/>
    <s v="0.1"/>
    <s v="0.1"/>
    <n v="10292"/>
    <s v="K - D diff."/>
    <n v="2250"/>
    <n v="2516"/>
    <s v="0.89"/>
    <s v="0.99"/>
    <s v="71.10%"/>
    <s v="14.80%"/>
    <n v="11643"/>
    <n v="6571"/>
    <n v="2707"/>
    <n v="824"/>
    <n v="168"/>
    <n v="22"/>
    <n v="11595"/>
    <n v="151"/>
    <n v="728"/>
    <n v="2612"/>
    <n v="154"/>
    <n v="37"/>
    <s v="1.04"/>
    <n v="5286.3"/>
    <x v="0"/>
  </r>
  <r>
    <n v="303"/>
    <s v="starix"/>
    <s v="Sergey Ischuk"/>
    <x v="16"/>
    <x v="29"/>
    <m/>
    <s v="Natus Vincere, Spirit"/>
    <n v="10839"/>
    <n v="11114"/>
    <s v="47.60%"/>
    <s v="73.2"/>
    <s v="3.8"/>
    <n v="630"/>
    <n v="16590"/>
    <s v="0.65"/>
    <s v="0.14"/>
    <s v="0.67"/>
    <s v="0.09"/>
    <s v="0.09"/>
    <n v="7480"/>
    <s v="K - D diff."/>
    <n v="1471"/>
    <n v="1525"/>
    <s v="0.96"/>
    <s v="0.96"/>
    <s v="74.90%"/>
    <s v="12.90%"/>
    <n v="9110"/>
    <n v="4941"/>
    <n v="1890"/>
    <n v="525"/>
    <n v="112"/>
    <n v="12"/>
    <n v="7735"/>
    <n v="726"/>
    <n v="321"/>
    <n v="1897"/>
    <n v="144"/>
    <n v="20"/>
    <s v="0.96"/>
    <n v="4056.9473684210525"/>
    <x v="2"/>
  </r>
  <r>
    <n v="15563"/>
    <s v="SADDYX"/>
    <s v="Tuomas Louhimaa"/>
    <x v="10"/>
    <x v="4"/>
    <s v="temp"/>
    <s v="SJ"/>
    <n v="11404"/>
    <n v="11767"/>
    <s v="47.60%"/>
    <s v="74.6"/>
    <n v="6"/>
    <n v="647"/>
    <n v="17350"/>
    <s v="0.66"/>
    <s v="0.14"/>
    <s v="0.68"/>
    <s v="0.1"/>
    <s v="0.1"/>
    <n v="7881"/>
    <s v="K - D diff."/>
    <n v="1698"/>
    <n v="1660"/>
    <s v="1.02"/>
    <n v="1"/>
    <s v="71.80%"/>
    <s v="14.30%"/>
    <n v="9469"/>
    <n v="5195"/>
    <n v="1975"/>
    <n v="599"/>
    <n v="98"/>
    <n v="14"/>
    <n v="8042"/>
    <n v="457"/>
    <n v="822"/>
    <n v="1893"/>
    <n v="187"/>
    <n v="46"/>
    <s v="1.03"/>
    <n v="3867.1904761904761"/>
    <x v="2"/>
  </r>
  <r>
    <n v="3517"/>
    <s v="kzy"/>
    <s v="Oliver Heck"/>
    <x v="0"/>
    <x v="14"/>
    <s v="EPIC DUDES"/>
    <s v="EURONICS, ALTERNATE aTTaX, Unicorns of Love"/>
    <n v="16400"/>
    <n v="17245"/>
    <s v="47.60%"/>
    <s v="72.6"/>
    <s v="4.8"/>
    <n v="986"/>
    <n v="25705"/>
    <s v="0.64"/>
    <s v="0.14"/>
    <s v="0.67"/>
    <s v="0.09"/>
    <s v="0.09"/>
    <n v="11441"/>
    <s v="K - D diff."/>
    <n v="2226"/>
    <n v="2255"/>
    <s v="0.99"/>
    <s v="0.95"/>
    <s v="71.90%"/>
    <s v="12.50%"/>
    <n v="14264"/>
    <n v="7613"/>
    <n v="2876"/>
    <n v="791"/>
    <n v="150"/>
    <n v="11"/>
    <n v="10146"/>
    <n v="2237"/>
    <n v="856"/>
    <n v="2867"/>
    <n v="278"/>
    <n v="49"/>
    <s v="0.94"/>
    <n v="6231.3684210526317"/>
    <x v="0"/>
  </r>
  <r>
    <n v="2131"/>
    <s v="bondik"/>
    <s v="Vladyslav Nechyporchuk"/>
    <x v="1"/>
    <x v="29"/>
    <s v="Cossacks"/>
    <s v="HellRaisers, FlipSid3, Winstrike"/>
    <n v="26411"/>
    <n v="24962"/>
    <s v="47.70%"/>
    <s v="74.6"/>
    <s v="5.3"/>
    <n v="1458"/>
    <n v="38317"/>
    <s v="0.69"/>
    <s v="0.13"/>
    <s v="0.65"/>
    <s v="0.09"/>
    <s v="0.1"/>
    <n v="18062"/>
    <s v="K - D diff."/>
    <n v="3102"/>
    <n v="2907"/>
    <s v="1.07"/>
    <s v="0.95"/>
    <s v="74.00%"/>
    <s v="11.90%"/>
    <n v="20255"/>
    <n v="11700"/>
    <n v="4692"/>
    <n v="1398"/>
    <n v="246"/>
    <n v="26"/>
    <n v="20357"/>
    <n v="152"/>
    <n v="1203"/>
    <n v="4242"/>
    <n v="424"/>
    <n v="63"/>
    <s v="1.02"/>
    <n v="9472.4736842105267"/>
    <x v="1"/>
  </r>
  <r>
    <n v="11574"/>
    <s v="xiaosaGe"/>
    <s v="Peng Song"/>
    <x v="0"/>
    <x v="35"/>
    <s v="Steel Helmet"/>
    <s v="5POWER, Invictus, UYA"/>
    <n v="15686"/>
    <n v="15651"/>
    <s v="47.70%"/>
    <n v="80"/>
    <s v="5.2"/>
    <n v="847"/>
    <n v="22333"/>
    <s v="0.7"/>
    <s v="0.16"/>
    <s v="0.7"/>
    <s v="0.11"/>
    <s v="0.1"/>
    <n v="10605"/>
    <s v="K - D diff."/>
    <n v="2494"/>
    <n v="2351"/>
    <s v="1.06"/>
    <s v="1.05"/>
    <s v="73.50%"/>
    <s v="15.90%"/>
    <n v="11728"/>
    <n v="6742"/>
    <n v="2844"/>
    <n v="837"/>
    <n v="165"/>
    <n v="17"/>
    <n v="10721"/>
    <n v="722"/>
    <n v="1182"/>
    <n v="2793"/>
    <n v="245"/>
    <n v="50"/>
    <s v="1.08"/>
    <n v="5404.65"/>
    <x v="0"/>
  </r>
  <r>
    <n v="5045"/>
    <s v="zende"/>
    <s v="Erik Sundeqvist"/>
    <x v="6"/>
    <x v="15"/>
    <m/>
    <s v="DenDD, Property"/>
    <n v="7064"/>
    <n v="7065"/>
    <s v="47.70%"/>
    <s v="74.1"/>
    <s v="3.4"/>
    <n v="397"/>
    <n v="10444"/>
    <s v="0.68"/>
    <s v="0.13"/>
    <s v="0.68"/>
    <s v="0.09"/>
    <s v="0.11"/>
    <n v="4880"/>
    <s v="K - D diff."/>
    <n v="914"/>
    <n v="876"/>
    <s v="1.04"/>
    <s v="0.96"/>
    <s v="72.80%"/>
    <s v="12.90%"/>
    <n v="5564"/>
    <n v="3201"/>
    <n v="1265"/>
    <n v="344"/>
    <n v="63"/>
    <n v="7"/>
    <n v="5497"/>
    <n v="74"/>
    <n v="203"/>
    <n v="1214"/>
    <n v="66"/>
    <n v="15"/>
    <s v="0.98"/>
    <n v="2587"/>
    <x v="3"/>
  </r>
  <r>
    <n v="11942"/>
    <s v="buster"/>
    <s v="Timur Tulepov"/>
    <x v="9"/>
    <x v="10"/>
    <s v="Virtus.pro"/>
    <s v="AVANGAR, Virtus.pro"/>
    <n v="22503"/>
    <n v="20537"/>
    <s v="47.90%"/>
    <s v="73.5"/>
    <s v="3.5"/>
    <n v="1252"/>
    <n v="33082"/>
    <s v="0.68"/>
    <s v="0.12"/>
    <s v="0.62"/>
    <s v="0.08"/>
    <s v="0.09"/>
    <n v="15402"/>
    <s v="K - D diff."/>
    <n v="3303"/>
    <n v="3029"/>
    <s v="1.09"/>
    <s v="1.01"/>
    <s v="74.30%"/>
    <s v="13.90%"/>
    <n v="17680"/>
    <n v="9966"/>
    <n v="4031"/>
    <n v="1169"/>
    <n v="212"/>
    <n v="24"/>
    <n v="15539"/>
    <n v="2389"/>
    <n v="636"/>
    <n v="3695"/>
    <n v="259"/>
    <n v="52"/>
    <s v="1.09"/>
    <n v="8145.2631578947367"/>
    <x v="1"/>
  </r>
  <r>
    <n v="3847"/>
    <s v="znajder"/>
    <s v="Andreas Lindberg"/>
    <x v="1"/>
    <x v="15"/>
    <m/>
    <s v="GODSENT, fnatic, EURONICS"/>
    <n v="19778"/>
    <n v="18708"/>
    <s v="47.90%"/>
    <s v="76.8"/>
    <s v="4.3"/>
    <n v="1050"/>
    <n v="27577"/>
    <s v="0.72"/>
    <s v="0.15"/>
    <s v="0.68"/>
    <s v="0.1"/>
    <s v="0.1"/>
    <n v="13463"/>
    <s v="K - D diff."/>
    <n v="2724"/>
    <n v="2477"/>
    <s v="1.1"/>
    <s v="1.01"/>
    <s v="73.00%"/>
    <s v="14.30%"/>
    <n v="14114"/>
    <n v="8651"/>
    <n v="3568"/>
    <n v="1042"/>
    <n v="179"/>
    <n v="23"/>
    <n v="13453"/>
    <n v="1722"/>
    <n v="787"/>
    <n v="3336"/>
    <n v="384"/>
    <n v="128"/>
    <s v="1.03"/>
    <n v="7008.6315789473683"/>
    <x v="1"/>
  </r>
  <r>
    <n v="12782"/>
    <s v="kressy"/>
    <s v="Marko ÄorÄ‘eviÄ‡"/>
    <x v="13"/>
    <x v="14"/>
    <m/>
    <s v="ALTERNATE aTTaX, Sprout, EURONICS"/>
    <n v="20337"/>
    <n v="19172"/>
    <s v="47.90%"/>
    <s v="75.6"/>
    <s v="3.8"/>
    <n v="1102"/>
    <n v="29508"/>
    <s v="0.69"/>
    <s v="0.13"/>
    <s v="0.65"/>
    <s v="0.1"/>
    <s v="0.1"/>
    <n v="13764"/>
    <s v="K - D diff."/>
    <n v="2518"/>
    <n v="2249"/>
    <s v="1.12"/>
    <s v="0.97"/>
    <s v="72.10%"/>
    <s v="12.10%"/>
    <n v="15744"/>
    <n v="8774"/>
    <n v="3660"/>
    <n v="1096"/>
    <n v="215"/>
    <n v="19"/>
    <n v="15370"/>
    <n v="233"/>
    <n v="1216"/>
    <n v="3272"/>
    <n v="234"/>
    <n v="48"/>
    <s v="1.07"/>
    <n v="7291.105263157895"/>
    <x v="1"/>
  </r>
  <r>
    <n v="12102"/>
    <s v="djay"/>
    <s v="Jonathan Dallal"/>
    <x v="1"/>
    <x v="5"/>
    <s v="EG.PA"/>
    <s v="Party Astronauts, New England Whalers"/>
    <n v="14838"/>
    <n v="14900"/>
    <s v="47.90%"/>
    <s v="74.7"/>
    <n v="4"/>
    <n v="844"/>
    <n v="21818"/>
    <s v="0.68"/>
    <s v="0.14"/>
    <s v="0.68"/>
    <s v="0.11"/>
    <s v="0.11"/>
    <n v="10153"/>
    <s v="K - D diff."/>
    <n v="1916"/>
    <n v="1934"/>
    <s v="0.99"/>
    <s v="0.96"/>
    <s v="73.20%"/>
    <s v="12.60%"/>
    <n v="11665"/>
    <n v="6606"/>
    <n v="2593"/>
    <n v="788"/>
    <n v="148"/>
    <n v="18"/>
    <n v="10815"/>
    <n v="260"/>
    <n v="865"/>
    <n v="2643"/>
    <n v="177"/>
    <n v="139"/>
    <s v="1.04"/>
    <n v="5156.2"/>
    <x v="0"/>
  </r>
  <r>
    <n v="12588"/>
    <s v="BRACE"/>
    <s v="Toby Barnes"/>
    <x v="9"/>
    <x v="16"/>
    <s v="VERTEX"/>
    <s v="VERTEX"/>
    <n v="6780"/>
    <n v="7256"/>
    <s v="47.90%"/>
    <s v="70.6"/>
    <s v="5.6"/>
    <n v="408"/>
    <n v="10579"/>
    <s v="0.64"/>
    <s v="0.13"/>
    <s v="0.69"/>
    <s v="0.11"/>
    <s v="0.09"/>
    <n v="4668"/>
    <s v="K - D diff."/>
    <n v="1004"/>
    <n v="1104"/>
    <s v="0.91"/>
    <s v="0.97"/>
    <s v="73.30%"/>
    <s v="13.70%"/>
    <n v="5911"/>
    <n v="3025"/>
    <n v="1248"/>
    <n v="329"/>
    <n v="58"/>
    <n v="8"/>
    <n v="5076"/>
    <n v="204"/>
    <n v="502"/>
    <n v="884"/>
    <n v="122"/>
    <n v="17"/>
    <s v="0.99"/>
    <n v="2588.5789473684213"/>
    <x v="3"/>
  </r>
  <r>
    <n v="7821"/>
    <s v="sAw"/>
    <s v="Eetu Saha"/>
    <x v="5"/>
    <x v="4"/>
    <s v="ENCE"/>
    <s v="HAVU, iGame.com, RCTIC"/>
    <n v="20522"/>
    <n v="22630"/>
    <s v="47.90%"/>
    <s v="69.3"/>
    <s v="6.1"/>
    <n v="1267"/>
    <n v="33681"/>
    <s v="0.61"/>
    <s v="0.16"/>
    <s v="0.67"/>
    <s v="0.11"/>
    <s v="0.09"/>
    <n v="14546"/>
    <s v="K - D diff."/>
    <n v="2511"/>
    <n v="2857"/>
    <s v="0.88"/>
    <s v="0.9"/>
    <s v="77.00%"/>
    <s v="11.00%"/>
    <n v="19135"/>
    <n v="9868"/>
    <n v="3530"/>
    <n v="1006"/>
    <n v="135"/>
    <n v="7"/>
    <n v="14223"/>
    <n v="302"/>
    <n v="1922"/>
    <n v="3603"/>
    <n v="455"/>
    <n v="52"/>
    <s v="0.9"/>
    <n v="8013.2631578947367"/>
    <x v="1"/>
  </r>
  <r>
    <n v="13156"/>
    <s v="RuFire"/>
    <s v="Aleksei Burakov"/>
    <x v="6"/>
    <x v="1"/>
    <s v="BakS"/>
    <s v="SG.pro, 5balls, VP.Prodigy"/>
    <n v="5654"/>
    <n v="7613"/>
    <s v="47.90%"/>
    <s v="66.4"/>
    <s v="4.7"/>
    <n v="389"/>
    <n v="10334"/>
    <s v="0.55"/>
    <s v="0.14"/>
    <s v="0.74"/>
    <s v="0.09"/>
    <s v="0.06"/>
    <n v="4093"/>
    <s v="K - D diff."/>
    <n v="841"/>
    <n v="1310"/>
    <s v="0.64"/>
    <s v="0.86"/>
    <s v="68.40%"/>
    <s v="11.70%"/>
    <n v="6241"/>
    <n v="2849"/>
    <n v="977"/>
    <n v="218"/>
    <n v="48"/>
    <n v="1"/>
    <n v="4051"/>
    <n v="151"/>
    <n v="623"/>
    <n v="669"/>
    <n v="84"/>
    <n v="92"/>
    <s v="0.84"/>
    <n v="2433.5789473684213"/>
    <x v="3"/>
  </r>
  <r>
    <n v="11258"/>
    <s v="fr0slev"/>
    <s v="Magnus FrÃ¸slev"/>
    <x v="3"/>
    <x v="2"/>
    <m/>
    <s v="AGF, Fragsters"/>
    <n v="11143"/>
    <n v="10673"/>
    <s v="48.00%"/>
    <s v="78.1"/>
    <s v="4.7"/>
    <n v="611"/>
    <n v="15973"/>
    <s v="0.7"/>
    <s v="0.14"/>
    <s v="0.67"/>
    <s v="0.1"/>
    <s v="0.12"/>
    <n v="7597"/>
    <s v="K - D diff."/>
    <n v="1402"/>
    <n v="1304"/>
    <s v="1.08"/>
    <s v="0.97"/>
    <s v="73.00%"/>
    <s v="12.90%"/>
    <n v="8376"/>
    <n v="4865"/>
    <n v="2047"/>
    <n v="565"/>
    <n v="111"/>
    <n v="9"/>
    <n v="8311"/>
    <n v="249"/>
    <n v="591"/>
    <n v="1875"/>
    <n v="137"/>
    <n v="32"/>
    <s v="1.08"/>
    <n v="3993.2105263157896"/>
    <x v="2"/>
  </r>
  <r>
    <n v="7700"/>
    <s v="robiin"/>
    <s v="Robin SjÃ¶gren"/>
    <x v="6"/>
    <x v="15"/>
    <m/>
    <s v="Endpoint, DenDD"/>
    <n v="27595"/>
    <n v="27649"/>
    <s v="48.00%"/>
    <s v="80.1"/>
    <s v="8.6"/>
    <n v="1508"/>
    <n v="40171"/>
    <s v="0.69"/>
    <s v="0.17"/>
    <s v="0.69"/>
    <s v="0.11"/>
    <s v="0.1"/>
    <n v="18738"/>
    <s v="K - D diff."/>
    <n v="3904"/>
    <n v="4242"/>
    <s v="0.92"/>
    <s v="0.98"/>
    <s v="72.70%"/>
    <s v="13.80%"/>
    <n v="21433"/>
    <n v="12079"/>
    <n v="4832"/>
    <n v="1488"/>
    <n v="309"/>
    <n v="30"/>
    <n v="19884"/>
    <n v="522"/>
    <n v="1899"/>
    <n v="4617"/>
    <n v="664"/>
    <n v="102"/>
    <s v="0.99"/>
    <n v="10087.684210526315"/>
    <x v="1"/>
  </r>
  <r>
    <n v="9482"/>
    <s v="NEKIZ"/>
    <s v="Gabriel Schenato"/>
    <x v="13"/>
    <x v="6"/>
    <s v="paiN"/>
    <s v="paiN, Luminosity"/>
    <n v="17653"/>
    <n v="17794"/>
    <s v="48.00%"/>
    <s v="74.9"/>
    <s v="3.9"/>
    <n v="993"/>
    <n v="26075"/>
    <s v="0.68"/>
    <s v="0.13"/>
    <s v="0.68"/>
    <s v="0.1"/>
    <s v="0.1"/>
    <n v="12078"/>
    <s v="K - D diff."/>
    <n v="2961"/>
    <n v="2998"/>
    <s v="0.99"/>
    <s v="1.04"/>
    <s v="73.50%"/>
    <s v="16.10%"/>
    <n v="13997"/>
    <n v="7872"/>
    <n v="3069"/>
    <n v="929"/>
    <n v="184"/>
    <n v="24"/>
    <n v="12889"/>
    <n v="353"/>
    <n v="1246"/>
    <n v="2956"/>
    <n v="217"/>
    <n v="49"/>
    <s v="0.98"/>
    <n v="6544.0526315789475"/>
    <x v="0"/>
  </r>
  <r>
    <n v="971"/>
    <s v="KHRN"/>
    <s v="Jesse Grandell"/>
    <x v="0"/>
    <x v="4"/>
    <m/>
    <s v="SJ, HAVU"/>
    <n v="15822"/>
    <n v="16067"/>
    <s v="48.00%"/>
    <n v="71"/>
    <s v="4.7"/>
    <n v="935"/>
    <n v="24443"/>
    <s v="0.65"/>
    <s v="0.14"/>
    <s v="0.66"/>
    <s v="0.1"/>
    <s v="0.1"/>
    <n v="10923"/>
    <s v="K - D diff."/>
    <n v="1927"/>
    <n v="2121"/>
    <s v="0.91"/>
    <s v="0.92"/>
    <s v="72.10%"/>
    <s v="11.20%"/>
    <n v="13520"/>
    <n v="7141"/>
    <n v="2825"/>
    <n v="817"/>
    <n v="132"/>
    <n v="8"/>
    <n v="12016"/>
    <n v="111"/>
    <n v="710"/>
    <n v="2704"/>
    <n v="224"/>
    <n v="78"/>
    <s v="0.97"/>
    <n v="5629.75"/>
    <x v="0"/>
  </r>
  <r>
    <n v="11278"/>
    <s v="TOAO"/>
    <s v="Mateusz Zawistowski"/>
    <x v="3"/>
    <x v="3"/>
    <m/>
    <s v="AGO, Izako Boars"/>
    <n v="18722"/>
    <n v="19783"/>
    <s v="48.00%"/>
    <s v="69.7"/>
    <s v="4.7"/>
    <n v="1106"/>
    <n v="29520"/>
    <s v="0.63"/>
    <s v="0.12"/>
    <s v="0.67"/>
    <s v="0.09"/>
    <s v="0.08"/>
    <n v="12945"/>
    <s v="K - D diff."/>
    <n v="2673"/>
    <n v="3185"/>
    <s v="0.84"/>
    <s v="0.94"/>
    <s v="72.10%"/>
    <s v="12.90%"/>
    <n v="16575"/>
    <n v="8479"/>
    <n v="3350"/>
    <n v="935"/>
    <n v="167"/>
    <n v="14"/>
    <n v="12425"/>
    <n v="1436"/>
    <n v="1310"/>
    <n v="3236"/>
    <n v="297"/>
    <n v="60"/>
    <s v="0.99"/>
    <n v="7169.3684210526317"/>
    <x v="1"/>
  </r>
  <r>
    <n v="13578"/>
    <s v="Grim"/>
    <s v="Michael Wince"/>
    <x v="10"/>
    <x v="0"/>
    <s v="Complexity"/>
    <s v="Liquid, Triumph, Dignitas, Spacestation"/>
    <n v="16813"/>
    <n v="16097"/>
    <s v="48.10%"/>
    <s v="78.1"/>
    <s v="3.5"/>
    <n v="892"/>
    <n v="23471"/>
    <s v="0.72"/>
    <s v="0.13"/>
    <s v="0.69"/>
    <s v="0.12"/>
    <s v="0.13"/>
    <n v="11013"/>
    <s v="K - D diff."/>
    <n v="2331"/>
    <n v="2465"/>
    <s v="0.95"/>
    <s v="0.99"/>
    <s v="73.20%"/>
    <s v="14.10%"/>
    <n v="12458"/>
    <n v="6811"/>
    <n v="2923"/>
    <n v="991"/>
    <n v="257"/>
    <n v="31"/>
    <n v="12834"/>
    <n v="130"/>
    <n v="739"/>
    <n v="2992"/>
    <n v="146"/>
    <n v="17"/>
    <s v="1.1"/>
    <n v="5969"/>
    <x v="0"/>
  </r>
  <r>
    <n v="735"/>
    <s v="Dosia"/>
    <s v="Mihail Stolyarov"/>
    <x v="16"/>
    <x v="1"/>
    <m/>
    <s v="Gambit, HellRaisers"/>
    <n v="25227"/>
    <n v="24934"/>
    <s v="48.10%"/>
    <s v="73.9"/>
    <s v="5.5"/>
    <n v="1431"/>
    <n v="37517"/>
    <s v="0.67"/>
    <s v="0.15"/>
    <s v="0.66"/>
    <s v="0.08"/>
    <s v="0.08"/>
    <n v="17280"/>
    <s v="K - D diff."/>
    <n v="3038"/>
    <n v="3334"/>
    <s v="0.91"/>
    <s v="0.92"/>
    <s v="75.90%"/>
    <s v="12.00%"/>
    <n v="20237"/>
    <n v="11221"/>
    <n v="4513"/>
    <n v="1310"/>
    <n v="219"/>
    <n v="17"/>
    <n v="17977"/>
    <n v="646"/>
    <n v="1717"/>
    <n v="4404"/>
    <n v="406"/>
    <n v="102"/>
    <s v="0.99"/>
    <n v="9238.4210526315783"/>
    <x v="1"/>
  </r>
  <r>
    <n v="15180"/>
    <s v="Twixie"/>
    <s v="Samuli Herrala"/>
    <x v="11"/>
    <x v="4"/>
    <s v="KOVA"/>
    <s v="KOVA, HAVU"/>
    <n v="13046"/>
    <n v="13847"/>
    <s v="48.10%"/>
    <s v="71.5"/>
    <s v="5.2"/>
    <n v="760"/>
    <n v="20630"/>
    <s v="0.63"/>
    <s v="0.13"/>
    <s v="0.67"/>
    <s v="0.1"/>
    <s v="0.09"/>
    <n v="9062"/>
    <s v="K - D diff."/>
    <n v="1937"/>
    <n v="2246"/>
    <s v="0.86"/>
    <s v="0.95"/>
    <s v="71.70%"/>
    <s v="13.50%"/>
    <n v="11568"/>
    <n v="6021"/>
    <n v="2238"/>
    <n v="674"/>
    <n v="118"/>
    <n v="11"/>
    <n v="9445"/>
    <n v="157"/>
    <n v="970"/>
    <n v="2239"/>
    <n v="178"/>
    <n v="99"/>
    <n v="1"/>
    <n v="4762.3500000000004"/>
    <x v="2"/>
  </r>
  <r>
    <n v="11916"/>
    <s v="sergej"/>
    <s v="Jere Salo"/>
    <x v="11"/>
    <x v="4"/>
    <s v="GORILLAZ"/>
    <s v="GORILLAZ, ENCE, HAVU"/>
    <n v="14855"/>
    <n v="13039"/>
    <s v="48.20%"/>
    <s v="79.3"/>
    <n v="4"/>
    <n v="776"/>
    <n v="20425"/>
    <s v="0.73"/>
    <s v="0.14"/>
    <s v="0.64"/>
    <s v="0.1"/>
    <s v="0.11"/>
    <n v="10002"/>
    <s v="K - D diff."/>
    <n v="2084"/>
    <n v="1844"/>
    <s v="1.13"/>
    <s v="1.03"/>
    <s v="72.80%"/>
    <s v="14.10%"/>
    <n v="10423"/>
    <n v="6327"/>
    <n v="2685"/>
    <n v="820"/>
    <n v="152"/>
    <n v="18"/>
    <n v="10236"/>
    <n v="1303"/>
    <n v="587"/>
    <n v="2558"/>
    <n v="192"/>
    <n v="25"/>
    <s v="1.13"/>
    <n v="4917.75"/>
    <x v="0"/>
  </r>
  <r>
    <n v="11163"/>
    <s v="trk"/>
    <s v="Alencar Rossato"/>
    <x v="6"/>
    <x v="6"/>
    <s v="TeamOne"/>
    <s v="TeamOne, MIBR"/>
    <n v="15766"/>
    <n v="14277"/>
    <s v="48.20%"/>
    <s v="79.4"/>
    <s v="4.9"/>
    <n v="830"/>
    <n v="21739"/>
    <s v="0.73"/>
    <s v="0.15"/>
    <s v="0.66"/>
    <s v="0.12"/>
    <s v="0.13"/>
    <n v="10542"/>
    <s v="K - D diff."/>
    <n v="2105"/>
    <n v="1867"/>
    <s v="1.13"/>
    <s v="1.01"/>
    <s v="73.30%"/>
    <s v="13.60%"/>
    <n v="11197"/>
    <n v="6627"/>
    <n v="2822"/>
    <n v="896"/>
    <n v="178"/>
    <n v="19"/>
    <n v="11738"/>
    <n v="105"/>
    <n v="865"/>
    <n v="2797"/>
    <n v="246"/>
    <n v="52"/>
    <s v="1.14"/>
    <n v="5508.8421052631575"/>
    <x v="0"/>
  </r>
  <r>
    <n v="555"/>
    <s v="BIT"/>
    <s v="Bruno Fukuda Lima"/>
    <x v="0"/>
    <x v="6"/>
    <s v="MIBR"/>
    <s v="TeamOne, 9z"/>
    <n v="12432"/>
    <n v="12385"/>
    <s v="48.20%"/>
    <s v="74.3"/>
    <s v="5.6"/>
    <n v="735"/>
    <n v="19001"/>
    <s v="0.65"/>
    <s v="0.15"/>
    <s v="0.65"/>
    <s v="0.11"/>
    <s v="0.09"/>
    <n v="8669"/>
    <s v="K - D diff."/>
    <n v="1916"/>
    <n v="1894"/>
    <s v="1.01"/>
    <n v="1"/>
    <s v="75.10%"/>
    <s v="13.90%"/>
    <n v="10332"/>
    <n v="5783"/>
    <n v="2146"/>
    <n v="616"/>
    <n v="111"/>
    <n v="13"/>
    <n v="8885"/>
    <n v="354"/>
    <n v="1034"/>
    <n v="1938"/>
    <n v="205"/>
    <n v="61"/>
    <s v="0.98"/>
    <n v="4425.55"/>
    <x v="2"/>
  </r>
  <r>
    <n v="8569"/>
    <s v="DEVIL"/>
    <s v="TimothÃ©e DÃ©molon"/>
    <x v="6"/>
    <x v="26"/>
    <s v="UBITEAM"/>
    <s v="LDLC, Envy, LDLC White, 3DMAX"/>
    <n v="11006"/>
    <n v="11297"/>
    <s v="48.20%"/>
    <s v="73.3"/>
    <s v="3.7"/>
    <n v="636"/>
    <n v="16582"/>
    <s v="0.66"/>
    <s v="0.13"/>
    <s v="0.68"/>
    <s v="0.1"/>
    <s v="0.09"/>
    <n v="7544"/>
    <s v="K - D diff."/>
    <n v="1544"/>
    <n v="1636"/>
    <s v="0.94"/>
    <s v="0.97"/>
    <s v="70.20%"/>
    <s v="13.20%"/>
    <n v="9038"/>
    <n v="4888"/>
    <n v="1978"/>
    <n v="566"/>
    <n v="104"/>
    <n v="8"/>
    <n v="7264"/>
    <n v="287"/>
    <n v="1065"/>
    <n v="2228"/>
    <n v="120"/>
    <n v="62"/>
    <s v="0.97"/>
    <n v="4097.5263157894733"/>
    <x v="2"/>
  </r>
  <r>
    <n v="5385"/>
    <s v="Luz"/>
    <s v="Maciek Bugaj"/>
    <x v="8"/>
    <x v="3"/>
    <s v="UNGENTIUM"/>
    <s v="PRIDE, Izako Boars"/>
    <n v="10767"/>
    <n v="11739"/>
    <s v="48.20%"/>
    <s v="72.5"/>
    <s v="3.2"/>
    <n v="651"/>
    <n v="17086"/>
    <s v="0.63"/>
    <s v="0.14"/>
    <s v="0.69"/>
    <s v="0.1"/>
    <s v="0.09"/>
    <n v="7561"/>
    <s v="K - D diff."/>
    <n v="1484"/>
    <n v="1744"/>
    <s v="0.85"/>
    <s v="0.93"/>
    <s v="70.20%"/>
    <s v="12.30%"/>
    <n v="9525"/>
    <n v="5063"/>
    <n v="1895"/>
    <n v="506"/>
    <n v="89"/>
    <n v="8"/>
    <n v="7702"/>
    <n v="376"/>
    <n v="722"/>
    <n v="1756"/>
    <n v="95"/>
    <n v="133"/>
    <s v="0.92"/>
    <n v="4152.7368421052633"/>
    <x v="2"/>
  </r>
  <r>
    <n v="8422"/>
    <s v="netrick"/>
    <s v="Jonas Wenzelsen"/>
    <x v="6"/>
    <x v="2"/>
    <s v="AGF"/>
    <s v="AGF, unknown, LPSP, Forcebuy"/>
    <n v="6753"/>
    <n v="8489"/>
    <s v="48.20%"/>
    <s v="66.8"/>
    <s v="6.6"/>
    <n v="455"/>
    <n v="11976"/>
    <s v="0.56"/>
    <s v="0.14"/>
    <s v="0.71"/>
    <s v="0.11"/>
    <s v="0.09"/>
    <n v="4849"/>
    <s v="K - D diff."/>
    <n v="996"/>
    <n v="1396"/>
    <s v="0.71"/>
    <s v="0.89"/>
    <s v="69.10%"/>
    <s v="11.70%"/>
    <n v="7127"/>
    <n v="3360"/>
    <n v="1134"/>
    <n v="299"/>
    <n v="52"/>
    <n v="4"/>
    <n v="4770"/>
    <n v="120"/>
    <n v="586"/>
    <n v="1106"/>
    <n v="178"/>
    <n v="13"/>
    <s v="0.82"/>
    <n v="2824.3684210526317"/>
    <x v="3"/>
  </r>
  <r>
    <n v="11844"/>
    <s v="flickz"/>
    <s v="Sam Jones"/>
    <x v="14"/>
    <x v="16"/>
    <m/>
    <s v="Chiefs, Athletico, Dark Sided"/>
    <n v="7976"/>
    <n v="7619"/>
    <s v="48.30%"/>
    <n v="79"/>
    <s v="5.3"/>
    <n v="461"/>
    <n v="11606"/>
    <s v="0.69"/>
    <s v="0.16"/>
    <s v="0.66"/>
    <s v="0.08"/>
    <s v="0.08"/>
    <n v="5468"/>
    <s v="K - D diff."/>
    <n v="1041"/>
    <n v="943"/>
    <s v="1.1"/>
    <s v="0.98"/>
    <s v="74.30%"/>
    <s v="12.60%"/>
    <n v="6138"/>
    <n v="3555"/>
    <n v="1420"/>
    <n v="399"/>
    <n v="86"/>
    <n v="8"/>
    <n v="5813"/>
    <n v="43"/>
    <n v="508"/>
    <n v="1455"/>
    <n v="146"/>
    <n v="23"/>
    <s v="1.09"/>
    <n v="2739.35"/>
    <x v="3"/>
  </r>
  <r>
    <n v="5373"/>
    <s v="xelos"/>
    <s v="Jerry RÃ¥berg"/>
    <x v="1"/>
    <x v="15"/>
    <s v="Lemondogs"/>
    <s v="Lemondogs, Epsilon, AliGon"/>
    <n v="7960"/>
    <n v="7968"/>
    <s v="48.30%"/>
    <s v="76.7"/>
    <s v="5.8"/>
    <n v="438"/>
    <n v="11568"/>
    <s v="0.69"/>
    <s v="0.15"/>
    <s v="0.69"/>
    <s v="0.08"/>
    <s v="0.08"/>
    <n v="5372"/>
    <s v="K - D diff."/>
    <n v="1017"/>
    <n v="1145"/>
    <s v="0.89"/>
    <s v="0.94"/>
    <s v="75.50%"/>
    <s v="13.10%"/>
    <n v="6196"/>
    <n v="3398"/>
    <n v="1469"/>
    <n v="415"/>
    <n v="86"/>
    <n v="4"/>
    <n v="5423"/>
    <n v="226"/>
    <n v="538"/>
    <n v="1531"/>
    <n v="170"/>
    <n v="77"/>
    <s v="0.99"/>
    <n v="2894.7894736842104"/>
    <x v="3"/>
  </r>
  <r>
    <n v="13054"/>
    <s v="zeph"/>
    <s v="Charlie Dodd"/>
    <x v="11"/>
    <x v="16"/>
    <s v="DGG"/>
    <s v="ORDER, Chiefs, Ground Zero"/>
    <n v="10590"/>
    <n v="10011"/>
    <s v="48.40%"/>
    <s v="80.2"/>
    <s v="3.9"/>
    <n v="564"/>
    <n v="14357"/>
    <s v="0.74"/>
    <s v="0.13"/>
    <s v="0.7"/>
    <s v="0.1"/>
    <s v="0.1"/>
    <n v="7020"/>
    <s v="K - D diff."/>
    <n v="1931"/>
    <n v="1927"/>
    <n v="1"/>
    <s v="1.12"/>
    <s v="72.90%"/>
    <s v="18.30%"/>
    <n v="7337"/>
    <n v="4348"/>
    <n v="1926"/>
    <n v="607"/>
    <n v="126"/>
    <n v="13"/>
    <n v="7208"/>
    <n v="1002"/>
    <n v="518"/>
    <n v="1726"/>
    <n v="128"/>
    <n v="44"/>
    <s v="1.11"/>
    <n v="3569.2"/>
    <x v="2"/>
  </r>
  <r>
    <n v="11231"/>
    <s v="Subroza"/>
    <s v="Yassine Taoufik"/>
    <x v="3"/>
    <x v="5"/>
    <m/>
    <s v="Ghost, FRENCH CANADIANS, CLG, Lazarus, Orgless"/>
    <n v="11748"/>
    <n v="11373"/>
    <s v="48.40%"/>
    <s v="80.7"/>
    <s v="5.2"/>
    <n v="623"/>
    <n v="16275"/>
    <s v="0.72"/>
    <s v="0.15"/>
    <s v="0.7"/>
    <s v="0.09"/>
    <s v="0.09"/>
    <n v="7817"/>
    <s v="K - D diff."/>
    <n v="2050"/>
    <n v="1937"/>
    <s v="1.06"/>
    <s v="1.1"/>
    <s v="72.30%"/>
    <s v="18.00%"/>
    <n v="8458"/>
    <n v="4895"/>
    <n v="2098"/>
    <n v="658"/>
    <n v="147"/>
    <n v="19"/>
    <n v="8043"/>
    <n v="552"/>
    <n v="967"/>
    <n v="2026"/>
    <n v="167"/>
    <n v="18"/>
    <s v="1.1"/>
    <n v="4203.7368421052633"/>
    <x v="2"/>
  </r>
  <r>
    <n v="8726"/>
    <s v="facecrack"/>
    <s v="Dmitriy Alekseyev"/>
    <x v="8"/>
    <x v="1"/>
    <s v="KJlACCHblE"/>
    <s v="forZe, PiTER"/>
    <n v="31491"/>
    <n v="32214"/>
    <s v="48.40%"/>
    <s v="77.6"/>
    <s v="3.2"/>
    <n v="1693"/>
    <n v="45193"/>
    <s v="0.7"/>
    <s v="0.14"/>
    <s v="0.71"/>
    <s v="0.1"/>
    <s v="0.09"/>
    <n v="21030"/>
    <s v="K - D diff."/>
    <n v="5106"/>
    <n v="5822"/>
    <s v="0.88"/>
    <s v="1.02"/>
    <s v="72.80%"/>
    <s v="16.00%"/>
    <n v="24163"/>
    <n v="13156"/>
    <n v="5718"/>
    <n v="1763"/>
    <n v="363"/>
    <n v="30"/>
    <n v="22076"/>
    <n v="288"/>
    <n v="3176"/>
    <n v="5370"/>
    <n v="319"/>
    <n v="339"/>
    <s v="0.99"/>
    <n v="11542.631578947368"/>
    <x v="1"/>
  </r>
  <r>
    <n v="7958"/>
    <s v="dumz"/>
    <s v="Miran MatkoviÄ‡"/>
    <x v="13"/>
    <x v="15"/>
    <m/>
    <s v="DenDD, Singularity, Manatee"/>
    <n v="7889"/>
    <n v="8209"/>
    <s v="48.40%"/>
    <s v="71.2"/>
    <s v="3.1"/>
    <n v="455"/>
    <n v="12074"/>
    <s v="0.65"/>
    <s v="0.12"/>
    <s v="0.68"/>
    <s v="0.1"/>
    <s v="0.09"/>
    <n v="5494"/>
    <s v="K - D diff."/>
    <n v="1222"/>
    <n v="1361"/>
    <s v="0.9"/>
    <s v="0.98"/>
    <s v="70.00%"/>
    <s v="14.30%"/>
    <n v="6580"/>
    <n v="3666"/>
    <n v="1357"/>
    <n v="389"/>
    <n v="73"/>
    <n v="9"/>
    <n v="4881"/>
    <n v="876"/>
    <n v="494"/>
    <n v="1570"/>
    <n v="68"/>
    <n v="9"/>
    <s v="0.95"/>
    <n v="2982.9473684210525"/>
    <x v="3"/>
  </r>
  <r>
    <n v="11630"/>
    <s v="JT"/>
    <s v="Johnny Theodosiou"/>
    <x v="4"/>
    <x v="33"/>
    <s v="Complexity"/>
    <s v="Extra Salt, Bravado, ATK, Cloud9"/>
    <n v="17574"/>
    <n v="18531"/>
    <s v="48.40%"/>
    <n v="72"/>
    <s v="4.7"/>
    <n v="1061"/>
    <n v="27532"/>
    <s v="0.64"/>
    <s v="0.14"/>
    <s v="0.67"/>
    <s v="0.12"/>
    <s v="0.11"/>
    <n v="12084"/>
    <s v="K - D diff."/>
    <n v="2641"/>
    <n v="3061"/>
    <s v="0.86"/>
    <s v="0.96"/>
    <s v="74.60%"/>
    <s v="13.50%"/>
    <n v="15448"/>
    <n v="7898"/>
    <n v="3081"/>
    <n v="918"/>
    <n v="175"/>
    <n v="12"/>
    <n v="13078"/>
    <n v="722"/>
    <n v="880"/>
    <n v="2680"/>
    <n v="227"/>
    <n v="60"/>
    <s v="1.02"/>
    <n v="6386.75"/>
    <x v="0"/>
  </r>
  <r>
    <n v="8790"/>
    <s v="hutji"/>
    <s v="Pavel Lashkov"/>
    <x v="13"/>
    <x v="1"/>
    <m/>
    <s v="Vega Squadron"/>
    <n v="7719"/>
    <n v="8383"/>
    <s v="48.40%"/>
    <n v="72"/>
    <n v="4"/>
    <n v="453"/>
    <n v="12010"/>
    <s v="0.64"/>
    <s v="0.14"/>
    <s v="0.7"/>
    <s v="0.1"/>
    <s v="0.1"/>
    <n v="5303"/>
    <s v="K - D diff."/>
    <n v="1049"/>
    <n v="1183"/>
    <s v="0.89"/>
    <s v="0.94"/>
    <s v="72.60%"/>
    <s v="12.80%"/>
    <n v="6707"/>
    <n v="3465"/>
    <n v="1349"/>
    <n v="407"/>
    <n v="76"/>
    <n v="6"/>
    <n v="5499"/>
    <n v="120"/>
    <n v="641"/>
    <n v="1358"/>
    <n v="97"/>
    <n v="18"/>
    <s v="0.93"/>
    <n v="2662.8095238095239"/>
    <x v="3"/>
  </r>
  <r>
    <n v="136"/>
    <s v="gob b"/>
    <s v="Fatih Dayik"/>
    <x v="15"/>
    <x v="14"/>
    <s v="BIG"/>
    <s v="BIG, MOUZ, NRG"/>
    <n v="14445"/>
    <n v="17256"/>
    <s v="48.50%"/>
    <s v="66.6"/>
    <n v="6"/>
    <n v="975"/>
    <n v="25707"/>
    <s v="0.56"/>
    <s v="0.13"/>
    <s v="0.67"/>
    <s v="0.1"/>
    <s v="0.08"/>
    <n v="10397"/>
    <s v="K - D diff."/>
    <n v="1774"/>
    <n v="2268"/>
    <s v="0.78"/>
    <s v="0.86"/>
    <s v="71.90%"/>
    <s v="9.90%"/>
    <n v="15310"/>
    <n v="7211"/>
    <n v="2466"/>
    <n v="606"/>
    <n v="108"/>
    <n v="6"/>
    <n v="9673"/>
    <n v="215"/>
    <n v="1498"/>
    <n v="2688"/>
    <n v="269"/>
    <n v="126"/>
    <s v="0.85"/>
    <n v="5650.2"/>
    <x v="0"/>
  </r>
  <r>
    <n v="16555"/>
    <s v="Ax1Le"/>
    <s v="Sergey Rykhtorov"/>
    <x v="11"/>
    <x v="1"/>
    <s v="Cloud9"/>
    <s v="Gambit Youngsters, Gambit"/>
    <n v="18478"/>
    <n v="15914"/>
    <s v="48.60%"/>
    <s v="80.4"/>
    <s v="5.2"/>
    <n v="957"/>
    <n v="25369"/>
    <s v="0.73"/>
    <s v="0.14"/>
    <s v="0.63"/>
    <s v="0.09"/>
    <s v="0.09"/>
    <n v="12233"/>
    <s v="K - D diff."/>
    <n v="2763"/>
    <n v="2265"/>
    <s v="1.22"/>
    <s v="1.06"/>
    <s v="76.40%"/>
    <s v="15.40%"/>
    <n v="13136"/>
    <n v="7552"/>
    <n v="3377"/>
    <n v="1068"/>
    <n v="212"/>
    <n v="24"/>
    <n v="13952"/>
    <n v="687"/>
    <n v="766"/>
    <n v="2819"/>
    <n v="265"/>
    <n v="47"/>
    <s v="1.16"/>
    <n v="6414.9473684210525"/>
    <x v="0"/>
  </r>
  <r>
    <n v="12027"/>
    <s v="Krad"/>
    <s v="Vladislav Kravchenko"/>
    <x v="4"/>
    <x v="1"/>
    <s v="Entropiq"/>
    <s v="Entropiq, DreamEaters, Hard Legion"/>
    <n v="21753"/>
    <n v="21142"/>
    <s v="48.60%"/>
    <n v="77"/>
    <s v="4.8"/>
    <n v="1179"/>
    <n v="31354"/>
    <s v="0.69"/>
    <s v="0.14"/>
    <s v="0.67"/>
    <s v="0.09"/>
    <s v="0.1"/>
    <n v="14534"/>
    <s v="K - D diff."/>
    <n v="3357"/>
    <n v="3649"/>
    <s v="0.92"/>
    <s v="1.01"/>
    <s v="73.40%"/>
    <s v="15.10%"/>
    <n v="16820"/>
    <n v="9119"/>
    <n v="3935"/>
    <n v="1185"/>
    <n v="266"/>
    <n v="29"/>
    <n v="14463"/>
    <n v="1333"/>
    <n v="2124"/>
    <n v="3516"/>
    <n v="285"/>
    <n v="88"/>
    <s v="1.07"/>
    <n v="7510.4"/>
    <x v="1"/>
  </r>
  <r>
    <n v="13464"/>
    <s v="mar"/>
    <s v="Martin Kuyumdjiev"/>
    <x v="3"/>
    <x v="9"/>
    <s v="WinX"/>
    <s v="FATE, Finest"/>
    <n v="13540"/>
    <n v="13128"/>
    <s v="48.60%"/>
    <s v="78.9"/>
    <s v="6.6"/>
    <n v="731"/>
    <n v="19382"/>
    <s v="0.7"/>
    <s v="0.15"/>
    <s v="0.68"/>
    <s v="0.1"/>
    <s v="0.1"/>
    <n v="9141"/>
    <s v="K - D diff."/>
    <n v="1930"/>
    <n v="1846"/>
    <s v="1.05"/>
    <s v="1.01"/>
    <s v="71.60%"/>
    <s v="14.30%"/>
    <n v="10241"/>
    <n v="5802"/>
    <n v="2457"/>
    <n v="720"/>
    <n v="146"/>
    <n v="16"/>
    <n v="10318"/>
    <n v="104"/>
    <n v="672"/>
    <n v="2119"/>
    <n v="333"/>
    <n v="59"/>
    <s v="1.08"/>
    <n v="4878.1578947368425"/>
    <x v="0"/>
  </r>
  <r>
    <n v="12822"/>
    <s v="VINI"/>
    <s v="Vinicius Figueiredo"/>
    <x v="4"/>
    <x v="6"/>
    <s v="Imperial"/>
    <s v="FURIA"/>
    <n v="17335"/>
    <n v="17355"/>
    <s v="48.60%"/>
    <s v="73.6"/>
    <s v="4.2"/>
    <n v="1000"/>
    <n v="26088"/>
    <s v="0.66"/>
    <s v="0.13"/>
    <s v="0.67"/>
    <s v="0.1"/>
    <s v="0.09"/>
    <n v="11683"/>
    <s v="K - D diff."/>
    <n v="2426"/>
    <n v="2608"/>
    <s v="0.93"/>
    <s v="0.97"/>
    <s v="74.50%"/>
    <s v="12.80%"/>
    <n v="14405"/>
    <n v="7448"/>
    <n v="3044"/>
    <n v="982"/>
    <n v="192"/>
    <n v="17"/>
    <n v="13254"/>
    <n v="248"/>
    <n v="810"/>
    <n v="2726"/>
    <n v="211"/>
    <n v="145"/>
    <s v="1.04"/>
    <n v="6419.8421052631575"/>
    <x v="0"/>
  </r>
  <r>
    <n v="19015"/>
    <s v="Bymas"/>
    <s v="Aurimas Pipiras"/>
    <x v="18"/>
    <x v="38"/>
    <s v="MOUZ"/>
    <s v="MOUZ, FaZe"/>
    <n v="6546"/>
    <n v="6488"/>
    <s v="48.60%"/>
    <s v="70.7"/>
    <s v="2.8"/>
    <n v="385"/>
    <n v="10318"/>
    <s v="0.63"/>
    <s v="0.12"/>
    <s v="0.63"/>
    <s v="0.1"/>
    <s v="0.1"/>
    <n v="4568"/>
    <s v="K - D diff."/>
    <n v="805"/>
    <n v="823"/>
    <s v="0.98"/>
    <s v="0.92"/>
    <s v="75.20%"/>
    <s v="11.30%"/>
    <n v="5750"/>
    <n v="3050"/>
    <n v="1123"/>
    <n v="333"/>
    <n v="59"/>
    <n v="3"/>
    <n v="5235"/>
    <n v="64"/>
    <n v="158"/>
    <n v="1059"/>
    <n v="40"/>
    <n v="28"/>
    <s v="1.03"/>
    <n v="2465"/>
    <x v="3"/>
  </r>
  <r>
    <n v="1950"/>
    <s v="tonyblack"/>
    <s v="Anton Kolesnikov"/>
    <x v="1"/>
    <x v="1"/>
    <s v="TAG"/>
    <s v="Spirit"/>
    <n v="13828"/>
    <n v="14553"/>
    <s v="48.60%"/>
    <s v="69.6"/>
    <s v="3.8"/>
    <n v="826"/>
    <n v="21699"/>
    <s v="0.64"/>
    <s v="0.13"/>
    <s v="0.67"/>
    <s v="0.08"/>
    <s v="0.08"/>
    <n v="9695"/>
    <s v="K - D diff."/>
    <n v="1925"/>
    <n v="1943"/>
    <s v="0.99"/>
    <s v="0.96"/>
    <s v="71.30%"/>
    <s v="12.50%"/>
    <n v="12004"/>
    <n v="6501"/>
    <n v="2423"/>
    <n v="628"/>
    <n v="130"/>
    <n v="13"/>
    <n v="9781"/>
    <n v="487"/>
    <n v="758"/>
    <n v="2570"/>
    <n v="192"/>
    <n v="55"/>
    <s v="0.94"/>
    <n v="5263.7368421052633"/>
    <x v="0"/>
  </r>
  <r>
    <n v="14759"/>
    <s v="iM"/>
    <s v="Ivan Mihai"/>
    <x v="4"/>
    <x v="40"/>
    <s v="GamerLegion"/>
    <s v="GamerLegion, Nexus"/>
    <n v="15214"/>
    <n v="14387"/>
    <s v="48.70%"/>
    <s v="82.2"/>
    <s v="3.7"/>
    <n v="768"/>
    <n v="20592"/>
    <s v="0.74"/>
    <s v="0.13"/>
    <s v="0.7"/>
    <s v="0.09"/>
    <s v="0.09"/>
    <n v="10122"/>
    <s v="K - D diff."/>
    <n v="2427"/>
    <n v="2290"/>
    <s v="1.06"/>
    <s v="1.07"/>
    <s v="71.20%"/>
    <s v="16.80%"/>
    <n v="10470"/>
    <n v="6338"/>
    <n v="2725"/>
    <n v="843"/>
    <n v="183"/>
    <n v="33"/>
    <n v="11491"/>
    <n v="173"/>
    <n v="737"/>
    <n v="2617"/>
    <n v="135"/>
    <n v="98"/>
    <s v="1.11"/>
    <n v="5349.6315789473683"/>
    <x v="0"/>
  </r>
  <r>
    <n v="15369"/>
    <s v="REDSTAR"/>
    <s v="Hristiyan Pironkov"/>
    <x v="11"/>
    <x v="9"/>
    <s v="ex-MAD Lions"/>
    <s v="Fiend, Bpro"/>
    <n v="12310"/>
    <n v="11124"/>
    <s v="48.70%"/>
    <s v="74.8"/>
    <s v="4.3"/>
    <n v="657"/>
    <n v="17461"/>
    <s v="0.7"/>
    <s v="0.12"/>
    <s v="0.64"/>
    <s v="0.1"/>
    <s v="0.1"/>
    <n v="8386"/>
    <s v="K - D diff."/>
    <n v="1756"/>
    <n v="1490"/>
    <s v="1.18"/>
    <s v="1.03"/>
    <s v="75.30%"/>
    <s v="14.40%"/>
    <n v="9075"/>
    <n v="5354"/>
    <n v="2273"/>
    <n v="634"/>
    <n v="117"/>
    <n v="8"/>
    <n v="7726"/>
    <n v="2197"/>
    <n v="215"/>
    <n v="2006"/>
    <n v="148"/>
    <n v="41"/>
    <s v="1.1"/>
    <n v="4367.2631578947367"/>
    <x v="2"/>
  </r>
  <r>
    <n v="8599"/>
    <s v="Karsa"/>
    <s v="QiFang Su"/>
    <x v="5"/>
    <x v="35"/>
    <m/>
    <s v="Flash, OneThree, EHOME"/>
    <n v="7360"/>
    <n v="7650"/>
    <s v="48.70%"/>
    <s v="70.5"/>
    <s v="3.7"/>
    <n v="457"/>
    <n v="11674"/>
    <s v="0.63"/>
    <s v="0.14"/>
    <s v="0.66"/>
    <s v="0.1"/>
    <s v="0.09"/>
    <n v="5157"/>
    <s v="K - D diff."/>
    <n v="791"/>
    <n v="929"/>
    <s v="0.85"/>
    <s v="0.87"/>
    <s v="74.20%"/>
    <s v="9.50%"/>
    <n v="6517"/>
    <n v="3444"/>
    <n v="1297"/>
    <n v="349"/>
    <n v="60"/>
    <n v="7"/>
    <n v="5282"/>
    <n v="63"/>
    <n v="535"/>
    <n v="1403"/>
    <n v="87"/>
    <n v="3"/>
    <s v="0.95"/>
    <n v="2792.8947368421054"/>
    <x v="3"/>
  </r>
  <r>
    <n v="7415"/>
    <s v="HUNDEN"/>
    <s v="Nicolai Petersen"/>
    <x v="14"/>
    <x v="2"/>
    <m/>
    <s v="Tricked, ALTERNATE aTTaX"/>
    <n v="22470"/>
    <n v="28708"/>
    <s v="48.70%"/>
    <s v="64.4"/>
    <s v="4.5"/>
    <n v="1578"/>
    <n v="41153"/>
    <s v="0.55"/>
    <s v="0.14"/>
    <s v="0.7"/>
    <s v="0.11"/>
    <s v="0.09"/>
    <n v="16415"/>
    <s v="K - D diff."/>
    <n v="3079"/>
    <n v="4493"/>
    <s v="0.69"/>
    <s v="0.86"/>
    <s v="72.70%"/>
    <s v="10.60%"/>
    <n v="24738"/>
    <n v="11579"/>
    <n v="3779"/>
    <n v="923"/>
    <n v="121"/>
    <n v="13"/>
    <n v="16737"/>
    <n v="220"/>
    <n v="1514"/>
    <n v="3589"/>
    <n v="402"/>
    <n v="50"/>
    <s v="0.81"/>
    <n v="9555.8421052631584"/>
    <x v="1"/>
  </r>
  <r>
    <n v="8738"/>
    <s v="EliGE"/>
    <s v="Jonathan Jablonowski"/>
    <x v="3"/>
    <x v="0"/>
    <s v="Liquid"/>
    <s v="Liquid"/>
    <n v="31980"/>
    <n v="28924"/>
    <s v="48.80%"/>
    <s v="83.7"/>
    <s v="4.1"/>
    <n v="1614"/>
    <n v="42316"/>
    <s v="0.76"/>
    <s v="0.16"/>
    <s v="0.68"/>
    <s v="0.1"/>
    <s v="0.12"/>
    <n v="21008"/>
    <s v="K - D diff."/>
    <n v="5509"/>
    <n v="5148"/>
    <s v="1.07"/>
    <s v="1.11"/>
    <s v="73.80%"/>
    <s v="18.00%"/>
    <n v="21308"/>
    <n v="12890"/>
    <n v="5804"/>
    <n v="1841"/>
    <n v="418"/>
    <n v="55"/>
    <n v="24503"/>
    <n v="230"/>
    <n v="1776"/>
    <n v="5140"/>
    <n v="306"/>
    <n v="86"/>
    <s v="1.09"/>
    <n v="11097.684210526315"/>
    <x v="1"/>
  </r>
  <r>
    <n v="9115"/>
    <s v="dexter"/>
    <s v="Christopher Nong"/>
    <x v="6"/>
    <x v="16"/>
    <s v="MOUZ"/>
    <s v="MOUZ, Grayhound, Renegades"/>
    <n v="19140"/>
    <n v="17212"/>
    <s v="48.80%"/>
    <s v="80.9"/>
    <s v="5.2"/>
    <n v="1006"/>
    <n v="25904"/>
    <s v="0.74"/>
    <s v="0.14"/>
    <s v="0.66"/>
    <s v="0.09"/>
    <s v="0.1"/>
    <n v="12631"/>
    <s v="K - D diff."/>
    <n v="3112"/>
    <n v="2633"/>
    <s v="1.18"/>
    <s v="1.1"/>
    <s v="75.90%"/>
    <s v="16.30%"/>
    <n v="13273"/>
    <n v="7807"/>
    <n v="3424"/>
    <n v="1139"/>
    <n v="237"/>
    <n v="24"/>
    <n v="13533"/>
    <n v="867"/>
    <n v="1145"/>
    <n v="3241"/>
    <n v="321"/>
    <n v="69"/>
    <s v="1.08"/>
    <n v="6669.3684210526317"/>
    <x v="0"/>
  </r>
  <r>
    <n v="1225"/>
    <s v="shox"/>
    <s v="Richard Papillon"/>
    <x v="5"/>
    <x v="26"/>
    <s v="Liquid"/>
    <s v="G2, Vitality, Envy"/>
    <n v="38675"/>
    <n v="34914"/>
    <s v="48.80%"/>
    <s v="75.4"/>
    <n v="3"/>
    <n v="2018"/>
    <n v="52913"/>
    <s v="0.73"/>
    <s v="0.12"/>
    <s v="0.66"/>
    <s v="0.08"/>
    <s v="0.08"/>
    <n v="25759"/>
    <s v="K - D diff."/>
    <n v="6026"/>
    <n v="5468"/>
    <s v="1.1"/>
    <s v="1.06"/>
    <s v="74.40%"/>
    <s v="16.00%"/>
    <n v="27154"/>
    <n v="16098"/>
    <n v="7008"/>
    <n v="2166"/>
    <n v="437"/>
    <n v="50"/>
    <n v="24448"/>
    <n v="4160"/>
    <n v="2720"/>
    <n v="6910"/>
    <n v="304"/>
    <n v="174"/>
    <s v="1.07"/>
    <n v="12870.25"/>
    <x v="1"/>
  </r>
  <r>
    <n v="11954"/>
    <s v="FASHR"/>
    <s v="Dion Derksen"/>
    <x v="13"/>
    <x v="13"/>
    <s v="ECSTATIC"/>
    <s v="ECSTATIC, Lyngby Vikings, Defusekids"/>
    <n v="13998"/>
    <n v="13241"/>
    <s v="48.80%"/>
    <s v="79.4"/>
    <s v="5.4"/>
    <n v="731"/>
    <n v="19399"/>
    <s v="0.72"/>
    <s v="0.15"/>
    <s v="0.68"/>
    <s v="0.11"/>
    <s v="0.13"/>
    <n v="9218"/>
    <s v="K - D diff."/>
    <n v="2156"/>
    <n v="2189"/>
    <s v="0.98"/>
    <s v="1.03"/>
    <s v="73.40%"/>
    <s v="15.80%"/>
    <n v="10181"/>
    <n v="5673"/>
    <n v="2509"/>
    <n v="855"/>
    <n v="163"/>
    <n v="18"/>
    <n v="10972"/>
    <n v="88"/>
    <n v="607"/>
    <n v="2144"/>
    <n v="208"/>
    <n v="20"/>
    <s v="1.11"/>
    <n v="4966.8421052631575"/>
    <x v="0"/>
  </r>
  <r>
    <n v="8517"/>
    <s v="Relyks"/>
    <s v="Skyler Weaver"/>
    <x v="6"/>
    <x v="0"/>
    <m/>
    <s v="eUnited, Enemy, Selfless, New Identity"/>
    <n v="14589"/>
    <n v="14428"/>
    <s v="48.80%"/>
    <s v="73.9"/>
    <s v="5.6"/>
    <n v="832"/>
    <n v="21258"/>
    <s v="0.69"/>
    <s v="0.12"/>
    <s v="0.68"/>
    <s v="0.1"/>
    <s v="0.1"/>
    <n v="9884"/>
    <s v="K - D diff."/>
    <n v="1840"/>
    <n v="1853"/>
    <s v="0.99"/>
    <s v="0.95"/>
    <s v="73.50%"/>
    <s v="12.60%"/>
    <n v="11374"/>
    <n v="6355"/>
    <n v="2567"/>
    <n v="774"/>
    <n v="164"/>
    <n v="24"/>
    <n v="7762"/>
    <n v="2250"/>
    <n v="1396"/>
    <n v="2945"/>
    <n v="206"/>
    <n v="51"/>
    <n v="1"/>
    <n v="5027.6499999999996"/>
    <x v="0"/>
  </r>
  <r>
    <n v="9818"/>
    <s v="uli"/>
    <s v="Samu Leirilaakso"/>
    <x v="2"/>
    <x v="4"/>
    <s v="KOVA"/>
    <s v="KOVA"/>
    <n v="10468"/>
    <n v="10254"/>
    <s v="48.80%"/>
    <s v="76.5"/>
    <s v="4.8"/>
    <n v="575"/>
    <n v="15393"/>
    <s v="0.68"/>
    <s v="0.13"/>
    <s v="0.67"/>
    <s v="0.09"/>
    <s v="0.1"/>
    <n v="7242"/>
    <s v="K - D diff."/>
    <n v="1540"/>
    <n v="1458"/>
    <s v="1.06"/>
    <s v="1.01"/>
    <s v="72.90%"/>
    <s v="14.90%"/>
    <n v="8151"/>
    <n v="4782"/>
    <n v="1814"/>
    <n v="534"/>
    <n v="104"/>
    <n v="8"/>
    <n v="8072"/>
    <n v="165"/>
    <n v="456"/>
    <n v="1673"/>
    <n v="103"/>
    <n v="24"/>
    <n v="1"/>
    <n v="3640.85"/>
    <x v="2"/>
  </r>
  <r>
    <n v="334"/>
    <s v="adreN"/>
    <s v="Dauren Kystaubayev"/>
    <x v="0"/>
    <x v="10"/>
    <m/>
    <s v="Gambit, HellRaisers, K23"/>
    <n v="31357"/>
    <n v="31574"/>
    <s v="48.80%"/>
    <s v="75.9"/>
    <s v="5.3"/>
    <n v="1767"/>
    <n v="46454"/>
    <s v="0.68"/>
    <s v="0.15"/>
    <s v="0.68"/>
    <s v="0.08"/>
    <s v="0.07"/>
    <n v="21379"/>
    <s v="K - D diff."/>
    <n v="4756"/>
    <n v="5119"/>
    <s v="0.93"/>
    <s v="0.99"/>
    <s v="74.20%"/>
    <s v="14.70%"/>
    <n v="25075"/>
    <n v="13782"/>
    <n v="5611"/>
    <n v="1657"/>
    <n v="303"/>
    <n v="26"/>
    <n v="22645"/>
    <n v="731"/>
    <n v="1822"/>
    <n v="5434"/>
    <n v="526"/>
    <n v="251"/>
    <s v="0.98"/>
    <n v="11593.105263157895"/>
    <x v="1"/>
  </r>
  <r>
    <n v="8917"/>
    <s v="niki1"/>
    <s v="Nikolay Pantaleev"/>
    <x v="14"/>
    <x v="9"/>
    <s v="NeedDOCTOR"/>
    <s v="FATE, Bpro, Outlaws"/>
    <n v="17850"/>
    <n v="18170"/>
    <s v="48.80%"/>
    <s v="76.8"/>
    <s v="6.7"/>
    <n v="1020"/>
    <n v="26614"/>
    <s v="0.67"/>
    <s v="0.16"/>
    <s v="0.68"/>
    <s v="0.1"/>
    <s v="0.09"/>
    <n v="12204"/>
    <s v="K - D diff."/>
    <n v="2818"/>
    <n v="3102"/>
    <s v="0.91"/>
    <n v="1"/>
    <s v="72.90%"/>
    <s v="15.30%"/>
    <n v="14410"/>
    <n v="7932"/>
    <n v="3114"/>
    <n v="961"/>
    <n v="180"/>
    <n v="17"/>
    <n v="12104"/>
    <n v="654"/>
    <n v="1440"/>
    <n v="3206"/>
    <n v="415"/>
    <n v="86"/>
    <s v="0.98"/>
    <n v="6314.9"/>
    <x v="0"/>
  </r>
  <r>
    <n v="150"/>
    <s v="MAJ3R"/>
    <s v="Engin KÃ¼peli"/>
    <x v="14"/>
    <x v="20"/>
    <s v="Eternal Fire"/>
    <s v="Space Soldiers, Sangal"/>
    <n v="17858"/>
    <n v="18382"/>
    <s v="48.80%"/>
    <s v="73.9"/>
    <s v="4.9"/>
    <n v="1050"/>
    <n v="27515"/>
    <s v="0.65"/>
    <s v="0.14"/>
    <s v="0.67"/>
    <s v="0.08"/>
    <s v="0.08"/>
    <n v="12448"/>
    <s v="K - D diff."/>
    <n v="2711"/>
    <n v="2782"/>
    <s v="0.97"/>
    <s v="0.99"/>
    <s v="73.80%"/>
    <s v="14.00%"/>
    <n v="15067"/>
    <n v="8275"/>
    <n v="3116"/>
    <n v="897"/>
    <n v="142"/>
    <n v="18"/>
    <n v="11944"/>
    <n v="1315"/>
    <n v="1177"/>
    <n v="3110"/>
    <n v="280"/>
    <n v="69"/>
    <s v="0.96"/>
    <n v="6745.0526315789475"/>
    <x v="0"/>
  </r>
  <r>
    <n v="7028"/>
    <s v="Summer"/>
    <s v="YuLun Cai"/>
    <x v="3"/>
    <x v="35"/>
    <s v="TYLOO"/>
    <s v="TYLOO, Flash"/>
    <n v="23807"/>
    <n v="21025"/>
    <s v="48.90%"/>
    <s v="79.8"/>
    <s v="5.5"/>
    <n v="1268"/>
    <n v="32666"/>
    <s v="0.73"/>
    <s v="0.14"/>
    <s v="0.64"/>
    <s v="0.09"/>
    <s v="0.09"/>
    <n v="16047"/>
    <s v="K - D diff."/>
    <n v="3282"/>
    <n v="2728"/>
    <s v="1.2"/>
    <s v="1.03"/>
    <s v="76.90%"/>
    <s v="14.00%"/>
    <n v="16619"/>
    <n v="10208"/>
    <n v="4242"/>
    <n v="1304"/>
    <n v="264"/>
    <n v="29"/>
    <n v="15077"/>
    <n v="2663"/>
    <n v="1577"/>
    <n v="4113"/>
    <n v="342"/>
    <n v="82"/>
    <s v="1.08"/>
    <n v="8281.21052631579"/>
    <x v="1"/>
  </r>
  <r>
    <n v="8767"/>
    <s v="ofnu"/>
    <s v="Chris Hanley"/>
    <x v="1"/>
    <x v="30"/>
    <m/>
    <s v="Tainted Minds, Chiefs, AVANT, Winterfox"/>
    <n v="15793"/>
    <n v="14413"/>
    <s v="48.90%"/>
    <s v="79.7"/>
    <s v="5.2"/>
    <n v="852"/>
    <n v="21778"/>
    <s v="0.73"/>
    <s v="0.15"/>
    <s v="0.66"/>
    <s v="0.1"/>
    <s v="0.1"/>
    <n v="10534"/>
    <s v="K - D diff."/>
    <n v="2149"/>
    <n v="1929"/>
    <s v="1.11"/>
    <s v="1.01"/>
    <s v="75.70%"/>
    <s v="13.90%"/>
    <n v="11244"/>
    <n v="6585"/>
    <n v="2857"/>
    <n v="890"/>
    <n v="187"/>
    <n v="15"/>
    <n v="11852"/>
    <n v="85"/>
    <n v="1040"/>
    <n v="2564"/>
    <n v="255"/>
    <n v="8"/>
    <s v="1.06"/>
    <n v="5527.894736842105"/>
    <x v="0"/>
  </r>
  <r>
    <n v="12876"/>
    <s v="DickStacy"/>
    <s v="Ollie Tierney"/>
    <x v="3"/>
    <x v="16"/>
    <m/>
    <s v="Grayhound, Dark Sided"/>
    <n v="10534"/>
    <n v="10188"/>
    <s v="48.90%"/>
    <s v="73.5"/>
    <s v="4.5"/>
    <n v="624"/>
    <n v="15708"/>
    <s v="0.67"/>
    <s v="0.15"/>
    <s v="0.65"/>
    <s v="0.11"/>
    <s v="0.09"/>
    <n v="7147"/>
    <s v="K - D diff."/>
    <n v="1567"/>
    <n v="1606"/>
    <s v="0.98"/>
    <n v="1"/>
    <s v="76.30%"/>
    <s v="13.30%"/>
    <n v="8561"/>
    <n v="4551"/>
    <n v="1932"/>
    <n v="546"/>
    <n v="109"/>
    <n v="9"/>
    <n v="7484"/>
    <n v="49"/>
    <n v="931"/>
    <n v="1899"/>
    <n v="164"/>
    <n v="16"/>
    <s v="1.08"/>
    <n v="3681.3"/>
    <x v="2"/>
  </r>
  <r>
    <n v="9339"/>
    <s v="ImpressioN"/>
    <s v="Anthony Lim"/>
    <x v="13"/>
    <x v="37"/>
    <m/>
    <s v="BOOT-d[S], BTRG, NKT, dream[S]cape"/>
    <n v="12159"/>
    <n v="12028"/>
    <s v="48.90%"/>
    <s v="76.8"/>
    <s v="4.2"/>
    <n v="684"/>
    <n v="17721"/>
    <s v="0.69"/>
    <s v="0.15"/>
    <s v="0.68"/>
    <s v="0.1"/>
    <s v="0.11"/>
    <n v="8269"/>
    <s v="K - D diff."/>
    <n v="1764"/>
    <n v="1736"/>
    <s v="1.02"/>
    <n v="1"/>
    <s v="73.30%"/>
    <s v="14.00%"/>
    <n v="9452"/>
    <n v="5338"/>
    <n v="2123"/>
    <n v="667"/>
    <n v="131"/>
    <n v="10"/>
    <n v="8835"/>
    <n v="299"/>
    <n v="640"/>
    <n v="2226"/>
    <n v="146"/>
    <n v="50"/>
    <n v="1"/>
    <n v="4013.3333333333335"/>
    <x v="2"/>
  </r>
  <r>
    <n v="9103"/>
    <s v="rbz"/>
    <s v="Daniel Urbani"/>
    <x v="8"/>
    <x v="16"/>
    <m/>
    <s v="Paradox, Corvidae"/>
    <n v="11278"/>
    <n v="11140"/>
    <s v="48.90%"/>
    <s v="73.3"/>
    <s v="4.3"/>
    <n v="647"/>
    <n v="16903"/>
    <s v="0.67"/>
    <s v="0.13"/>
    <s v="0.66"/>
    <s v="0.09"/>
    <s v="0.1"/>
    <n v="7721"/>
    <s v="K - D diff."/>
    <n v="1242"/>
    <n v="1270"/>
    <s v="0.98"/>
    <s v="0.91"/>
    <s v="70.90%"/>
    <s v="10.40%"/>
    <n v="9182"/>
    <n v="5016"/>
    <n v="1999"/>
    <n v="571"/>
    <n v="124"/>
    <n v="11"/>
    <n v="8085"/>
    <n v="166"/>
    <n v="895"/>
    <n v="1966"/>
    <n v="170"/>
    <n v="24"/>
    <s v="0.99"/>
    <n v="4126.8421052631575"/>
    <x v="2"/>
  </r>
  <r>
    <n v="16870"/>
    <s v="ProbLeM"/>
    <s v="Dmitriy Martinov"/>
    <x v="4"/>
    <x v="1"/>
    <m/>
    <s v="HellRaisers, bankaPEPSI"/>
    <n v="10188"/>
    <n v="10533"/>
    <s v="48.90%"/>
    <s v="73.7"/>
    <s v="4.7"/>
    <n v="575"/>
    <n v="15597"/>
    <s v="0.65"/>
    <s v="0.13"/>
    <s v="0.68"/>
    <s v="0.1"/>
    <s v="0.1"/>
    <n v="7044"/>
    <s v="K - D diff."/>
    <n v="1346"/>
    <n v="1423"/>
    <s v="0.95"/>
    <s v="0.95"/>
    <s v="71.50%"/>
    <s v="12.60%"/>
    <n v="8553"/>
    <n v="4615"/>
    <n v="1813"/>
    <n v="525"/>
    <n v="83"/>
    <n v="8"/>
    <n v="7243"/>
    <n v="207"/>
    <n v="955"/>
    <n v="1628"/>
    <n v="148"/>
    <n v="46"/>
    <s v="1.02"/>
    <n v="3817.3684210526317"/>
    <x v="2"/>
  </r>
  <r>
    <n v="15821"/>
    <s v="NEOFRAG"/>
    <s v="Adam Zouhar"/>
    <x v="10"/>
    <x v="22"/>
    <s v="OG"/>
    <s v="SINNERS"/>
    <n v="13707"/>
    <n v="12172"/>
    <s v="49.00%"/>
    <s v="86.2"/>
    <s v="8.5"/>
    <n v="676"/>
    <n v="18080"/>
    <s v="0.76"/>
    <s v="0.16"/>
    <s v="0.67"/>
    <s v="0.09"/>
    <s v="0.12"/>
    <n v="8891"/>
    <s v="K - D diff."/>
    <n v="2282"/>
    <n v="1926"/>
    <s v="1.18"/>
    <s v="1.12"/>
    <s v="72.90%"/>
    <s v="17.60%"/>
    <n v="9189"/>
    <n v="5369"/>
    <n v="2488"/>
    <n v="817"/>
    <n v="174"/>
    <n v="43"/>
    <n v="10748"/>
    <n v="406"/>
    <n v="289"/>
    <n v="2068"/>
    <n v="201"/>
    <n v="31"/>
    <s v="1.18"/>
    <n v="4713.5263157894733"/>
    <x v="2"/>
  </r>
  <r>
    <n v="9656"/>
    <s v="hAdji"/>
    <s v="Ali HaÃ¯nouss"/>
    <x v="13"/>
    <x v="26"/>
    <s v="Falcons"/>
    <s v="LDLC, EnVyUs Academy"/>
    <n v="22302"/>
    <n v="19994"/>
    <s v="49.00%"/>
    <n v="80"/>
    <s v="4.1"/>
    <n v="1152"/>
    <n v="30382"/>
    <s v="0.73"/>
    <s v="0.13"/>
    <s v="0.66"/>
    <s v="0.1"/>
    <s v="0.12"/>
    <n v="14935"/>
    <s v="K - D diff."/>
    <n v="2954"/>
    <n v="2760"/>
    <s v="1.07"/>
    <n v="1"/>
    <s v="70.20%"/>
    <s v="13.50%"/>
    <n v="15447"/>
    <n v="9424"/>
    <n v="3972"/>
    <n v="1257"/>
    <n v="247"/>
    <n v="35"/>
    <n v="16597"/>
    <n v="541"/>
    <n v="1273"/>
    <n v="3573"/>
    <n v="276"/>
    <n v="145"/>
    <s v="1.08"/>
    <n v="7016.5238095238092"/>
    <x v="1"/>
  </r>
  <r>
    <n v="5794"/>
    <s v="tabseN"/>
    <s v="Johannes Wodarz"/>
    <x v="6"/>
    <x v="14"/>
    <s v="BIG"/>
    <s v="BIG, PENTA, MOUZ"/>
    <n v="37751"/>
    <n v="36211"/>
    <s v="49.00%"/>
    <s v="84.7"/>
    <s v="8.2"/>
    <n v="1953"/>
    <n v="51605"/>
    <s v="0.73"/>
    <s v="0.16"/>
    <s v="0.7"/>
    <s v="0.09"/>
    <s v="0.09"/>
    <n v="24485"/>
    <s v="K - D diff."/>
    <n v="6162"/>
    <n v="6265"/>
    <s v="0.98"/>
    <s v="1.06"/>
    <s v="73.00%"/>
    <s v="17.20%"/>
    <n v="27120"/>
    <n v="14806"/>
    <n v="6775"/>
    <n v="2338"/>
    <n v="497"/>
    <n v="69"/>
    <n v="26945"/>
    <n v="2296"/>
    <n v="1304"/>
    <n v="6539"/>
    <n v="644"/>
    <n v="95"/>
    <s v="1.05"/>
    <n v="13361.052631578947"/>
    <x v="1"/>
  </r>
  <r>
    <n v="19882"/>
    <s v="Norwi"/>
    <s v="Evgeny Ermolin"/>
    <x v="10"/>
    <x v="1"/>
    <s v="forZe"/>
    <s v="forZe, Trident"/>
    <n v="7141"/>
    <n v="7176"/>
    <s v="49.00%"/>
    <s v="70.9"/>
    <s v="4.4"/>
    <n v="411"/>
    <n v="10991"/>
    <s v="0.65"/>
    <s v="0.11"/>
    <s v="0.65"/>
    <s v="0.1"/>
    <s v="0.1"/>
    <n v="4912"/>
    <s v="K - D diff."/>
    <n v="957"/>
    <n v="1104"/>
    <s v="0.87"/>
    <s v="0.93"/>
    <s v="70.80%"/>
    <s v="12.00%"/>
    <n v="6079"/>
    <n v="3242"/>
    <n v="1212"/>
    <n v="367"/>
    <n v="81"/>
    <n v="10"/>
    <n v="5492"/>
    <n v="89"/>
    <n v="302"/>
    <n v="1139"/>
    <n v="117"/>
    <n v="42"/>
    <s v="1.02"/>
    <n v="2677.0526315789475"/>
    <x v="3"/>
  </r>
  <r>
    <n v="8410"/>
    <s v="arch"/>
    <s v="Vladyslav Svistov"/>
    <x v="13"/>
    <x v="29"/>
    <m/>
    <s v="Preparation, Spirit, Worst Players"/>
    <n v="10295"/>
    <n v="10953"/>
    <s v="49.00%"/>
    <s v="72.7"/>
    <s v="2.2"/>
    <n v="593"/>
    <n v="15530"/>
    <s v="0.66"/>
    <s v="0.13"/>
    <s v="0.71"/>
    <s v="0.1"/>
    <s v="0.1"/>
    <n v="7195"/>
    <s v="K - D diff."/>
    <n v="1194"/>
    <n v="1175"/>
    <s v="1.02"/>
    <s v="0.92"/>
    <s v="73.10%"/>
    <s v="11.50%"/>
    <n v="8335"/>
    <n v="4776"/>
    <n v="1832"/>
    <n v="501"/>
    <n v="78"/>
    <n v="8"/>
    <n v="6995"/>
    <n v="486"/>
    <n v="865"/>
    <n v="1849"/>
    <n v="108"/>
    <n v="12"/>
    <s v="0.94"/>
    <n v="3830.5263157894738"/>
    <x v="2"/>
  </r>
  <r>
    <n v="1200"/>
    <s v="hitMouse"/>
    <s v="Kirill Tsarev"/>
    <x v="0"/>
    <x v="18"/>
    <s v="NewBelarus"/>
    <s v="Nemiga, K29"/>
    <n v="8785"/>
    <n v="9410"/>
    <s v="49.00%"/>
    <s v="71.2"/>
    <s v="4.5"/>
    <n v="538"/>
    <n v="14028"/>
    <s v="0.63"/>
    <s v="0.13"/>
    <s v="0.67"/>
    <s v="0.09"/>
    <s v="0.09"/>
    <n v="6213"/>
    <s v="K - D diff."/>
    <n v="1136"/>
    <n v="1131"/>
    <n v="1"/>
    <s v="0.94"/>
    <s v="72.80%"/>
    <s v="12.00%"/>
    <n v="7815"/>
    <n v="4174"/>
    <n v="1578"/>
    <n v="398"/>
    <n v="55"/>
    <n v="8"/>
    <n v="5182"/>
    <n v="1103"/>
    <n v="686"/>
    <n v="1705"/>
    <n v="107"/>
    <n v="12"/>
    <s v="0.92"/>
    <n v="3203.25"/>
    <x v="3"/>
  </r>
  <r>
    <n v="10774"/>
    <s v="Freeman"/>
    <s v="WingHei Cheung"/>
    <x v="4"/>
    <x v="44"/>
    <s v="YK"/>
    <s v="ViCi, TYLOO"/>
    <n v="15040"/>
    <n v="12743"/>
    <s v="49.10%"/>
    <s v="80.7"/>
    <s v="2.9"/>
    <n v="773"/>
    <n v="19766"/>
    <s v="0.76"/>
    <s v="0.13"/>
    <s v="0.64"/>
    <s v="0.09"/>
    <s v="0.11"/>
    <n v="9837"/>
    <s v="K - D diff."/>
    <n v="1902"/>
    <n v="1717"/>
    <s v="1.11"/>
    <n v="1"/>
    <s v="75.70%"/>
    <s v="13.50%"/>
    <n v="9929"/>
    <n v="5988"/>
    <n v="2725"/>
    <n v="918"/>
    <n v="182"/>
    <n v="24"/>
    <n v="10686"/>
    <n v="690"/>
    <n v="766"/>
    <n v="2735"/>
    <n v="158"/>
    <n v="32"/>
    <s v="1.16"/>
    <n v="4830.6000000000004"/>
    <x v="0"/>
  </r>
  <r>
    <n v="13780"/>
    <s v="dimasick"/>
    <s v="Dmitry Matvienko"/>
    <x v="13"/>
    <x v="10"/>
    <m/>
    <s v="AVANGAR, pro100"/>
    <n v="10747"/>
    <n v="10300"/>
    <s v="49.10%"/>
    <s v="75.9"/>
    <s v="3.5"/>
    <n v="585"/>
    <n v="15322"/>
    <s v="0.7"/>
    <s v="0.12"/>
    <s v="0.67"/>
    <s v="0.08"/>
    <s v="0.09"/>
    <n v="7352"/>
    <s v="K - D diff."/>
    <n v="1432"/>
    <n v="1379"/>
    <s v="1.04"/>
    <s v="0.98"/>
    <s v="75.50%"/>
    <s v="13.50%"/>
    <n v="7970"/>
    <n v="4774"/>
    <n v="1875"/>
    <n v="600"/>
    <n v="92"/>
    <n v="11"/>
    <n v="8188"/>
    <n v="102"/>
    <n v="616"/>
    <n v="1733"/>
    <n v="110"/>
    <n v="23"/>
    <s v="1.06"/>
    <n v="3853.2105263157896"/>
    <x v="2"/>
  </r>
  <r>
    <n v="16946"/>
    <s v="Polt"/>
    <s v="Vadim Tsyrov"/>
    <x v="8"/>
    <x v="1"/>
    <s v="xDDDD"/>
    <s v="1WIN, Unique"/>
    <n v="9422"/>
    <n v="9008"/>
    <s v="49.10%"/>
    <s v="77.7"/>
    <s v="3.5"/>
    <n v="519"/>
    <n v="13706"/>
    <s v="0.69"/>
    <s v="0.14"/>
    <s v="0.66"/>
    <s v="0.08"/>
    <s v="0.09"/>
    <n v="6584"/>
    <s v="K - D diff."/>
    <n v="1215"/>
    <n v="1055"/>
    <s v="1.15"/>
    <s v="0.98"/>
    <s v="71.40%"/>
    <s v="12.30%"/>
    <n v="7122"/>
    <n v="4369"/>
    <n v="1695"/>
    <n v="426"/>
    <n v="85"/>
    <n v="9"/>
    <n v="7151"/>
    <n v="196"/>
    <n v="611"/>
    <n v="1360"/>
    <n v="107"/>
    <n v="14"/>
    <s v="1.07"/>
    <n v="3402.8421052631579"/>
    <x v="2"/>
  </r>
  <r>
    <n v="8413"/>
    <s v="Zero"/>
    <s v="Patrik Å½Ãºdel"/>
    <x v="4"/>
    <x v="17"/>
    <s v="SINNERS"/>
    <s v="GamerLegion, HellRaisers"/>
    <n v="19118"/>
    <n v="18363"/>
    <s v="49.10%"/>
    <n v="72"/>
    <s v="2.5"/>
    <n v="1072"/>
    <n v="28513"/>
    <s v="0.67"/>
    <s v="0.12"/>
    <s v="0.64"/>
    <s v="0.09"/>
    <s v="0.11"/>
    <n v="13202"/>
    <s v="K - D diff."/>
    <n v="2448"/>
    <n v="2283"/>
    <s v="1.07"/>
    <s v="0.96"/>
    <s v="71.90%"/>
    <s v="12.10%"/>
    <n v="15311"/>
    <n v="8655"/>
    <n v="3386"/>
    <n v="982"/>
    <n v="160"/>
    <n v="19"/>
    <n v="15157"/>
    <n v="102"/>
    <n v="566"/>
    <n v="3129"/>
    <n v="166"/>
    <n v="49"/>
    <n v="1"/>
    <n v="6321.6190476190477"/>
    <x v="0"/>
  </r>
  <r>
    <n v="9903"/>
    <s v="notaN"/>
    <s v="Anton Pedersen"/>
    <x v="9"/>
    <x v="2"/>
    <s v="MASONIC"/>
    <s v="MASONIC, Singularity, OPAA"/>
    <n v="8207"/>
    <n v="8167"/>
    <s v="49.10%"/>
    <n v="74"/>
    <n v="5"/>
    <n v="462"/>
    <n v="12321"/>
    <s v="0.67"/>
    <s v="0.14"/>
    <s v="0.66"/>
    <s v="0.11"/>
    <s v="0.11"/>
    <n v="5585"/>
    <s v="K - D diff."/>
    <n v="1037"/>
    <n v="1152"/>
    <s v="0.9"/>
    <s v="0.93"/>
    <s v="70.40%"/>
    <s v="12.00%"/>
    <n v="6736"/>
    <n v="3605"/>
    <n v="1439"/>
    <n v="446"/>
    <n v="89"/>
    <n v="6"/>
    <n v="5683"/>
    <n v="136"/>
    <n v="795"/>
    <n v="1484"/>
    <n v="96"/>
    <n v="33"/>
    <s v="0.99"/>
    <n v="2740.8571428571427"/>
    <x v="3"/>
  </r>
  <r>
    <n v="9291"/>
    <s v="krii"/>
    <s v="Kristaps Bricis"/>
    <x v="2"/>
    <x v="36"/>
    <s v="Wolsung"/>
    <s v="Wolsung, EPG"/>
    <n v="7065"/>
    <n v="7067"/>
    <s v="49.10%"/>
    <s v="74.1"/>
    <s v="3.2"/>
    <n v="399"/>
    <n v="10544"/>
    <s v="0.67"/>
    <s v="0.14"/>
    <s v="0.67"/>
    <s v="0.1"/>
    <s v="0.12"/>
    <n v="4819"/>
    <s v="K - D diff."/>
    <n v="799"/>
    <n v="811"/>
    <s v="0.99"/>
    <s v="0.92"/>
    <s v="75.10%"/>
    <s v="11.30%"/>
    <n v="5725"/>
    <n v="3131"/>
    <n v="1214"/>
    <n v="396"/>
    <n v="72"/>
    <n v="6"/>
    <n v="5342"/>
    <n v="80"/>
    <n v="314"/>
    <n v="1274"/>
    <n v="61"/>
    <n v="13"/>
    <s v="0.99"/>
    <n v="2585.8947368421054"/>
    <x v="3"/>
  </r>
  <r>
    <n v="14055"/>
    <s v="propleh"/>
    <s v="Dmitriy Senigov"/>
    <x v="3"/>
    <x v="1"/>
    <s v="Trident"/>
    <s v="1WIN, Monolith, Spartak"/>
    <n v="6962"/>
    <n v="7069"/>
    <s v="49.10%"/>
    <n v="74"/>
    <s v="4.2"/>
    <n v="395"/>
    <n v="10494"/>
    <s v="0.66"/>
    <s v="0.14"/>
    <s v="0.67"/>
    <s v="0.1"/>
    <s v="0.11"/>
    <n v="4820"/>
    <s v="K - D diff."/>
    <n v="933"/>
    <n v="1024"/>
    <s v="0.91"/>
    <s v="0.95"/>
    <s v="74.10%"/>
    <s v="13.10%"/>
    <n v="5674"/>
    <n v="3172"/>
    <n v="1242"/>
    <n v="323"/>
    <n v="78"/>
    <n v="5"/>
    <n v="4951"/>
    <n v="189"/>
    <n v="496"/>
    <n v="1241"/>
    <n v="89"/>
    <n v="10"/>
    <s v="1.03"/>
    <n v="2462.0500000000002"/>
    <x v="3"/>
  </r>
  <r>
    <n v="10666"/>
    <s v="MAIROLLS"/>
    <s v="Maitri Sukrob"/>
    <x v="2"/>
    <x v="12"/>
    <s v="LZ"/>
    <s v="Alpha Red, Beyond, NSPR"/>
    <n v="8516"/>
    <n v="8729"/>
    <s v="49.10%"/>
    <s v="73.2"/>
    <s v="3.5"/>
    <n v="495"/>
    <n v="12791"/>
    <s v="0.67"/>
    <s v="0.13"/>
    <s v="0.68"/>
    <s v="0.1"/>
    <s v="0.1"/>
    <n v="5886"/>
    <s v="K - D diff."/>
    <n v="1143"/>
    <n v="1262"/>
    <s v="0.91"/>
    <s v="0.95"/>
    <s v="73.80%"/>
    <s v="13.00%"/>
    <n v="6905"/>
    <n v="3884"/>
    <n v="1466"/>
    <n v="450"/>
    <n v="80"/>
    <n v="6"/>
    <n v="6228"/>
    <n v="254"/>
    <n v="512"/>
    <n v="1409"/>
    <n v="100"/>
    <n v="44"/>
    <s v="1.02"/>
    <n v="3166.3157894736842"/>
    <x v="3"/>
  </r>
  <r>
    <n v="14957"/>
    <s v="Mayker"/>
    <s v="Daryl May"/>
    <x v="4"/>
    <x v="16"/>
    <m/>
    <s v="Genuine, Chiefs, Surge"/>
    <n v="7380"/>
    <n v="7600"/>
    <s v="49.10%"/>
    <s v="72.9"/>
    <s v="4.6"/>
    <n v="433"/>
    <n v="11216"/>
    <s v="0.66"/>
    <s v="0.13"/>
    <s v="0.68"/>
    <s v="0.1"/>
    <s v="0.1"/>
    <n v="5083"/>
    <s v="K - D diff."/>
    <n v="867"/>
    <n v="968"/>
    <s v="0.9"/>
    <s v="0.91"/>
    <s v="74.40%"/>
    <s v="11.50%"/>
    <n v="6133"/>
    <n v="3351"/>
    <n v="1268"/>
    <n v="373"/>
    <n v="81"/>
    <n v="10"/>
    <n v="5233"/>
    <n v="395"/>
    <n v="346"/>
    <n v="1320"/>
    <n v="99"/>
    <n v="13"/>
    <s v="1.01"/>
    <n v="2745.7368421052633"/>
    <x v="3"/>
  </r>
  <r>
    <n v="13980"/>
    <s v="lollipop21k"/>
    <s v="Igor Solodkov"/>
    <x v="13"/>
    <x v="18"/>
    <s v="1WIN"/>
    <s v="Nemiga, GoodJob"/>
    <n v="23585"/>
    <n v="21089"/>
    <s v="49.20%"/>
    <n v="82"/>
    <s v="3.7"/>
    <n v="1172"/>
    <n v="31354"/>
    <s v="0.75"/>
    <s v="0.13"/>
    <s v="0.67"/>
    <s v="0.09"/>
    <s v="0.1"/>
    <n v="15620"/>
    <s v="K - D diff."/>
    <n v="3106"/>
    <n v="2483"/>
    <s v="1.25"/>
    <s v="1.03"/>
    <s v="71.40%"/>
    <s v="13.90%"/>
    <n v="15734"/>
    <n v="9784"/>
    <n v="4105"/>
    <n v="1376"/>
    <n v="312"/>
    <n v="43"/>
    <n v="17821"/>
    <n v="260"/>
    <n v="1602"/>
    <n v="3691"/>
    <n v="233"/>
    <n v="28"/>
    <s v="1.14"/>
    <n v="7674"/>
    <x v="1"/>
  </r>
  <r>
    <n v="10610"/>
    <s v="refrezh"/>
    <s v="Ismail Ali"/>
    <x v="2"/>
    <x v="2"/>
    <s v="Heroic"/>
    <s v="Fragsters, Heroic, Copenhagen Flames, Tricked, OpTic"/>
    <n v="18323"/>
    <n v="16980"/>
    <s v="49.20%"/>
    <s v="75.1"/>
    <s v="3.4"/>
    <n v="978"/>
    <n v="26051"/>
    <s v="0.7"/>
    <s v="0.11"/>
    <s v="0.65"/>
    <s v="0.1"/>
    <s v="0.1"/>
    <n v="12351"/>
    <s v="K - D diff."/>
    <n v="2432"/>
    <n v="2263"/>
    <s v="1.07"/>
    <s v="0.99"/>
    <s v="71.60%"/>
    <s v="13.00%"/>
    <n v="13700"/>
    <n v="7858"/>
    <n v="3274"/>
    <n v="987"/>
    <n v="204"/>
    <n v="28"/>
    <n v="13187"/>
    <n v="814"/>
    <n v="988"/>
    <n v="3113"/>
    <n v="215"/>
    <n v="54"/>
    <s v="1.08"/>
    <n v="6515.7894736842109"/>
    <x v="0"/>
  </r>
  <r>
    <n v="8994"/>
    <s v="HS"/>
    <s v="Kevin Tarn"/>
    <x v="3"/>
    <x v="41"/>
    <s v="cowana"/>
    <s v="Nordavind, PENTA"/>
    <n v="20297"/>
    <n v="19875"/>
    <s v="49.20%"/>
    <s v="78.5"/>
    <s v="4.9"/>
    <n v="1068"/>
    <n v="28553"/>
    <s v="0.71"/>
    <s v="0.15"/>
    <s v="0.7"/>
    <s v="0.1"/>
    <s v="0.11"/>
    <n v="13462"/>
    <s v="K - D diff."/>
    <n v="2800"/>
    <n v="3048"/>
    <s v="0.92"/>
    <s v="0.98"/>
    <s v="74.80%"/>
    <s v="14.40%"/>
    <n v="15091"/>
    <n v="8348"/>
    <n v="3682"/>
    <n v="1166"/>
    <n v="243"/>
    <n v="23"/>
    <n v="14653"/>
    <n v="491"/>
    <n v="1671"/>
    <n v="3163"/>
    <n v="295"/>
    <n v="71"/>
    <s v="1.02"/>
    <n v="7263.1578947368425"/>
    <x v="1"/>
  </r>
  <r>
    <n v="9081"/>
    <s v="S0tF1k"/>
    <s v="Dmitry Forostyanko"/>
    <x v="6"/>
    <x v="1"/>
    <s v="Spirit Academy"/>
    <s v="Spirit, Espada"/>
    <n v="21364"/>
    <n v="23267"/>
    <s v="49.20%"/>
    <s v="71.5"/>
    <s v="5.4"/>
    <n v="1289"/>
    <n v="33952"/>
    <s v="0.63"/>
    <s v="0.14"/>
    <s v="0.69"/>
    <s v="0.1"/>
    <s v="0.09"/>
    <n v="14823"/>
    <s v="K - D diff."/>
    <n v="3195"/>
    <n v="3682"/>
    <s v="0.87"/>
    <s v="0.96"/>
    <s v="74.30%"/>
    <s v="13.60%"/>
    <n v="19129"/>
    <n v="9774"/>
    <n v="3787"/>
    <n v="1053"/>
    <n v="188"/>
    <n v="21"/>
    <n v="14688"/>
    <n v="1260"/>
    <n v="1781"/>
    <n v="3195"/>
    <n v="338"/>
    <n v="149"/>
    <s v="0.92"/>
    <n v="8259.7368421052633"/>
    <x v="1"/>
  </r>
  <r>
    <n v="9736"/>
    <s v="ncl"/>
    <s v="Bold Batsuh"/>
    <x v="6"/>
    <x v="34"/>
    <s v="TheMongolz"/>
    <s v="TheMongolz, TIGER, Mazaalai"/>
    <n v="8444"/>
    <n v="9152"/>
    <s v="49.20%"/>
    <s v="68.6"/>
    <s v="3.8"/>
    <n v="532"/>
    <n v="13663"/>
    <s v="0.62"/>
    <s v="0.14"/>
    <s v="0.67"/>
    <s v="0.11"/>
    <s v="0.09"/>
    <n v="5984"/>
    <s v="K - D diff."/>
    <n v="1014"/>
    <n v="1032"/>
    <s v="0.98"/>
    <s v="0.91"/>
    <s v="69.70%"/>
    <s v="10.20%"/>
    <n v="7679"/>
    <n v="4010"/>
    <n v="1561"/>
    <n v="343"/>
    <n v="67"/>
    <n v="3"/>
    <n v="5629"/>
    <n v="298"/>
    <n v="920"/>
    <n v="1495"/>
    <n v="107"/>
    <n v="23"/>
    <s v="0.91"/>
    <n v="3260.8421052631579"/>
    <x v="3"/>
  </r>
  <r>
    <n v="8983"/>
    <s v="MiGHTYMAX"/>
    <s v="Max Heath"/>
    <x v="3"/>
    <x v="8"/>
    <s v="Endpoint"/>
    <s v="Endpoint"/>
    <n v="18352"/>
    <n v="20377"/>
    <s v="49.20%"/>
    <s v="66.5"/>
    <s v="5.3"/>
    <n v="1174"/>
    <n v="31108"/>
    <s v="0.59"/>
    <s v="0.13"/>
    <s v="0.66"/>
    <s v="0.1"/>
    <s v="0.09"/>
    <n v="12919"/>
    <s v="K - D diff."/>
    <n v="2447"/>
    <n v="3219"/>
    <s v="0.76"/>
    <s v="0.89"/>
    <s v="72.00%"/>
    <s v="11.30%"/>
    <n v="18189"/>
    <n v="8720"/>
    <n v="3137"/>
    <n v="901"/>
    <n v="151"/>
    <n v="10"/>
    <n v="12602"/>
    <n v="599"/>
    <n v="1530"/>
    <n v="3245"/>
    <n v="374"/>
    <n v="68"/>
    <s v="0.9"/>
    <n v="7322.2105263157891"/>
    <x v="1"/>
  </r>
  <r>
    <n v="39"/>
    <s v="GeT_RiGhT"/>
    <s v="Christopher Alesund"/>
    <x v="0"/>
    <x v="15"/>
    <m/>
    <s v="NIP"/>
    <n v="33271"/>
    <n v="28973"/>
    <s v="49.30%"/>
    <s v="76.6"/>
    <s v="4.4"/>
    <n v="1745"/>
    <n v="45030"/>
    <s v="0.74"/>
    <s v="0.15"/>
    <s v="0.64"/>
    <s v="0.09"/>
    <s v="0.08"/>
    <n v="22118"/>
    <s v="K - D diff."/>
    <n v="4471"/>
    <n v="4183"/>
    <s v="1.07"/>
    <s v="1.01"/>
    <s v="76.10%"/>
    <s v="14.00%"/>
    <n v="22912"/>
    <n v="13750"/>
    <n v="6125"/>
    <n v="1838"/>
    <n v="359"/>
    <n v="46"/>
    <n v="24114"/>
    <n v="947"/>
    <n v="2224"/>
    <n v="4999"/>
    <n v="464"/>
    <n v="548"/>
    <s v="1.09"/>
    <n v="11479.842105263158"/>
    <x v="1"/>
  </r>
  <r>
    <n v="17510"/>
    <s v="J0LZ"/>
    <s v="David Jolin"/>
    <x v="9"/>
    <x v="5"/>
    <s v="Strife"/>
    <s v="Strife, OCG, Swedish Canadians"/>
    <n v="7287"/>
    <n v="7168"/>
    <s v="49.30%"/>
    <s v="78.3"/>
    <s v="4.2"/>
    <n v="394"/>
    <n v="10297"/>
    <s v="0.71"/>
    <s v="0.13"/>
    <s v="0.7"/>
    <s v="0.09"/>
    <s v="0.09"/>
    <n v="4913"/>
    <s v="K - D diff."/>
    <n v="1143"/>
    <n v="1112"/>
    <s v="1.03"/>
    <s v="1.04"/>
    <s v="68.50%"/>
    <s v="15.60%"/>
    <n v="5384"/>
    <n v="3095"/>
    <n v="1341"/>
    <n v="403"/>
    <n v="69"/>
    <n v="5"/>
    <n v="5234"/>
    <n v="160"/>
    <n v="527"/>
    <n v="1185"/>
    <n v="63"/>
    <n v="146"/>
    <s v="1.07"/>
    <n v="2627.6842105263158"/>
    <x v="3"/>
  </r>
  <r>
    <n v="13093"/>
    <s v="DeathZz"/>
    <s v="RaÃºl JordÃ¡n Nieto"/>
    <x v="13"/>
    <x v="11"/>
    <s v="Movistar Riders"/>
    <s v="Movistar Riders"/>
    <n v="9366"/>
    <n v="9282"/>
    <s v="49.30%"/>
    <s v="73.9"/>
    <s v="3.6"/>
    <n v="533"/>
    <n v="14222"/>
    <s v="0.66"/>
    <s v="0.13"/>
    <s v="0.65"/>
    <s v="0.09"/>
    <s v="0.1"/>
    <n v="6423"/>
    <s v="K - D diff."/>
    <n v="1027"/>
    <n v="1068"/>
    <s v="0.96"/>
    <s v="0.9"/>
    <s v="70.80%"/>
    <s v="10.20%"/>
    <n v="7799"/>
    <n v="4181"/>
    <n v="1659"/>
    <n v="477"/>
    <n v="94"/>
    <n v="12"/>
    <n v="6986"/>
    <n v="127"/>
    <n v="557"/>
    <n v="1605"/>
    <n v="92"/>
    <n v="32"/>
    <s v="1.03"/>
    <n v="3449.5789473684213"/>
    <x v="2"/>
  </r>
  <r>
    <n v="16529"/>
    <s v="Llamas"/>
    <s v="Luke Merchant"/>
    <x v="9"/>
    <x v="16"/>
    <s v="Control"/>
    <s v="Ground Zero, Breakaway, SYF"/>
    <n v="7735"/>
    <n v="7770"/>
    <s v="49.30%"/>
    <s v="70.7"/>
    <s v="3.3"/>
    <n v="459"/>
    <n v="11767"/>
    <s v="0.66"/>
    <s v="0.12"/>
    <s v="0.66"/>
    <s v="0.1"/>
    <s v="0.11"/>
    <n v="5318"/>
    <s v="K - D diff."/>
    <n v="747"/>
    <n v="874"/>
    <s v="0.85"/>
    <s v="0.86"/>
    <s v="71.90%"/>
    <s v="9.10%"/>
    <n v="6449"/>
    <n v="3449"/>
    <n v="1419"/>
    <n v="368"/>
    <n v="66"/>
    <n v="16"/>
    <n v="5916"/>
    <n v="85"/>
    <n v="342"/>
    <n v="1310"/>
    <n v="94"/>
    <n v="12"/>
    <s v="1.01"/>
    <n v="2852.4210526315787"/>
    <x v="3"/>
  </r>
  <r>
    <n v="10697"/>
    <s v="blocker"/>
    <s v="Yanko Panov"/>
    <x v="3"/>
    <x v="9"/>
    <s v="NeedDOCTOR"/>
    <s v="Windigo, FATE, Bpro"/>
    <n v="15729"/>
    <n v="16240"/>
    <s v="49.30%"/>
    <n v="77"/>
    <s v="4.9"/>
    <n v="864"/>
    <n v="22973"/>
    <s v="0.68"/>
    <s v="0.15"/>
    <s v="0.71"/>
    <s v="0.11"/>
    <s v="0.12"/>
    <n v="10675"/>
    <s v="K - D diff."/>
    <n v="2295"/>
    <n v="2509"/>
    <s v="0.91"/>
    <s v="0.98"/>
    <s v="73.60%"/>
    <s v="14.30%"/>
    <n v="12298"/>
    <n v="6838"/>
    <n v="2819"/>
    <n v="835"/>
    <n v="167"/>
    <n v="16"/>
    <n v="12157"/>
    <n v="247"/>
    <n v="911"/>
    <n v="2168"/>
    <n v="257"/>
    <n v="34"/>
    <s v="1.05"/>
    <n v="5505.45"/>
    <x v="0"/>
  </r>
  <r>
    <n v="8453"/>
    <s v="SEMINTE"/>
    <s v="Valentin Bodea"/>
    <x v="3"/>
    <x v="40"/>
    <s v="Nexus"/>
    <s v="Nexus, XPC"/>
    <n v="11705"/>
    <n v="12182"/>
    <s v="49.30%"/>
    <s v="71.8"/>
    <n v="3"/>
    <n v="679"/>
    <n v="17833"/>
    <s v="0.66"/>
    <s v="0.12"/>
    <s v="0.68"/>
    <s v="0.09"/>
    <s v="0.09"/>
    <n v="7983"/>
    <s v="K - D diff."/>
    <n v="1492"/>
    <n v="1596"/>
    <s v="0.93"/>
    <s v="0.94"/>
    <s v="73.50%"/>
    <s v="12.30%"/>
    <n v="9850"/>
    <n v="5128"/>
    <n v="2125"/>
    <n v="609"/>
    <n v="110"/>
    <n v="11"/>
    <n v="8670"/>
    <n v="247"/>
    <n v="717"/>
    <n v="1960"/>
    <n v="109"/>
    <n v="19"/>
    <s v="0.96"/>
    <n v="4151.3999999999996"/>
    <x v="2"/>
  </r>
  <r>
    <n v="9216"/>
    <s v="coldzera"/>
    <s v="Marcelo David"/>
    <x v="6"/>
    <x v="6"/>
    <s v="00NATION"/>
    <s v="SK, FaZe, Luminosity, MIBR"/>
    <n v="28576"/>
    <n v="22946"/>
    <s v="49.40%"/>
    <s v="79.2"/>
    <s v="2.4"/>
    <n v="1426"/>
    <n v="37264"/>
    <s v="0.77"/>
    <s v="0.11"/>
    <s v="0.62"/>
    <s v="0.08"/>
    <s v="0.1"/>
    <n v="19016"/>
    <s v="K - D diff."/>
    <n v="3355"/>
    <n v="2453"/>
    <s v="1.37"/>
    <s v="1.01"/>
    <s v="74.90%"/>
    <s v="12.50%"/>
    <n v="18248"/>
    <n v="11854"/>
    <n v="5167"/>
    <n v="1623"/>
    <n v="341"/>
    <n v="31"/>
    <n v="17732"/>
    <n v="3229"/>
    <n v="2161"/>
    <n v="5249"/>
    <n v="205"/>
    <n v="60"/>
    <s v="1.15"/>
    <n v="9522.9473684210534"/>
    <x v="1"/>
  </r>
  <r>
    <n v="15631"/>
    <s v="KSCERATO"/>
    <s v="Kaike Cerato"/>
    <x v="9"/>
    <x v="6"/>
    <s v="FURIA"/>
    <s v="FURIA"/>
    <n v="17821"/>
    <n v="14059"/>
    <s v="49.40%"/>
    <s v="79.2"/>
    <s v="5.4"/>
    <n v="930"/>
    <n v="24208"/>
    <s v="0.74"/>
    <s v="0.13"/>
    <s v="0.58"/>
    <s v="0.08"/>
    <s v="0.1"/>
    <n v="11907"/>
    <s v="K - D diff."/>
    <n v="2047"/>
    <n v="1497"/>
    <s v="1.37"/>
    <s v="0.99"/>
    <s v="75.00%"/>
    <s v="11.70%"/>
    <n v="12301"/>
    <n v="7473"/>
    <n v="3205"/>
    <n v="1006"/>
    <n v="195"/>
    <n v="28"/>
    <n v="12854"/>
    <n v="551"/>
    <n v="1355"/>
    <n v="2739"/>
    <n v="326"/>
    <n v="101"/>
    <s v="1.18"/>
    <n v="6031.7368421052633"/>
    <x v="0"/>
  </r>
  <r>
    <n v="3972"/>
    <s v="huNter-"/>
    <s v="Nemanja KovaÄ"/>
    <x v="13"/>
    <x v="45"/>
    <s v="G2"/>
    <s v="G2, Valiance, Binary Dragons"/>
    <n v="30144"/>
    <n v="25923"/>
    <s v="49.40%"/>
    <s v="84.8"/>
    <s v="5.5"/>
    <n v="1474"/>
    <n v="38947"/>
    <s v="0.77"/>
    <s v="0.14"/>
    <s v="0.67"/>
    <s v="0.1"/>
    <s v="0.11"/>
    <n v="19652"/>
    <s v="K - D diff."/>
    <n v="4536"/>
    <n v="3818"/>
    <s v="1.19"/>
    <s v="1.09"/>
    <s v="76.10%"/>
    <s v="16.60%"/>
    <n v="19295"/>
    <n v="11861"/>
    <n v="5534"/>
    <n v="1846"/>
    <n v="378"/>
    <n v="33"/>
    <n v="21272"/>
    <n v="344"/>
    <n v="3190"/>
    <n v="4826"/>
    <n v="422"/>
    <n v="156"/>
    <s v="1.12"/>
    <n v="10192.157894736842"/>
    <x v="1"/>
  </r>
  <r>
    <n v="12713"/>
    <s v="floppy"/>
    <s v="Ricky Kemery"/>
    <x v="9"/>
    <x v="0"/>
    <s v="Complexity"/>
    <s v="Cloud9, Singularity"/>
    <n v="15806"/>
    <n v="14141"/>
    <s v="49.40%"/>
    <s v="81.3"/>
    <s v="3.2"/>
    <n v="813"/>
    <n v="21349"/>
    <s v="0.74"/>
    <s v="0.14"/>
    <s v="0.66"/>
    <s v="0.11"/>
    <s v="0.14"/>
    <n v="10426"/>
    <s v="K - D diff."/>
    <n v="2159"/>
    <n v="1909"/>
    <s v="1.13"/>
    <s v="1.02"/>
    <s v="73.90%"/>
    <s v="14.30%"/>
    <n v="10923"/>
    <n v="6457"/>
    <n v="2811"/>
    <n v="927"/>
    <n v="209"/>
    <n v="22"/>
    <n v="12179"/>
    <n v="343"/>
    <n v="627"/>
    <n v="2551"/>
    <n v="104"/>
    <n v="25"/>
    <s v="1.15"/>
    <n v="5462.1578947368425"/>
    <x v="0"/>
  </r>
  <r>
    <n v="10671"/>
    <s v="Ethan"/>
    <s v="Ethan Arnold"/>
    <x v="9"/>
    <x v="0"/>
    <m/>
    <s v="NRG, CLG, Evil Geniuses"/>
    <n v="18853"/>
    <n v="17365"/>
    <s v="49.40%"/>
    <s v="81.4"/>
    <s v="4.3"/>
    <n v="986"/>
    <n v="25998"/>
    <s v="0.73"/>
    <s v="0.15"/>
    <s v="0.67"/>
    <s v="0.11"/>
    <s v="0.11"/>
    <n v="12529"/>
    <s v="K - D diff."/>
    <n v="3084"/>
    <n v="2859"/>
    <s v="1.08"/>
    <s v="1.08"/>
    <s v="72.60%"/>
    <s v="16.40%"/>
    <n v="13469"/>
    <n v="7867"/>
    <n v="3299"/>
    <n v="1094"/>
    <n v="239"/>
    <n v="30"/>
    <n v="14005"/>
    <n v="345"/>
    <n v="1115"/>
    <n v="3216"/>
    <n v="183"/>
    <n v="38"/>
    <s v="1.14"/>
    <n v="6661.7894736842109"/>
    <x v="0"/>
  </r>
  <r>
    <n v="7016"/>
    <s v="HZ"/>
    <s v="Zhen Huang"/>
    <x v="0"/>
    <x v="35"/>
    <s v="TSG"/>
    <s v="TYLOO, CyberZen, AllGamers"/>
    <n v="9305"/>
    <n v="8614"/>
    <s v="49.40%"/>
    <s v="81.7"/>
    <s v="3.8"/>
    <n v="500"/>
    <n v="12856"/>
    <s v="0.72"/>
    <s v="0.17"/>
    <s v="0.67"/>
    <s v="0.13"/>
    <s v="0.12"/>
    <n v="6250"/>
    <s v="K - D diff."/>
    <n v="1306"/>
    <n v="1254"/>
    <s v="1.04"/>
    <s v="1.01"/>
    <s v="74.70%"/>
    <s v="14.10%"/>
    <n v="6606"/>
    <n v="3935"/>
    <n v="1695"/>
    <n v="509"/>
    <n v="102"/>
    <n v="9"/>
    <n v="6800"/>
    <n v="46"/>
    <n v="659"/>
    <n v="1724"/>
    <n v="88"/>
    <n v="15"/>
    <s v="1.05"/>
    <n v="3277.5263157894738"/>
    <x v="3"/>
  </r>
  <r>
    <n v="10264"/>
    <s v="NiKo"/>
    <s v="Nikolaj Kristensen"/>
    <x v="2"/>
    <x v="2"/>
    <s v="OG"/>
    <s v="Heroic, OpTic, OG"/>
    <n v="22111"/>
    <n v="21033"/>
    <s v="49.40%"/>
    <s v="75.1"/>
    <s v="4.3"/>
    <n v="1211"/>
    <n v="32024"/>
    <s v="0.69"/>
    <s v="0.13"/>
    <s v="0.66"/>
    <s v="0.1"/>
    <s v="0.11"/>
    <n v="15019"/>
    <s v="K - D diff."/>
    <n v="3058"/>
    <n v="3136"/>
    <s v="0.98"/>
    <s v="0.98"/>
    <s v="72.30%"/>
    <s v="13.30%"/>
    <n v="17005"/>
    <n v="9672"/>
    <n v="3889"/>
    <n v="1195"/>
    <n v="239"/>
    <n v="24"/>
    <n v="16462"/>
    <n v="329"/>
    <n v="1178"/>
    <n v="3798"/>
    <n v="277"/>
    <n v="113"/>
    <s v="1.02"/>
    <n v="7988.0526315789475"/>
    <x v="1"/>
  </r>
  <r>
    <n v="8797"/>
    <s v="Stewie2K"/>
    <s v="Jake Yip"/>
    <x v="2"/>
    <x v="0"/>
    <m/>
    <s v="Cloud9, Liquid"/>
    <n v="27664"/>
    <n v="27288"/>
    <s v="49.40%"/>
    <s v="77.6"/>
    <s v="5.1"/>
    <n v="1525"/>
    <n v="39802"/>
    <s v="0.7"/>
    <s v="0.14"/>
    <s v="0.69"/>
    <s v="0.1"/>
    <s v="0.08"/>
    <n v="18614"/>
    <s v="K - D diff."/>
    <n v="5206"/>
    <n v="5272"/>
    <s v="0.99"/>
    <s v="1.1"/>
    <s v="75.00%"/>
    <s v="18.20%"/>
    <n v="21188"/>
    <n v="11785"/>
    <n v="5005"/>
    <n v="1451"/>
    <n v="349"/>
    <n v="24"/>
    <n v="16840"/>
    <n v="3643"/>
    <n v="1891"/>
    <n v="4802"/>
    <n v="345"/>
    <n v="196"/>
    <s v="1.01"/>
    <n v="10152.105263157895"/>
    <x v="1"/>
  </r>
  <r>
    <n v="9260"/>
    <s v="vice"/>
    <s v="Daniel Kim"/>
    <x v="13"/>
    <x v="0"/>
    <m/>
    <s v="Rogue, Cloud9"/>
    <n v="8668"/>
    <n v="8540"/>
    <s v="49.40%"/>
    <s v="75.9"/>
    <s v="3.1"/>
    <n v="493"/>
    <n v="12707"/>
    <s v="0.68"/>
    <s v="0.14"/>
    <s v="0.67"/>
    <s v="0.12"/>
    <s v="0.11"/>
    <n v="5944"/>
    <s v="K - D diff."/>
    <n v="1155"/>
    <n v="1173"/>
    <s v="0.98"/>
    <s v="0.97"/>
    <s v="73.20%"/>
    <s v="13.40%"/>
    <n v="6763"/>
    <n v="3861"/>
    <n v="1549"/>
    <n v="437"/>
    <n v="89"/>
    <n v="8"/>
    <n v="6387"/>
    <n v="88"/>
    <n v="583"/>
    <n v="1509"/>
    <n v="96"/>
    <n v="19"/>
    <n v="1"/>
    <n v="3003.5"/>
    <x v="3"/>
  </r>
  <r>
    <n v="16769"/>
    <s v="realz1n"/>
    <s v="Antonio Oliveira"/>
    <x v="6"/>
    <x v="6"/>
    <s v="B4"/>
    <s v="B4, W7M, Sharks, FURIA Academy"/>
    <n v="10196"/>
    <n v="10040"/>
    <s v="49.40%"/>
    <s v="73.7"/>
    <s v="5.7"/>
    <n v="581"/>
    <n v="15398"/>
    <s v="0.66"/>
    <s v="0.14"/>
    <s v="0.65"/>
    <s v="0.11"/>
    <s v="0.09"/>
    <n v="6980"/>
    <s v="K - D diff."/>
    <n v="1521"/>
    <n v="1635"/>
    <s v="0.93"/>
    <s v="0.98"/>
    <s v="71.10%"/>
    <s v="13.40%"/>
    <n v="8418"/>
    <n v="4578"/>
    <n v="1717"/>
    <n v="565"/>
    <n v="111"/>
    <n v="9"/>
    <n v="7243"/>
    <n v="153"/>
    <n v="820"/>
    <n v="1802"/>
    <n v="166"/>
    <n v="43"/>
    <s v="1.07"/>
    <n v="3788.2105263157896"/>
    <x v="2"/>
  </r>
  <r>
    <n v="14736"/>
    <s v="dgt"/>
    <s v="Franco Garcia"/>
    <x v="10"/>
    <x v="43"/>
    <s v="9z"/>
    <s v="9z"/>
    <n v="8304"/>
    <n v="6898"/>
    <s v="49.50%"/>
    <s v="77.8"/>
    <s v="3.5"/>
    <n v="426"/>
    <n v="11279"/>
    <s v="0.74"/>
    <s v="0.12"/>
    <s v="0.61"/>
    <s v="0.09"/>
    <s v="0.12"/>
    <n v="5602"/>
    <s v="K - D diff."/>
    <n v="1008"/>
    <n v="777"/>
    <s v="1.3"/>
    <n v="1"/>
    <s v="75.40%"/>
    <s v="12.60%"/>
    <n v="5677"/>
    <n v="3557"/>
    <n v="1494"/>
    <n v="452"/>
    <n v="92"/>
    <n v="7"/>
    <n v="6750"/>
    <n v="50"/>
    <n v="201"/>
    <n v="1217"/>
    <n v="97"/>
    <n v="29"/>
    <s v="1.15"/>
    <n v="2695.9"/>
    <x v="3"/>
  </r>
  <r>
    <n v="5021"/>
    <s v="swag"/>
    <s v="Braxton Pierce"/>
    <x v="3"/>
    <x v="0"/>
    <m/>
    <s v="Swole Patrol, Torqued, iBUYPOWER, Lazarus"/>
    <n v="10527"/>
    <n v="8898"/>
    <s v="49.50%"/>
    <s v="77.6"/>
    <s v="4.7"/>
    <n v="556"/>
    <n v="14447"/>
    <s v="0.73"/>
    <s v="0.14"/>
    <s v="0.62"/>
    <s v="0.08"/>
    <s v="0.09"/>
    <n v="7071"/>
    <s v="K - D diff."/>
    <n v="1395"/>
    <n v="1165"/>
    <s v="1.2"/>
    <s v="1.02"/>
    <s v="75.70%"/>
    <s v="13.60%"/>
    <n v="7376"/>
    <n v="4462"/>
    <n v="1915"/>
    <n v="564"/>
    <n v="122"/>
    <n v="8"/>
    <n v="6649"/>
    <n v="1365"/>
    <n v="460"/>
    <n v="1847"/>
    <n v="172"/>
    <n v="55"/>
    <s v="1.1"/>
    <n v="3634.4210526315787"/>
    <x v="2"/>
  </r>
  <r>
    <n v="11307"/>
    <s v="pounh"/>
    <s v="Eimantas Lazickas"/>
    <x v="3"/>
    <x v="38"/>
    <m/>
    <s v="Playing Ducks, Imperial, 1337HUANIA"/>
    <n v="7289"/>
    <n v="7198"/>
    <s v="49.50%"/>
    <s v="75.9"/>
    <s v="2.1"/>
    <n v="401"/>
    <n v="10552"/>
    <s v="0.69"/>
    <s v="0.13"/>
    <s v="0.68"/>
    <s v="0.09"/>
    <s v="0.09"/>
    <n v="4915"/>
    <s v="K - D diff."/>
    <n v="957"/>
    <n v="962"/>
    <s v="0.99"/>
    <s v="0.97"/>
    <s v="75.10%"/>
    <s v="13.40%"/>
    <n v="5637"/>
    <n v="3120"/>
    <n v="1307"/>
    <n v="403"/>
    <n v="79"/>
    <n v="6"/>
    <n v="5280"/>
    <n v="163"/>
    <n v="562"/>
    <n v="1227"/>
    <n v="56"/>
    <n v="11"/>
    <s v="1.04"/>
    <n v="2638.1578947368421"/>
    <x v="3"/>
  </r>
  <r>
    <n v="14359"/>
    <s v="w1nt3r"/>
    <s v="Alikhan Kopzhanov"/>
    <x v="2"/>
    <x v="10"/>
    <s v="AVANGAR"/>
    <s v="100PG, Unique, Se7en, BOOT-d[S]"/>
    <n v="9556"/>
    <n v="9752"/>
    <s v="49.50%"/>
    <n v="72"/>
    <s v="3.9"/>
    <n v="558"/>
    <n v="14906"/>
    <s v="0.64"/>
    <s v="0.12"/>
    <s v="0.65"/>
    <s v="0.09"/>
    <s v="0.1"/>
    <n v="6653"/>
    <s v="K - D diff."/>
    <n v="938"/>
    <n v="1016"/>
    <s v="0.92"/>
    <s v="0.87"/>
    <s v="72.50%"/>
    <s v="9.20%"/>
    <n v="8253"/>
    <n v="4387"/>
    <n v="1716"/>
    <n v="470"/>
    <n v="73"/>
    <n v="7"/>
    <n v="6980"/>
    <n v="245"/>
    <n v="398"/>
    <n v="1811"/>
    <n v="108"/>
    <n v="43"/>
    <n v="1"/>
    <n v="3235.3809523809523"/>
    <x v="3"/>
  </r>
  <r>
    <n v="10993"/>
    <s v="torben"/>
    <s v="Nicolai Amorim"/>
    <x v="6"/>
    <x v="2"/>
    <m/>
    <s v="Fragsters"/>
    <n v="8176"/>
    <n v="9372"/>
    <s v="49.50%"/>
    <s v="66.2"/>
    <s v="3.7"/>
    <n v="532"/>
    <n v="13939"/>
    <s v="0.59"/>
    <s v="0.12"/>
    <s v="0.67"/>
    <s v="0.1"/>
    <s v="0.09"/>
    <n v="5835"/>
    <s v="K - D diff."/>
    <n v="1050"/>
    <n v="1325"/>
    <s v="0.79"/>
    <s v="0.88"/>
    <s v="68.70%"/>
    <s v="10.30%"/>
    <n v="8104"/>
    <n v="3997"/>
    <n v="1408"/>
    <n v="366"/>
    <n v="55"/>
    <n v="9"/>
    <n v="6014"/>
    <n v="50"/>
    <n v="512"/>
    <n v="1511"/>
    <n v="103"/>
    <n v="4"/>
    <s v="0.93"/>
    <n v="3282.2105263157896"/>
    <x v="3"/>
  </r>
  <r>
    <n v="9278"/>
    <s v="REZ"/>
    <s v="Fredrik Sterner"/>
    <x v="2"/>
    <x v="15"/>
    <s v="NIP"/>
    <s v="NIP, Epsilon"/>
    <n v="25076"/>
    <n v="23752"/>
    <s v="49.60%"/>
    <s v="78.3"/>
    <s v="3.9"/>
    <n v="1355"/>
    <n v="35650"/>
    <s v="0.7"/>
    <s v="0.14"/>
    <s v="0.67"/>
    <s v="0.1"/>
    <s v="0.1"/>
    <n v="16867"/>
    <s v="K - D diff."/>
    <n v="3898"/>
    <n v="3763"/>
    <s v="1.04"/>
    <s v="1.04"/>
    <s v="73.00%"/>
    <s v="15.50%"/>
    <n v="18783"/>
    <n v="10715"/>
    <n v="4466"/>
    <n v="1344"/>
    <n v="313"/>
    <n v="29"/>
    <n v="18513"/>
    <n v="979"/>
    <n v="1004"/>
    <n v="4320"/>
    <n v="239"/>
    <n v="73"/>
    <s v="1.03"/>
    <n v="9007.3157894736851"/>
    <x v="1"/>
  </r>
  <r>
    <n v="13396"/>
    <s v="hoody"/>
    <s v="Aaro Peltokangas"/>
    <x v="4"/>
    <x v="4"/>
    <m/>
    <s v="HAVU"/>
    <n v="10871"/>
    <n v="10469"/>
    <s v="49.60%"/>
    <s v="77.2"/>
    <s v="3.7"/>
    <n v="575"/>
    <n v="15453"/>
    <s v="0.7"/>
    <s v="0.13"/>
    <s v="0.68"/>
    <s v="0.09"/>
    <s v="0.1"/>
    <n v="7287"/>
    <s v="K - D diff."/>
    <n v="1600"/>
    <n v="1621"/>
    <s v="0.99"/>
    <s v="1.01"/>
    <s v="73.40%"/>
    <s v="14.70%"/>
    <n v="8166"/>
    <n v="4578"/>
    <n v="1991"/>
    <n v="571"/>
    <n v="137"/>
    <n v="10"/>
    <n v="7592"/>
    <n v="556"/>
    <n v="642"/>
    <n v="1937"/>
    <n v="110"/>
    <n v="55"/>
    <s v="1.07"/>
    <n v="3906.3684210526317"/>
    <x v="2"/>
  </r>
  <r>
    <n v="557"/>
    <s v="fnx"/>
    <s v="Lincoln Lau"/>
    <x v="0"/>
    <x v="6"/>
    <s v="Imperial"/>
    <s v="Imperial, Luminosity, SK, Immortals, RED Canids, NÃ£o Tem Como"/>
    <n v="12310"/>
    <n v="11644"/>
    <s v="49.60%"/>
    <s v="78.4"/>
    <s v="5.9"/>
    <n v="689"/>
    <n v="17735"/>
    <s v="0.69"/>
    <s v="0.16"/>
    <s v="0.66"/>
    <s v="0.08"/>
    <s v="0.08"/>
    <n v="8445"/>
    <s v="K - D diff."/>
    <n v="1722"/>
    <n v="1652"/>
    <s v="1.04"/>
    <n v="1"/>
    <s v="74.90%"/>
    <s v="13.40%"/>
    <n v="9290"/>
    <n v="5496"/>
    <n v="2179"/>
    <n v="638"/>
    <n v="118"/>
    <n v="14"/>
    <n v="8855"/>
    <n v="302"/>
    <n v="730"/>
    <n v="2121"/>
    <n v="239"/>
    <n v="84"/>
    <s v="1.02"/>
    <n v="4213.2"/>
    <x v="2"/>
  </r>
  <r>
    <n v="4216"/>
    <s v="LETN1"/>
    <s v="Nestor TaniÄ‡"/>
    <x v="1"/>
    <x v="19"/>
    <s v="TYLOO"/>
    <s v="Valiance, Binary Dragons, iNation, CR4ZY"/>
    <n v="19347"/>
    <n v="18183"/>
    <s v="49.60%"/>
    <s v="72.8"/>
    <s v="3.6"/>
    <n v="1111"/>
    <n v="28880"/>
    <s v="0.67"/>
    <s v="0.13"/>
    <s v="0.63"/>
    <s v="0.1"/>
    <s v="0.1"/>
    <n v="13310"/>
    <s v="K - D diff."/>
    <n v="2815"/>
    <n v="2777"/>
    <s v="1.01"/>
    <s v="0.99"/>
    <s v="75.50%"/>
    <s v="13.60%"/>
    <n v="15570"/>
    <n v="8719"/>
    <n v="3395"/>
    <n v="974"/>
    <n v="206"/>
    <n v="16"/>
    <n v="13391"/>
    <n v="1539"/>
    <n v="852"/>
    <n v="3304"/>
    <n v="225"/>
    <n v="69"/>
    <s v="1.02"/>
    <n v="7088.5789473684208"/>
    <x v="1"/>
  </r>
  <r>
    <n v="17918"/>
    <s v="nosraC"/>
    <s v="Carson O'Reilly"/>
    <x v="9"/>
    <x v="0"/>
    <s v="Gaimin Gladiators"/>
    <s v="Gaimin Gladiators, Rebirth, ChocoCheck, Recon 5"/>
    <n v="8880"/>
    <n v="9253"/>
    <s v="49.60%"/>
    <s v="75.6"/>
    <s v="6.1"/>
    <n v="503"/>
    <n v="13296"/>
    <s v="0.67"/>
    <s v="0.14"/>
    <s v="0.7"/>
    <s v="0.09"/>
    <s v="0.08"/>
    <n v="6059"/>
    <s v="K - D diff."/>
    <n v="1446"/>
    <n v="1607"/>
    <s v="0.9"/>
    <s v="1.01"/>
    <s v="72.50%"/>
    <s v="15.50%"/>
    <n v="7237"/>
    <n v="3894"/>
    <n v="1626"/>
    <n v="434"/>
    <n v="93"/>
    <n v="12"/>
    <n v="6461"/>
    <n v="221"/>
    <n v="557"/>
    <n v="1441"/>
    <n v="151"/>
    <n v="89"/>
    <s v="1.03"/>
    <n v="3329.4736842105262"/>
    <x v="2"/>
  </r>
  <r>
    <n v="10569"/>
    <s v="devoduvek"/>
    <s v="David Dobrosavljevic"/>
    <x v="6"/>
    <x v="26"/>
    <s v="Ambush"/>
    <s v="LDLC, Misfits, Heretics"/>
    <n v="11155"/>
    <n v="11756"/>
    <s v="49.60%"/>
    <s v="75.6"/>
    <s v="3.5"/>
    <n v="644"/>
    <n v="17079"/>
    <s v="0.65"/>
    <s v="0.15"/>
    <s v="0.69"/>
    <s v="0.1"/>
    <s v="0.09"/>
    <n v="7655"/>
    <s v="K - D diff."/>
    <n v="1636"/>
    <n v="1737"/>
    <s v="0.94"/>
    <s v="0.98"/>
    <s v="72.90%"/>
    <s v="14.00%"/>
    <n v="9424"/>
    <n v="4967"/>
    <n v="1996"/>
    <n v="580"/>
    <n v="104"/>
    <n v="8"/>
    <n v="8435"/>
    <n v="138"/>
    <n v="594"/>
    <n v="1881"/>
    <n v="128"/>
    <n v="11"/>
    <s v="0.95"/>
    <n v="4206.7368421052633"/>
    <x v="2"/>
  </r>
  <r>
    <n v="8708"/>
    <s v="Slemmy"/>
    <s v="Alec White"/>
    <x v="14"/>
    <x v="0"/>
    <m/>
    <s v="Complexity, Cloud9, Selfless"/>
    <n v="6638"/>
    <n v="7951"/>
    <s v="49.60%"/>
    <s v="63.7"/>
    <s v="3.2"/>
    <n v="445"/>
    <n v="11663"/>
    <s v="0.57"/>
    <s v="0.12"/>
    <s v="0.68"/>
    <s v="0.11"/>
    <s v="0.09"/>
    <n v="4779"/>
    <s v="K - D diff."/>
    <n v="803"/>
    <n v="1066"/>
    <s v="0.75"/>
    <s v="0.86"/>
    <s v="74.00%"/>
    <s v="10.10%"/>
    <n v="6884"/>
    <n v="3302"/>
    <n v="1147"/>
    <n v="280"/>
    <n v="48"/>
    <n v="2"/>
    <n v="4437"/>
    <n v="220"/>
    <n v="592"/>
    <n v="1298"/>
    <n v="99"/>
    <n v="6"/>
    <s v="0.85"/>
    <n v="2718.9473684210525"/>
    <x v="3"/>
  </r>
  <r>
    <n v="8412"/>
    <s v="dream3r"/>
    <s v="Simeon Ganev"/>
    <x v="3"/>
    <x v="9"/>
    <s v="SKADE"/>
    <s v="SKADE, E-frag.net, Fiend"/>
    <n v="24903"/>
    <n v="20679"/>
    <s v="49.70%"/>
    <n v="77"/>
    <s v="3.2"/>
    <n v="1283"/>
    <n v="33620"/>
    <s v="0.74"/>
    <s v="0.12"/>
    <s v="0.62"/>
    <s v="0.08"/>
    <s v="0.11"/>
    <n v="16695"/>
    <s v="K - D diff."/>
    <n v="2721"/>
    <n v="2236"/>
    <s v="1.22"/>
    <s v="0.96"/>
    <s v="74.30%"/>
    <s v="11.20%"/>
    <n v="16925"/>
    <n v="10474"/>
    <n v="4539"/>
    <n v="1418"/>
    <n v="237"/>
    <n v="27"/>
    <n v="19438"/>
    <n v="349"/>
    <n v="272"/>
    <n v="4561"/>
    <n v="296"/>
    <n v="45"/>
    <s v="1.11"/>
    <n v="8039.75"/>
    <x v="1"/>
  </r>
  <r>
    <n v="18462"/>
    <s v="mezii"/>
    <s v="William Merriman"/>
    <x v="4"/>
    <x v="8"/>
    <s v="fnatic"/>
    <s v="fnatic, Endpoint, GamerLegion, Cloud9, Vexed"/>
    <n v="10146"/>
    <n v="8912"/>
    <s v="49.70%"/>
    <s v="80.3"/>
    <s v="5.4"/>
    <n v="519"/>
    <n v="14054"/>
    <s v="0.72"/>
    <s v="0.14"/>
    <s v="0.63"/>
    <s v="0.09"/>
    <s v="0.12"/>
    <n v="6771"/>
    <s v="K - D diff."/>
    <n v="1231"/>
    <n v="1043"/>
    <s v="1.18"/>
    <s v="0.98"/>
    <s v="73.80%"/>
    <s v="12.80%"/>
    <n v="7283"/>
    <n v="4272"/>
    <n v="1772"/>
    <n v="593"/>
    <n v="119"/>
    <n v="15"/>
    <n v="7234"/>
    <n v="619"/>
    <n v="495"/>
    <n v="1686"/>
    <n v="120"/>
    <n v="14"/>
    <s v="1.14"/>
    <n v="3520.9473684210525"/>
    <x v="2"/>
  </r>
  <r>
    <n v="11922"/>
    <s v="ALLE"/>
    <s v="Alexandre Santos"/>
    <x v="3"/>
    <x v="6"/>
    <m/>
    <s v="Liberty, Redemption POA, Isurus, C4"/>
    <n v="7659"/>
    <n v="7550"/>
    <s v="49.70%"/>
    <s v="77.3"/>
    <s v="5.5"/>
    <n v="423"/>
    <n v="11227"/>
    <s v="0.68"/>
    <s v="0.14"/>
    <s v="0.67"/>
    <s v="0.11"/>
    <s v="0.1"/>
    <n v="5212"/>
    <s v="K - D diff."/>
    <n v="1127"/>
    <n v="1063"/>
    <s v="1.06"/>
    <s v="1.01"/>
    <s v="76.10%"/>
    <s v="14.90%"/>
    <n v="6015"/>
    <n v="3346"/>
    <n v="1378"/>
    <n v="401"/>
    <n v="81"/>
    <n v="6"/>
    <n v="5504"/>
    <n v="354"/>
    <n v="418"/>
    <n v="1257"/>
    <n v="133"/>
    <n v="20"/>
    <s v="1.07"/>
    <n v="2798.6315789473683"/>
    <x v="3"/>
  </r>
  <r>
    <n v="10096"/>
    <s v="HooXi"/>
    <s v="Rasmus Nielsen"/>
    <x v="6"/>
    <x v="2"/>
    <s v="Copenhagen Flames"/>
    <s v="Copenhagen Flames"/>
    <n v="12343"/>
    <n v="14549"/>
    <s v="49.70%"/>
    <n v="68"/>
    <s v="5.9"/>
    <n v="798"/>
    <n v="21225"/>
    <s v="0.58"/>
    <s v="0.13"/>
    <s v="0.69"/>
    <s v="0.09"/>
    <s v="0.08"/>
    <n v="8746"/>
    <s v="K - D diff."/>
    <n v="1771"/>
    <n v="2312"/>
    <s v="0.77"/>
    <s v="0.9"/>
    <s v="71.80%"/>
    <s v="11.60%"/>
    <n v="12479"/>
    <n v="5928"/>
    <n v="2152"/>
    <n v="561"/>
    <n v="97"/>
    <n v="8"/>
    <n v="8478"/>
    <n v="446"/>
    <n v="1184"/>
    <n v="1997"/>
    <n v="230"/>
    <n v="43"/>
    <s v="0.87"/>
    <n v="4770.75"/>
    <x v="2"/>
  </r>
  <r>
    <n v="9258"/>
    <s v="SicK"/>
    <s v="Hunter Mims"/>
    <x v="4"/>
    <x v="0"/>
    <m/>
    <s v="Rogue, Misfits, TSM"/>
    <n v="15002"/>
    <n v="13962"/>
    <s v="49.80%"/>
    <s v="77.7"/>
    <s v="2.6"/>
    <n v="795"/>
    <n v="20701"/>
    <s v="0.72"/>
    <s v="0.13"/>
    <s v="0.67"/>
    <s v="0.1"/>
    <s v="0.12"/>
    <n v="10078"/>
    <s v="K - D diff."/>
    <n v="2213"/>
    <n v="2140"/>
    <s v="1.03"/>
    <s v="1.03"/>
    <s v="71.30%"/>
    <s v="15.10%"/>
    <n v="10623"/>
    <n v="6335"/>
    <n v="2739"/>
    <n v="843"/>
    <n v="145"/>
    <n v="16"/>
    <n v="10613"/>
    <n v="801"/>
    <n v="741"/>
    <n v="2714"/>
    <n v="134"/>
    <n v="33"/>
    <s v="1.05"/>
    <n v="5296.2105263157891"/>
    <x v="0"/>
  </r>
  <r>
    <n v="8347"/>
    <s v="hazed"/>
    <s v="James Cobb"/>
    <x v="7"/>
    <x v="0"/>
    <m/>
    <s v="CLG, Mythic"/>
    <n v="13273"/>
    <n v="13354"/>
    <s v="49.80%"/>
    <s v="78.3"/>
    <s v="4.1"/>
    <n v="736"/>
    <n v="19138"/>
    <s v="0.69"/>
    <s v="0.15"/>
    <s v="0.7"/>
    <s v="0.09"/>
    <s v="0.08"/>
    <n v="8849"/>
    <s v="K - D diff."/>
    <n v="2127"/>
    <n v="2285"/>
    <s v="0.93"/>
    <s v="1.02"/>
    <s v="71.50%"/>
    <s v="15.90%"/>
    <n v="10289"/>
    <n v="5567"/>
    <n v="2354"/>
    <n v="752"/>
    <n v="154"/>
    <n v="22"/>
    <n v="9603"/>
    <n v="434"/>
    <n v="522"/>
    <n v="2405"/>
    <n v="200"/>
    <n v="123"/>
    <n v="1"/>
    <n v="4609.3999999999996"/>
    <x v="2"/>
  </r>
  <r>
    <n v="14205"/>
    <s v="R0b3n"/>
    <s v="Roberts ÄŒigauskis"/>
    <x v="11"/>
    <x v="36"/>
    <s v="Neon Rangers"/>
    <s v="Unique, Space Jam, ex-ETHEREAL"/>
    <n v="9436"/>
    <n v="9215"/>
    <s v="49.80%"/>
    <s v="74.4"/>
    <n v="3"/>
    <n v="527"/>
    <n v="13874"/>
    <s v="0.68"/>
    <s v="0.12"/>
    <s v="0.66"/>
    <s v="0.09"/>
    <s v="0.1"/>
    <n v="6474"/>
    <s v="K - D diff."/>
    <n v="1102"/>
    <n v="1235"/>
    <s v="0.89"/>
    <s v="0.92"/>
    <s v="72.00%"/>
    <s v="11.70%"/>
    <n v="7400"/>
    <n v="4208"/>
    <n v="1674"/>
    <n v="494"/>
    <n v="92"/>
    <n v="6"/>
    <n v="6743"/>
    <n v="325"/>
    <n v="602"/>
    <n v="1624"/>
    <n v="91"/>
    <n v="74"/>
    <s v="1.04"/>
    <n v="3259.95"/>
    <x v="3"/>
  </r>
  <r>
    <n v="3252"/>
    <s v="LEGIJA"/>
    <s v="Nikola NiniÄ‡"/>
    <x v="14"/>
    <x v="14"/>
    <m/>
    <s v="BIG, MOUZ, NRG"/>
    <n v="14245"/>
    <n v="15916"/>
    <s v="49.80%"/>
    <s v="69.5"/>
    <s v="4.6"/>
    <n v="869"/>
    <n v="22614"/>
    <s v="0.63"/>
    <s v="0.14"/>
    <s v="0.7"/>
    <s v="0.09"/>
    <s v="0.08"/>
    <n v="9809"/>
    <s v="K - D diff."/>
    <n v="2089"/>
    <n v="2569"/>
    <s v="0.81"/>
    <s v="0.94"/>
    <s v="73.00%"/>
    <s v="13.40%"/>
    <n v="12805"/>
    <n v="6423"/>
    <n v="2516"/>
    <n v="740"/>
    <n v="117"/>
    <n v="13"/>
    <n v="9438"/>
    <n v="1183"/>
    <n v="864"/>
    <n v="2519"/>
    <n v="206"/>
    <n v="53"/>
    <s v="0.91"/>
    <n v="5525.6842105263158"/>
    <x v="0"/>
  </r>
  <r>
    <n v="8294"/>
    <s v="balblna"/>
    <s v="Gregory Oleinick"/>
    <x v="13"/>
    <x v="1"/>
    <m/>
    <s v="Quantum Bellator Fire, Winstrike"/>
    <n v="9791"/>
    <n v="11024"/>
    <s v="49.80%"/>
    <s v="70.4"/>
    <s v="5.1"/>
    <n v="611"/>
    <n v="16017"/>
    <s v="0.61"/>
    <s v="0.15"/>
    <s v="0.69"/>
    <s v="0.11"/>
    <s v="0.1"/>
    <n v="6863"/>
    <s v="K - D diff."/>
    <n v="1166"/>
    <n v="1306"/>
    <s v="0.89"/>
    <s v="0.89"/>
    <s v="71.40%"/>
    <s v="10.70%"/>
    <n v="9154"/>
    <n v="4594"/>
    <n v="1712"/>
    <n v="467"/>
    <n v="78"/>
    <n v="12"/>
    <n v="5919"/>
    <n v="346"/>
    <n v="1296"/>
    <n v="1943"/>
    <n v="179"/>
    <n v="122"/>
    <s v="0.9"/>
    <n v="3821.0526315789475"/>
    <x v="2"/>
  </r>
  <r>
    <n v="839"/>
    <s v="tb"/>
    <s v="BingYuan Li"/>
    <x v="14"/>
    <x v="35"/>
    <s v="WDNMD"/>
    <s v="VG.CyberZen, CyberZen, ViCi"/>
    <n v="11088"/>
    <n v="10380"/>
    <s v="49.90%"/>
    <s v="76.7"/>
    <s v="3.5"/>
    <n v="619"/>
    <n v="15737"/>
    <s v="0.7"/>
    <s v="0.15"/>
    <s v="0.66"/>
    <s v="0.11"/>
    <s v="0.11"/>
    <n v="7522"/>
    <s v="K - D diff."/>
    <n v="1359"/>
    <n v="1332"/>
    <s v="1.02"/>
    <s v="0.96"/>
    <s v="77.10%"/>
    <s v="12.10%"/>
    <n v="8215"/>
    <n v="4803"/>
    <n v="2013"/>
    <n v="578"/>
    <n v="115"/>
    <n v="13"/>
    <n v="7448"/>
    <n v="313"/>
    <n v="1102"/>
    <n v="2090"/>
    <n v="115"/>
    <n v="45"/>
    <s v="1.03"/>
    <n v="3941.4210526315787"/>
    <x v="2"/>
  </r>
  <r>
    <n v="18838"/>
    <s v="HexT"/>
    <s v="Jadan Postma"/>
    <x v="11"/>
    <x v="5"/>
    <s v="EG.CD"/>
    <s v="RBG, Carpe Diem"/>
    <n v="9441"/>
    <n v="9135"/>
    <s v="49.90%"/>
    <s v="77.4"/>
    <s v="4.8"/>
    <n v="503"/>
    <n v="13330"/>
    <s v="0.71"/>
    <s v="0.14"/>
    <s v="0.69"/>
    <s v="0.13"/>
    <s v="0.13"/>
    <n v="6400"/>
    <s v="K - D diff."/>
    <n v="1513"/>
    <n v="1460"/>
    <s v="1.04"/>
    <s v="1.05"/>
    <s v="71.60%"/>
    <s v="16.20%"/>
    <n v="6930"/>
    <n v="4122"/>
    <n v="1641"/>
    <n v="523"/>
    <n v="102"/>
    <n v="12"/>
    <n v="7217"/>
    <n v="81"/>
    <n v="588"/>
    <n v="1439"/>
    <n v="113"/>
    <n v="37"/>
    <s v="1.09"/>
    <n v="3399.3157894736842"/>
    <x v="2"/>
  </r>
  <r>
    <n v="13148"/>
    <s v="Radifaction"/>
    <s v="Haakon Tholo"/>
    <x v="4"/>
    <x v="28"/>
    <s v="Oilers"/>
    <s v="Secret, Nordavind, NoChance, Apeks"/>
    <n v="9177"/>
    <n v="9339"/>
    <s v="49.90%"/>
    <s v="75.3"/>
    <s v="3.4"/>
    <n v="509"/>
    <n v="13632"/>
    <s v="0.67"/>
    <s v="0.13"/>
    <s v="0.69"/>
    <s v="0.09"/>
    <s v="0.09"/>
    <n v="6245"/>
    <s v="K - D diff."/>
    <n v="1370"/>
    <n v="1445"/>
    <s v="0.95"/>
    <s v="0.99"/>
    <s v="74.00%"/>
    <s v="14.60%"/>
    <n v="7387"/>
    <n v="3983"/>
    <n v="1688"/>
    <n v="486"/>
    <n v="80"/>
    <n v="8"/>
    <n v="6730"/>
    <n v="251"/>
    <n v="496"/>
    <n v="1611"/>
    <n v="83"/>
    <n v="25"/>
    <s v="1.03"/>
    <n v="3397.1052631578946"/>
    <x v="2"/>
  </r>
  <r>
    <n v="8600"/>
    <s v="advent"/>
    <s v="Zhuo Liang"/>
    <x v="5"/>
    <x v="35"/>
    <s v="Rare Atom"/>
    <s v="ViCi, VG.CyberZen"/>
    <n v="15800"/>
    <n v="17998"/>
    <s v="49.90%"/>
    <s v="62.1"/>
    <s v="4.4"/>
    <n v="1101"/>
    <n v="28312"/>
    <s v="0.56"/>
    <s v="0.13"/>
    <s v="0.64"/>
    <s v="0.11"/>
    <s v="0.1"/>
    <n v="11530"/>
    <s v="K - D diff."/>
    <n v="1749"/>
    <n v="2044"/>
    <s v="0.86"/>
    <s v="0.86"/>
    <s v="74.60%"/>
    <s v="8.30%"/>
    <n v="16782"/>
    <n v="8115"/>
    <n v="2679"/>
    <n v="625"/>
    <n v="105"/>
    <n v="6"/>
    <n v="11000"/>
    <n v="86"/>
    <n v="1988"/>
    <n v="2484"/>
    <n v="244"/>
    <n v="36"/>
    <s v="0.87"/>
    <n v="6457.0526315789475"/>
    <x v="0"/>
  </r>
  <r>
    <n v="11343"/>
    <s v="SHiPZ"/>
    <s v="Georgi Grigorov"/>
    <x v="10"/>
    <x v="9"/>
    <s v="SKADE"/>
    <s v="SKADE, Windigo"/>
    <n v="33417"/>
    <n v="31190"/>
    <s v="50.00%"/>
    <s v="79.5"/>
    <s v="3.7"/>
    <n v="1695"/>
    <n v="45194"/>
    <s v="0.74"/>
    <s v="0.13"/>
    <s v="0.69"/>
    <s v="0.1"/>
    <s v="0.1"/>
    <n v="22125"/>
    <s v="K - D diff."/>
    <n v="5117"/>
    <n v="4703"/>
    <s v="1.09"/>
    <s v="1.06"/>
    <s v="74.10%"/>
    <s v="16.10%"/>
    <n v="23069"/>
    <n v="13777"/>
    <n v="5965"/>
    <n v="1873"/>
    <n v="459"/>
    <n v="51"/>
    <n v="22023"/>
    <n v="3034"/>
    <n v="1960"/>
    <n v="5613"/>
    <n v="332"/>
    <n v="531"/>
    <s v="1.11"/>
    <n v="11690.947368421053"/>
    <x v="1"/>
  </r>
  <r>
    <n v="15071"/>
    <s v="interz"/>
    <s v="Timofey Yakushin"/>
    <x v="10"/>
    <x v="1"/>
    <s v="Cloud9"/>
    <s v="Gambit Youngsters, Gambit"/>
    <n v="13256"/>
    <n v="13437"/>
    <s v="50.00%"/>
    <n v="63"/>
    <s v="5.1"/>
    <n v="867"/>
    <n v="23039"/>
    <s v="0.58"/>
    <s v="0.12"/>
    <s v="0.58"/>
    <s v="0.1"/>
    <s v="0.1"/>
    <n v="9514"/>
    <s v="K - D diff."/>
    <n v="1446"/>
    <n v="1509"/>
    <s v="0.96"/>
    <s v="0.87"/>
    <s v="74.30%"/>
    <s v="8.50%"/>
    <n v="13525"/>
    <n v="6579"/>
    <n v="2240"/>
    <n v="591"/>
    <n v="96"/>
    <n v="8"/>
    <n v="10018"/>
    <n v="304"/>
    <n v="436"/>
    <n v="2273"/>
    <n v="239"/>
    <n v="45"/>
    <s v="0.99"/>
    <n v="4974.25"/>
    <x v="0"/>
  </r>
  <r>
    <n v="11141"/>
    <s v="erkaSt"/>
    <s v="Erdenetsogt Gantulga"/>
    <x v="6"/>
    <x v="34"/>
    <s v="NKT"/>
    <s v="Grayhound, TIGER, Immunity"/>
    <n v="17397"/>
    <n v="14889"/>
    <s v="50.10%"/>
    <s v="83.3"/>
    <s v="5.1"/>
    <n v="869"/>
    <n v="22571"/>
    <s v="0.77"/>
    <s v="0.15"/>
    <s v="0.66"/>
    <s v="0.09"/>
    <s v="0.09"/>
    <n v="11431"/>
    <s v="K - D diff."/>
    <n v="2385"/>
    <n v="2041"/>
    <s v="1.17"/>
    <s v="1.04"/>
    <s v="75.20%"/>
    <s v="14.30%"/>
    <n v="11140"/>
    <n v="6979"/>
    <n v="3187"/>
    <n v="1032"/>
    <n v="217"/>
    <n v="16"/>
    <n v="12309"/>
    <n v="384"/>
    <n v="1608"/>
    <n v="2838"/>
    <n v="247"/>
    <n v="52"/>
    <s v="1.17"/>
    <n v="5873.2631578947367"/>
    <x v="0"/>
  </r>
  <r>
    <n v="9884"/>
    <s v="wrath"/>
    <s v="Collin McSweegan"/>
    <x v="11"/>
    <x v="0"/>
    <m/>
    <s v="New Identity, Secret Club, BlackOut"/>
    <n v="10634"/>
    <n v="9395"/>
    <s v="50.10%"/>
    <s v="83.9"/>
    <s v="3.5"/>
    <n v="525"/>
    <n v="13568"/>
    <s v="0.78"/>
    <s v="0.14"/>
    <s v="0.69"/>
    <s v="0.11"/>
    <s v="0.14"/>
    <n v="6906"/>
    <s v="K - D diff."/>
    <n v="1518"/>
    <n v="1276"/>
    <s v="1.19"/>
    <s v="1.07"/>
    <s v="74.80%"/>
    <s v="16.20%"/>
    <n v="6662"/>
    <n v="4167"/>
    <n v="1920"/>
    <n v="672"/>
    <n v="124"/>
    <n v="23"/>
    <n v="8173"/>
    <n v="205"/>
    <n v="404"/>
    <n v="1766"/>
    <n v="91"/>
    <n v="16"/>
    <s v="1.12"/>
    <n v="3581.3157894736842"/>
    <x v="2"/>
  </r>
  <r>
    <n v="17937"/>
    <s v="isak"/>
    <s v="Isak FahlÃ©n"/>
    <x v="11"/>
    <x v="15"/>
    <s v="GamerLegion"/>
    <s v="GamerLegion, Lilmix"/>
    <n v="10437"/>
    <n v="10462"/>
    <s v="50.10%"/>
    <s v="73.3"/>
    <s v="5.1"/>
    <n v="587"/>
    <n v="15870"/>
    <s v="0.66"/>
    <s v="0.13"/>
    <s v="0.66"/>
    <s v="0.09"/>
    <s v="0.09"/>
    <n v="7136"/>
    <s v="K - D diff."/>
    <n v="1311"/>
    <n v="1381"/>
    <s v="0.95"/>
    <s v="0.93"/>
    <s v="71.70%"/>
    <s v="11.80%"/>
    <n v="8734"/>
    <n v="4621"/>
    <n v="1853"/>
    <n v="547"/>
    <n v="106"/>
    <n v="9"/>
    <n v="7641"/>
    <n v="280"/>
    <n v="396"/>
    <n v="1909"/>
    <n v="205"/>
    <n v="37"/>
    <s v="1.03"/>
    <n v="3869.5789473684213"/>
    <x v="2"/>
  </r>
  <r>
    <n v="9217"/>
    <s v="TACO"/>
    <s v="Epitacio de Melo"/>
    <x v="6"/>
    <x v="6"/>
    <s v="00NATION"/>
    <s v="SK, MIBR, GODSENT, Liquid, Luminosity"/>
    <n v="22360"/>
    <n v="23790"/>
    <s v="50.10%"/>
    <s v="67.3"/>
    <s v="4.4"/>
    <n v="1418"/>
    <n v="36877"/>
    <s v="0.61"/>
    <s v="0.12"/>
    <s v="0.65"/>
    <s v="0.09"/>
    <s v="0.07"/>
    <n v="15855"/>
    <s v="K - D diff."/>
    <n v="3268"/>
    <n v="3738"/>
    <s v="0.87"/>
    <s v="0.94"/>
    <s v="73.40%"/>
    <s v="12.10%"/>
    <n v="21022"/>
    <n v="10726"/>
    <n v="3947"/>
    <n v="1002"/>
    <n v="166"/>
    <n v="14"/>
    <n v="15200"/>
    <n v="1113"/>
    <n v="1613"/>
    <n v="4108"/>
    <n v="252"/>
    <n v="124"/>
    <s v="0.92"/>
    <n v="8768.0526315789466"/>
    <x v="1"/>
  </r>
  <r>
    <n v="9218"/>
    <s v="xand"/>
    <s v="Alexandre Zizi"/>
    <x v="6"/>
    <x v="6"/>
    <m/>
    <s v="INTZ, Yeah"/>
    <n v="9681"/>
    <n v="8806"/>
    <s v="50.20%"/>
    <s v="80.4"/>
    <s v="4.7"/>
    <n v="515"/>
    <n v="13210"/>
    <s v="0.73"/>
    <s v="0.14"/>
    <s v="0.67"/>
    <s v="0.1"/>
    <s v="0.1"/>
    <n v="6466"/>
    <s v="K - D diff."/>
    <n v="1325"/>
    <n v="1164"/>
    <s v="1.14"/>
    <s v="1.02"/>
    <s v="75.20%"/>
    <s v="14.40%"/>
    <n v="6744"/>
    <n v="4077"/>
    <n v="1716"/>
    <n v="535"/>
    <n v="123"/>
    <n v="15"/>
    <n v="6560"/>
    <n v="224"/>
    <n v="1177"/>
    <n v="1581"/>
    <n v="122"/>
    <n v="31"/>
    <s v="1.07"/>
    <n v="3372.2105263157896"/>
    <x v="2"/>
  </r>
  <r>
    <n v="9875"/>
    <s v="food"/>
    <s v="Victor Wong"/>
    <x v="3"/>
    <x v="0"/>
    <m/>
    <s v="eUnited, Singularity, Freedom 35"/>
    <n v="8248"/>
    <n v="7868"/>
    <s v="50.20%"/>
    <s v="77.2"/>
    <s v="3.9"/>
    <n v="456"/>
    <n v="11711"/>
    <s v="0.7"/>
    <s v="0.14"/>
    <s v="0.67"/>
    <s v="0.11"/>
    <s v="0.11"/>
    <n v="5593"/>
    <s v="K - D diff."/>
    <n v="1209"/>
    <n v="1172"/>
    <s v="1.03"/>
    <s v="1.02"/>
    <s v="70.70%"/>
    <s v="13.90%"/>
    <n v="6118"/>
    <n v="3593"/>
    <n v="1444"/>
    <n v="463"/>
    <n v="87"/>
    <n v="6"/>
    <n v="5296"/>
    <n v="849"/>
    <n v="605"/>
    <n v="1376"/>
    <n v="106"/>
    <n v="40"/>
    <s v="1.03"/>
    <n v="2960"/>
    <x v="3"/>
  </r>
  <r>
    <n v="8323"/>
    <s v="mouz"/>
    <s v="MikoÅ‚aj Karolewski"/>
    <x v="13"/>
    <x v="3"/>
    <m/>
    <s v="Kinguin, Illuminar"/>
    <n v="31019"/>
    <n v="29280"/>
    <s v="50.20%"/>
    <s v="74.2"/>
    <s v="3.2"/>
    <n v="1698"/>
    <n v="45118"/>
    <s v="0.69"/>
    <s v="0.13"/>
    <s v="0.65"/>
    <s v="0.09"/>
    <s v="0.1"/>
    <n v="21223"/>
    <s v="K - D diff."/>
    <n v="3844"/>
    <n v="3828"/>
    <n v="1"/>
    <s v="0.95"/>
    <s v="71.80%"/>
    <s v="11.90%"/>
    <n v="23895"/>
    <n v="13742"/>
    <n v="5534"/>
    <n v="1636"/>
    <n v="272"/>
    <n v="39"/>
    <n v="22881"/>
    <n v="1106"/>
    <n v="1287"/>
    <n v="5523"/>
    <n v="238"/>
    <n v="64"/>
    <s v="1.02"/>
    <n v="10611.4"/>
    <x v="1"/>
  </r>
  <r>
    <n v="9053"/>
    <s v="Uber"/>
    <s v="Michael Stapells"/>
    <x v="3"/>
    <x v="5"/>
    <m/>
    <s v="Enemy, Complexity, Selfless"/>
    <n v="6674"/>
    <n v="6973"/>
    <s v="50.20%"/>
    <s v="73.6"/>
    <s v="3.9"/>
    <n v="398"/>
    <n v="10027"/>
    <s v="0.67"/>
    <s v="0.14"/>
    <s v="0.7"/>
    <s v="0.12"/>
    <s v="0.11"/>
    <n v="4584"/>
    <s v="K - D diff."/>
    <n v="954"/>
    <n v="1001"/>
    <s v="0.95"/>
    <s v="0.98"/>
    <s v="71.90%"/>
    <s v="14.10%"/>
    <n v="5443"/>
    <n v="2986"/>
    <n v="1189"/>
    <n v="335"/>
    <n v="66"/>
    <n v="8"/>
    <n v="4608"/>
    <n v="166"/>
    <n v="468"/>
    <n v="1330"/>
    <n v="98"/>
    <n v="22"/>
    <s v="0.96"/>
    <n v="2491.0526315789475"/>
    <x v="3"/>
  </r>
  <r>
    <n v="15697"/>
    <s v="Sidney"/>
    <s v="Patryk Korab"/>
    <x v="2"/>
    <x v="3"/>
    <s v="UNGENTIUM"/>
    <s v="UNGENTIUM, AGO, PACT, Illuminar"/>
    <n v="8166"/>
    <n v="8637"/>
    <s v="50.20%"/>
    <s v="70.8"/>
    <n v="7"/>
    <n v="489"/>
    <n v="13238"/>
    <s v="0.62"/>
    <s v="0.14"/>
    <s v="0.65"/>
    <s v="0.1"/>
    <s v="0.09"/>
    <n v="5691"/>
    <s v="K - D diff."/>
    <n v="1026"/>
    <n v="1052"/>
    <s v="0.98"/>
    <s v="0.92"/>
    <s v="71.10%"/>
    <s v="11.00%"/>
    <n v="7547"/>
    <n v="3770"/>
    <n v="1457"/>
    <n v="382"/>
    <n v="74"/>
    <n v="8"/>
    <n v="6173"/>
    <n v="127"/>
    <n v="430"/>
    <n v="1257"/>
    <n v="173"/>
    <n v="28"/>
    <s v="0.99"/>
    <n v="2986.6"/>
    <x v="3"/>
  </r>
  <r>
    <n v="8918"/>
    <s v="electroNic"/>
    <s v="Denis Sharipov"/>
    <x v="4"/>
    <x v="1"/>
    <s v="Natus Vincere"/>
    <s v="Natus Vincere, FlipSid3"/>
    <n v="25927"/>
    <n v="22812"/>
    <s v="50.30%"/>
    <s v="82.9"/>
    <s v="4.6"/>
    <n v="1318"/>
    <n v="34779"/>
    <s v="0.75"/>
    <s v="0.14"/>
    <s v="0.66"/>
    <s v="0.09"/>
    <s v="0.1"/>
    <n v="17140"/>
    <s v="K - D diff."/>
    <n v="4084"/>
    <n v="3621"/>
    <s v="1.13"/>
    <s v="1.08"/>
    <s v="73.20%"/>
    <s v="16.40%"/>
    <n v="17639"/>
    <n v="10582"/>
    <n v="4708"/>
    <n v="1510"/>
    <n v="302"/>
    <n v="38"/>
    <n v="19820"/>
    <n v="199"/>
    <n v="1387"/>
    <n v="4222"/>
    <n v="285"/>
    <n v="71"/>
    <s v="1.09"/>
    <n v="8970.7368421052633"/>
    <x v="1"/>
  </r>
  <r>
    <n v="9247"/>
    <s v="Machinegun"/>
    <s v="Enkhtaivan Lkhagva"/>
    <x v="0"/>
    <x v="34"/>
    <m/>
    <s v="TheMongolz, Mazaalai"/>
    <n v="8352"/>
    <n v="7676"/>
    <s v="50.30%"/>
    <s v="81.4"/>
    <s v="3.2"/>
    <n v="431"/>
    <n v="10994"/>
    <s v="0.76"/>
    <s v="0.13"/>
    <s v="0.7"/>
    <s v="0.08"/>
    <s v="0.09"/>
    <n v="5463"/>
    <s v="K - D diff."/>
    <n v="1413"/>
    <n v="1228"/>
    <s v="1.15"/>
    <s v="1.12"/>
    <s v="72.90%"/>
    <s v="18.80%"/>
    <n v="5531"/>
    <n v="3323"/>
    <n v="1522"/>
    <n v="506"/>
    <n v="93"/>
    <n v="19"/>
    <n v="5226"/>
    <n v="1025"/>
    <n v="319"/>
    <n v="1663"/>
    <n v="76"/>
    <n v="55"/>
    <s v="1.08"/>
    <n v="2890.2631578947367"/>
    <x v="3"/>
  </r>
  <r>
    <n v="8321"/>
    <s v="oskarish"/>
    <s v="Oskar Stenborowski"/>
    <x v="3"/>
    <x v="3"/>
    <s v="Anonymo"/>
    <s v="x-kom, Illuminar, AGO"/>
    <n v="18370"/>
    <n v="18741"/>
    <s v="50.30%"/>
    <s v="70.7"/>
    <s v="4.3"/>
    <n v="1054"/>
    <n v="28144"/>
    <s v="0.65"/>
    <s v="0.13"/>
    <s v="0.67"/>
    <s v="0.1"/>
    <s v="0.1"/>
    <n v="12644"/>
    <s v="K - D diff."/>
    <n v="2577"/>
    <n v="2777"/>
    <s v="0.93"/>
    <s v="0.96"/>
    <s v="71.70%"/>
    <s v="13.10%"/>
    <n v="15500"/>
    <n v="8317"/>
    <n v="3168"/>
    <n v="947"/>
    <n v="191"/>
    <n v="21"/>
    <n v="13072"/>
    <n v="643"/>
    <n v="984"/>
    <n v="3428"/>
    <n v="240"/>
    <n v="59"/>
    <s v="0.97"/>
    <n v="6888.2631578947367"/>
    <x v="0"/>
  </r>
  <r>
    <n v="14311"/>
    <s v="H4RR3"/>
    <s v="Haris Hadzic"/>
    <x v="3"/>
    <x v="28"/>
    <n v="777"/>
    <s v="777, Nordavind"/>
    <n v="11699"/>
    <n v="12478"/>
    <s v="50.30%"/>
    <s v="74.9"/>
    <s v="4.7"/>
    <n v="661"/>
    <n v="17791"/>
    <s v="0.66"/>
    <s v="0.14"/>
    <s v="0.7"/>
    <s v="0.12"/>
    <s v="0.1"/>
    <n v="7978"/>
    <s v="K - D diff."/>
    <n v="1908"/>
    <n v="2270"/>
    <s v="0.84"/>
    <s v="0.99"/>
    <s v="70.30%"/>
    <s v="15.30%"/>
    <n v="9813"/>
    <n v="5155"/>
    <n v="2073"/>
    <n v="618"/>
    <n v="116"/>
    <n v="16"/>
    <n v="8147"/>
    <n v="202"/>
    <n v="1100"/>
    <n v="2120"/>
    <n v="124"/>
    <n v="39"/>
    <s v="1.03"/>
    <n v="4437.2631578947367"/>
    <x v="2"/>
  </r>
  <r>
    <n v="2292"/>
    <s v="forget"/>
    <s v="Lei Li"/>
    <x v="0"/>
    <x v="35"/>
    <m/>
    <s v="5POWER, UYA"/>
    <n v="7723"/>
    <n v="8457"/>
    <s v="50.30%"/>
    <s v="75.3"/>
    <s v="4.3"/>
    <n v="442"/>
    <n v="11512"/>
    <s v="0.67"/>
    <s v="0.14"/>
    <s v="0.73"/>
    <s v="0.1"/>
    <s v="0.08"/>
    <n v="5249"/>
    <s v="K - D diff."/>
    <n v="1306"/>
    <n v="1577"/>
    <s v="0.83"/>
    <s v="1.01"/>
    <s v="71.40%"/>
    <s v="15.70%"/>
    <n v="6263"/>
    <n v="3363"/>
    <n v="1389"/>
    <n v="411"/>
    <n v="81"/>
    <n v="5"/>
    <n v="4627"/>
    <n v="754"/>
    <n v="616"/>
    <n v="1556"/>
    <n v="71"/>
    <n v="112"/>
    <s v="0.94"/>
    <n v="2921.7894736842104"/>
    <x v="3"/>
  </r>
  <r>
    <n v="3741"/>
    <s v="NiKo"/>
    <s v="Nikola KovaÄ"/>
    <x v="3"/>
    <x v="45"/>
    <s v="G2"/>
    <s v="G2, FaZe, MOUZ"/>
    <n v="34634"/>
    <n v="29087"/>
    <s v="50.40%"/>
    <n v="86"/>
    <s v="4.4"/>
    <n v="1637"/>
    <n v="43526"/>
    <s v="0.8"/>
    <s v="0.13"/>
    <s v="0.67"/>
    <s v="0.08"/>
    <s v="0.1"/>
    <n v="22258"/>
    <s v="K - D diff."/>
    <n v="6195"/>
    <n v="5049"/>
    <s v="1.23"/>
    <s v="1.18"/>
    <s v="73.10%"/>
    <s v="20.00%"/>
    <n v="21268"/>
    <n v="13294"/>
    <n v="6231"/>
    <n v="2146"/>
    <n v="519"/>
    <n v="68"/>
    <n v="23581"/>
    <n v="3296"/>
    <n v="1138"/>
    <n v="6308"/>
    <n v="297"/>
    <n v="89"/>
    <s v="1.15"/>
    <n v="11035.35"/>
    <x v="1"/>
  </r>
  <r>
    <n v="8095"/>
    <s v="aizy"/>
    <s v="Philip Aistrup"/>
    <x v="13"/>
    <x v="2"/>
    <s v="Tokyo Revengers"/>
    <s v="North, Dignitas, FaZe"/>
    <n v="28807"/>
    <n v="27637"/>
    <s v="50.40%"/>
    <s v="75.6"/>
    <s v="4.3"/>
    <n v="1564"/>
    <n v="41206"/>
    <s v="0.7"/>
    <s v="0.14"/>
    <s v="0.67"/>
    <s v="0.1"/>
    <s v="0.1"/>
    <n v="19245"/>
    <s v="K - D diff."/>
    <n v="4244"/>
    <n v="4170"/>
    <s v="1.02"/>
    <s v="1.01"/>
    <s v="73.00%"/>
    <s v="14.60%"/>
    <n v="21961"/>
    <n v="12069"/>
    <n v="5206"/>
    <n v="1615"/>
    <n v="317"/>
    <n v="38"/>
    <n v="20670"/>
    <n v="1274"/>
    <n v="1439"/>
    <n v="5003"/>
    <n v="355"/>
    <n v="108"/>
    <s v="1.03"/>
    <n v="10364.631578947368"/>
    <x v="1"/>
  </r>
  <r>
    <n v="17305"/>
    <s v="FinigaN"/>
    <s v="Vladislav Usov"/>
    <x v="4"/>
    <x v="1"/>
    <m/>
    <s v="Espada"/>
    <n v="8708"/>
    <n v="8580"/>
    <s v="50.40%"/>
    <s v="70.2"/>
    <s v="4.6"/>
    <n v="503"/>
    <n v="13560"/>
    <s v="0.64"/>
    <s v="0.12"/>
    <s v="0.63"/>
    <s v="0.1"/>
    <s v="0.1"/>
    <n v="6087"/>
    <s v="K - D diff."/>
    <n v="1123"/>
    <n v="1050"/>
    <s v="1.07"/>
    <s v="0.95"/>
    <s v="73.10%"/>
    <s v="11.80%"/>
    <n v="7473"/>
    <n v="4059"/>
    <n v="1512"/>
    <n v="443"/>
    <n v="69"/>
    <n v="4"/>
    <n v="6618"/>
    <n v="272"/>
    <n v="383"/>
    <n v="1290"/>
    <n v="159"/>
    <n v="26"/>
    <s v="1.03"/>
    <n v="3258.8947368421054"/>
    <x v="3"/>
  </r>
  <r>
    <n v="7398"/>
    <s v="dupreeh"/>
    <s v="Peter Rasmussen"/>
    <x v="1"/>
    <x v="2"/>
    <s v="Vitality"/>
    <s v="Astralis, TSM"/>
    <n v="37250"/>
    <n v="32885"/>
    <s v="50.50%"/>
    <s v="77.2"/>
    <s v="3.2"/>
    <n v="1953"/>
    <n v="50862"/>
    <s v="0.73"/>
    <s v="0.14"/>
    <s v="0.65"/>
    <s v="0.09"/>
    <s v="0.09"/>
    <n v="24859"/>
    <s v="K - D diff."/>
    <n v="5993"/>
    <n v="5188"/>
    <s v="1.16"/>
    <s v="1.09"/>
    <s v="75.20%"/>
    <s v="16.10%"/>
    <n v="26003"/>
    <n v="15554"/>
    <n v="6765"/>
    <n v="2078"/>
    <n v="423"/>
    <n v="39"/>
    <n v="26134"/>
    <n v="1859"/>
    <n v="2176"/>
    <n v="6552"/>
    <n v="351"/>
    <n v="241"/>
    <s v="1.08"/>
    <n v="13008.684210526315"/>
    <x v="1"/>
  </r>
  <r>
    <n v="16872"/>
    <s v="flying"/>
    <s v="Peiqi Song"/>
    <x v="10"/>
    <x v="35"/>
    <s v="Invictus"/>
    <s v="Invictus"/>
    <n v="8014"/>
    <n v="7478"/>
    <s v="50.60%"/>
    <s v="79.2"/>
    <s v="3.7"/>
    <n v="408"/>
    <n v="10886"/>
    <s v="0.74"/>
    <s v="0.12"/>
    <s v="0.69"/>
    <s v="0.09"/>
    <s v="0.1"/>
    <n v="5285"/>
    <s v="K - D diff."/>
    <n v="946"/>
    <n v="931"/>
    <s v="1.02"/>
    <s v="0.96"/>
    <s v="72.70%"/>
    <s v="12.70%"/>
    <n v="5601"/>
    <n v="3233"/>
    <n v="1478"/>
    <n v="478"/>
    <n v="89"/>
    <n v="7"/>
    <n v="5742"/>
    <n v="173"/>
    <n v="540"/>
    <n v="1476"/>
    <n v="63"/>
    <n v="60"/>
    <s v="1.09"/>
    <n v="2783.5789473684213"/>
    <x v="3"/>
  </r>
  <r>
    <n v="12731"/>
    <s v="sdy"/>
    <s v="Viktor Orudzhev"/>
    <x v="3"/>
    <x v="29"/>
    <s v="Natus Vincere"/>
    <s v="Spirit"/>
    <n v="20009"/>
    <n v="18104"/>
    <s v="50.60%"/>
    <s v="76.6"/>
    <s v="4.1"/>
    <n v="1099"/>
    <n v="28808"/>
    <s v="0.69"/>
    <s v="0.13"/>
    <s v="0.63"/>
    <s v="0.1"/>
    <s v="0.11"/>
    <n v="13627"/>
    <s v="K - D diff."/>
    <n v="2444"/>
    <n v="2320"/>
    <s v="1.05"/>
    <s v="0.96"/>
    <s v="73.30%"/>
    <s v="11.90%"/>
    <n v="15181"/>
    <n v="8772"/>
    <n v="3551"/>
    <n v="1103"/>
    <n v="179"/>
    <n v="22"/>
    <n v="14096"/>
    <n v="741"/>
    <n v="1463"/>
    <n v="3308"/>
    <n v="197"/>
    <n v="259"/>
    <s v="1.1"/>
    <n v="7120.1578947368425"/>
    <x v="1"/>
  </r>
  <r>
    <n v="12086"/>
    <s v="HUGHMUNGUS"/>
    <s v="Hugh Anderson"/>
    <x v="9"/>
    <x v="16"/>
    <s v="Aftershock"/>
    <s v="Chiefs, Legacy, Genuine, Funky Monkeys"/>
    <n v="13552"/>
    <n v="13061"/>
    <s v="50.60%"/>
    <s v="74.6"/>
    <s v="4.8"/>
    <n v="765"/>
    <n v="19858"/>
    <s v="0.68"/>
    <s v="0.13"/>
    <s v="0.66"/>
    <s v="0.1"/>
    <s v="0.11"/>
    <n v="9228"/>
    <s v="K - D diff."/>
    <n v="1856"/>
    <n v="1986"/>
    <s v="0.93"/>
    <s v="0.97"/>
    <s v="70.60%"/>
    <s v="13.00%"/>
    <n v="10630"/>
    <n v="5964"/>
    <n v="2381"/>
    <n v="725"/>
    <n v="139"/>
    <n v="19"/>
    <n v="9609"/>
    <n v="545"/>
    <n v="793"/>
    <n v="2422"/>
    <n v="192"/>
    <n v="34"/>
    <s v="1.06"/>
    <n v="4934.6842105263158"/>
    <x v="0"/>
  </r>
  <r>
    <n v="630"/>
    <s v="MUTiRiS"/>
    <s v="Christopher Fernandes"/>
    <x v="1"/>
    <x v="31"/>
    <s v="SAW"/>
    <s v="SAW, k1ck, Giants"/>
    <n v="22278"/>
    <n v="22069"/>
    <s v="50.60%"/>
    <n v="78"/>
    <s v="5.8"/>
    <n v="1235"/>
    <n v="32303"/>
    <s v="0.69"/>
    <s v="0.15"/>
    <s v="0.68"/>
    <s v="0.1"/>
    <s v="0.1"/>
    <n v="15208"/>
    <s v="K - D diff."/>
    <n v="3382"/>
    <n v="3326"/>
    <s v="1.02"/>
    <s v="1.02"/>
    <s v="72.90%"/>
    <s v="15.30%"/>
    <n v="17095"/>
    <n v="9787"/>
    <n v="4043"/>
    <n v="1146"/>
    <n v="207"/>
    <n v="25"/>
    <n v="17101"/>
    <n v="113"/>
    <n v="995"/>
    <n v="3747"/>
    <n v="314"/>
    <n v="38"/>
    <n v="1"/>
    <n v="7356.7142857142853"/>
    <x v="1"/>
  </r>
  <r>
    <n v="7356"/>
    <s v="MICHU"/>
    <s v="MichaÅ‚ MÃ¼ller"/>
    <x v="3"/>
    <x v="3"/>
    <m/>
    <s v="Virtus.pro, Kinguin, CSGL"/>
    <n v="33874"/>
    <n v="30809"/>
    <s v="50.70%"/>
    <s v="80.2"/>
    <s v="3.8"/>
    <n v="1732"/>
    <n v="45397"/>
    <s v="0.75"/>
    <s v="0.13"/>
    <s v="0.68"/>
    <s v="0.09"/>
    <s v="0.1"/>
    <n v="22373"/>
    <s v="K - D diff."/>
    <n v="5011"/>
    <n v="4632"/>
    <s v="1.08"/>
    <s v="1.05"/>
    <s v="71.50%"/>
    <s v="15.80%"/>
    <n v="23024"/>
    <n v="13786"/>
    <n v="6189"/>
    <n v="1950"/>
    <n v="389"/>
    <n v="59"/>
    <n v="25816"/>
    <n v="1209"/>
    <n v="592"/>
    <n v="5875"/>
    <n v="381"/>
    <n v="46"/>
    <s v="1.08"/>
    <n v="11744.421052631578"/>
    <x v="1"/>
  </r>
  <r>
    <n v="9317"/>
    <s v="AnJ"/>
    <s v="Allan Jensen"/>
    <x v="6"/>
    <x v="2"/>
    <m/>
    <s v="NRG, Singularity, Tricked"/>
    <n v="7530"/>
    <n v="6767"/>
    <s v="50.70%"/>
    <s v="77.2"/>
    <s v="3.8"/>
    <n v="403"/>
    <n v="10503"/>
    <s v="0.72"/>
    <s v="0.12"/>
    <s v="0.64"/>
    <s v="0.09"/>
    <s v="0.12"/>
    <n v="5099"/>
    <s v="K - D diff."/>
    <n v="1069"/>
    <n v="909"/>
    <s v="1.18"/>
    <s v="1.03"/>
    <s v="73.90%"/>
    <s v="14.40%"/>
    <n v="5404"/>
    <n v="3259"/>
    <n v="1355"/>
    <n v="391"/>
    <n v="82"/>
    <n v="12"/>
    <n v="5433"/>
    <n v="404"/>
    <n v="238"/>
    <n v="1358"/>
    <n v="98"/>
    <n v="10"/>
    <s v="1.06"/>
    <n v="2648.6315789473683"/>
    <x v="3"/>
  </r>
  <r>
    <n v="13230"/>
    <s v="motm"/>
    <s v="Ian Hardy"/>
    <x v="9"/>
    <x v="0"/>
    <s v="ATK"/>
    <s v="ATK, Cloud9"/>
    <n v="18189"/>
    <n v="17218"/>
    <s v="50.70%"/>
    <s v="76.2"/>
    <s v="3.2"/>
    <n v="958"/>
    <n v="25283"/>
    <s v="0.72"/>
    <s v="0.12"/>
    <s v="0.68"/>
    <s v="0.11"/>
    <s v="0.12"/>
    <n v="12204"/>
    <s v="K - D diff."/>
    <n v="2754"/>
    <n v="2592"/>
    <s v="1.06"/>
    <s v="1.04"/>
    <s v="74.10%"/>
    <s v="15.70%"/>
    <n v="13079"/>
    <n v="7759"/>
    <n v="3174"/>
    <n v="1031"/>
    <n v="211"/>
    <n v="29"/>
    <n v="12955"/>
    <n v="1155"/>
    <n v="1023"/>
    <n v="2946"/>
    <n v="135"/>
    <n v="35"/>
    <s v="1.09"/>
    <n v="6459.4736842105267"/>
    <x v="0"/>
  </r>
  <r>
    <n v="9043"/>
    <s v="ANDROID"/>
    <s v="Bradley Fodor"/>
    <x v="8"/>
    <x v="5"/>
    <m/>
    <s v="Complexity, Envy"/>
    <n v="15394"/>
    <n v="14358"/>
    <s v="50.70%"/>
    <s v="75.7"/>
    <n v="3"/>
    <n v="835"/>
    <n v="21741"/>
    <s v="0.71"/>
    <s v="0.13"/>
    <s v="0.66"/>
    <s v="0.1"/>
    <s v="0.12"/>
    <n v="10431"/>
    <s v="K - D diff."/>
    <n v="1773"/>
    <n v="1746"/>
    <s v="1.02"/>
    <s v="0.94"/>
    <s v="69.80%"/>
    <s v="11.30%"/>
    <n v="11310"/>
    <n v="6617"/>
    <n v="2854"/>
    <n v="787"/>
    <n v="157"/>
    <n v="16"/>
    <n v="10775"/>
    <n v="609"/>
    <n v="737"/>
    <n v="2943"/>
    <n v="141"/>
    <n v="219"/>
    <s v="1.04"/>
    <n v="5172.3"/>
    <x v="0"/>
  </r>
  <r>
    <n v="18717"/>
    <s v="Lucaozy"/>
    <s v="Lucas Neves"/>
    <x v="11"/>
    <x v="6"/>
    <s v="Sharks"/>
    <s v="Sharks, DETONA, Reapers"/>
    <n v="7598"/>
    <n v="7082"/>
    <s v="50.70%"/>
    <s v="75.6"/>
    <s v="3.1"/>
    <n v="399"/>
    <n v="10815"/>
    <s v="0.7"/>
    <s v="0.11"/>
    <s v="0.65"/>
    <s v="0.1"/>
    <s v="0.1"/>
    <n v="5165"/>
    <s v="K - D diff."/>
    <n v="1135"/>
    <n v="1135"/>
    <n v="1"/>
    <s v="1.02"/>
    <s v="72.70%"/>
    <s v="14.90%"/>
    <n v="5650"/>
    <n v="3316"/>
    <n v="1343"/>
    <n v="433"/>
    <n v="68"/>
    <n v="5"/>
    <n v="5686"/>
    <n v="430"/>
    <n v="218"/>
    <n v="1172"/>
    <n v="88"/>
    <n v="36"/>
    <s v="1.08"/>
    <n v="2588.75"/>
    <x v="3"/>
  </r>
  <r>
    <n v="9636"/>
    <s v="BURNRUOk"/>
    <s v="Callum Henderson"/>
    <x v="13"/>
    <x v="16"/>
    <m/>
    <s v="Ground Zero, Grayhound, Immunity"/>
    <n v="15228"/>
    <n v="15746"/>
    <s v="50.70%"/>
    <s v="76.9"/>
    <s v="3.7"/>
    <n v="860"/>
    <n v="22168"/>
    <s v="0.69"/>
    <s v="0.14"/>
    <s v="0.71"/>
    <s v="0.09"/>
    <s v="0.08"/>
    <n v="10250"/>
    <s v="K - D diff."/>
    <n v="2694"/>
    <n v="2820"/>
    <s v="0.96"/>
    <s v="1.06"/>
    <s v="75.50%"/>
    <s v="17.60%"/>
    <n v="11918"/>
    <n v="6467"/>
    <n v="2775"/>
    <n v="838"/>
    <n v="153"/>
    <n v="17"/>
    <n v="10561"/>
    <n v="836"/>
    <n v="947"/>
    <n v="2763"/>
    <n v="143"/>
    <n v="10"/>
    <s v="0.98"/>
    <n v="5641.7894736842109"/>
    <x v="0"/>
  </r>
  <r>
    <n v="7169"/>
    <s v="RpK"/>
    <s v="CÃ©dric Guipouy"/>
    <x v="0"/>
    <x v="26"/>
    <m/>
    <s v="Vitality, Envy, Titan, G2"/>
    <n v="26056"/>
    <n v="26673"/>
    <s v="50.70%"/>
    <s v="72.1"/>
    <s v="2.9"/>
    <n v="1499"/>
    <n v="39100"/>
    <s v="0.67"/>
    <s v="0.13"/>
    <s v="0.68"/>
    <s v="0.11"/>
    <s v="0.11"/>
    <n v="17736"/>
    <s v="K - D diff."/>
    <n v="3231"/>
    <n v="3437"/>
    <s v="0.94"/>
    <s v="0.93"/>
    <s v="72.70%"/>
    <s v="11.60%"/>
    <n v="21364"/>
    <n v="11448"/>
    <n v="4587"/>
    <n v="1401"/>
    <n v="282"/>
    <n v="18"/>
    <n v="19005"/>
    <n v="71"/>
    <n v="1716"/>
    <n v="5057"/>
    <n v="202"/>
    <n v="24"/>
    <s v="0.97"/>
    <n v="9626.6842105263149"/>
    <x v="1"/>
  </r>
  <r>
    <n v="16486"/>
    <s v="ztr"/>
    <s v="Erik Gustafsson"/>
    <x v="18"/>
    <x v="15"/>
    <s v="Young Ninjas"/>
    <s v="Young Ninjas, NIP"/>
    <n v="7089"/>
    <n v="7664"/>
    <s v="50.70%"/>
    <s v="71.6"/>
    <s v="4.7"/>
    <n v="412"/>
    <n v="11035"/>
    <s v="0.64"/>
    <s v="0.12"/>
    <s v="0.69"/>
    <s v="0.09"/>
    <s v="0.09"/>
    <n v="4893"/>
    <s v="K - D diff."/>
    <n v="989"/>
    <n v="1167"/>
    <s v="0.85"/>
    <s v="0.94"/>
    <s v="73.70%"/>
    <s v="13.40%"/>
    <n v="6142"/>
    <n v="3205"/>
    <n v="1253"/>
    <n v="367"/>
    <n v="63"/>
    <n v="5"/>
    <n v="5261"/>
    <n v="75"/>
    <n v="466"/>
    <n v="1192"/>
    <n v="92"/>
    <n v="34"/>
    <s v="0.98"/>
    <n v="2705.4736842105262"/>
    <x v="3"/>
  </r>
  <r>
    <n v="14619"/>
    <s v="Infinite"/>
    <s v="Gage Green"/>
    <x v="2"/>
    <x v="0"/>
    <s v="ONET4P"/>
    <s v="Party Astronauts"/>
    <n v="16071"/>
    <n v="14047"/>
    <s v="50.80%"/>
    <s v="81.2"/>
    <s v="4.9"/>
    <n v="827"/>
    <n v="21545"/>
    <s v="0.75"/>
    <s v="0.14"/>
    <s v="0.65"/>
    <s v="0.1"/>
    <s v="0.11"/>
    <n v="10526"/>
    <s v="K - D diff."/>
    <n v="2310"/>
    <n v="2137"/>
    <s v="1.08"/>
    <s v="1.04"/>
    <s v="72.70%"/>
    <s v="14.60%"/>
    <n v="11019"/>
    <n v="6462"/>
    <n v="2853"/>
    <n v="973"/>
    <n v="206"/>
    <n v="32"/>
    <n v="11610"/>
    <n v="464"/>
    <n v="1064"/>
    <n v="2730"/>
    <n v="202"/>
    <n v="54"/>
    <s v="1.16"/>
    <n v="5533.2631578947367"/>
    <x v="0"/>
  </r>
  <r>
    <n v="10589"/>
    <s v="rommi"/>
    <s v="Roman Golubev"/>
    <x v="1"/>
    <x v="1"/>
    <s v="Moralezz"/>
    <s v="Spirit Academy, HOLLYWOOD, PLINK, 1337"/>
    <n v="9899"/>
    <n v="9295"/>
    <s v="50.80%"/>
    <s v="81.1"/>
    <s v="3.7"/>
    <n v="516"/>
    <n v="13467"/>
    <s v="0.74"/>
    <s v="0.14"/>
    <s v="0.69"/>
    <s v="0.08"/>
    <s v="0.1"/>
    <n v="6659"/>
    <s v="K - D diff."/>
    <n v="1052"/>
    <n v="1053"/>
    <n v="1"/>
    <s v="0.93"/>
    <s v="72.60%"/>
    <s v="11.60%"/>
    <n v="6808"/>
    <n v="4185"/>
    <n v="1834"/>
    <n v="524"/>
    <n v="106"/>
    <n v="10"/>
    <n v="7534"/>
    <n v="57"/>
    <n v="367"/>
    <n v="1834"/>
    <n v="109"/>
    <n v="13"/>
    <s v="1.05"/>
    <n v="3266.15"/>
    <x v="3"/>
  </r>
  <r>
    <n v="9612"/>
    <s v="Bubzkji"/>
    <s v="Lucas Andersen"/>
    <x v="2"/>
    <x v="2"/>
    <m/>
    <s v="Tricked, Fragsters, MAD Lions, Astralis"/>
    <n v="15534"/>
    <n v="14571"/>
    <s v="50.80%"/>
    <s v="80.4"/>
    <s v="5.4"/>
    <n v="817"/>
    <n v="21619"/>
    <s v="0.72"/>
    <s v="0.14"/>
    <s v="0.67"/>
    <s v="0.09"/>
    <s v="0.1"/>
    <n v="10528"/>
    <s v="K - D diff."/>
    <n v="2330"/>
    <n v="2104"/>
    <s v="1.11"/>
    <s v="1.04"/>
    <s v="73.00%"/>
    <s v="15.20%"/>
    <n v="11091"/>
    <n v="6710"/>
    <n v="2822"/>
    <n v="823"/>
    <n v="154"/>
    <n v="19"/>
    <n v="11047"/>
    <n v="874"/>
    <n v="837"/>
    <n v="2489"/>
    <n v="210"/>
    <n v="107"/>
    <s v="1.04"/>
    <n v="5509.7894736842109"/>
    <x v="0"/>
  </r>
  <r>
    <n v="9483"/>
    <s v="DeStiNy"/>
    <s v="Lucas Bullo"/>
    <x v="3"/>
    <x v="6"/>
    <m/>
    <s v="Luminosity, PaquetÃ¡, INTZ, Wild"/>
    <n v="19838"/>
    <n v="19377"/>
    <s v="50.80%"/>
    <s v="78.5"/>
    <s v="3.2"/>
    <n v="1065"/>
    <n v="27675"/>
    <s v="0.72"/>
    <s v="0.14"/>
    <s v="0.7"/>
    <s v="0.11"/>
    <s v="0.1"/>
    <n v="13240"/>
    <s v="K - D diff."/>
    <n v="3555"/>
    <n v="3680"/>
    <s v="0.97"/>
    <s v="1.09"/>
    <s v="73.00%"/>
    <s v="18.00%"/>
    <n v="14435"/>
    <n v="8263"/>
    <n v="3599"/>
    <n v="1146"/>
    <n v="221"/>
    <n v="11"/>
    <n v="15540"/>
    <n v="105"/>
    <n v="735"/>
    <n v="3304"/>
    <n v="148"/>
    <n v="61"/>
    <s v="1.02"/>
    <n v="7157.7894736842109"/>
    <x v="1"/>
  </r>
  <r>
    <n v="13186"/>
    <s v="cam"/>
    <s v="Cameron Kern"/>
    <x v="2"/>
    <x v="0"/>
    <m/>
    <s v="Singularity, Gorilla Gang, Chaos"/>
    <n v="9454"/>
    <n v="9285"/>
    <s v="50.80%"/>
    <s v="75.3"/>
    <s v="5.4"/>
    <n v="544"/>
    <n v="13974"/>
    <s v="0.68"/>
    <s v="0.15"/>
    <s v="0.66"/>
    <s v="0.12"/>
    <s v="0.12"/>
    <n v="6470"/>
    <s v="K - D diff."/>
    <n v="1227"/>
    <n v="1285"/>
    <s v="0.95"/>
    <s v="0.95"/>
    <s v="76.00%"/>
    <s v="12.70%"/>
    <n v="7504"/>
    <n v="4191"/>
    <n v="1690"/>
    <n v="488"/>
    <n v="86"/>
    <n v="15"/>
    <n v="6597"/>
    <n v="206"/>
    <n v="723"/>
    <n v="1685"/>
    <n v="157"/>
    <n v="107"/>
    <s v="1.06"/>
    <n v="3457.2631578947367"/>
    <x v="2"/>
  </r>
  <r>
    <n v="11162"/>
    <s v="Hatz"/>
    <s v="Jordan Bajic"/>
    <x v="2"/>
    <x v="16"/>
    <s v="ORDER"/>
    <s v="ORDER, Renegades, Kings"/>
    <n v="17302"/>
    <n v="15301"/>
    <s v="50.90%"/>
    <s v="77.5"/>
    <s v="5.1"/>
    <n v="947"/>
    <n v="24099"/>
    <s v="0.72"/>
    <s v="0.14"/>
    <s v="0.63"/>
    <s v="0.1"/>
    <s v="0.1"/>
    <n v="11545"/>
    <s v="K - D diff."/>
    <n v="2669"/>
    <n v="2462"/>
    <s v="1.08"/>
    <s v="1.05"/>
    <s v="75.80%"/>
    <s v="14.90%"/>
    <n v="12554"/>
    <n v="7214"/>
    <n v="3142"/>
    <n v="976"/>
    <n v="189"/>
    <n v="24"/>
    <n v="11909"/>
    <n v="1109"/>
    <n v="1291"/>
    <n v="2755"/>
    <n v="227"/>
    <n v="50"/>
    <s v="1.14"/>
    <n v="6092.894736842105"/>
    <x v="0"/>
  </r>
  <r>
    <n v="16612"/>
    <s v="n0rb3r7"/>
    <s v="David Danielyan"/>
    <x v="10"/>
    <x v="1"/>
    <s v="Outsiders"/>
    <s v="K23, Winstrike, Syman"/>
    <n v="20651"/>
    <n v="19814"/>
    <s v="50.90%"/>
    <s v="79.7"/>
    <s v="4.2"/>
    <n v="1076"/>
    <n v="28750"/>
    <s v="0.72"/>
    <s v="0.13"/>
    <s v="0.69"/>
    <s v="0.08"/>
    <s v="0.07"/>
    <n v="13571"/>
    <s v="K - D diff."/>
    <n v="3372"/>
    <n v="3298"/>
    <s v="1.02"/>
    <s v="1.06"/>
    <s v="70.70%"/>
    <s v="16.40%"/>
    <n v="15179"/>
    <n v="8339"/>
    <n v="3725"/>
    <n v="1199"/>
    <n v="275"/>
    <n v="33"/>
    <n v="14899"/>
    <n v="1015"/>
    <n v="973"/>
    <n v="3520"/>
    <n v="181"/>
    <n v="98"/>
    <s v="1.09"/>
    <n v="7366.7368421052633"/>
    <x v="1"/>
  </r>
  <r>
    <n v="11777"/>
    <s v="Maden"/>
    <s v="Pavle BoÅ¡koviÄ‡"/>
    <x v="4"/>
    <x v="46"/>
    <s v="ENCE"/>
    <s v="ENCE, GODSENT, FunPlus Phoenix, SMASH"/>
    <n v="13472"/>
    <n v="13101"/>
    <s v="50.90%"/>
    <s v="79.5"/>
    <s v="5.3"/>
    <n v="699"/>
    <n v="18623"/>
    <s v="0.72"/>
    <s v="0.14"/>
    <s v="0.7"/>
    <s v="0.09"/>
    <s v="0.1"/>
    <n v="8981"/>
    <s v="K - D diff."/>
    <n v="2333"/>
    <n v="2356"/>
    <s v="0.99"/>
    <s v="1.08"/>
    <s v="71.20%"/>
    <s v="17.50%"/>
    <n v="9642"/>
    <n v="5656"/>
    <n v="2359"/>
    <n v="777"/>
    <n v="178"/>
    <n v="11"/>
    <n v="9432"/>
    <n v="849"/>
    <n v="750"/>
    <n v="2233"/>
    <n v="184"/>
    <n v="71"/>
    <s v="1.08"/>
    <n v="4826.6842105263158"/>
    <x v="0"/>
  </r>
  <r>
    <n v="15835"/>
    <s v="imoRR"/>
    <s v="Ã–mer KarataÅŸ"/>
    <x v="9"/>
    <x v="20"/>
    <s v="Eternal Fire"/>
    <s v="Eternal Fire, Sangal, Royal Bandits"/>
    <n v="12578"/>
    <n v="12425"/>
    <s v="50.90%"/>
    <s v="79.9"/>
    <s v="4.4"/>
    <n v="650"/>
    <n v="17397"/>
    <s v="0.72"/>
    <s v="0.13"/>
    <s v="0.71"/>
    <s v="0.1"/>
    <s v="0.09"/>
    <n v="8280"/>
    <s v="K - D diff."/>
    <n v="2698"/>
    <n v="2567"/>
    <s v="1.05"/>
    <s v="1.2"/>
    <s v="72.50%"/>
    <s v="22.00%"/>
    <n v="9117"/>
    <n v="5127"/>
    <n v="2220"/>
    <n v="739"/>
    <n v="176"/>
    <n v="18"/>
    <n v="7697"/>
    <n v="1952"/>
    <n v="774"/>
    <n v="1946"/>
    <n v="164"/>
    <n v="86"/>
    <s v="1.1"/>
    <n v="4558.4736842105267"/>
    <x v="2"/>
  </r>
  <r>
    <n v="13589"/>
    <s v="Spongey"/>
    <s v="Gabe Greiner"/>
    <x v="9"/>
    <x v="0"/>
    <s v="Bad News Bears"/>
    <s v="Bad News Bears, Triumph, The Quest"/>
    <n v="14027"/>
    <n v="13016"/>
    <s v="50.90%"/>
    <s v="71.4"/>
    <s v="4.4"/>
    <n v="814"/>
    <n v="21161"/>
    <s v="0.66"/>
    <s v="0.12"/>
    <s v="0.62"/>
    <s v="0.1"/>
    <s v="0.11"/>
    <n v="9657"/>
    <s v="K - D diff."/>
    <n v="1438"/>
    <n v="1341"/>
    <s v="1.07"/>
    <s v="0.9"/>
    <s v="74.30%"/>
    <s v="9.60%"/>
    <n v="11504"/>
    <n v="6278"/>
    <n v="2529"/>
    <n v="718"/>
    <n v="123"/>
    <n v="9"/>
    <n v="10142"/>
    <n v="400"/>
    <n v="700"/>
    <n v="2552"/>
    <n v="216"/>
    <n v="70"/>
    <s v="1.06"/>
    <n v="5089.2105263157891"/>
    <x v="0"/>
  </r>
  <r>
    <n v="2007"/>
    <s v="ap0c"/>
    <s v="Mike Aliferis"/>
    <x v="16"/>
    <x v="16"/>
    <s v="Encore"/>
    <s v="AVANT, Tainted Minds, Looking For Org, Chiefs"/>
    <n v="16627"/>
    <n v="16413"/>
    <s v="50.90%"/>
    <s v="77.1"/>
    <s v="4.9"/>
    <n v="931"/>
    <n v="23802"/>
    <s v="0.7"/>
    <s v="0.15"/>
    <s v="0.69"/>
    <s v="0.1"/>
    <s v="0.09"/>
    <n v="11195"/>
    <s v="K - D diff."/>
    <n v="2524"/>
    <n v="2631"/>
    <s v="0.96"/>
    <s v="1.01"/>
    <s v="73.00%"/>
    <s v="14.60%"/>
    <n v="12607"/>
    <n v="7101"/>
    <n v="2981"/>
    <n v="908"/>
    <n v="185"/>
    <n v="20"/>
    <n v="11712"/>
    <n v="578"/>
    <n v="1109"/>
    <n v="2834"/>
    <n v="306"/>
    <n v="60"/>
    <s v="1.01"/>
    <n v="6027.5789473684208"/>
    <x v="0"/>
  </r>
  <r>
    <n v="7438"/>
    <s v="anger"/>
    <s v="Todd Williams"/>
    <x v="16"/>
    <x v="0"/>
    <m/>
    <s v="Mythic, Winterfox, Denial, Luminosity"/>
    <n v="12065"/>
    <n v="12294"/>
    <s v="50.90%"/>
    <s v="74.2"/>
    <s v="3.5"/>
    <n v="682"/>
    <n v="17700"/>
    <s v="0.68"/>
    <s v="0.14"/>
    <s v="0.69"/>
    <s v="0.1"/>
    <s v="0.1"/>
    <n v="8175"/>
    <s v="K - D diff."/>
    <n v="1551"/>
    <n v="1655"/>
    <s v="0.94"/>
    <s v="0.95"/>
    <s v="72.10%"/>
    <s v="12.90%"/>
    <n v="9525"/>
    <n v="5219"/>
    <n v="2188"/>
    <n v="639"/>
    <n v="112"/>
    <n v="17"/>
    <n v="9051"/>
    <n v="37"/>
    <n v="448"/>
    <n v="2397"/>
    <n v="120"/>
    <n v="22"/>
    <s v="0.98"/>
    <n v="4415.6315789473683"/>
    <x v="2"/>
  </r>
  <r>
    <n v="8601"/>
    <s v="zhokiNg"/>
    <s v="WeiJie Zhong"/>
    <x v="8"/>
    <x v="35"/>
    <s v="YK"/>
    <s v="ViCi, VG.CyberZen"/>
    <n v="23611"/>
    <n v="22147"/>
    <s v="51.00%"/>
    <s v="83.8"/>
    <s v="3.8"/>
    <n v="1228"/>
    <n v="31394"/>
    <s v="0.75"/>
    <s v="0.17"/>
    <s v="0.71"/>
    <s v="0.12"/>
    <s v="0.1"/>
    <n v="15584"/>
    <s v="K - D diff."/>
    <n v="4498"/>
    <n v="4323"/>
    <s v="1.04"/>
    <s v="1.15"/>
    <s v="74.80%"/>
    <s v="19.50%"/>
    <n v="15810"/>
    <n v="9602"/>
    <n v="4279"/>
    <n v="1389"/>
    <n v="287"/>
    <n v="27"/>
    <n v="18306"/>
    <n v="74"/>
    <n v="1123"/>
    <n v="3852"/>
    <n v="273"/>
    <n v="32"/>
    <s v="1.06"/>
    <n v="8307.3157894736851"/>
    <x v="1"/>
  </r>
  <r>
    <n v="9618"/>
    <s v="nexa"/>
    <s v="Nemanja IsakoviÄ‡"/>
    <x v="3"/>
    <x v="19"/>
    <s v="OG"/>
    <s v="G2, Valiance, Imperial"/>
    <n v="23191"/>
    <n v="21037"/>
    <s v="51.00%"/>
    <s v="76.5"/>
    <s v="4.4"/>
    <n v="1253"/>
    <n v="33161"/>
    <s v="0.7"/>
    <s v="0.13"/>
    <s v="0.63"/>
    <s v="0.1"/>
    <s v="0.11"/>
    <n v="15639"/>
    <s v="K - D diff."/>
    <n v="2523"/>
    <n v="2509"/>
    <s v="1.01"/>
    <s v="0.92"/>
    <s v="73.20%"/>
    <s v="10.50%"/>
    <n v="17522"/>
    <n v="9932"/>
    <n v="4176"/>
    <n v="1242"/>
    <n v="264"/>
    <n v="25"/>
    <n v="16842"/>
    <n v="364"/>
    <n v="1715"/>
    <n v="3931"/>
    <n v="326"/>
    <n v="78"/>
    <s v="1.05"/>
    <n v="8196.3157894736851"/>
    <x v="1"/>
  </r>
  <r>
    <n v="16647"/>
    <s v="Bwills"/>
    <s v="Brendan Williams"/>
    <x v="10"/>
    <x v="0"/>
    <s v="Gaimin Gladiators"/>
    <s v="Triumph, Infamous"/>
    <n v="14742"/>
    <n v="13762"/>
    <s v="51.00%"/>
    <s v="78.4"/>
    <s v="6.4"/>
    <n v="802"/>
    <n v="20805"/>
    <s v="0.71"/>
    <s v="0.15"/>
    <s v="0.66"/>
    <s v="0.12"/>
    <s v="0.14"/>
    <n v="9905"/>
    <s v="K - D diff."/>
    <n v="1760"/>
    <n v="1732"/>
    <s v="1.02"/>
    <s v="0.95"/>
    <s v="73.10%"/>
    <s v="12.20%"/>
    <n v="10900"/>
    <n v="6267"/>
    <n v="2651"/>
    <n v="799"/>
    <n v="164"/>
    <n v="24"/>
    <n v="10900"/>
    <n v="197"/>
    <n v="911"/>
    <n v="2523"/>
    <n v="239"/>
    <n v="34"/>
    <s v="1.1"/>
    <n v="5216.6842105263158"/>
    <x v="0"/>
  </r>
  <r>
    <n v="8368"/>
    <s v="jmqa"/>
    <s v="Savelii Bragin"/>
    <x v="3"/>
    <x v="1"/>
    <m/>
    <s v="Quantum Bellator Fire, PiTER, EPG"/>
    <n v="16152"/>
    <n v="16425"/>
    <s v="51.00%"/>
    <s v="73.8"/>
    <s v="4.4"/>
    <n v="922"/>
    <n v="24189"/>
    <s v="0.67"/>
    <s v="0.13"/>
    <s v="0.68"/>
    <s v="0.09"/>
    <s v="0.08"/>
    <n v="11138"/>
    <s v="K - D diff."/>
    <n v="2181"/>
    <n v="2314"/>
    <s v="0.94"/>
    <s v="0.96"/>
    <s v="71.70%"/>
    <s v="13.20%"/>
    <n v="13051"/>
    <n v="7276"/>
    <n v="2902"/>
    <n v="789"/>
    <n v="154"/>
    <n v="17"/>
    <n v="10481"/>
    <n v="1414"/>
    <n v="967"/>
    <n v="2985"/>
    <n v="258"/>
    <n v="79"/>
    <s v="0.97"/>
    <n v="5983.894736842105"/>
    <x v="0"/>
  </r>
  <r>
    <n v="11739"/>
    <s v="shz"/>
    <s v="Bruno Martinelli"/>
    <x v="2"/>
    <x v="6"/>
    <s v="Los Grandes"/>
    <s v="Luminosity, Imperial, MIBR, INTZ, BOOM"/>
    <n v="14978"/>
    <n v="13532"/>
    <s v="51.10%"/>
    <s v="77.1"/>
    <s v="3.2"/>
    <n v="805"/>
    <n v="20891"/>
    <s v="0.72"/>
    <s v="0.13"/>
    <s v="0.65"/>
    <s v="0.1"/>
    <s v="0.11"/>
    <n v="10049"/>
    <s v="K - D diff."/>
    <n v="1774"/>
    <n v="1563"/>
    <s v="1.13"/>
    <s v="0.97"/>
    <s v="75.10%"/>
    <s v="12.10%"/>
    <n v="10842"/>
    <n v="6352"/>
    <n v="2682"/>
    <n v="815"/>
    <n v="183"/>
    <n v="17"/>
    <n v="11209"/>
    <n v="101"/>
    <n v="909"/>
    <n v="2598"/>
    <n v="166"/>
    <n v="32"/>
    <s v="1.1"/>
    <n v="5236.7368421052633"/>
    <x v="0"/>
  </r>
  <r>
    <n v="483"/>
    <s v="Edward"/>
    <s v="Ioann Sukhariev"/>
    <x v="16"/>
    <x v="29"/>
    <s v="Cossacks"/>
    <s v="Natus Vincere"/>
    <n v="26743"/>
    <n v="26057"/>
    <s v="51.10%"/>
    <n v="72"/>
    <s v="2.9"/>
    <n v="1477"/>
    <n v="38889"/>
    <s v="0.69"/>
    <s v="0.13"/>
    <s v="0.67"/>
    <s v="0.09"/>
    <s v="0.09"/>
    <n v="18270"/>
    <s v="K - D diff."/>
    <n v="3760"/>
    <n v="3927"/>
    <s v="0.96"/>
    <s v="0.98"/>
    <s v="74.80%"/>
    <s v="13.80%"/>
    <n v="20619"/>
    <n v="11724"/>
    <n v="4956"/>
    <n v="1334"/>
    <n v="238"/>
    <n v="18"/>
    <n v="19786"/>
    <n v="627"/>
    <n v="1557"/>
    <n v="4391"/>
    <n v="231"/>
    <n v="178"/>
    <n v="1"/>
    <n v="8802.6190476190477"/>
    <x v="1"/>
  </r>
  <r>
    <n v="16921"/>
    <s v="nafany"/>
    <s v="Vladislav Gorshkov"/>
    <x v="10"/>
    <x v="1"/>
    <s v="Cloud9"/>
    <s v="Gambit Youngsters, Gambit"/>
    <n v="15599"/>
    <n v="16297"/>
    <s v="51.10%"/>
    <s v="74.4"/>
    <s v="4.9"/>
    <n v="885"/>
    <n v="23491"/>
    <s v="0.66"/>
    <s v="0.14"/>
    <s v="0.69"/>
    <s v="0.1"/>
    <s v="0.08"/>
    <n v="10636"/>
    <s v="K - D diff."/>
    <n v="2853"/>
    <n v="3450"/>
    <s v="0.83"/>
    <s v="1.03"/>
    <s v="76.00%"/>
    <s v="16.90%"/>
    <n v="12855"/>
    <n v="6888"/>
    <n v="2745"/>
    <n v="805"/>
    <n v="184"/>
    <n v="14"/>
    <n v="11360"/>
    <n v="478"/>
    <n v="1410"/>
    <n v="2138"/>
    <n v="213"/>
    <n v="46"/>
    <s v="1.04"/>
    <n v="5913"/>
    <x v="0"/>
  </r>
  <r>
    <n v="18141"/>
    <s v="biguzera"/>
    <s v="Rodrigo Bittencourt"/>
    <x v="3"/>
    <x v="6"/>
    <s v="paiN"/>
    <s v="paiN"/>
    <n v="12001"/>
    <n v="10404"/>
    <s v="51.20%"/>
    <s v="80.6"/>
    <s v="5.4"/>
    <n v="622"/>
    <n v="16530"/>
    <s v="0.73"/>
    <s v="0.15"/>
    <s v="0.63"/>
    <s v="0.1"/>
    <s v="0.11"/>
    <n v="8019"/>
    <s v="K - D diff."/>
    <n v="1689"/>
    <n v="1506"/>
    <s v="1.12"/>
    <s v="1.03"/>
    <s v="73.20%"/>
    <s v="13.80%"/>
    <n v="8511"/>
    <n v="5038"/>
    <n v="2151"/>
    <n v="676"/>
    <n v="137"/>
    <n v="17"/>
    <n v="9136"/>
    <n v="338"/>
    <n v="550"/>
    <n v="1796"/>
    <n v="176"/>
    <n v="52"/>
    <s v="1.16"/>
    <n v="4176.2631578947367"/>
    <x v="2"/>
  </r>
  <r>
    <n v="9353"/>
    <s v="paz"/>
    <s v="Ahmet Karahoca"/>
    <x v="3"/>
    <x v="20"/>
    <s v="Eternal Fire"/>
    <s v="Space Soldiers, Sangal"/>
    <n v="20217"/>
    <n v="18219"/>
    <s v="51.20%"/>
    <s v="76.2"/>
    <s v="2.4"/>
    <n v="1068"/>
    <n v="27990"/>
    <s v="0.72"/>
    <s v="0.12"/>
    <s v="0.65"/>
    <s v="0.1"/>
    <s v="0.1"/>
    <n v="13493"/>
    <s v="K - D diff."/>
    <n v="2552"/>
    <n v="2465"/>
    <s v="1.04"/>
    <s v="0.98"/>
    <s v="73.70%"/>
    <s v="12.70%"/>
    <n v="14497"/>
    <n v="8457"/>
    <n v="3634"/>
    <n v="1141"/>
    <n v="236"/>
    <n v="25"/>
    <n v="14906"/>
    <n v="752"/>
    <n v="919"/>
    <n v="3471"/>
    <n v="178"/>
    <n v="39"/>
    <s v="1.07"/>
    <n v="7066.2631578947367"/>
    <x v="1"/>
  </r>
  <r>
    <n v="14929"/>
    <s v="JDC"/>
    <s v="Jon de Castro"/>
    <x v="9"/>
    <x v="14"/>
    <s v="MOUZ"/>
    <s v="MOUZ, MOUZ NXT, expert, Unicorns of Love, PANTHERS"/>
    <n v="9406"/>
    <n v="9192"/>
    <s v="51.20%"/>
    <s v="75.9"/>
    <s v="3.2"/>
    <n v="521"/>
    <n v="13676"/>
    <s v="0.69"/>
    <s v="0.13"/>
    <s v="0.67"/>
    <s v="0.1"/>
    <s v="0.1"/>
    <n v="6327"/>
    <s v="K - D diff."/>
    <n v="1376"/>
    <n v="1486"/>
    <s v="0.93"/>
    <s v="0.99"/>
    <s v="68.40%"/>
    <s v="13.70%"/>
    <n v="7349"/>
    <n v="4013"/>
    <n v="1682"/>
    <n v="510"/>
    <n v="111"/>
    <n v="11"/>
    <n v="7061"/>
    <n v="335"/>
    <n v="207"/>
    <n v="1740"/>
    <n v="74"/>
    <n v="11"/>
    <s v="1.06"/>
    <n v="3425.6842105263158"/>
    <x v="2"/>
  </r>
  <r>
    <n v="10764"/>
    <s v="cbbk"/>
    <s v="Thotsaphon Suphatthanaphalaphon"/>
    <x v="8"/>
    <x v="12"/>
    <m/>
    <s v="Lucid Dream, Beyond"/>
    <n v="7029"/>
    <n v="6866"/>
    <s v="51.20%"/>
    <s v="75.6"/>
    <s v="4.3"/>
    <n v="404"/>
    <n v="10342"/>
    <s v="0.68"/>
    <s v="0.15"/>
    <s v="0.66"/>
    <s v="0.1"/>
    <s v="0.1"/>
    <n v="4827"/>
    <s v="K - D diff."/>
    <n v="915"/>
    <n v="1021"/>
    <s v="0.9"/>
    <s v="0.94"/>
    <s v="75.40%"/>
    <s v="12.50%"/>
    <n v="5515"/>
    <n v="3155"/>
    <n v="1208"/>
    <n v="406"/>
    <n v="50"/>
    <n v="8"/>
    <n v="4976"/>
    <n v="64"/>
    <n v="798"/>
    <n v="1115"/>
    <n v="81"/>
    <n v="11"/>
    <s v="1.06"/>
    <n v="2567.9473684210525"/>
    <x v="3"/>
  </r>
  <r>
    <n v="10663"/>
    <s v="RoLEX"/>
    <s v="Warittorn Kalanukarn"/>
    <x v="10"/>
    <x v="12"/>
    <m/>
    <s v="Signature, ZIGMA, Beyond, MiTH"/>
    <n v="8834"/>
    <n v="8801"/>
    <s v="51.20%"/>
    <s v="78.6"/>
    <s v="3.2"/>
    <n v="492"/>
    <n v="12610"/>
    <s v="0.7"/>
    <s v="0.14"/>
    <s v="0.7"/>
    <s v="0.09"/>
    <s v="0.09"/>
    <n v="5999"/>
    <s v="K - D diff."/>
    <n v="1246"/>
    <n v="1422"/>
    <s v="0.88"/>
    <s v="0.97"/>
    <s v="73.60%"/>
    <s v="14.30%"/>
    <n v="6611"/>
    <n v="3834"/>
    <n v="1613"/>
    <n v="447"/>
    <n v="92"/>
    <n v="13"/>
    <n v="6463"/>
    <n v="180"/>
    <n v="490"/>
    <n v="1571"/>
    <n v="87"/>
    <n v="58"/>
    <s v="1.06"/>
    <n v="3203.3157894736842"/>
    <x v="3"/>
  </r>
  <r>
    <n v="8871"/>
    <s v="Lukki"/>
    <s v="Lucas Pilheden"/>
    <x v="9"/>
    <x v="2"/>
    <m/>
    <s v="Tricked, AGF, Singularity"/>
    <n v="15622"/>
    <n v="15631"/>
    <s v="51.20%"/>
    <s v="72.4"/>
    <n v="3"/>
    <n v="893"/>
    <n v="23437"/>
    <s v="0.67"/>
    <s v="0.13"/>
    <s v="0.67"/>
    <s v="0.12"/>
    <s v="0.12"/>
    <n v="10697"/>
    <s v="K - D diff."/>
    <n v="2058"/>
    <n v="2119"/>
    <s v="0.97"/>
    <s v="0.96"/>
    <s v="73.00%"/>
    <s v="12.60%"/>
    <n v="12740"/>
    <n v="6969"/>
    <n v="2740"/>
    <n v="808"/>
    <n v="152"/>
    <n v="28"/>
    <n v="11597"/>
    <n v="84"/>
    <n v="903"/>
    <n v="2814"/>
    <n v="155"/>
    <n v="117"/>
    <s v="0.99"/>
    <n v="5478.35"/>
    <x v="0"/>
  </r>
  <r>
    <n v="13254"/>
    <s v="TenZ"/>
    <s v="Tyson Ngo"/>
    <x v="10"/>
    <x v="5"/>
    <m/>
    <s v="Bad News Bears, ATK"/>
    <n v="7931"/>
    <n v="7092"/>
    <s v="51.30%"/>
    <s v="82.4"/>
    <s v="3.2"/>
    <n v="401"/>
    <n v="10399"/>
    <s v="0.76"/>
    <s v="0.14"/>
    <s v="0.68"/>
    <s v="0.1"/>
    <s v="0.12"/>
    <n v="5128"/>
    <s v="K - D diff."/>
    <n v="1173"/>
    <n v="1121"/>
    <s v="1.05"/>
    <s v="1.05"/>
    <s v="71.30%"/>
    <s v="15.60%"/>
    <n v="5271"/>
    <n v="3097"/>
    <n v="1401"/>
    <n v="503"/>
    <n v="112"/>
    <n v="15"/>
    <n v="5215"/>
    <n v="814"/>
    <n v="237"/>
    <n v="1583"/>
    <n v="62"/>
    <n v="38"/>
    <s v="1.15"/>
    <n v="2715.4210526315787"/>
    <x v="3"/>
  </r>
  <r>
    <n v="20090"/>
    <s v="Zyphon"/>
    <s v="Rasmus Nordfoss"/>
    <x v="18"/>
    <x v="2"/>
    <s v="Copenhagen Flames"/>
    <s v="Copenhagen Flames"/>
    <n v="7590"/>
    <n v="7290"/>
    <s v="51.30%"/>
    <s v="75.5"/>
    <n v="3"/>
    <n v="415"/>
    <n v="10947"/>
    <s v="0.69"/>
    <s v="0.12"/>
    <s v="0.67"/>
    <s v="0.1"/>
    <s v="0.11"/>
    <n v="5192"/>
    <s v="K - D diff."/>
    <n v="1095"/>
    <n v="1074"/>
    <s v="1.02"/>
    <n v="1"/>
    <s v="72.10%"/>
    <s v="13.80%"/>
    <n v="5755"/>
    <n v="3361"/>
    <n v="1352"/>
    <n v="397"/>
    <n v="76"/>
    <n v="6"/>
    <n v="5944"/>
    <n v="110"/>
    <n v="202"/>
    <n v="1283"/>
    <n v="61"/>
    <n v="27"/>
    <s v="1.07"/>
    <n v="2484.8095238095239"/>
    <x v="3"/>
  </r>
  <r>
    <n v="4959"/>
    <s v="kioShiMa"/>
    <s v="Fabien Fiey"/>
    <x v="8"/>
    <x v="26"/>
    <m/>
    <s v="Envy, Heretics, FaZe"/>
    <n v="26259"/>
    <n v="24967"/>
    <s v="51.30%"/>
    <n v="74"/>
    <s v="5.2"/>
    <n v="1495"/>
    <n v="39250"/>
    <s v="0.67"/>
    <s v="0.15"/>
    <s v="0.64"/>
    <s v="0.08"/>
    <s v="0.09"/>
    <n v="18153"/>
    <s v="K - D diff."/>
    <n v="3389"/>
    <n v="3214"/>
    <s v="1.05"/>
    <s v="0.96"/>
    <s v="73.70%"/>
    <s v="12.20%"/>
    <n v="21097"/>
    <n v="11895"/>
    <n v="4755"/>
    <n v="1232"/>
    <n v="244"/>
    <n v="27"/>
    <n v="18894"/>
    <n v="728"/>
    <n v="956"/>
    <n v="4936"/>
    <n v="510"/>
    <n v="269"/>
    <s v="1.01"/>
    <n v="9117.2000000000007"/>
    <x v="1"/>
  </r>
  <r>
    <n v="339"/>
    <s v="ANGE1"/>
    <s v="Kirill Karasiow"/>
    <x v="0"/>
    <x v="29"/>
    <m/>
    <s v="HellRaisers"/>
    <n v="31392"/>
    <n v="32077"/>
    <s v="51.30%"/>
    <s v="80.1"/>
    <n v="5"/>
    <n v="1728"/>
    <n v="45027"/>
    <s v="0.7"/>
    <s v="0.17"/>
    <s v="0.71"/>
    <s v="0.1"/>
    <s v="0.07"/>
    <n v="20977"/>
    <s v="K - D diff."/>
    <n v="6016"/>
    <n v="6382"/>
    <s v="0.94"/>
    <s v="1.1"/>
    <s v="72.80%"/>
    <s v="19.00%"/>
    <n v="24050"/>
    <n v="13183"/>
    <n v="5668"/>
    <n v="1738"/>
    <n v="336"/>
    <n v="52"/>
    <n v="23022"/>
    <n v="702"/>
    <n v="1724"/>
    <n v="5467"/>
    <n v="437"/>
    <n v="62"/>
    <s v="0.99"/>
    <n v="11002.25"/>
    <x v="1"/>
  </r>
  <r>
    <n v="11996"/>
    <s v="Daffu"/>
    <s v="Jakob Schildt"/>
    <x v="2"/>
    <x v="2"/>
    <s v="ECSTATIC"/>
    <s v="ECSTATIC, Lyngby Vikings, Copenhagen Flames"/>
    <n v="12656"/>
    <n v="12553"/>
    <s v="51.30%"/>
    <s v="72.8"/>
    <s v="4.6"/>
    <n v="717"/>
    <n v="19219"/>
    <s v="0.66"/>
    <s v="0.13"/>
    <s v="0.65"/>
    <s v="0.12"/>
    <s v="0.13"/>
    <n v="8756"/>
    <s v="K - D diff."/>
    <n v="1559"/>
    <n v="1531"/>
    <s v="1.02"/>
    <s v="0.94"/>
    <s v="71.20%"/>
    <s v="11.40%"/>
    <n v="10463"/>
    <n v="5734"/>
    <n v="2255"/>
    <n v="665"/>
    <n v="93"/>
    <n v="9"/>
    <n v="9719"/>
    <n v="97"/>
    <n v="671"/>
    <n v="1989"/>
    <n v="179"/>
    <n v="46"/>
    <s v="1.04"/>
    <n v="4679.5263157894733"/>
    <x v="2"/>
  </r>
  <r>
    <n v="7378"/>
    <s v="Devilwalk"/>
    <s v="Jonatan Lundberg"/>
    <x v="14"/>
    <x v="15"/>
    <s v="Savage"/>
    <s v="fnatic, Epsilon"/>
    <n v="6122"/>
    <n v="7223"/>
    <s v="51.30%"/>
    <s v="69.8"/>
    <s v="3.9"/>
    <n v="400"/>
    <n v="10494"/>
    <s v="0.58"/>
    <s v="0.16"/>
    <s v="0.69"/>
    <s v="0.12"/>
    <s v="0.08"/>
    <n v="4394"/>
    <s v="K - D diff."/>
    <n v="847"/>
    <n v="1138"/>
    <s v="0.74"/>
    <s v="0.89"/>
    <s v="73.70%"/>
    <s v="11.70%"/>
    <n v="6100"/>
    <n v="3055"/>
    <n v="1017"/>
    <n v="283"/>
    <n v="35"/>
    <n v="4"/>
    <n v="4529"/>
    <n v="145"/>
    <n v="332"/>
    <n v="972"/>
    <n v="127"/>
    <n v="20"/>
    <s v="0.86"/>
    <n v="2486.1578947368421"/>
    <x v="3"/>
  </r>
  <r>
    <n v="7935"/>
    <s v="roca"/>
    <s v="Daniel Gustaferri"/>
    <x v="13"/>
    <x v="0"/>
    <m/>
    <s v="Splyce, Echo Fox, Complexity, ELEVATE"/>
    <n v="12336"/>
    <n v="12141"/>
    <s v="51.40%"/>
    <s v="76.4"/>
    <n v="3"/>
    <n v="660"/>
    <n v="17324"/>
    <s v="0.71"/>
    <s v="0.13"/>
    <s v="0.7"/>
    <s v="0.1"/>
    <s v="0.11"/>
    <n v="8244"/>
    <s v="K - D diff."/>
    <n v="1858"/>
    <n v="1796"/>
    <s v="1.03"/>
    <s v="1.03"/>
    <s v="69.90%"/>
    <s v="15.40%"/>
    <n v="9080"/>
    <n v="5181"/>
    <n v="2223"/>
    <n v="676"/>
    <n v="152"/>
    <n v="12"/>
    <n v="9185"/>
    <n v="343"/>
    <n v="374"/>
    <n v="2239"/>
    <n v="166"/>
    <n v="50"/>
    <s v="1.02"/>
    <n v="4202.1499999999996"/>
    <x v="2"/>
  </r>
  <r>
    <n v="9298"/>
    <s v="truth"/>
    <s v="Erik Hansen Dyrnes"/>
    <x v="3"/>
    <x v="28"/>
    <m/>
    <s v="Apeks, ATK, Vexed"/>
    <n v="8886"/>
    <n v="8837"/>
    <s v="51.40%"/>
    <s v="75.4"/>
    <s v="3.4"/>
    <n v="479"/>
    <n v="12857"/>
    <s v="0.69"/>
    <s v="0.12"/>
    <s v="0.69"/>
    <s v="0.09"/>
    <s v="0.1"/>
    <n v="6035"/>
    <s v="K - D diff."/>
    <n v="1130"/>
    <n v="1173"/>
    <s v="0.96"/>
    <s v="0.95"/>
    <s v="72.40%"/>
    <s v="12.90%"/>
    <n v="6822"/>
    <n v="3850"/>
    <n v="1621"/>
    <n v="468"/>
    <n v="90"/>
    <n v="6"/>
    <n v="6569"/>
    <n v="416"/>
    <n v="386"/>
    <n v="1421"/>
    <n v="86"/>
    <n v="20"/>
    <n v="1"/>
    <n v="3057.65"/>
    <x v="3"/>
  </r>
  <r>
    <n v="8539"/>
    <s v="leman"/>
    <s v="Eryk KocÄ™ba"/>
    <x v="3"/>
    <x v="3"/>
    <s v="AGO"/>
    <s v="AGO"/>
    <n v="9069"/>
    <n v="9194"/>
    <s v="51.40%"/>
    <s v="72.4"/>
    <n v="4"/>
    <n v="509"/>
    <n v="13762"/>
    <s v="0.66"/>
    <s v="0.13"/>
    <s v="0.67"/>
    <s v="0.1"/>
    <s v="0.12"/>
    <n v="6244"/>
    <s v="K - D diff."/>
    <n v="1195"/>
    <n v="1326"/>
    <s v="0.9"/>
    <s v="0.94"/>
    <s v="72.00%"/>
    <s v="12.60%"/>
    <n v="7518"/>
    <n v="4097"/>
    <n v="1591"/>
    <n v="446"/>
    <n v="98"/>
    <n v="12"/>
    <n v="7212"/>
    <n v="35"/>
    <n v="210"/>
    <n v="1502"/>
    <n v="128"/>
    <n v="18"/>
    <s v="0.97"/>
    <n v="3208.5"/>
    <x v="3"/>
  </r>
  <r>
    <n v="161"/>
    <s v="TaZ"/>
    <s v="Wiktor Wojtas"/>
    <x v="19"/>
    <x v="3"/>
    <s v="HONORIS"/>
    <s v="HONORIS, Virtus.pro, Kinguin"/>
    <n v="36946"/>
    <n v="38468"/>
    <s v="51.40%"/>
    <s v="67.7"/>
    <s v="2.3"/>
    <n v="2163"/>
    <n v="56767"/>
    <s v="0.65"/>
    <s v="0.13"/>
    <s v="0.68"/>
    <s v="0.11"/>
    <s v="0.09"/>
    <n v="25627"/>
    <s v="K - D diff."/>
    <n v="4761"/>
    <n v="5161"/>
    <s v="0.92"/>
    <s v="0.93"/>
    <s v="73.80%"/>
    <s v="12.00%"/>
    <n v="31140"/>
    <n v="16893"/>
    <n v="6598"/>
    <n v="1774"/>
    <n v="334"/>
    <n v="28"/>
    <n v="27950"/>
    <n v="335"/>
    <n v="1634"/>
    <n v="6537"/>
    <n v="283"/>
    <n v="256"/>
    <s v="0.95"/>
    <n v="13876.578947368422"/>
    <x v="1"/>
  </r>
  <r>
    <n v="16410"/>
    <s v="Duplicate"/>
    <s v="Viktor Mitev"/>
    <x v="10"/>
    <x v="9"/>
    <s v="NeedDOCTOR"/>
    <s v="SKADE, FATE"/>
    <n v="13680"/>
    <n v="14720"/>
    <s v="51.40%"/>
    <s v="72.4"/>
    <s v="6.5"/>
    <n v="811"/>
    <n v="21661"/>
    <s v="0.63"/>
    <s v="0.14"/>
    <s v="0.68"/>
    <s v="0.11"/>
    <s v="0.1"/>
    <n v="9459"/>
    <s v="K - D diff."/>
    <n v="1817"/>
    <n v="2291"/>
    <s v="0.79"/>
    <s v="0.91"/>
    <s v="71.90%"/>
    <s v="11.70%"/>
    <n v="12202"/>
    <n v="6229"/>
    <n v="2410"/>
    <n v="666"/>
    <n v="137"/>
    <n v="17"/>
    <n v="10438"/>
    <n v="53"/>
    <n v="716"/>
    <n v="2212"/>
    <n v="273"/>
    <n v="37"/>
    <n v="1"/>
    <n v="4991.5"/>
    <x v="0"/>
  </r>
  <r>
    <n v="7256"/>
    <s v="nex"/>
    <s v="Johannes Maget"/>
    <x v="5"/>
    <x v="14"/>
    <m/>
    <s v="BIG, MOUZ"/>
    <n v="21063"/>
    <n v="18628"/>
    <s v="51.50%"/>
    <s v="78.8"/>
    <s v="4.7"/>
    <n v="1074"/>
    <n v="28389"/>
    <s v="0.74"/>
    <s v="0.15"/>
    <s v="0.66"/>
    <s v="0.1"/>
    <s v="0.12"/>
    <n v="14009"/>
    <s v="K - D diff."/>
    <n v="2233"/>
    <n v="1803"/>
    <s v="1.24"/>
    <s v="0.95"/>
    <s v="72.20%"/>
    <s v="11.00%"/>
    <n v="14380"/>
    <n v="8738"/>
    <n v="3804"/>
    <n v="1204"/>
    <n v="242"/>
    <n v="21"/>
    <n v="15140"/>
    <n v="215"/>
    <n v="1206"/>
    <n v="4233"/>
    <n v="255"/>
    <n v="35"/>
    <s v="1.09"/>
    <n v="7193.2631578947367"/>
    <x v="1"/>
  </r>
  <r>
    <n v="8350"/>
    <s v="desi"/>
    <s v="Derek Branchen"/>
    <x v="1"/>
    <x v="0"/>
    <m/>
    <s v="Winterfox, Complexity, SKDC"/>
    <n v="7826"/>
    <n v="7727"/>
    <s v="51.50%"/>
    <s v="75.6"/>
    <s v="2.9"/>
    <n v="430"/>
    <n v="10986"/>
    <s v="0.71"/>
    <s v="0.13"/>
    <s v="0.7"/>
    <s v="0.09"/>
    <s v="0.1"/>
    <n v="5233"/>
    <s v="K - D diff."/>
    <n v="1082"/>
    <n v="1213"/>
    <s v="0.89"/>
    <s v="0.98"/>
    <s v="69.50%"/>
    <s v="14.50%"/>
    <n v="5753"/>
    <n v="3278"/>
    <n v="1421"/>
    <n v="444"/>
    <n v="82"/>
    <n v="8"/>
    <n v="5631"/>
    <n v="320"/>
    <n v="253"/>
    <n v="1542"/>
    <n v="72"/>
    <n v="20"/>
    <s v="1.01"/>
    <n v="2806.3684210526317"/>
    <x v="3"/>
  </r>
  <r>
    <n v="9261"/>
    <s v="Lekr0"/>
    <s v="Jonas Olofsson"/>
    <x v="1"/>
    <x v="15"/>
    <m/>
    <s v="NIP, Dignitas, fnatic, GODSENT"/>
    <n v="24036"/>
    <n v="23262"/>
    <s v="51.50%"/>
    <s v="76.5"/>
    <s v="3.9"/>
    <n v="1302"/>
    <n v="34804"/>
    <s v="0.69"/>
    <s v="0.14"/>
    <s v="0.67"/>
    <s v="0.09"/>
    <s v="0.09"/>
    <n v="16343"/>
    <s v="K - D diff."/>
    <n v="3430"/>
    <n v="3067"/>
    <s v="1.12"/>
    <s v="1.01"/>
    <s v="71.40%"/>
    <s v="13.70%"/>
    <n v="18461"/>
    <n v="10497"/>
    <n v="4294"/>
    <n v="1279"/>
    <n v="251"/>
    <n v="22"/>
    <n v="16608"/>
    <n v="1422"/>
    <n v="904"/>
    <n v="4797"/>
    <n v="273"/>
    <n v="100"/>
    <s v="1.01"/>
    <n v="8692.21052631579"/>
    <x v="1"/>
  </r>
  <r>
    <n v="8242"/>
    <s v="reatz"/>
    <s v="PaweÅ‚ JaÅ„czak"/>
    <x v="6"/>
    <x v="3"/>
    <m/>
    <s v="PRIDE, Illuminar, Kinguin"/>
    <n v="28133"/>
    <n v="27400"/>
    <s v="51.50%"/>
    <n v="74"/>
    <s v="2.8"/>
    <n v="1520"/>
    <n v="40860"/>
    <s v="0.69"/>
    <s v="0.12"/>
    <s v="0.67"/>
    <s v="0.1"/>
    <s v="0.11"/>
    <n v="19130"/>
    <s v="K - D diff."/>
    <n v="3423"/>
    <n v="3498"/>
    <s v="0.98"/>
    <s v="0.94"/>
    <s v="73.20%"/>
    <s v="12.10%"/>
    <n v="21730"/>
    <n v="12288"/>
    <n v="5021"/>
    <n v="1512"/>
    <n v="278"/>
    <n v="31"/>
    <n v="21543"/>
    <n v="142"/>
    <n v="1295"/>
    <n v="4887"/>
    <n v="261"/>
    <n v="82"/>
    <s v="1.01"/>
    <n v="9655.4"/>
    <x v="1"/>
  </r>
  <r>
    <n v="8082"/>
    <s v="AZR"/>
    <s v="Aaron Ward"/>
    <x v="1"/>
    <x v="16"/>
    <m/>
    <s v="Renegades, 100 Thieves, EXTREMUM"/>
    <n v="19524"/>
    <n v="19699"/>
    <s v="51.50%"/>
    <s v="74.4"/>
    <s v="3.9"/>
    <n v="1093"/>
    <n v="28528"/>
    <s v="0.68"/>
    <s v="0.14"/>
    <s v="0.69"/>
    <s v="0.11"/>
    <s v="0.11"/>
    <n v="13330"/>
    <s v="K - D diff."/>
    <n v="2571"/>
    <n v="2508"/>
    <s v="1.03"/>
    <s v="0.97"/>
    <s v="72.00%"/>
    <s v="12.50%"/>
    <n v="15198"/>
    <n v="8637"/>
    <n v="3423"/>
    <n v="1054"/>
    <n v="201"/>
    <n v="15"/>
    <n v="14216"/>
    <n v="230"/>
    <n v="1736"/>
    <n v="3132"/>
    <n v="196"/>
    <n v="43"/>
    <s v="0.99"/>
    <n v="7122.8421052631575"/>
    <x v="1"/>
  </r>
  <r>
    <n v="11816"/>
    <s v="ropz"/>
    <s v="Robin Kool"/>
    <x v="9"/>
    <x v="41"/>
    <s v="FaZe"/>
    <s v="MOUZ"/>
    <n v="22490"/>
    <n v="18697"/>
    <s v="51.60%"/>
    <s v="78.5"/>
    <s v="2.4"/>
    <n v="1149"/>
    <n v="30413"/>
    <s v="0.74"/>
    <s v="0.11"/>
    <s v="0.61"/>
    <s v="0.07"/>
    <s v="0.09"/>
    <n v="14993"/>
    <s v="K - D diff."/>
    <n v="2943"/>
    <n v="2410"/>
    <s v="1.22"/>
    <s v="1.02"/>
    <s v="73.10%"/>
    <s v="13.50%"/>
    <n v="15420"/>
    <n v="9347"/>
    <n v="4109"/>
    <n v="1251"/>
    <n v="258"/>
    <n v="28"/>
    <n v="16807"/>
    <n v="1080"/>
    <n v="738"/>
    <n v="3679"/>
    <n v="131"/>
    <n v="117"/>
    <s v="1.15"/>
    <n v="7687.3684210526317"/>
    <x v="1"/>
  </r>
  <r>
    <n v="16323"/>
    <s v="Valiance"/>
    <s v="Matthew Hartrick"/>
    <x v="10"/>
    <x v="16"/>
    <s v="VERTEX"/>
    <s v="ORDER, Paradox"/>
    <n v="11884"/>
    <n v="10793"/>
    <s v="51.60%"/>
    <s v="75.5"/>
    <s v="3.6"/>
    <n v="657"/>
    <n v="16993"/>
    <s v="0.7"/>
    <s v="0.13"/>
    <s v="0.64"/>
    <s v="0.1"/>
    <s v="0.11"/>
    <n v="7934"/>
    <s v="K - D diff."/>
    <n v="1423"/>
    <n v="1266"/>
    <s v="1.12"/>
    <s v="0.96"/>
    <s v="75.30%"/>
    <s v="11.60%"/>
    <n v="9059"/>
    <n v="4981"/>
    <n v="2126"/>
    <n v="672"/>
    <n v="140"/>
    <n v="15"/>
    <n v="8605"/>
    <n v="606"/>
    <n v="486"/>
    <n v="2079"/>
    <n v="124"/>
    <n v="37"/>
    <s v="1.1"/>
    <n v="4204.2105263157891"/>
    <x v="2"/>
  </r>
  <r>
    <n v="8248"/>
    <s v="jkaem"/>
    <s v="Joakim Myrbostad"/>
    <x v="8"/>
    <x v="28"/>
    <s v="Apeks"/>
    <s v="Apeks, Renegades, FaZe, 100 Thieves"/>
    <n v="25423"/>
    <n v="24235"/>
    <s v="51.60%"/>
    <s v="80.2"/>
    <s v="3.7"/>
    <n v="1317"/>
    <n v="34768"/>
    <s v="0.73"/>
    <s v="0.14"/>
    <s v="0.7"/>
    <s v="0.11"/>
    <s v="0.11"/>
    <n v="16853"/>
    <s v="K - D diff."/>
    <n v="4024"/>
    <n v="3779"/>
    <s v="1.06"/>
    <s v="1.06"/>
    <s v="73.70%"/>
    <s v="16.80%"/>
    <n v="17915"/>
    <n v="10444"/>
    <n v="4631"/>
    <n v="1446"/>
    <n v="299"/>
    <n v="33"/>
    <n v="19134"/>
    <n v="187"/>
    <n v="1158"/>
    <n v="4483"/>
    <n v="292"/>
    <n v="237"/>
    <s v="1.04"/>
    <n v="8982"/>
    <x v="1"/>
  </r>
  <r>
    <n v="9271"/>
    <s v="sLowi"/>
    <s v="Olli PitkÃ¤nen"/>
    <x v="13"/>
    <x v="4"/>
    <s v="HAVU"/>
    <s v="HAVU"/>
    <n v="20929"/>
    <n v="20095"/>
    <s v="51.60%"/>
    <s v="76.4"/>
    <s v="4.7"/>
    <n v="1121"/>
    <n v="30114"/>
    <s v="0.69"/>
    <s v="0.14"/>
    <s v="0.67"/>
    <s v="0.09"/>
    <s v="0.09"/>
    <n v="14037"/>
    <s v="K - D diff."/>
    <n v="3469"/>
    <n v="3448"/>
    <s v="1.01"/>
    <s v="1.05"/>
    <s v="74.70%"/>
    <s v="16.40%"/>
    <n v="16077"/>
    <n v="8857"/>
    <n v="3742"/>
    <n v="1183"/>
    <n v="236"/>
    <n v="19"/>
    <n v="11504"/>
    <n v="4069"/>
    <n v="1551"/>
    <n v="3308"/>
    <n v="325"/>
    <n v="220"/>
    <s v="1.02"/>
    <n v="7594.9473684210525"/>
    <x v="1"/>
  </r>
  <r>
    <n v="5386"/>
    <s v="byali"/>
    <s v="PaweÅ‚ BieliÅ„ski"/>
    <x v="8"/>
    <x v="3"/>
    <s v="UNGENTIUM"/>
    <s v="Virtus.pro, AVEZ"/>
    <n v="34583"/>
    <n v="33286"/>
    <s v="51.60%"/>
    <s v="76.1"/>
    <s v="3.6"/>
    <n v="1887"/>
    <n v="49607"/>
    <s v="0.7"/>
    <s v="0.14"/>
    <s v="0.67"/>
    <s v="0.09"/>
    <s v="0.1"/>
    <n v="23725"/>
    <s v="K - D diff."/>
    <n v="4451"/>
    <n v="3989"/>
    <s v="1.12"/>
    <s v="0.98"/>
    <s v="74.30%"/>
    <s v="13.00%"/>
    <n v="25882"/>
    <n v="15411"/>
    <n v="6187"/>
    <n v="1777"/>
    <n v="324"/>
    <n v="26"/>
    <n v="26889"/>
    <n v="165"/>
    <n v="1236"/>
    <n v="5877"/>
    <n v="434"/>
    <n v="44"/>
    <s v="1.01"/>
    <n v="12409.473684210527"/>
    <x v="1"/>
  </r>
  <r>
    <n v="11329"/>
    <s v="leo_drk"/>
    <s v="Leonardo Oliveira"/>
    <x v="9"/>
    <x v="6"/>
    <s v="00NATION"/>
    <s v="Sharks, 00NATION"/>
    <n v="10622"/>
    <n v="10591"/>
    <s v="51.60%"/>
    <s v="76.5"/>
    <s v="4.4"/>
    <n v="597"/>
    <n v="15378"/>
    <s v="0.69"/>
    <s v="0.13"/>
    <s v="0.69"/>
    <s v="0.11"/>
    <s v="0.1"/>
    <n v="7158"/>
    <s v="K - D diff."/>
    <n v="1828"/>
    <n v="1969"/>
    <s v="0.93"/>
    <s v="1.05"/>
    <s v="72.80%"/>
    <s v="17.20%"/>
    <n v="8220"/>
    <n v="4575"/>
    <n v="1848"/>
    <n v="603"/>
    <n v="118"/>
    <n v="14"/>
    <n v="7972"/>
    <n v="166"/>
    <n v="554"/>
    <n v="1700"/>
    <n v="155"/>
    <n v="106"/>
    <s v="1.07"/>
    <n v="3903.8947368421054"/>
    <x v="2"/>
  </r>
  <r>
    <n v="9254"/>
    <s v="mopoz"/>
    <s v="Alejandro FernÃ¡ndez-Quejo Cano"/>
    <x v="3"/>
    <x v="11"/>
    <s v="Movistar Riders"/>
    <s v="Movistar Riders"/>
    <n v="20909"/>
    <n v="20945"/>
    <s v="51.60%"/>
    <s v="75.7"/>
    <s v="4.8"/>
    <n v="1158"/>
    <n v="30745"/>
    <s v="0.68"/>
    <s v="0.13"/>
    <s v="0.68"/>
    <s v="0.09"/>
    <s v="0.07"/>
    <n v="13971"/>
    <s v="K - D diff."/>
    <n v="3550"/>
    <n v="4060"/>
    <s v="0.87"/>
    <s v="1.02"/>
    <s v="71.50%"/>
    <s v="16.20%"/>
    <n v="16774"/>
    <n v="8796"/>
    <n v="3713"/>
    <n v="1190"/>
    <n v="243"/>
    <n v="29"/>
    <n v="14769"/>
    <n v="532"/>
    <n v="2188"/>
    <n v="3151"/>
    <n v="207"/>
    <n v="132"/>
    <n v="1"/>
    <n v="7353.15"/>
    <x v="1"/>
  </r>
  <r>
    <n v="8598"/>
    <s v="Marek"/>
    <s v="Tzu-Chi Huang"/>
    <x v="8"/>
    <x v="47"/>
    <s v="YK"/>
    <s v="EHOME, After"/>
    <n v="7439"/>
    <n v="7664"/>
    <s v="51.60%"/>
    <s v="72.6"/>
    <s v="3.7"/>
    <n v="434"/>
    <n v="11442"/>
    <s v="0.65"/>
    <s v="0.13"/>
    <s v="0.67"/>
    <s v="0.09"/>
    <s v="0.1"/>
    <n v="5131"/>
    <s v="K - D diff."/>
    <n v="996"/>
    <n v="983"/>
    <s v="1.01"/>
    <s v="0.96"/>
    <s v="72.00%"/>
    <s v="12.70%"/>
    <n v="6311"/>
    <n v="3377"/>
    <n v="1282"/>
    <n v="399"/>
    <n v="64"/>
    <n v="9"/>
    <n v="5318"/>
    <n v="373"/>
    <n v="444"/>
    <n v="1256"/>
    <n v="61"/>
    <n v="10"/>
    <s v="0.96"/>
    <n v="2789.1052631578946"/>
    <x v="3"/>
  </r>
  <r>
    <n v="10508"/>
    <s v="nbl"/>
    <s v="Nabil Aleua"/>
    <x v="3"/>
    <x v="32"/>
    <s v="Boca Juniors"/>
    <s v="Isurus"/>
    <n v="10346"/>
    <n v="10867"/>
    <s v="51.60%"/>
    <s v="72.2"/>
    <s v="3.6"/>
    <n v="605"/>
    <n v="15629"/>
    <s v="0.66"/>
    <s v="0.13"/>
    <s v="0.7"/>
    <s v="0.11"/>
    <s v="0.1"/>
    <n v="7083"/>
    <s v="K - D diff."/>
    <n v="1359"/>
    <n v="1483"/>
    <s v="0.92"/>
    <s v="0.94"/>
    <s v="75.30%"/>
    <s v="12.80%"/>
    <n v="8546"/>
    <n v="4587"/>
    <n v="1842"/>
    <n v="547"/>
    <n v="101"/>
    <n v="6"/>
    <n v="7435"/>
    <n v="143"/>
    <n v="848"/>
    <n v="1805"/>
    <n v="123"/>
    <n v="8"/>
    <s v="0.96"/>
    <n v="3861.2105263157896"/>
    <x v="2"/>
  </r>
  <r>
    <n v="7322"/>
    <s v="apEX"/>
    <s v="Dan Madesclaire"/>
    <x v="1"/>
    <x v="26"/>
    <s v="Vitality"/>
    <s v="Vitality, Envy, G2, Titan"/>
    <n v="37364"/>
    <n v="36746"/>
    <s v="51.70%"/>
    <s v="78.9"/>
    <s v="5.1"/>
    <n v="2002"/>
    <n v="52515"/>
    <s v="0.71"/>
    <s v="0.16"/>
    <s v="0.7"/>
    <s v="0.1"/>
    <s v="0.09"/>
    <n v="24945"/>
    <s v="K - D diff."/>
    <n v="6157"/>
    <n v="6582"/>
    <s v="0.94"/>
    <s v="1.04"/>
    <s v="75.60%"/>
    <s v="16.60%"/>
    <n v="27570"/>
    <n v="15684"/>
    <n v="6668"/>
    <n v="2114"/>
    <n v="435"/>
    <n v="44"/>
    <n v="28265"/>
    <n v="537"/>
    <n v="1750"/>
    <n v="6200"/>
    <n v="551"/>
    <n v="109"/>
    <s v="1.02"/>
    <n v="13486.21052631579"/>
    <x v="1"/>
  </r>
  <r>
    <n v="17113"/>
    <s v="szejn"/>
    <s v="Hubert ÅšwiatÅ‚y"/>
    <x v="11"/>
    <x v="3"/>
    <s v="MOUZ NXT"/>
    <s v="MOUZ NXT, Izako Boars"/>
    <n v="10070"/>
    <n v="9815"/>
    <s v="51.70%"/>
    <s v="76.8"/>
    <s v="3.9"/>
    <n v="545"/>
    <n v="14588"/>
    <s v="0.69"/>
    <s v="0.13"/>
    <s v="0.67"/>
    <s v="0.09"/>
    <s v="0.09"/>
    <n v="6757"/>
    <s v="K - D diff."/>
    <n v="1380"/>
    <n v="1357"/>
    <s v="1.02"/>
    <s v="0.98"/>
    <s v="73.30%"/>
    <s v="13.40%"/>
    <n v="7831"/>
    <n v="4298"/>
    <n v="1753"/>
    <n v="569"/>
    <n v="126"/>
    <n v="11"/>
    <n v="7553"/>
    <n v="268"/>
    <n v="314"/>
    <n v="1832"/>
    <n v="98"/>
    <n v="45"/>
    <s v="1.06"/>
    <n v="3642.6315789473683"/>
    <x v="2"/>
  </r>
  <r>
    <n v="9660"/>
    <s v="CONNOR93"/>
    <s v="Connor Glover"/>
    <x v="8"/>
    <x v="5"/>
    <m/>
    <s v="Ghost, Bee's Money Crew, BlackOut, The Pioneers"/>
    <n v="7738"/>
    <n v="8195"/>
    <s v="51.70%"/>
    <s v="72.8"/>
    <s v="2.7"/>
    <n v="449"/>
    <n v="11544"/>
    <s v="0.67"/>
    <s v="0.12"/>
    <s v="0.71"/>
    <s v="0.11"/>
    <s v="0.1"/>
    <n v="5339"/>
    <s v="K - D diff."/>
    <n v="1165"/>
    <n v="1426"/>
    <s v="0.82"/>
    <s v="0.97"/>
    <s v="68.30%"/>
    <s v="13.80%"/>
    <n v="6205"/>
    <n v="3510"/>
    <n v="1347"/>
    <n v="401"/>
    <n v="74"/>
    <n v="7"/>
    <n v="4844"/>
    <n v="587"/>
    <n v="461"/>
    <n v="1776"/>
    <n v="71"/>
    <n v="16"/>
    <s v="0.95"/>
    <n v="2902.8947368421054"/>
    <x v="3"/>
  </r>
  <r>
    <n v="9017"/>
    <s v="MAiNLiNE"/>
    <s v="Michael Jaber"/>
    <x v="13"/>
    <x v="0"/>
    <m/>
    <s v="Enemy, Selfless, eUnited, Method"/>
    <n v="6904"/>
    <n v="7968"/>
    <s v="51.70%"/>
    <s v="69.1"/>
    <s v="2.4"/>
    <n v="437"/>
    <n v="11092"/>
    <s v="0.62"/>
    <s v="0.14"/>
    <s v="0.72"/>
    <s v="0.11"/>
    <s v="0.09"/>
    <n v="4777"/>
    <s v="K - D diff."/>
    <n v="1225"/>
    <n v="1442"/>
    <s v="0.85"/>
    <n v="1"/>
    <s v="69.70%"/>
    <s v="15.50%"/>
    <n v="6315"/>
    <n v="3149"/>
    <n v="1215"/>
    <n v="337"/>
    <n v="66"/>
    <n v="10"/>
    <n v="4741"/>
    <n v="301"/>
    <n v="327"/>
    <n v="1450"/>
    <n v="79"/>
    <n v="28"/>
    <s v="0.89"/>
    <n v="2593.1999999999998"/>
    <x v="3"/>
  </r>
  <r>
    <n v="6593"/>
    <s v="PKL"/>
    <s v="Vinicios Coelho"/>
    <x v="8"/>
    <x v="6"/>
    <s v="paiN"/>
    <s v="paiN, Luminosity, Wild"/>
    <n v="19872"/>
    <n v="20270"/>
    <s v="51.80%"/>
    <s v="74.3"/>
    <s v="4.1"/>
    <n v="1158"/>
    <n v="30259"/>
    <s v="0.66"/>
    <s v="0.14"/>
    <s v="0.67"/>
    <s v="0.1"/>
    <s v="0.09"/>
    <n v="13677"/>
    <s v="K - D diff."/>
    <n v="3001"/>
    <n v="3167"/>
    <s v="0.95"/>
    <s v="0.99"/>
    <s v="73.50%"/>
    <s v="13.80%"/>
    <n v="16582"/>
    <n v="8913"/>
    <n v="3546"/>
    <n v="1021"/>
    <n v="181"/>
    <n v="16"/>
    <n v="14758"/>
    <n v="827"/>
    <n v="1165"/>
    <n v="2898"/>
    <n v="228"/>
    <n v="42"/>
    <s v="0.97"/>
    <n v="7451.6315789473683"/>
    <x v="1"/>
  </r>
  <r>
    <n v="1866"/>
    <s v="Shara"/>
    <s v="Oleksandr Hordieyev"/>
    <x v="1"/>
    <x v="29"/>
    <s v="Cossacks"/>
    <s v="FlipSid3, spray'n'pray"/>
    <n v="6329"/>
    <n v="7071"/>
    <s v="51.80%"/>
    <s v="74.4"/>
    <s v="2.6"/>
    <n v="383"/>
    <n v="9929"/>
    <s v="0.64"/>
    <s v="0.14"/>
    <s v="0.71"/>
    <s v="0.08"/>
    <s v="0.07"/>
    <n v="4411"/>
    <s v="K - D diff."/>
    <n v="985"/>
    <n v="1144"/>
    <s v="0.86"/>
    <s v="0.97"/>
    <s v="69.00%"/>
    <s v="14.30%"/>
    <n v="5518"/>
    <n v="2932"/>
    <n v="1119"/>
    <n v="287"/>
    <n v="68"/>
    <n v="5"/>
    <n v="4675"/>
    <n v="19"/>
    <n v="425"/>
    <n v="1165"/>
    <n v="48"/>
    <n v="10"/>
    <s v="0.91"/>
    <n v="2448.5789473684213"/>
    <x v="3"/>
  </r>
  <r>
    <n v="7796"/>
    <s v="wayLander"/>
    <s v="Jan Rahkonen"/>
    <x v="8"/>
    <x v="1"/>
    <m/>
    <s v="FlipSid3, pro100, Winstrike"/>
    <n v="13258"/>
    <n v="14973"/>
    <s v="51.80%"/>
    <s v="70.8"/>
    <s v="3.2"/>
    <n v="794"/>
    <n v="20857"/>
    <s v="0.64"/>
    <s v="0.13"/>
    <s v="0.72"/>
    <s v="0.08"/>
    <s v="0.07"/>
    <n v="9114"/>
    <s v="K - D diff."/>
    <n v="2033"/>
    <n v="2632"/>
    <s v="0.77"/>
    <s v="0.94"/>
    <s v="68.50%"/>
    <s v="13.70%"/>
    <n v="11743"/>
    <n v="5968"/>
    <n v="2330"/>
    <n v="664"/>
    <n v="130"/>
    <n v="22"/>
    <n v="9695"/>
    <n v="193"/>
    <n v="757"/>
    <n v="2390"/>
    <n v="174"/>
    <n v="63"/>
    <s v="0.91"/>
    <n v="5146.8421052631575"/>
    <x v="0"/>
  </r>
  <r>
    <n v="29"/>
    <s v="f0rest"/>
    <s v="Patrik Lindberg"/>
    <x v="16"/>
    <x v="15"/>
    <m/>
    <s v="NIP, Dignitas"/>
    <n v="40979"/>
    <n v="35331"/>
    <s v="51.90%"/>
    <s v="76.3"/>
    <s v="3.7"/>
    <n v="2089"/>
    <n v="54327"/>
    <s v="0.75"/>
    <s v="0.12"/>
    <s v="0.65"/>
    <s v="0.09"/>
    <s v="0.1"/>
    <n v="27163"/>
    <s v="K - D diff."/>
    <n v="5897"/>
    <n v="4745"/>
    <s v="1.24"/>
    <s v="1.06"/>
    <s v="76.50%"/>
    <s v="15.60%"/>
    <n v="27164"/>
    <n v="16782"/>
    <n v="7563"/>
    <n v="2322"/>
    <n v="453"/>
    <n v="43"/>
    <n v="27542"/>
    <n v="4275"/>
    <n v="1344"/>
    <n v="7336"/>
    <n v="395"/>
    <n v="151"/>
    <s v="1.1"/>
    <n v="13994.78947368421"/>
    <x v="1"/>
  </r>
  <r>
    <n v="11654"/>
    <s v="almazer"/>
    <s v="Almaz Asadullin"/>
    <x v="4"/>
    <x v="1"/>
    <s v="Trident"/>
    <s v="forZe"/>
    <n v="23593"/>
    <n v="23026"/>
    <s v="51.90%"/>
    <s v="74.2"/>
    <s v="4.2"/>
    <n v="1310"/>
    <n v="35199"/>
    <s v="0.67"/>
    <s v="0.13"/>
    <s v="0.65"/>
    <s v="0.1"/>
    <s v="0.09"/>
    <n v="16140"/>
    <s v="K - D diff."/>
    <n v="3151"/>
    <n v="3334"/>
    <s v="0.95"/>
    <s v="0.96"/>
    <s v="71.70%"/>
    <s v="12.20%"/>
    <n v="19059"/>
    <n v="10457"/>
    <n v="4203"/>
    <n v="1214"/>
    <n v="242"/>
    <n v="24"/>
    <n v="16381"/>
    <n v="1575"/>
    <n v="1128"/>
    <n v="4185"/>
    <n v="315"/>
    <n v="87"/>
    <s v="1.06"/>
    <n v="8664.3684210526317"/>
    <x v="1"/>
  </r>
  <r>
    <n v="12244"/>
    <s v="Sergiz"/>
    <s v="Sergey Atamanchuk"/>
    <x v="10"/>
    <x v="29"/>
    <s v="Doge Soldiers"/>
    <s v="CR4ZY, Project X, Akuma, Windigo Academy"/>
    <n v="7947"/>
    <n v="7849"/>
    <s v="51.90%"/>
    <s v="72.6"/>
    <s v="5.1"/>
    <n v="465"/>
    <n v="12322"/>
    <s v="0.64"/>
    <s v="0.13"/>
    <s v="0.64"/>
    <s v="0.08"/>
    <s v="0.09"/>
    <n v="5571"/>
    <s v="K - D diff."/>
    <n v="1051"/>
    <n v="1091"/>
    <s v="0.96"/>
    <s v="0.95"/>
    <s v="71.10%"/>
    <s v="12.20%"/>
    <n v="6751"/>
    <n v="3739"/>
    <n v="1364"/>
    <n v="398"/>
    <n v="64"/>
    <n v="6"/>
    <n v="5962"/>
    <n v="191"/>
    <n v="382"/>
    <n v="1302"/>
    <n v="100"/>
    <n v="41"/>
    <s v="1.03"/>
    <n v="2978.7368421052633"/>
    <x v="3"/>
  </r>
  <r>
    <n v="205"/>
    <s v="glow"/>
    <s v="Min-Soo Kim"/>
    <x v="16"/>
    <x v="25"/>
    <m/>
    <s v="MVP PK"/>
    <n v="6438"/>
    <n v="6537"/>
    <s v="51.90%"/>
    <s v="69.5"/>
    <s v="3.2"/>
    <n v="395"/>
    <n v="10045"/>
    <s v="0.64"/>
    <s v="0.12"/>
    <s v="0.65"/>
    <s v="0.11"/>
    <s v="0.11"/>
    <n v="4540"/>
    <s v="K - D diff."/>
    <n v="769"/>
    <n v="751"/>
    <s v="1.02"/>
    <s v="0.92"/>
    <s v="75.60%"/>
    <s v="10.80%"/>
    <n v="5505"/>
    <n v="3058"/>
    <n v="1135"/>
    <n v="283"/>
    <n v="59"/>
    <n v="5"/>
    <n v="4384"/>
    <n v="148"/>
    <n v="663"/>
    <n v="1142"/>
    <n v="53"/>
    <n v="54"/>
    <s v="1.01"/>
    <n v="2419.1578947368421"/>
    <x v="3"/>
  </r>
  <r>
    <n v="16412"/>
    <s v="rafftu"/>
    <s v="Kostadin Turbinov"/>
    <x v="9"/>
    <x v="9"/>
    <s v="BeyondPossible"/>
    <s v="SKADE, Bpro, FATE"/>
    <n v="8650"/>
    <n v="9125"/>
    <s v="51.90%"/>
    <n v="71"/>
    <s v="3.3"/>
    <n v="497"/>
    <n v="13334"/>
    <s v="0.65"/>
    <s v="0.13"/>
    <s v="0.68"/>
    <s v="0.12"/>
    <s v="0.11"/>
    <n v="6029"/>
    <s v="K - D diff."/>
    <n v="1199"/>
    <n v="1245"/>
    <s v="0.96"/>
    <s v="0.96"/>
    <s v="71.00%"/>
    <s v="12.60%"/>
    <n v="7305"/>
    <n v="3999"/>
    <n v="1532"/>
    <n v="416"/>
    <n v="71"/>
    <n v="11"/>
    <n v="6504"/>
    <n v="50"/>
    <n v="648"/>
    <n v="1374"/>
    <n v="86"/>
    <n v="13"/>
    <n v="1"/>
    <n v="2960"/>
    <x v="3"/>
  </r>
  <r>
    <n v="12016"/>
    <s v="svyat"/>
    <s v="Svyatoslav Dovbakh"/>
    <x v="6"/>
    <x v="1"/>
    <m/>
    <s v="Hard Legion, DreamEaters, AVE"/>
    <n v="11975"/>
    <n v="13035"/>
    <s v="51.90%"/>
    <s v="69.7"/>
    <s v="4.7"/>
    <n v="734"/>
    <n v="19717"/>
    <s v="0.61"/>
    <s v="0.14"/>
    <s v="0.66"/>
    <s v="0.09"/>
    <s v="0.09"/>
    <n v="8475"/>
    <s v="K - D diff."/>
    <n v="1683"/>
    <n v="1747"/>
    <s v="0.96"/>
    <s v="0.95"/>
    <s v="71.90%"/>
    <s v="12.40%"/>
    <n v="11242"/>
    <n v="5758"/>
    <n v="2050"/>
    <n v="566"/>
    <n v="86"/>
    <n v="15"/>
    <n v="9024"/>
    <n v="142"/>
    <n v="720"/>
    <n v="1890"/>
    <n v="198"/>
    <n v="67"/>
    <s v="0.98"/>
    <n v="4690.7368421052633"/>
    <x v="2"/>
  </r>
  <r>
    <n v="8957"/>
    <s v="LOVEYY"/>
    <s v="KunHua Bai"/>
    <x v="7"/>
    <x v="35"/>
    <m/>
    <s v="Flash, VG.CyberZen, VG.Flash"/>
    <n v="12939"/>
    <n v="12240"/>
    <s v="52.00%"/>
    <n v="78"/>
    <s v="3.5"/>
    <n v="708"/>
    <n v="17977"/>
    <s v="0.72"/>
    <s v="0.15"/>
    <s v="0.68"/>
    <s v="0.11"/>
    <s v="0.11"/>
    <n v="8707"/>
    <s v="K - D diff."/>
    <n v="1950"/>
    <n v="1928"/>
    <s v="1.01"/>
    <s v="1.03"/>
    <s v="74.80%"/>
    <s v="14.90%"/>
    <n v="9270"/>
    <n v="5490"/>
    <n v="2368"/>
    <n v="691"/>
    <n v="150"/>
    <n v="8"/>
    <n v="8779"/>
    <n v="860"/>
    <n v="796"/>
    <n v="2280"/>
    <n v="119"/>
    <n v="129"/>
    <s v="1.04"/>
    <n v="4373.3500000000004"/>
    <x v="2"/>
  </r>
  <r>
    <n v="8345"/>
    <s v="spaze"/>
    <s v="Ivan Obrezhan"/>
    <x v="3"/>
    <x v="1"/>
    <s v="MayBe"/>
    <s v="PiTER, Gambit, EPG"/>
    <n v="10281"/>
    <n v="10192"/>
    <s v="52.00%"/>
    <s v="75.9"/>
    <s v="2.6"/>
    <n v="538"/>
    <n v="14117"/>
    <s v="0.73"/>
    <s v="0.14"/>
    <s v="0.72"/>
    <s v="0.1"/>
    <s v="0.11"/>
    <n v="6834"/>
    <s v="K - D diff."/>
    <n v="1391"/>
    <n v="1295"/>
    <s v="1.07"/>
    <s v="1.01"/>
    <s v="71.50%"/>
    <s v="14.30%"/>
    <n v="7283"/>
    <n v="4255"/>
    <n v="1850"/>
    <n v="609"/>
    <n v="103"/>
    <n v="17"/>
    <n v="7841"/>
    <n v="75"/>
    <n v="339"/>
    <n v="1914"/>
    <n v="78"/>
    <n v="49"/>
    <s v="1.02"/>
    <n v="3634.7894736842104"/>
    <x v="2"/>
  </r>
  <r>
    <n v="2260"/>
    <s v="RIZZZ"/>
    <s v="Rui Lima"/>
    <x v="1"/>
    <x v="31"/>
    <s v="Panthers"/>
    <s v="OFFSET, Giants"/>
    <n v="7027"/>
    <n v="7579"/>
    <s v="52.00%"/>
    <s v="70.9"/>
    <s v="3.8"/>
    <n v="422"/>
    <n v="11051"/>
    <s v="0.64"/>
    <s v="0.13"/>
    <s v="0.69"/>
    <s v="0.12"/>
    <s v="0.11"/>
    <n v="4797"/>
    <s v="K - D diff."/>
    <n v="933"/>
    <n v="990"/>
    <s v="0.94"/>
    <s v="0.94"/>
    <s v="70.00%"/>
    <s v="12.10%"/>
    <n v="6254"/>
    <n v="3122"/>
    <n v="1210"/>
    <n v="382"/>
    <n v="76"/>
    <n v="7"/>
    <n v="5134"/>
    <n v="33"/>
    <n v="432"/>
    <n v="1314"/>
    <n v="83"/>
    <n v="62"/>
    <n v="1"/>
    <n v="2545.4499999999998"/>
    <x v="3"/>
  </r>
  <r>
    <n v="8789"/>
    <s v="mir"/>
    <s v="Nikolay Bityukov"/>
    <x v="13"/>
    <x v="1"/>
    <s v="Entropiq"/>
    <s v="Spirit, Vega Squadron, Gambit"/>
    <n v="20159"/>
    <n v="17517"/>
    <s v="52.10%"/>
    <s v="81.4"/>
    <s v="4.9"/>
    <n v="1015"/>
    <n v="26603"/>
    <s v="0.76"/>
    <s v="0.13"/>
    <s v="0.66"/>
    <s v="0.1"/>
    <s v="0.12"/>
    <n v="13431"/>
    <s v="K - D diff."/>
    <n v="3080"/>
    <n v="2525"/>
    <s v="1.22"/>
    <s v="1.09"/>
    <s v="74.20%"/>
    <s v="16.50%"/>
    <n v="13172"/>
    <n v="8352"/>
    <n v="3690"/>
    <n v="1148"/>
    <n v="222"/>
    <n v="19"/>
    <n v="15573"/>
    <n v="433"/>
    <n v="876"/>
    <n v="3028"/>
    <n v="245"/>
    <n v="49"/>
    <s v="1.1"/>
    <n v="6901.9473684210525"/>
    <x v="0"/>
  </r>
  <r>
    <n v="15940"/>
    <s v="Sobol"/>
    <s v="Kamil Sobolewski"/>
    <x v="2"/>
    <x v="3"/>
    <s v="HONORIS"/>
    <s v="PACT, Wisla Krakow"/>
    <n v="15166"/>
    <n v="14052"/>
    <s v="52.10%"/>
    <s v="77.9"/>
    <s v="4.2"/>
    <n v="785"/>
    <n v="21220"/>
    <s v="0.71"/>
    <s v="0.13"/>
    <s v="0.66"/>
    <s v="0.08"/>
    <s v="0.08"/>
    <n v="10143"/>
    <s v="K - D diff."/>
    <n v="1899"/>
    <n v="1811"/>
    <s v="1.05"/>
    <s v="0.97"/>
    <s v="69.20%"/>
    <s v="12.40%"/>
    <n v="11077"/>
    <n v="6398"/>
    <n v="2691"/>
    <n v="854"/>
    <n v="176"/>
    <n v="24"/>
    <n v="11123"/>
    <n v="231"/>
    <n v="1151"/>
    <n v="2466"/>
    <n v="179"/>
    <n v="56"/>
    <s v="1.09"/>
    <n v="5342.2105263157891"/>
    <x v="0"/>
  </r>
  <r>
    <n v="14388"/>
    <s v="The eLiVe"/>
    <s v="Erik Sith"/>
    <x v="4"/>
    <x v="17"/>
    <s v="Enterprise"/>
    <s v="Enterprise, Universe"/>
    <n v="9244"/>
    <n v="9465"/>
    <s v="52.10%"/>
    <s v="71.7"/>
    <s v="4.8"/>
    <n v="529"/>
    <n v="14315"/>
    <s v="0.65"/>
    <s v="0.12"/>
    <s v="0.66"/>
    <s v="0.1"/>
    <s v="0.09"/>
    <n v="6371"/>
    <s v="K - D diff."/>
    <n v="1252"/>
    <n v="1303"/>
    <s v="0.96"/>
    <s v="0.95"/>
    <s v="72.80%"/>
    <s v="13.00%"/>
    <n v="7944"/>
    <n v="4163"/>
    <n v="1642"/>
    <n v="476"/>
    <n v="81"/>
    <n v="9"/>
    <n v="6426"/>
    <n v="477"/>
    <n v="707"/>
    <n v="1510"/>
    <n v="126"/>
    <n v="34"/>
    <s v="1.01"/>
    <n v="3477.5789473684213"/>
    <x v="2"/>
  </r>
  <r>
    <n v="10114"/>
    <s v="BONA"/>
    <s v="Verneri Junkala"/>
    <x v="9"/>
    <x v="4"/>
    <s v="SJ"/>
    <s v="SJ, VITALIS, hREDS"/>
    <n v="7931"/>
    <n v="8874"/>
    <s v="52.10%"/>
    <s v="69.9"/>
    <s v="4.5"/>
    <n v="476"/>
    <n v="12674"/>
    <s v="0.63"/>
    <s v="0.13"/>
    <s v="0.7"/>
    <s v="0.1"/>
    <s v="0.1"/>
    <n v="5543"/>
    <s v="K - D diff."/>
    <n v="1132"/>
    <n v="1279"/>
    <s v="0.89"/>
    <s v="0.95"/>
    <s v="71.90%"/>
    <s v="13.20%"/>
    <n v="7131"/>
    <n v="3696"/>
    <n v="1403"/>
    <n v="352"/>
    <n v="87"/>
    <n v="5"/>
    <n v="4971"/>
    <n v="749"/>
    <n v="494"/>
    <n v="1588"/>
    <n v="124"/>
    <n v="22"/>
    <s v="0.91"/>
    <n v="3080.5789473684213"/>
    <x v="3"/>
  </r>
  <r>
    <n v="1883"/>
    <s v="glace"/>
    <s v="Nicolai Jensen"/>
    <x v="8"/>
    <x v="2"/>
    <m/>
    <s v="North Academy, Tricked, Rogue, No Problem!"/>
    <n v="10395"/>
    <n v="10029"/>
    <s v="52.20%"/>
    <s v="74.4"/>
    <s v="4.1"/>
    <n v="589"/>
    <n v="15307"/>
    <s v="0.68"/>
    <s v="0.14"/>
    <s v="0.66"/>
    <s v="0.09"/>
    <s v="0.1"/>
    <n v="7188"/>
    <s v="K - D diff."/>
    <n v="1352"/>
    <n v="1374"/>
    <s v="0.98"/>
    <s v="0.96"/>
    <s v="75.00%"/>
    <s v="12.60%"/>
    <n v="8119"/>
    <n v="4701"/>
    <n v="1868"/>
    <n v="522"/>
    <n v="93"/>
    <n v="4"/>
    <n v="8082"/>
    <n v="62"/>
    <n v="369"/>
    <n v="1733"/>
    <n v="133"/>
    <n v="38"/>
    <n v="1"/>
    <n v="3597.95"/>
    <x v="2"/>
  </r>
  <r>
    <n v="16563"/>
    <s v="Psycho"/>
    <s v="Alexandr Zlobin"/>
    <x v="3"/>
    <x v="29"/>
    <s v="Run or Die"/>
    <s v="Run or Die, Project X, CR4ZY, Akuma, Windigo Academy"/>
    <n v="8241"/>
    <n v="9303"/>
    <s v="52.20%"/>
    <s v="70.3"/>
    <s v="6.5"/>
    <n v="509"/>
    <n v="13561"/>
    <s v="0.61"/>
    <s v="0.14"/>
    <s v="0.69"/>
    <s v="0.1"/>
    <s v="0.09"/>
    <n v="5828"/>
    <s v="K - D diff."/>
    <n v="1091"/>
    <n v="1364"/>
    <s v="0.8"/>
    <s v="0.9"/>
    <s v="73.20%"/>
    <s v="11.80%"/>
    <n v="7733"/>
    <n v="3946"/>
    <n v="1433"/>
    <n v="371"/>
    <n v="74"/>
    <n v="4"/>
    <n v="6217"/>
    <n v="48"/>
    <n v="469"/>
    <n v="1316"/>
    <n v="190"/>
    <n v="30"/>
    <s v="0.96"/>
    <n v="3248.8421052631579"/>
    <x v="3"/>
  </r>
  <r>
    <n v="2476"/>
    <s v="emi"/>
    <s v="Luka VukoviÄ‡"/>
    <x v="8"/>
    <x v="19"/>
    <m/>
    <s v="Valiance, Binary Dragons, iNation"/>
    <n v="17861"/>
    <n v="19098"/>
    <s v="52.30%"/>
    <s v="72.3"/>
    <s v="5.6"/>
    <n v="1073"/>
    <n v="27920"/>
    <s v="0.64"/>
    <s v="0.15"/>
    <s v="0.68"/>
    <s v="0.12"/>
    <s v="0.1"/>
    <n v="12451"/>
    <s v="K - D diff."/>
    <n v="2562"/>
    <n v="2936"/>
    <s v="0.87"/>
    <s v="0.95"/>
    <s v="74.40%"/>
    <s v="13.00%"/>
    <n v="15469"/>
    <n v="8302"/>
    <n v="3081"/>
    <n v="904"/>
    <n v="150"/>
    <n v="14"/>
    <n v="13022"/>
    <n v="149"/>
    <n v="1395"/>
    <n v="3022"/>
    <n v="285"/>
    <n v="18"/>
    <s v="0.93"/>
    <n v="6826.9473684210525"/>
    <x v="0"/>
  </r>
  <r>
    <n v="9172"/>
    <s v="XigN"/>
    <s v="Hyun-Pyo Lee"/>
    <x v="3"/>
    <x v="25"/>
    <s v="NKT"/>
    <s v="NKT, MVP PK, MVP Project"/>
    <n v="14756"/>
    <n v="12329"/>
    <s v="52.40%"/>
    <s v="82.6"/>
    <s v="2.8"/>
    <n v="727"/>
    <n v="18859"/>
    <s v="0.78"/>
    <s v="0.12"/>
    <s v="0.65"/>
    <s v="0.09"/>
    <s v="0.1"/>
    <n v="9608"/>
    <s v="K - D diff."/>
    <n v="2189"/>
    <n v="1915"/>
    <s v="1.14"/>
    <s v="1.08"/>
    <s v="72.40%"/>
    <s v="15.70%"/>
    <n v="9251"/>
    <n v="5822"/>
    <n v="2662"/>
    <n v="912"/>
    <n v="186"/>
    <n v="26"/>
    <n v="10598"/>
    <n v="371"/>
    <n v="1087"/>
    <n v="2569"/>
    <n v="113"/>
    <n v="47"/>
    <s v="1.14"/>
    <n v="4948.7894736842109"/>
    <x v="0"/>
  </r>
  <r>
    <n v="9136"/>
    <s v="Brehze"/>
    <s v="Vincent Cayonte"/>
    <x v="2"/>
    <x v="0"/>
    <s v="Evil Geniuses"/>
    <s v="Evil Geniuses, NRG"/>
    <n v="23029"/>
    <n v="20248"/>
    <s v="52.40%"/>
    <s v="80.5"/>
    <s v="2.5"/>
    <n v="1164"/>
    <n v="30296"/>
    <s v="0.76"/>
    <s v="0.12"/>
    <s v="0.67"/>
    <s v="0.1"/>
    <s v="0.12"/>
    <n v="15137"/>
    <s v="K - D diff."/>
    <n v="3096"/>
    <n v="2783"/>
    <s v="1.11"/>
    <s v="1.02"/>
    <s v="73.40%"/>
    <s v="14.40%"/>
    <n v="15159"/>
    <n v="9359"/>
    <n v="4034"/>
    <n v="1406"/>
    <n v="306"/>
    <n v="32"/>
    <n v="17813"/>
    <n v="348"/>
    <n v="647"/>
    <n v="4110"/>
    <n v="131"/>
    <n v="40"/>
    <s v="1.1"/>
    <n v="7849.3684210526317"/>
    <x v="1"/>
  </r>
  <r>
    <n v="14148"/>
    <s v="sjuush"/>
    <s v="Rasmus Beck"/>
    <x v="4"/>
    <x v="2"/>
    <s v="Heroic"/>
    <s v="Heroic, Tricked, MAD Lions"/>
    <n v="14978"/>
    <n v="13998"/>
    <s v="52.40%"/>
    <s v="75.8"/>
    <s v="3.9"/>
    <n v="825"/>
    <n v="21810"/>
    <s v="0.69"/>
    <s v="0.13"/>
    <s v="0.64"/>
    <s v="0.1"/>
    <s v="0.11"/>
    <n v="10109"/>
    <s v="K - D diff."/>
    <n v="2046"/>
    <n v="1897"/>
    <s v="1.08"/>
    <s v="0.99"/>
    <s v="72.70%"/>
    <s v="12.80%"/>
    <n v="11701"/>
    <n v="6437"/>
    <n v="2663"/>
    <n v="836"/>
    <n v="158"/>
    <n v="15"/>
    <n v="11236"/>
    <n v="326"/>
    <n v="865"/>
    <n v="2357"/>
    <n v="174"/>
    <n v="65"/>
    <s v="1.09"/>
    <n v="5394.5263157894733"/>
    <x v="0"/>
  </r>
  <r>
    <n v="11576"/>
    <s v="shuadapai"/>
    <s v="Wei Wang"/>
    <x v="14"/>
    <x v="35"/>
    <s v="R-Stars"/>
    <s v="5POWER, Eclipse"/>
    <n v="9880"/>
    <n v="9388"/>
    <s v="52.40%"/>
    <n v="76"/>
    <s v="3.5"/>
    <n v="549"/>
    <n v="14214"/>
    <s v="0.7"/>
    <s v="0.14"/>
    <s v="0.66"/>
    <s v="0.11"/>
    <s v="0.11"/>
    <n v="6683"/>
    <s v="K - D diff."/>
    <n v="1193"/>
    <n v="1134"/>
    <s v="1.05"/>
    <s v="0.95"/>
    <s v="73.20%"/>
    <s v="11.70%"/>
    <n v="7531"/>
    <n v="4269"/>
    <n v="1767"/>
    <n v="523"/>
    <n v="112"/>
    <n v="12"/>
    <n v="7524"/>
    <n v="108"/>
    <n v="442"/>
    <n v="1736"/>
    <n v="90"/>
    <n v="6"/>
    <s v="1.08"/>
    <n v="3361.85"/>
    <x v="2"/>
  </r>
  <r>
    <n v="545"/>
    <s v="MODDII"/>
    <s v="Andreas Fridh"/>
    <x v="7"/>
    <x v="15"/>
    <s v="Astralis Talent"/>
    <s v="Heroic, SK"/>
    <n v="20585"/>
    <n v="20184"/>
    <s v="52.40%"/>
    <s v="74.6"/>
    <s v="3.6"/>
    <n v="1170"/>
    <n v="30550"/>
    <s v="0.67"/>
    <s v="0.13"/>
    <s v="0.66"/>
    <s v="0.08"/>
    <s v="0.08"/>
    <n v="14035"/>
    <s v="K - D diff."/>
    <n v="3049"/>
    <n v="3120"/>
    <s v="0.98"/>
    <n v="1"/>
    <s v="73.40%"/>
    <s v="14.30%"/>
    <n v="16515"/>
    <n v="9047"/>
    <n v="3700"/>
    <n v="1054"/>
    <n v="217"/>
    <n v="17"/>
    <n v="15077"/>
    <n v="356"/>
    <n v="1300"/>
    <n v="3507"/>
    <n v="308"/>
    <n v="64"/>
    <n v="1"/>
    <n v="6850.333333333333"/>
    <x v="0"/>
  </r>
  <r>
    <n v="15349"/>
    <s v="maNkz"/>
    <s v="Marcus Kjeldsen"/>
    <x v="2"/>
    <x v="2"/>
    <s v="ECSTATIC"/>
    <s v="ECSTATIC, Lyngby Vikings, Copenhagen Flames"/>
    <n v="11970"/>
    <n v="12487"/>
    <s v="52.40%"/>
    <s v="72.3"/>
    <s v="4.9"/>
    <n v="692"/>
    <n v="18642"/>
    <s v="0.64"/>
    <s v="0.13"/>
    <s v="0.67"/>
    <s v="0.12"/>
    <s v="0.11"/>
    <n v="8218"/>
    <s v="K - D diff."/>
    <n v="1805"/>
    <n v="2023"/>
    <s v="0.89"/>
    <s v="0.97"/>
    <s v="72.90%"/>
    <s v="13.80%"/>
    <n v="10424"/>
    <n v="5349"/>
    <n v="2133"/>
    <n v="603"/>
    <n v="119"/>
    <n v="14"/>
    <n v="8670"/>
    <n v="486"/>
    <n v="742"/>
    <n v="1926"/>
    <n v="157"/>
    <n v="33"/>
    <s v="1.02"/>
    <n v="4552.2631578947367"/>
    <x v="2"/>
  </r>
  <r>
    <n v="15639"/>
    <s v="dezon"/>
    <s v="Adam Wahlqvist"/>
    <x v="2"/>
    <x v="15"/>
    <s v="Savage"/>
    <s v="Savage, Galaxy Racer, Japaleno"/>
    <n v="9192"/>
    <n v="9440"/>
    <s v="52.40%"/>
    <s v="69.9"/>
    <s v="4.8"/>
    <n v="547"/>
    <n v="14700"/>
    <s v="0.63"/>
    <s v="0.13"/>
    <s v="0.64"/>
    <s v="0.1"/>
    <s v="0.1"/>
    <n v="6418"/>
    <s v="K - D diff."/>
    <n v="1168"/>
    <n v="1261"/>
    <s v="0.93"/>
    <s v="0.92"/>
    <s v="71.10%"/>
    <s v="11.20%"/>
    <n v="8282"/>
    <n v="4293"/>
    <n v="1574"/>
    <n v="459"/>
    <n v="86"/>
    <n v="6"/>
    <n v="6312"/>
    <n v="466"/>
    <n v="609"/>
    <n v="1683"/>
    <n v="128"/>
    <n v="27"/>
    <s v="1.01"/>
    <n v="3507.9473684210525"/>
    <x v="2"/>
  </r>
  <r>
    <n v="13666"/>
    <s v="Brollan"/>
    <s v="Ludvig Brolin"/>
    <x v="11"/>
    <x v="15"/>
    <s v="NIP"/>
    <s v="fnatic, GODSENT"/>
    <n v="19311"/>
    <n v="17799"/>
    <s v="52.50%"/>
    <n v="79"/>
    <s v="4.8"/>
    <n v="1000"/>
    <n v="26548"/>
    <s v="0.73"/>
    <s v="0.13"/>
    <s v="0.67"/>
    <s v="0.09"/>
    <s v="0.1"/>
    <n v="12730"/>
    <s v="K - D diff."/>
    <n v="3236"/>
    <n v="3143"/>
    <s v="1.03"/>
    <s v="1.08"/>
    <s v="72.90%"/>
    <s v="17.30%"/>
    <n v="13818"/>
    <n v="7876"/>
    <n v="3428"/>
    <n v="1150"/>
    <n v="251"/>
    <n v="25"/>
    <n v="14471"/>
    <n v="262"/>
    <n v="1234"/>
    <n v="3065"/>
    <n v="271"/>
    <n v="56"/>
    <s v="1.12"/>
    <n v="6487.65"/>
    <x v="0"/>
  </r>
  <r>
    <n v="19232"/>
    <s v="JIaYm"/>
    <s v="Nikita Panyushkin"/>
    <x v="4"/>
    <x v="1"/>
    <m/>
    <s v="HellRaisers, bankaPEPSI"/>
    <n v="10080"/>
    <n v="10371"/>
    <s v="52.50%"/>
    <s v="79.2"/>
    <s v="4.4"/>
    <n v="523"/>
    <n v="14183"/>
    <s v="0.71"/>
    <s v="0.14"/>
    <s v="0.73"/>
    <s v="0.1"/>
    <s v="0.1"/>
    <n v="6731"/>
    <s v="K - D diff."/>
    <n v="1765"/>
    <n v="1889"/>
    <s v="0.93"/>
    <s v="1.07"/>
    <s v="71.20%"/>
    <s v="18.00%"/>
    <n v="7452"/>
    <n v="4219"/>
    <n v="1802"/>
    <n v="590"/>
    <n v="113"/>
    <n v="7"/>
    <n v="7797"/>
    <n v="93"/>
    <n v="343"/>
    <n v="1735"/>
    <n v="112"/>
    <n v="33"/>
    <s v="1.05"/>
    <n v="3675.6842105263158"/>
    <x v="2"/>
  </r>
  <r>
    <n v="8125"/>
    <s v="Dimaoneshot"/>
    <s v="Dmitriy Bandurka"/>
    <x v="6"/>
    <x v="1"/>
    <m/>
    <s v="Spirit, Espada"/>
    <n v="23864"/>
    <n v="24414"/>
    <s v="52.50%"/>
    <s v="77.3"/>
    <n v="4"/>
    <n v="1315"/>
    <n v="34605"/>
    <s v="0.69"/>
    <s v="0.14"/>
    <s v="0.71"/>
    <s v="0.11"/>
    <s v="0.1"/>
    <n v="15984"/>
    <s v="K - D diff."/>
    <n v="4185"/>
    <n v="4566"/>
    <s v="0.92"/>
    <s v="1.05"/>
    <s v="71.80%"/>
    <s v="16.90%"/>
    <n v="18621"/>
    <n v="10133"/>
    <n v="4180"/>
    <n v="1343"/>
    <n v="298"/>
    <n v="30"/>
    <n v="18597"/>
    <n v="225"/>
    <n v="776"/>
    <n v="3982"/>
    <n v="269"/>
    <n v="54"/>
    <s v="0.99"/>
    <n v="8372.25"/>
    <x v="1"/>
  </r>
  <r>
    <n v="19705"/>
    <s v="chop"/>
    <s v="Connor Sullivan"/>
    <x v="11"/>
    <x v="0"/>
    <s v="EG.CD"/>
    <s v="RBG, Carpe Diem, Kinship"/>
    <n v="8082"/>
    <n v="8123"/>
    <s v="52.50%"/>
    <s v="72.8"/>
    <n v="5"/>
    <n v="454"/>
    <n v="12086"/>
    <s v="0.67"/>
    <s v="0.13"/>
    <s v="0.67"/>
    <s v="0.1"/>
    <s v="0.11"/>
    <n v="5488"/>
    <s v="K - D diff."/>
    <n v="1007"/>
    <n v="1069"/>
    <s v="0.94"/>
    <s v="0.94"/>
    <s v="70.40%"/>
    <s v="11.60%"/>
    <n v="6598"/>
    <n v="3498"/>
    <n v="1484"/>
    <n v="416"/>
    <n v="82"/>
    <n v="8"/>
    <n v="6099"/>
    <n v="62"/>
    <n v="464"/>
    <n v="1344"/>
    <n v="118"/>
    <n v="26"/>
    <s v="1.02"/>
    <n v="2825.65"/>
    <x v="3"/>
  </r>
  <r>
    <n v="1485"/>
    <s v="RUBINO"/>
    <s v="Ruben Villarroel"/>
    <x v="8"/>
    <x v="28"/>
    <m/>
    <s v="Dignitas, Nordavind, LGB"/>
    <n v="17632"/>
    <n v="17802"/>
    <s v="52.50%"/>
    <s v="71.7"/>
    <s v="2.3"/>
    <n v="998"/>
    <n v="26140"/>
    <s v="0.67"/>
    <s v="0.13"/>
    <s v="0.68"/>
    <s v="0.1"/>
    <s v="0.09"/>
    <n v="12006"/>
    <s v="K - D diff."/>
    <n v="2289"/>
    <n v="2494"/>
    <s v="0.92"/>
    <s v="0.95"/>
    <s v="71.90%"/>
    <s v="12.40%"/>
    <n v="14134"/>
    <n v="7734"/>
    <n v="3164"/>
    <n v="906"/>
    <n v="175"/>
    <n v="27"/>
    <n v="12187"/>
    <n v="846"/>
    <n v="1070"/>
    <n v="3357"/>
    <n v="140"/>
    <n v="45"/>
    <s v="0.98"/>
    <n v="6481.3684210526317"/>
    <x v="0"/>
  </r>
  <r>
    <n v="356"/>
    <s v="arki"/>
    <s v="Omar Chakkor"/>
    <x v="0"/>
    <x v="11"/>
    <s v="SAW"/>
    <s v="SAW"/>
    <n v="14525"/>
    <n v="15799"/>
    <s v="52.50%"/>
    <s v="70.5"/>
    <s v="5.6"/>
    <n v="889"/>
    <n v="23396"/>
    <s v="0.62"/>
    <s v="0.15"/>
    <s v="0.68"/>
    <s v="0.1"/>
    <s v="0.08"/>
    <n v="10152"/>
    <s v="K - D diff."/>
    <n v="2159"/>
    <n v="2448"/>
    <s v="0.88"/>
    <s v="0.95"/>
    <s v="71.80%"/>
    <s v="13.00%"/>
    <n v="13244"/>
    <n v="6776"/>
    <n v="2531"/>
    <n v="702"/>
    <n v="136"/>
    <n v="7"/>
    <n v="10315"/>
    <n v="788"/>
    <n v="485"/>
    <n v="2711"/>
    <n v="225"/>
    <n v="37"/>
    <s v="0.92"/>
    <n v="5648.6842105263158"/>
    <x v="0"/>
  </r>
  <r>
    <n v="9348"/>
    <s v="crush"/>
    <s v="Igor Shevchenko"/>
    <x v="13"/>
    <x v="29"/>
    <s v="NAVI Youth"/>
    <s v="pro100, Vega Squadron, HellRaisers"/>
    <n v="11789"/>
    <n v="13256"/>
    <s v="52.50%"/>
    <s v="69.8"/>
    <s v="4.9"/>
    <n v="729"/>
    <n v="19205"/>
    <s v="0.61"/>
    <s v="0.13"/>
    <s v="0.69"/>
    <s v="0.09"/>
    <s v="0.07"/>
    <n v="8272"/>
    <s v="K - D diff."/>
    <n v="1649"/>
    <n v="2148"/>
    <s v="0.77"/>
    <s v="0.91"/>
    <s v="72.80%"/>
    <s v="12.60%"/>
    <n v="10933"/>
    <n v="5531"/>
    <n v="2099"/>
    <n v="523"/>
    <n v="104"/>
    <n v="15"/>
    <n v="8072"/>
    <n v="361"/>
    <n v="914"/>
    <n v="2215"/>
    <n v="180"/>
    <n v="70"/>
    <s v="0.9"/>
    <n v="4635"/>
    <x v="2"/>
  </r>
  <r>
    <n v="203"/>
    <s v="n0thing"/>
    <s v="Jordan Gilbert"/>
    <x v="14"/>
    <x v="0"/>
    <m/>
    <s v="Cloud9, Complexity"/>
    <n v="14720"/>
    <n v="14236"/>
    <s v="52.60%"/>
    <s v="74.9"/>
    <n v="5"/>
    <n v="813"/>
    <n v="21021"/>
    <s v="0.7"/>
    <s v="0.15"/>
    <s v="0.68"/>
    <s v="0.1"/>
    <s v="0.1"/>
    <n v="9942"/>
    <s v="K - D diff."/>
    <n v="2024"/>
    <n v="2050"/>
    <s v="0.99"/>
    <s v="0.99"/>
    <s v="76.20%"/>
    <s v="13.70%"/>
    <n v="11079"/>
    <n v="6359"/>
    <n v="2595"/>
    <n v="827"/>
    <n v="147"/>
    <n v="14"/>
    <n v="10979"/>
    <n v="286"/>
    <n v="662"/>
    <n v="2520"/>
    <n v="242"/>
    <n v="44"/>
    <s v="1.02"/>
    <n v="5028.25"/>
    <x v="0"/>
  </r>
  <r>
    <n v="10052"/>
    <s v="fitch"/>
    <s v="Bektiyar Bahytov"/>
    <x v="5"/>
    <x v="10"/>
    <s v="Golden Knights"/>
    <s v="AVANGAR, Tengri, Gambit"/>
    <n v="10410"/>
    <n v="10620"/>
    <s v="52.60%"/>
    <s v="77.9"/>
    <s v="4.9"/>
    <n v="574"/>
    <n v="15207"/>
    <s v="0.68"/>
    <s v="0.15"/>
    <s v="0.7"/>
    <s v="0.09"/>
    <s v="0.08"/>
    <n v="6993"/>
    <s v="K - D diff."/>
    <n v="1682"/>
    <n v="1764"/>
    <s v="0.95"/>
    <s v="1.03"/>
    <s v="74.10%"/>
    <s v="15.50%"/>
    <n v="8214"/>
    <n v="4443"/>
    <n v="1835"/>
    <n v="575"/>
    <n v="128"/>
    <n v="12"/>
    <n v="7718"/>
    <n v="90"/>
    <n v="660"/>
    <n v="1804"/>
    <n v="119"/>
    <n v="37"/>
    <s v="0.99"/>
    <n v="3836.0526315789475"/>
    <x v="2"/>
  </r>
  <r>
    <n v="8488"/>
    <s v="ZEDKO"/>
    <s v="JindÅ™ich Chyba"/>
    <x v="2"/>
    <x v="22"/>
    <s v="SINNERS"/>
    <s v="SINNERS, eXtatus"/>
    <n v="20408"/>
    <n v="20563"/>
    <s v="52.60%"/>
    <n v="73"/>
    <s v="4.3"/>
    <n v="1162"/>
    <n v="30813"/>
    <s v="0.66"/>
    <s v="0.12"/>
    <s v="0.67"/>
    <s v="0.1"/>
    <s v="0.09"/>
    <n v="14064"/>
    <s v="K - D diff."/>
    <n v="3157"/>
    <n v="3102"/>
    <s v="1.02"/>
    <s v="1.01"/>
    <s v="73.50%"/>
    <s v="14.40%"/>
    <n v="16749"/>
    <n v="9236"/>
    <n v="3554"/>
    <n v="1054"/>
    <n v="199"/>
    <n v="21"/>
    <n v="14484"/>
    <n v="822"/>
    <n v="1060"/>
    <n v="3747"/>
    <n v="255"/>
    <n v="108"/>
    <s v="0.98"/>
    <n v="7231.55"/>
    <x v="1"/>
  </r>
  <r>
    <n v="15569"/>
    <s v="Sapec"/>
    <s v="Anton Palmgren"/>
    <x v="12"/>
    <x v="15"/>
    <s v="EYEBALLERS"/>
    <s v="Young Ninjas"/>
    <n v="8232"/>
    <n v="8537"/>
    <s v="52.60%"/>
    <s v="77.3"/>
    <s v="5.6"/>
    <n v="451"/>
    <n v="12082"/>
    <s v="0.68"/>
    <s v="0.14"/>
    <s v="0.71"/>
    <s v="0.1"/>
    <s v="0.09"/>
    <n v="5554"/>
    <s v="K - D diff."/>
    <n v="1469"/>
    <n v="1640"/>
    <s v="0.9"/>
    <s v="1.05"/>
    <s v="70.80%"/>
    <s v="17.20%"/>
    <n v="6528"/>
    <n v="3543"/>
    <n v="1446"/>
    <n v="473"/>
    <n v="82"/>
    <n v="10"/>
    <n v="6394"/>
    <n v="28"/>
    <n v="345"/>
    <n v="1340"/>
    <n v="120"/>
    <n v="31"/>
    <s v="1.05"/>
    <n v="3068.6842105263158"/>
    <x v="3"/>
  </r>
  <r>
    <n v="11737"/>
    <s v="RIKO"/>
    <s v="Dylan Sabin-Arnce"/>
    <x v="13"/>
    <x v="0"/>
    <m/>
    <s v="Monstars, Denial"/>
    <n v="7573"/>
    <n v="7418"/>
    <s v="52.70%"/>
    <s v="77.6"/>
    <s v="3.4"/>
    <n v="406"/>
    <n v="10568"/>
    <s v="0.72"/>
    <s v="0.13"/>
    <s v="0.7"/>
    <s v="0.1"/>
    <s v="0.11"/>
    <n v="5029"/>
    <s v="K - D diff."/>
    <n v="956"/>
    <n v="919"/>
    <s v="1.04"/>
    <s v="0.97"/>
    <s v="73.70%"/>
    <s v="13.80%"/>
    <n v="5539"/>
    <n v="3155"/>
    <n v="1329"/>
    <n v="431"/>
    <n v="103"/>
    <n v="11"/>
    <n v="5265"/>
    <n v="178"/>
    <n v="631"/>
    <n v="1419"/>
    <n v="87"/>
    <n v="13"/>
    <s v="1.06"/>
    <n v="2685.7894736842104"/>
    <x v="3"/>
  </r>
  <r>
    <n v="11538"/>
    <s v="Jinxx"/>
    <s v="Chris Moseley"/>
    <x v="3"/>
    <x v="16"/>
    <m/>
    <s v="Genuine, Taboo, Chiefs"/>
    <n v="7054"/>
    <n v="6771"/>
    <s v="52.70%"/>
    <s v="72.3"/>
    <s v="3.8"/>
    <n v="400"/>
    <n v="10511"/>
    <s v="0.67"/>
    <s v="0.12"/>
    <s v="0.64"/>
    <s v="0.1"/>
    <s v="0.13"/>
    <n v="4838"/>
    <s v="K - D diff."/>
    <n v="681"/>
    <n v="652"/>
    <s v="1.04"/>
    <s v="0.89"/>
    <s v="69.80%"/>
    <s v="9.20%"/>
    <n v="5673"/>
    <n v="3145"/>
    <n v="1253"/>
    <n v="365"/>
    <n v="67"/>
    <n v="8"/>
    <n v="5151"/>
    <n v="25"/>
    <n v="343"/>
    <n v="1454"/>
    <n v="87"/>
    <n v="11"/>
    <s v="1.04"/>
    <n v="2552.0526315789475"/>
    <x v="3"/>
  </r>
  <r>
    <n v="10590"/>
    <s v="fenvicious"/>
    <s v="Evgeny Mitsik"/>
    <x v="6"/>
    <x v="1"/>
    <s v="ASAP"/>
    <s v="Unique, Spirit Academy, EPG"/>
    <n v="13225"/>
    <n v="13084"/>
    <s v="52.70%"/>
    <s v="75.7"/>
    <s v="2.4"/>
    <n v="729"/>
    <n v="19059"/>
    <s v="0.69"/>
    <s v="0.12"/>
    <s v="0.69"/>
    <s v="0.09"/>
    <s v="0.09"/>
    <n v="8982"/>
    <s v="K - D diff."/>
    <n v="1735"/>
    <n v="1795"/>
    <s v="0.97"/>
    <s v="0.96"/>
    <s v="69.00%"/>
    <s v="13.00%"/>
    <n v="10077"/>
    <n v="5769"/>
    <n v="2358"/>
    <n v="694"/>
    <n v="147"/>
    <n v="14"/>
    <n v="9374"/>
    <n v="474"/>
    <n v="1024"/>
    <n v="2261"/>
    <n v="101"/>
    <n v="12"/>
    <n v="1"/>
    <n v="4545.75"/>
    <x v="2"/>
  </r>
  <r>
    <n v="15778"/>
    <s v="SENER1"/>
    <s v="Sener Mahmuti"/>
    <x v="3"/>
    <x v="48"/>
    <s v="Bad News Eagles"/>
    <s v="Bad News Eagles, BLINK"/>
    <n v="6135"/>
    <n v="6739"/>
    <s v="52.70%"/>
    <s v="69.6"/>
    <s v="6.3"/>
    <n v="380"/>
    <n v="10090"/>
    <s v="0.61"/>
    <s v="0.14"/>
    <s v="0.67"/>
    <s v="0.1"/>
    <s v="0.09"/>
    <n v="4275"/>
    <s v="K - D diff."/>
    <n v="763"/>
    <n v="941"/>
    <s v="0.81"/>
    <s v="0.89"/>
    <s v="71.80%"/>
    <s v="10.60%"/>
    <n v="5815"/>
    <n v="2828"/>
    <n v="1096"/>
    <n v="294"/>
    <n v="52"/>
    <n v="5"/>
    <n v="4552"/>
    <n v="49"/>
    <n v="324"/>
    <n v="1075"/>
    <n v="146"/>
    <n v="15"/>
    <s v="0.98"/>
    <n v="2398.6315789473683"/>
    <x v="3"/>
  </r>
  <r>
    <n v="9410"/>
    <s v="kalinka"/>
    <s v="Nikolaj Rysakov"/>
    <x v="8"/>
    <x v="38"/>
    <m/>
    <s v="HellRaisers, Playing Ducks"/>
    <n v="16112"/>
    <n v="15955"/>
    <s v="52.80%"/>
    <s v="76.6"/>
    <s v="3.8"/>
    <n v="855"/>
    <n v="22891"/>
    <s v="0.7"/>
    <s v="0.12"/>
    <s v="0.7"/>
    <s v="0.09"/>
    <s v="0.09"/>
    <n v="10860"/>
    <s v="K - D diff."/>
    <n v="2554"/>
    <n v="2734"/>
    <s v="0.93"/>
    <s v="1.03"/>
    <s v="70.80%"/>
    <s v="15.90%"/>
    <n v="12031"/>
    <n v="6917"/>
    <n v="2851"/>
    <n v="892"/>
    <n v="183"/>
    <n v="17"/>
    <n v="10221"/>
    <n v="2073"/>
    <n v="816"/>
    <n v="2795"/>
    <n v="152"/>
    <n v="100"/>
    <s v="1.01"/>
    <n v="5842.5789473684208"/>
    <x v="0"/>
  </r>
  <r>
    <n v="9245"/>
    <s v="Tsogoo"/>
    <s v="Tsog Mashbat"/>
    <x v="8"/>
    <x v="34"/>
    <s v="TheMongolz"/>
    <s v="TheMongolz, Mazaalai"/>
    <n v="8757"/>
    <n v="8659"/>
    <s v="52.80%"/>
    <s v="77.1"/>
    <s v="3.3"/>
    <n v="488"/>
    <n v="12467"/>
    <s v="0.7"/>
    <s v="0.14"/>
    <s v="0.69"/>
    <s v="0.1"/>
    <s v="0.11"/>
    <n v="5981"/>
    <s v="K - D diff."/>
    <n v="1109"/>
    <n v="1080"/>
    <s v="1.03"/>
    <s v="0.97"/>
    <s v="75.00%"/>
    <s v="13.20%"/>
    <n v="6486"/>
    <n v="3862"/>
    <n v="1551"/>
    <n v="487"/>
    <n v="73"/>
    <n v="8"/>
    <n v="6618"/>
    <n v="61"/>
    <n v="387"/>
    <n v="1602"/>
    <n v="86"/>
    <n v="26"/>
    <n v="1"/>
    <n v="2989.45"/>
    <x v="3"/>
  </r>
  <r>
    <n v="10397"/>
    <s v="cromen"/>
    <s v="Jorgen Robertsen"/>
    <x v="6"/>
    <x v="28"/>
    <m/>
    <s v="Nordavind"/>
    <n v="11785"/>
    <n v="11718"/>
    <s v="52.80%"/>
    <n v="74"/>
    <s v="3.6"/>
    <n v="653"/>
    <n v="17335"/>
    <s v="0.68"/>
    <s v="0.13"/>
    <s v="0.68"/>
    <s v="0.11"/>
    <s v="0.11"/>
    <n v="7946"/>
    <s v="K - D diff."/>
    <n v="1800"/>
    <n v="1951"/>
    <s v="0.92"/>
    <n v="1"/>
    <s v="72.80%"/>
    <s v="14.80%"/>
    <n v="9389"/>
    <n v="5042"/>
    <n v="2143"/>
    <n v="603"/>
    <n v="142"/>
    <n v="16"/>
    <n v="8101"/>
    <n v="753"/>
    <n v="791"/>
    <n v="1996"/>
    <n v="146"/>
    <n v="29"/>
    <n v="1"/>
    <n v="3746.1363636363635"/>
    <x v="2"/>
  </r>
  <r>
    <n v="4679"/>
    <s v="jks"/>
    <s v="Justin Savage"/>
    <x v="13"/>
    <x v="16"/>
    <s v="Complexity"/>
    <s v="Renegades, Complexity, 100 Thieves"/>
    <n v="21807"/>
    <n v="19460"/>
    <s v="52.90%"/>
    <s v="77.7"/>
    <s v="5.4"/>
    <n v="1183"/>
    <n v="30912"/>
    <s v="0.71"/>
    <s v="0.13"/>
    <s v="0.63"/>
    <s v="0.09"/>
    <s v="0.11"/>
    <n v="14500"/>
    <s v="K - D diff."/>
    <n v="2560"/>
    <n v="2226"/>
    <s v="1.15"/>
    <s v="0.96"/>
    <s v="73.20%"/>
    <s v="11.70%"/>
    <n v="16412"/>
    <n v="9085"/>
    <n v="3860"/>
    <n v="1248"/>
    <n v="283"/>
    <n v="24"/>
    <n v="15721"/>
    <n v="764"/>
    <n v="1152"/>
    <n v="3795"/>
    <n v="386"/>
    <n v="33"/>
    <s v="1.07"/>
    <n v="7653.2105263157891"/>
    <x v="1"/>
  </r>
  <r>
    <n v="8349"/>
    <s v="shroud"/>
    <s v="Mike Grzesiek"/>
    <x v="8"/>
    <x v="5"/>
    <m/>
    <s v="Cloud9"/>
    <n v="12588"/>
    <n v="11277"/>
    <s v="52.90%"/>
    <s v="76.1"/>
    <s v="3.9"/>
    <n v="676"/>
    <n v="17460"/>
    <s v="0.72"/>
    <s v="0.14"/>
    <s v="0.65"/>
    <s v="0.09"/>
    <s v="0.11"/>
    <n v="8458"/>
    <s v="K - D diff."/>
    <n v="1734"/>
    <n v="1522"/>
    <s v="1.14"/>
    <s v="1.02"/>
    <s v="76.10%"/>
    <s v="14.00%"/>
    <n v="9002"/>
    <n v="5336"/>
    <n v="2301"/>
    <n v="663"/>
    <n v="149"/>
    <n v="9"/>
    <n v="9072"/>
    <n v="319"/>
    <n v="771"/>
    <n v="2242"/>
    <n v="182"/>
    <n v="21"/>
    <s v="1.07"/>
    <n v="4409.5789473684208"/>
    <x v="2"/>
  </r>
  <r>
    <n v="8394"/>
    <s v="Kjaerbye"/>
    <s v="Markus KjÃ¦rbye"/>
    <x v="2"/>
    <x v="2"/>
    <s v="Endpoint"/>
    <s v="North, Dignitas, Astralis"/>
    <n v="28608"/>
    <n v="26504"/>
    <s v="52.90%"/>
    <s v="78.5"/>
    <s v="3.9"/>
    <n v="1530"/>
    <n v="40253"/>
    <s v="0.71"/>
    <s v="0.14"/>
    <s v="0.66"/>
    <s v="0.09"/>
    <s v="0.1"/>
    <n v="19286"/>
    <s v="K - D diff."/>
    <n v="3937"/>
    <n v="4085"/>
    <s v="0.96"/>
    <s v="0.99"/>
    <s v="73.80%"/>
    <s v="13.90%"/>
    <n v="20967"/>
    <n v="12196"/>
    <n v="5229"/>
    <n v="1544"/>
    <n v="293"/>
    <n v="24"/>
    <n v="22141"/>
    <n v="195"/>
    <n v="1006"/>
    <n v="4923"/>
    <n v="363"/>
    <n v="33"/>
    <s v="1.04"/>
    <n v="10164.052631578947"/>
    <x v="1"/>
  </r>
  <r>
    <n v="5287"/>
    <s v="TENZKI"/>
    <s v="Jesper Plougmann"/>
    <x v="8"/>
    <x v="2"/>
    <s v="Savage"/>
    <s v="Nordavind, Dignitas"/>
    <n v="26979"/>
    <n v="25643"/>
    <s v="52.90%"/>
    <s v="76.8"/>
    <s v="4.4"/>
    <n v="1494"/>
    <n v="39305"/>
    <s v="0.69"/>
    <s v="0.14"/>
    <s v="0.65"/>
    <s v="0.09"/>
    <s v="0.1"/>
    <n v="18462"/>
    <s v="K - D diff."/>
    <n v="3543"/>
    <n v="3302"/>
    <s v="1.07"/>
    <s v="0.98"/>
    <s v="74.90%"/>
    <s v="13.20%"/>
    <n v="20843"/>
    <n v="11970"/>
    <n v="4814"/>
    <n v="1383"/>
    <n v="267"/>
    <n v="28"/>
    <n v="20105"/>
    <n v="309"/>
    <n v="1579"/>
    <n v="4619"/>
    <n v="357"/>
    <n v="46"/>
    <s v="1.02"/>
    <n v="9739.3684210526317"/>
    <x v="1"/>
  </r>
  <r>
    <n v="9257"/>
    <s v="freddieb"/>
    <s v="Fredrik BuÃ¶"/>
    <x v="8"/>
    <x v="15"/>
    <m/>
    <s v="Epsilon, GODSENT, Red Reserve"/>
    <n v="20728"/>
    <n v="20548"/>
    <s v="52.90%"/>
    <n v="77"/>
    <s v="4.2"/>
    <n v="1135"/>
    <n v="30119"/>
    <s v="0.69"/>
    <s v="0.14"/>
    <s v="0.68"/>
    <s v="0.09"/>
    <s v="0.09"/>
    <n v="14171"/>
    <s v="K - D diff."/>
    <n v="3160"/>
    <n v="3144"/>
    <s v="1.01"/>
    <s v="1.02"/>
    <s v="72.90%"/>
    <s v="14.70%"/>
    <n v="15948"/>
    <n v="9094"/>
    <n v="3848"/>
    <n v="1006"/>
    <n v="196"/>
    <n v="27"/>
    <n v="15233"/>
    <n v="561"/>
    <n v="1134"/>
    <n v="3537"/>
    <n v="218"/>
    <n v="87"/>
    <s v="0.99"/>
    <n v="7198.55"/>
    <x v="1"/>
  </r>
  <r>
    <n v="5351"/>
    <s v="aVN"/>
    <s v="Filip Belojica"/>
    <x v="3"/>
    <x v="19"/>
    <s v="ex-4glory"/>
    <s v="4glory, lvlUP, BLUEJAYS"/>
    <n v="9544"/>
    <n v="10260"/>
    <s v="52.90%"/>
    <s v="69.2"/>
    <s v="2.6"/>
    <n v="565"/>
    <n v="15044"/>
    <s v="0.63"/>
    <s v="0.12"/>
    <s v="0.68"/>
    <s v="0.11"/>
    <s v="0.1"/>
    <n v="6723"/>
    <s v="K - D diff."/>
    <n v="1186"/>
    <n v="1415"/>
    <s v="0.84"/>
    <s v="0.9"/>
    <s v="71.70%"/>
    <s v="11.60%"/>
    <n v="8321"/>
    <n v="4502"/>
    <n v="1699"/>
    <n v="451"/>
    <n v="64"/>
    <n v="7"/>
    <n v="7203"/>
    <n v="96"/>
    <n v="597"/>
    <n v="1545"/>
    <n v="97"/>
    <n v="30"/>
    <s v="0.92"/>
    <n v="3649.9473684210525"/>
    <x v="2"/>
  </r>
  <r>
    <n v="16693"/>
    <s v="flameZ"/>
    <s v="Shahar Shushan"/>
    <x v="12"/>
    <x v="24"/>
    <s v="OG"/>
    <s v="OG, Endpoint"/>
    <n v="7461"/>
    <n v="6945"/>
    <s v="53.00%"/>
    <s v="79.6"/>
    <n v="6"/>
    <n v="387"/>
    <n v="10352"/>
    <s v="0.72"/>
    <s v="0.14"/>
    <s v="0.67"/>
    <s v="0.11"/>
    <s v="0.11"/>
    <n v="4913"/>
    <s v="K - D diff."/>
    <n v="1216"/>
    <n v="1285"/>
    <s v="0.95"/>
    <s v="1.05"/>
    <s v="73.20%"/>
    <s v="16.80%"/>
    <n v="5439"/>
    <n v="3070"/>
    <n v="1282"/>
    <n v="433"/>
    <n v="112"/>
    <n v="16"/>
    <n v="5493"/>
    <n v="83"/>
    <n v="466"/>
    <n v="1294"/>
    <n v="126"/>
    <n v="20"/>
    <s v="1.12"/>
    <n v="2519.9499999999998"/>
    <x v="3"/>
  </r>
  <r>
    <n v="16820"/>
    <s v="siuhy"/>
    <s v="Kamil Szkaradek"/>
    <x v="12"/>
    <x v="3"/>
    <s v="MOUZ NXT"/>
    <s v="MOUZ NXT, Izako Boars"/>
    <n v="9756"/>
    <n v="9698"/>
    <s v="53.00%"/>
    <s v="77.8"/>
    <s v="4.6"/>
    <n v="518"/>
    <n v="13917"/>
    <s v="0.7"/>
    <s v="0.13"/>
    <s v="0.7"/>
    <s v="0.1"/>
    <s v="0.09"/>
    <n v="6526"/>
    <s v="K - D diff."/>
    <n v="1617"/>
    <n v="1679"/>
    <s v="0.96"/>
    <s v="1.05"/>
    <s v="74.60%"/>
    <s v="16.60%"/>
    <n v="7391"/>
    <n v="4098"/>
    <n v="1769"/>
    <n v="532"/>
    <n v="111"/>
    <n v="16"/>
    <n v="7548"/>
    <n v="104"/>
    <n v="392"/>
    <n v="1613"/>
    <n v="93"/>
    <n v="50"/>
    <s v="1.06"/>
    <n v="3548.8421052631579"/>
    <x v="2"/>
  </r>
  <r>
    <n v="10443"/>
    <s v="Basso"/>
    <s v="Sebastian Aagaard"/>
    <x v="4"/>
    <x v="2"/>
    <m/>
    <s v="Copenhagen Flames"/>
    <n v="10081"/>
    <n v="9816"/>
    <s v="53.00%"/>
    <s v="70.1"/>
    <s v="3.5"/>
    <n v="582"/>
    <n v="15218"/>
    <s v="0.66"/>
    <s v="0.1"/>
    <s v="0.65"/>
    <s v="0.09"/>
    <s v="0.1"/>
    <n v="6901"/>
    <s v="K - D diff."/>
    <n v="1126"/>
    <n v="1165"/>
    <s v="0.97"/>
    <s v="0.91"/>
    <s v="74.10%"/>
    <s v="10.90%"/>
    <n v="8317"/>
    <n v="4487"/>
    <n v="1779"/>
    <n v="520"/>
    <n v="99"/>
    <n v="16"/>
    <n v="7285"/>
    <n v="335"/>
    <n v="556"/>
    <n v="1779"/>
    <n v="115"/>
    <n v="27"/>
    <n v="1"/>
    <n v="3510.25"/>
    <x v="2"/>
  </r>
  <r>
    <n v="8327"/>
    <s v="Furlan"/>
    <s v="Damian Kislowski"/>
    <x v="6"/>
    <x v="3"/>
    <s v="AGO"/>
    <s v="AGO"/>
    <n v="37890"/>
    <n v="38534"/>
    <s v="53.00%"/>
    <s v="76.2"/>
    <s v="5.2"/>
    <n v="2101"/>
    <n v="55976"/>
    <s v="0.68"/>
    <s v="0.14"/>
    <s v="0.69"/>
    <s v="0.1"/>
    <s v="0.09"/>
    <n v="25598"/>
    <s v="K - D diff."/>
    <n v="6157"/>
    <n v="6666"/>
    <s v="0.92"/>
    <s v="1.02"/>
    <s v="73.40%"/>
    <s v="15.70%"/>
    <n v="30378"/>
    <n v="16343"/>
    <n v="6712"/>
    <n v="2086"/>
    <n v="421"/>
    <n v="36"/>
    <n v="25905"/>
    <n v="2937"/>
    <n v="2130"/>
    <n v="6304"/>
    <n v="611"/>
    <n v="97"/>
    <s v="0.98"/>
    <n v="14046.421052631578"/>
    <x v="1"/>
  </r>
  <r>
    <n v="10784"/>
    <s v="RuStY"/>
    <s v="Alfred Karlsson"/>
    <x v="2"/>
    <x v="15"/>
    <s v="Into the Breach"/>
    <s v="GamerLegion, Singularity, Red Reserve"/>
    <n v="23216"/>
    <n v="23547"/>
    <s v="53.00%"/>
    <s v="73.5"/>
    <s v="4.4"/>
    <n v="1298"/>
    <n v="35053"/>
    <s v="0.66"/>
    <s v="0.13"/>
    <s v="0.67"/>
    <s v="0.1"/>
    <s v="0.1"/>
    <n v="15940"/>
    <s v="K - D diff."/>
    <n v="3166"/>
    <n v="3538"/>
    <s v="0.89"/>
    <s v="0.95"/>
    <s v="70.60%"/>
    <s v="12.60%"/>
    <n v="19113"/>
    <n v="10287"/>
    <n v="4274"/>
    <n v="1156"/>
    <n v="202"/>
    <n v="21"/>
    <n v="16941"/>
    <n v="323"/>
    <n v="1431"/>
    <n v="4136"/>
    <n v="393"/>
    <n v="57"/>
    <s v="1.03"/>
    <n v="8636.4210526315783"/>
    <x v="1"/>
  </r>
  <r>
    <n v="10892"/>
    <s v="MarKE"/>
    <s v="Edgar Maldonado"/>
    <x v="2"/>
    <x v="49"/>
    <m/>
    <s v="Extra Salt, eUnited, Swole Patrol"/>
    <n v="16750"/>
    <n v="15402"/>
    <s v="53.10%"/>
    <n v="79"/>
    <s v="5.2"/>
    <n v="926"/>
    <n v="23830"/>
    <s v="0.7"/>
    <s v="0.15"/>
    <s v="0.65"/>
    <s v="0.11"/>
    <s v="0.12"/>
    <n v="11318"/>
    <s v="K - D diff."/>
    <n v="2422"/>
    <n v="2286"/>
    <s v="1.06"/>
    <s v="1.01"/>
    <s v="73.90%"/>
    <s v="13.80%"/>
    <n v="12512"/>
    <n v="7185"/>
    <n v="3027"/>
    <n v="923"/>
    <n v="173"/>
    <n v="10"/>
    <n v="12507"/>
    <n v="304"/>
    <n v="689"/>
    <n v="2994"/>
    <n v="246"/>
    <n v="81"/>
    <s v="1.12"/>
    <n v="5683.2"/>
    <x v="0"/>
  </r>
  <r>
    <n v="17936"/>
    <s v="bq"/>
    <s v="Adam Bergqvist"/>
    <x v="11"/>
    <x v="15"/>
    <s v="X Gamer"/>
    <s v="Lilmix"/>
    <n v="7342"/>
    <n v="7546"/>
    <s v="53.10%"/>
    <s v="74.6"/>
    <s v="3.3"/>
    <n v="398"/>
    <n v="10734"/>
    <s v="0.68"/>
    <s v="0.13"/>
    <s v="0.7"/>
    <s v="0.08"/>
    <s v="0.08"/>
    <n v="4946"/>
    <s v="K - D diff."/>
    <n v="1062"/>
    <n v="1196"/>
    <s v="0.89"/>
    <s v="0.98"/>
    <s v="69.80%"/>
    <s v="14.10%"/>
    <n v="5788"/>
    <n v="3142"/>
    <n v="1305"/>
    <n v="414"/>
    <n v="77"/>
    <n v="8"/>
    <n v="5525"/>
    <n v="235"/>
    <n v="231"/>
    <n v="1260"/>
    <n v="67"/>
    <n v="45"/>
    <s v="1.02"/>
    <n v="2701.1052631578946"/>
    <x v="3"/>
  </r>
  <r>
    <n v="19733"/>
    <s v="DemQQ"/>
    <s v="Sergiy Demchenko"/>
    <x v="10"/>
    <x v="29"/>
    <s v="B8"/>
    <s v="B8, CR4ZY, Akuma, Project X"/>
    <n v="7138"/>
    <n v="7124"/>
    <s v="53.20%"/>
    <s v="76.9"/>
    <s v="5.6"/>
    <n v="400"/>
    <n v="10507"/>
    <s v="0.68"/>
    <s v="0.14"/>
    <s v="0.68"/>
    <s v="0.1"/>
    <s v="0.09"/>
    <n v="4894"/>
    <s v="K - D diff."/>
    <n v="1262"/>
    <n v="1230"/>
    <s v="1.03"/>
    <s v="1.07"/>
    <s v="72.60%"/>
    <s v="17.20%"/>
    <n v="5613"/>
    <n v="3179"/>
    <n v="1269"/>
    <n v="370"/>
    <n v="69"/>
    <n v="7"/>
    <n v="5104"/>
    <n v="479"/>
    <n v="300"/>
    <n v="1144"/>
    <n v="99"/>
    <n v="54"/>
    <s v="1.07"/>
    <n v="2644.3157894736842"/>
    <x v="3"/>
  </r>
  <r>
    <n v="7938"/>
    <s v="XANTARES"/>
    <s v="Ismailcan DÃ¶rtkardeÅŸ"/>
    <x v="13"/>
    <x v="20"/>
    <s v="Eternal Fire"/>
    <s v="Eternal Fire, Space Soldiers, BIG"/>
    <n v="37879"/>
    <n v="31623"/>
    <s v="53.30%"/>
    <s v="89.1"/>
    <s v="4.6"/>
    <n v="1772"/>
    <n v="46706"/>
    <s v="0.81"/>
    <s v="0.15"/>
    <s v="0.68"/>
    <s v="0.1"/>
    <s v="0.1"/>
    <n v="24117"/>
    <s v="K - D diff."/>
    <n v="6449"/>
    <n v="5003"/>
    <s v="1.29"/>
    <s v="1.18"/>
    <s v="74.80%"/>
    <s v="19.40%"/>
    <n v="22589"/>
    <n v="14081"/>
    <n v="6997"/>
    <n v="2414"/>
    <n v="564"/>
    <n v="61"/>
    <n v="30174"/>
    <n v="355"/>
    <n v="857"/>
    <n v="6127"/>
    <n v="394"/>
    <n v="50"/>
    <s v="1.17"/>
    <n v="12537.473684210527"/>
    <x v="1"/>
  </r>
  <r>
    <n v="10827"/>
    <s v="prt"/>
    <s v="Matheus Scuvero"/>
    <x v="2"/>
    <x v="6"/>
    <s v="TeamOne"/>
    <s v="TeamOne, DETONA"/>
    <n v="12697"/>
    <n v="12807"/>
    <s v="53.30%"/>
    <s v="72.7"/>
    <n v="3"/>
    <n v="732"/>
    <n v="18994"/>
    <s v="0.67"/>
    <s v="0.13"/>
    <s v="0.67"/>
    <s v="0.11"/>
    <s v="0.11"/>
    <n v="8756"/>
    <s v="K - D diff."/>
    <n v="1729"/>
    <n v="1778"/>
    <s v="0.97"/>
    <s v="0.97"/>
    <s v="72.60%"/>
    <s v="12.90%"/>
    <n v="10238"/>
    <n v="5726"/>
    <n v="2267"/>
    <n v="624"/>
    <n v="130"/>
    <n v="9"/>
    <n v="8676"/>
    <n v="590"/>
    <n v="987"/>
    <n v="2311"/>
    <n v="140"/>
    <n v="33"/>
    <s v="1.02"/>
    <n v="4461.3500000000004"/>
    <x v="2"/>
  </r>
  <r>
    <n v="11891"/>
    <s v="phr"/>
    <s v="Tomasz WÃ³jcik"/>
    <x v="3"/>
    <x v="3"/>
    <s v="Illuminar"/>
    <s v="Illuminar, AGO, Virtus.pro"/>
    <n v="22976"/>
    <n v="23369"/>
    <s v="53.30%"/>
    <s v="73.2"/>
    <s v="5.8"/>
    <n v="1312"/>
    <n v="35125"/>
    <s v="0.65"/>
    <s v="0.13"/>
    <s v="0.67"/>
    <s v="0.09"/>
    <s v="0.09"/>
    <n v="15974"/>
    <s v="K - D diff."/>
    <n v="2796"/>
    <n v="2915"/>
    <s v="0.96"/>
    <s v="0.93"/>
    <s v="73.00%"/>
    <s v="11.30%"/>
    <n v="19151"/>
    <n v="10531"/>
    <n v="4139"/>
    <n v="1066"/>
    <n v="221"/>
    <n v="17"/>
    <n v="17039"/>
    <n v="679"/>
    <n v="1177"/>
    <n v="3651"/>
    <n v="399"/>
    <n v="54"/>
    <s v="1.02"/>
    <n v="8557.4210526315783"/>
    <x v="1"/>
  </r>
  <r>
    <n v="9882"/>
    <s v="Polen"/>
    <s v="Adam Polen"/>
    <x v="13"/>
    <x v="0"/>
    <m/>
    <s v="Mythic"/>
    <n v="7017"/>
    <n v="7995"/>
    <s v="53.30%"/>
    <s v="69.8"/>
    <s v="4.3"/>
    <n v="435"/>
    <n v="11470"/>
    <s v="0.61"/>
    <s v="0.14"/>
    <s v="0.7"/>
    <s v="0.1"/>
    <s v="0.08"/>
    <n v="4945"/>
    <s v="K - D diff."/>
    <n v="1005"/>
    <n v="1254"/>
    <s v="0.8"/>
    <s v="0.92"/>
    <s v="70.60%"/>
    <s v="12.40%"/>
    <n v="6525"/>
    <n v="3338"/>
    <n v="1221"/>
    <n v="314"/>
    <n v="65"/>
    <n v="7"/>
    <n v="4929"/>
    <n v="103"/>
    <n v="476"/>
    <n v="1421"/>
    <n v="86"/>
    <n v="23"/>
    <s v="0.89"/>
    <n v="2769.9473684210525"/>
    <x v="3"/>
  </r>
  <r>
    <n v="14684"/>
    <s v="jedqr"/>
    <s v="Grzegorz JÄ™dras"/>
    <x v="4"/>
    <x v="3"/>
    <m/>
    <s v="Wisla Krakow, x-kom"/>
    <n v="15232"/>
    <n v="14642"/>
    <s v="53.40%"/>
    <n v="77"/>
    <n v="6"/>
    <n v="819"/>
    <n v="22194"/>
    <s v="0.69"/>
    <s v="0.15"/>
    <s v="0.66"/>
    <s v="0.1"/>
    <s v="0.1"/>
    <n v="10418"/>
    <s v="K - D diff."/>
    <n v="1996"/>
    <n v="1933"/>
    <s v="1.03"/>
    <s v="0.97"/>
    <s v="71.70%"/>
    <s v="12.80%"/>
    <n v="11776"/>
    <n v="6741"/>
    <n v="2707"/>
    <n v="818"/>
    <n v="137"/>
    <n v="15"/>
    <n v="11629"/>
    <n v="173"/>
    <n v="772"/>
    <n v="2397"/>
    <n v="283"/>
    <n v="41"/>
    <s v="1.08"/>
    <n v="4990.7619047619046"/>
    <x v="0"/>
  </r>
  <r>
    <n v="11926"/>
    <s v="mds"/>
    <s v="Aleksandr Rubets"/>
    <x v="4"/>
    <x v="18"/>
    <s v="xDDDD"/>
    <s v="Nemiga"/>
    <n v="19676"/>
    <n v="19236"/>
    <s v="53.40%"/>
    <s v="72.6"/>
    <s v="2.8"/>
    <n v="1096"/>
    <n v="29290"/>
    <s v="0.67"/>
    <s v="0.11"/>
    <s v="0.66"/>
    <s v="0.09"/>
    <s v="0.09"/>
    <n v="13506"/>
    <s v="K - D diff."/>
    <n v="2672"/>
    <n v="2676"/>
    <n v="1"/>
    <s v="0.97"/>
    <s v="72.10%"/>
    <s v="13.00%"/>
    <n v="15784"/>
    <n v="8776"/>
    <n v="3517"/>
    <n v="1003"/>
    <n v="193"/>
    <n v="17"/>
    <n v="14219"/>
    <n v="386"/>
    <n v="1537"/>
    <n v="3355"/>
    <n v="169"/>
    <n v="54"/>
    <s v="1.04"/>
    <n v="6858.15"/>
    <x v="0"/>
  </r>
  <r>
    <n v="12710"/>
    <s v="gMd"/>
    <s v="Anthony Guimond"/>
    <x v="10"/>
    <x v="5"/>
    <m/>
    <s v="Rogue, FRENCH CANADIANS, LiViD, Spacestation"/>
    <n v="8389"/>
    <n v="8436"/>
    <s v="53.50%"/>
    <s v="75.4"/>
    <s v="3.5"/>
    <n v="464"/>
    <n v="12098"/>
    <s v="0.69"/>
    <s v="0.14"/>
    <s v="0.7"/>
    <s v="0.11"/>
    <s v="0.11"/>
    <n v="5676"/>
    <s v="K - D diff."/>
    <n v="1188"/>
    <n v="1355"/>
    <s v="0.88"/>
    <s v="0.97"/>
    <s v="71.40%"/>
    <s v="14.10%"/>
    <n v="6422"/>
    <n v="3613"/>
    <n v="1527"/>
    <n v="432"/>
    <n v="94"/>
    <n v="10"/>
    <n v="5997"/>
    <n v="375"/>
    <n v="398"/>
    <n v="1551"/>
    <n v="66"/>
    <n v="18"/>
    <s v="1.05"/>
    <n v="3058.3684210526317"/>
    <x v="3"/>
  </r>
  <r>
    <n v="11110"/>
    <s v="Golden"/>
    <s v="Maikil Selim"/>
    <x v="8"/>
    <x v="15"/>
    <s v="Savage"/>
    <s v="fnatic, fnatic Academy, Cloud9"/>
    <n v="14225"/>
    <n v="16231"/>
    <s v="53.50%"/>
    <s v="69.2"/>
    <s v="5.4"/>
    <n v="872"/>
    <n v="23212"/>
    <s v="0.61"/>
    <s v="0.14"/>
    <s v="0.7"/>
    <s v="0.1"/>
    <s v="0.09"/>
    <n v="9839"/>
    <s v="K - D diff."/>
    <n v="2009"/>
    <n v="2403"/>
    <s v="0.84"/>
    <s v="0.93"/>
    <s v="74.30%"/>
    <s v="12.70%"/>
    <n v="13373"/>
    <n v="6490"/>
    <n v="2485"/>
    <n v="710"/>
    <n v="135"/>
    <n v="19"/>
    <n v="9688"/>
    <n v="277"/>
    <n v="1079"/>
    <n v="2827"/>
    <n v="247"/>
    <n v="138"/>
    <s v="0.94"/>
    <n v="5592.5789473684208"/>
    <x v="0"/>
  </r>
  <r>
    <n v="15120"/>
    <s v="JiNKZ"/>
    <s v="GaÃ«tan Jamin"/>
    <x v="6"/>
    <x v="26"/>
    <m/>
    <s v="3DMAX, Heretics"/>
    <n v="8657"/>
    <n v="9850"/>
    <s v="53.50%"/>
    <s v="69.7"/>
    <s v="3.8"/>
    <n v="542"/>
    <n v="14411"/>
    <s v="0.6"/>
    <s v="0.15"/>
    <s v="0.68"/>
    <s v="0.11"/>
    <s v="0.09"/>
    <n v="6064"/>
    <s v="K - D diff."/>
    <n v="1342"/>
    <n v="1647"/>
    <s v="0.81"/>
    <s v="0.94"/>
    <s v="70.30%"/>
    <s v="13.00%"/>
    <n v="8347"/>
    <n v="4066"/>
    <n v="1489"/>
    <n v="433"/>
    <n v="66"/>
    <n v="10"/>
    <n v="6106"/>
    <n v="70"/>
    <n v="677"/>
    <n v="1643"/>
    <n v="145"/>
    <n v="25"/>
    <s v="0.97"/>
    <n v="3452.1052631578946"/>
    <x v="2"/>
  </r>
  <r>
    <n v="13779"/>
    <s v="PASHANOJ"/>
    <s v="Pavel Legostaev"/>
    <x v="8"/>
    <x v="1"/>
    <s v="xDDDD"/>
    <s v="Unique, ex-ETHEREAL"/>
    <n v="9261"/>
    <n v="11566"/>
    <s v="53.50%"/>
    <s v="68.2"/>
    <n v="4"/>
    <n v="608"/>
    <n v="15891"/>
    <s v="0.58"/>
    <s v="0.13"/>
    <s v="0.73"/>
    <s v="0.1"/>
    <s v="0.07"/>
    <n v="6535"/>
    <s v="K - D diff."/>
    <n v="1544"/>
    <n v="2226"/>
    <s v="0.69"/>
    <s v="0.92"/>
    <s v="72.00%"/>
    <s v="14.50%"/>
    <n v="9356"/>
    <n v="4413"/>
    <n v="1600"/>
    <n v="446"/>
    <n v="70"/>
    <n v="6"/>
    <n v="6199"/>
    <n v="93"/>
    <n v="1340"/>
    <n v="1499"/>
    <n v="101"/>
    <n v="54"/>
    <s v="0.9"/>
    <n v="3640.6"/>
    <x v="2"/>
  </r>
  <r>
    <n v="16080"/>
    <s v="dycha"/>
    <s v="PaweÅ‚ Dycha"/>
    <x v="2"/>
    <x v="3"/>
    <s v="ENCE"/>
    <s v="ENCE, Sprout, Aristocracy"/>
    <n v="15852"/>
    <n v="14609"/>
    <s v="53.60%"/>
    <s v="81.2"/>
    <s v="4.7"/>
    <n v="813"/>
    <n v="21781"/>
    <s v="0.73"/>
    <s v="0.14"/>
    <s v="0.67"/>
    <s v="0.09"/>
    <s v="0.09"/>
    <n v="10475"/>
    <s v="K - D diff."/>
    <n v="2383"/>
    <n v="2329"/>
    <s v="1.02"/>
    <s v="1.04"/>
    <s v="72.60%"/>
    <s v="15.10%"/>
    <n v="11306"/>
    <n v="6514"/>
    <n v="2789"/>
    <n v="954"/>
    <n v="192"/>
    <n v="26"/>
    <n v="11434"/>
    <n v="539"/>
    <n v="861"/>
    <n v="2778"/>
    <n v="225"/>
    <n v="39"/>
    <s v="1.12"/>
    <n v="5573.6315789473683"/>
    <x v="0"/>
  </r>
  <r>
    <n v="16314"/>
    <s v="pancc"/>
    <s v="Fillipe Martins"/>
    <x v="2"/>
    <x v="6"/>
    <m/>
    <s v="W7M, Sharks"/>
    <n v="11087"/>
    <n v="10300"/>
    <s v="53.60%"/>
    <s v="79.9"/>
    <s v="5.2"/>
    <n v="581"/>
    <n v="15327"/>
    <s v="0.72"/>
    <s v="0.14"/>
    <s v="0.67"/>
    <s v="0.09"/>
    <s v="0.1"/>
    <n v="7366"/>
    <s v="K - D diff."/>
    <n v="1735"/>
    <n v="1631"/>
    <s v="1.06"/>
    <s v="1.06"/>
    <s v="74.70%"/>
    <s v="16.30%"/>
    <n v="7961"/>
    <n v="4630"/>
    <n v="1933"/>
    <n v="644"/>
    <n v="136"/>
    <n v="23"/>
    <n v="8327"/>
    <n v="113"/>
    <n v="724"/>
    <n v="1736"/>
    <n v="188"/>
    <n v="31"/>
    <s v="1.11"/>
    <n v="3919.6315789473683"/>
    <x v="2"/>
  </r>
  <r>
    <n v="8875"/>
    <s v="gade"/>
    <s v="Nicklas Gade"/>
    <x v="6"/>
    <x v="2"/>
    <s v="BIG"/>
    <s v="North, North Academy, OpTic"/>
    <n v="16756"/>
    <n v="16884"/>
    <s v="53.60%"/>
    <s v="72.5"/>
    <s v="3.6"/>
    <n v="964"/>
    <n v="25326"/>
    <s v="0.66"/>
    <s v="0.12"/>
    <s v="0.67"/>
    <s v="0.1"/>
    <s v="0.1"/>
    <n v="11274"/>
    <s v="K - D diff."/>
    <n v="2370"/>
    <n v="2666"/>
    <s v="0.89"/>
    <s v="0.96"/>
    <s v="73.20%"/>
    <s v="13.50%"/>
    <n v="14052"/>
    <n v="7151"/>
    <n v="2994"/>
    <n v="922"/>
    <n v="185"/>
    <n v="22"/>
    <n v="12899"/>
    <n v="96"/>
    <n v="888"/>
    <n v="2648"/>
    <n v="193"/>
    <n v="63"/>
    <s v="0.99"/>
    <n v="6229.105263157895"/>
    <x v="0"/>
  </r>
  <r>
    <n v="7168"/>
    <s v="NBK-"/>
    <s v="Nathan Schmitt"/>
    <x v="8"/>
    <x v="26"/>
    <s v="MOUZ"/>
    <s v="Envy, G2, Vitality, OG, VeryGames"/>
    <n v="37156"/>
    <n v="35837"/>
    <s v="53.70%"/>
    <s v="76.9"/>
    <s v="3.4"/>
    <n v="2051"/>
    <n v="53635"/>
    <s v="0.69"/>
    <s v="0.15"/>
    <s v="0.67"/>
    <s v="0.1"/>
    <s v="0.08"/>
    <n v="24791"/>
    <s v="K - D diff."/>
    <n v="5699"/>
    <n v="6017"/>
    <s v="0.95"/>
    <s v="1.01"/>
    <s v="74.60%"/>
    <s v="14.60%"/>
    <n v="28844"/>
    <n v="15565"/>
    <n v="6718"/>
    <n v="2012"/>
    <n v="441"/>
    <n v="55"/>
    <n v="26354"/>
    <n v="1429"/>
    <n v="1717"/>
    <n v="6915"/>
    <n v="333"/>
    <n v="454"/>
    <s v="1.02"/>
    <n v="13474.894736842105"/>
    <x v="1"/>
  </r>
  <r>
    <n v="17402"/>
    <s v="bedonka"/>
    <s v="Harry Hayes"/>
    <x v="9"/>
    <x v="16"/>
    <m/>
    <s v="Paradox, SYF"/>
    <n v="6857"/>
    <n v="6734"/>
    <s v="53.70%"/>
    <s v="76.8"/>
    <s v="4.1"/>
    <n v="379"/>
    <n v="9815"/>
    <s v="0.7"/>
    <s v="0.14"/>
    <s v="0.69"/>
    <s v="0.09"/>
    <s v="0.09"/>
    <n v="4581"/>
    <s v="K - D diff."/>
    <n v="960"/>
    <n v="1032"/>
    <s v="0.93"/>
    <s v="0.98"/>
    <s v="73.60%"/>
    <s v="14.20%"/>
    <n v="5234"/>
    <n v="2873"/>
    <n v="1235"/>
    <n v="388"/>
    <n v="75"/>
    <n v="10"/>
    <n v="4345"/>
    <n v="66"/>
    <n v="1258"/>
    <n v="1091"/>
    <n v="80"/>
    <n v="31"/>
    <s v="1.06"/>
    <n v="2476"/>
    <x v="3"/>
  </r>
  <r>
    <n v="16859"/>
    <s v="shokz"/>
    <s v="Kristjan Jakobson"/>
    <x v="2"/>
    <x v="41"/>
    <s v="Finest"/>
    <s v="Finest, Movistar Riders"/>
    <n v="11901"/>
    <n v="11490"/>
    <s v="53.70%"/>
    <n v="75"/>
    <s v="3.6"/>
    <n v="657"/>
    <n v="17509"/>
    <s v="0.68"/>
    <s v="0.12"/>
    <s v="0.66"/>
    <s v="0.08"/>
    <s v="0.09"/>
    <n v="8061"/>
    <s v="K - D diff."/>
    <n v="1769"/>
    <n v="1781"/>
    <s v="0.99"/>
    <n v="1"/>
    <s v="71.70%"/>
    <s v="14.10%"/>
    <n v="9448"/>
    <n v="5175"/>
    <n v="2106"/>
    <n v="624"/>
    <n v="138"/>
    <n v="18"/>
    <n v="8639"/>
    <n v="259"/>
    <n v="607"/>
    <n v="2222"/>
    <n v="151"/>
    <n v="63"/>
    <s v="1.06"/>
    <n v="3937.8095238095239"/>
    <x v="2"/>
  </r>
  <r>
    <n v="12094"/>
    <n v="1962"/>
    <s v="Gabriel Sinopoli"/>
    <x v="13"/>
    <x v="32"/>
    <s v="Leviatan"/>
    <s v="Leviatan, Isurus"/>
    <n v="10684"/>
    <n v="10684"/>
    <s v="53.70%"/>
    <s v="76.7"/>
    <s v="3.8"/>
    <n v="579"/>
    <n v="15075"/>
    <s v="0.71"/>
    <s v="0.13"/>
    <s v="0.71"/>
    <s v="0.11"/>
    <s v="0.1"/>
    <n v="7093"/>
    <s v="K - D diff."/>
    <n v="1747"/>
    <n v="1793"/>
    <s v="0.97"/>
    <s v="1.05"/>
    <s v="72.80%"/>
    <s v="16.20%"/>
    <n v="7982"/>
    <n v="4448"/>
    <n v="1863"/>
    <n v="631"/>
    <n v="138"/>
    <n v="13"/>
    <n v="8025"/>
    <n v="125"/>
    <n v="541"/>
    <n v="1883"/>
    <n v="110"/>
    <n v="16"/>
    <s v="1.07"/>
    <n v="3864.7368421052633"/>
    <x v="2"/>
  </r>
  <r>
    <n v="13982"/>
    <s v="Forester"/>
    <s v="Igor Bezotecheskiy"/>
    <x v="9"/>
    <x v="1"/>
    <s v="Entropiq"/>
    <s v="Entropiq, DreamEaters, Hard Legion"/>
    <n v="22323"/>
    <n v="21240"/>
    <s v="53.80%"/>
    <s v="76.4"/>
    <s v="3.4"/>
    <n v="1211"/>
    <n v="32174"/>
    <s v="0.69"/>
    <s v="0.13"/>
    <s v="0.66"/>
    <s v="0.09"/>
    <s v="0.09"/>
    <n v="15071"/>
    <s v="K - D diff."/>
    <n v="3308"/>
    <n v="3025"/>
    <s v="1.09"/>
    <s v="1.02"/>
    <s v="74.70%"/>
    <s v="14.90%"/>
    <n v="17103"/>
    <n v="9577"/>
    <n v="4023"/>
    <n v="1217"/>
    <n v="221"/>
    <n v="33"/>
    <n v="17361"/>
    <n v="111"/>
    <n v="920"/>
    <n v="3616"/>
    <n v="297"/>
    <n v="83"/>
    <s v="1.08"/>
    <n v="8048.105263157895"/>
    <x v="1"/>
  </r>
  <r>
    <n v="8891"/>
    <s v="Nodios"/>
    <s v="Magnus Olsen"/>
    <x v="4"/>
    <x v="2"/>
    <s v="ex-AGF"/>
    <s v="Copenhagen Flames, x6tence"/>
    <n v="13169"/>
    <n v="12634"/>
    <s v="53.80%"/>
    <n v="76"/>
    <s v="5.1"/>
    <n v="720"/>
    <n v="19311"/>
    <s v="0.68"/>
    <s v="0.14"/>
    <s v="0.65"/>
    <s v="0.1"/>
    <s v="0.11"/>
    <n v="9005"/>
    <s v="K - D diff."/>
    <n v="1664"/>
    <n v="1619"/>
    <s v="1.03"/>
    <s v="0.96"/>
    <s v="72.10%"/>
    <s v="12.10%"/>
    <n v="10306"/>
    <n v="5882"/>
    <n v="2272"/>
    <n v="681"/>
    <n v="150"/>
    <n v="20"/>
    <n v="10012"/>
    <n v="286"/>
    <n v="402"/>
    <n v="2269"/>
    <n v="215"/>
    <n v="39"/>
    <s v="1.01"/>
    <n v="4536.6000000000004"/>
    <x v="2"/>
  </r>
  <r>
    <n v="11161"/>
    <s v="Drea3er"/>
    <s v="ZhiTao Zhang"/>
    <x v="6"/>
    <x v="35"/>
    <s v="CatEvil"/>
    <s v="New4, FIVE, BTRG"/>
    <n v="7210"/>
    <n v="7560"/>
    <s v="53.80%"/>
    <s v="73.8"/>
    <s v="2.7"/>
    <n v="415"/>
    <n v="10684"/>
    <s v="0.67"/>
    <s v="0.13"/>
    <s v="0.71"/>
    <s v="0.09"/>
    <s v="0.1"/>
    <n v="4894"/>
    <s v="K - D diff."/>
    <n v="996"/>
    <n v="1044"/>
    <s v="0.95"/>
    <s v="0.97"/>
    <s v="71.40%"/>
    <s v="13.80%"/>
    <n v="5790"/>
    <n v="3143"/>
    <n v="1286"/>
    <n v="375"/>
    <n v="80"/>
    <n v="10"/>
    <n v="4743"/>
    <n v="568"/>
    <n v="534"/>
    <n v="1305"/>
    <n v="53"/>
    <n v="29"/>
    <s v="1.01"/>
    <n v="2669.4210526315787"/>
    <x v="3"/>
  </r>
  <r>
    <n v="10367"/>
    <s v="ecfN"/>
    <s v="Lukas Kauer"/>
    <x v="13"/>
    <x v="14"/>
    <m/>
    <s v="ALTERNATE aTTaX"/>
    <n v="7387"/>
    <n v="7858"/>
    <s v="53.80%"/>
    <s v="75.1"/>
    <s v="3.1"/>
    <n v="426"/>
    <n v="11214"/>
    <s v="0.66"/>
    <s v="0.14"/>
    <s v="0.7"/>
    <s v="0.12"/>
    <s v="0.11"/>
    <n v="5084"/>
    <s v="K - D diff."/>
    <n v="1096"/>
    <n v="1175"/>
    <s v="0.93"/>
    <s v="0.98"/>
    <s v="70.50%"/>
    <s v="13.80%"/>
    <n v="6130"/>
    <n v="3313"/>
    <n v="1325"/>
    <n v="368"/>
    <n v="70"/>
    <n v="8"/>
    <n v="5276"/>
    <n v="129"/>
    <n v="680"/>
    <n v="1243"/>
    <n v="57"/>
    <n v="17"/>
    <s v="0.95"/>
    <n v="2781.8947368421054"/>
    <x v="3"/>
  </r>
  <r>
    <n v="1206"/>
    <s v="BTN"/>
    <s v="CÄƒtÄƒlin-IonuÈ› StÄƒnescu"/>
    <x v="7"/>
    <x v="40"/>
    <s v="Nexus"/>
    <s v="Nexus"/>
    <n v="17984"/>
    <n v="19997"/>
    <s v="53.80%"/>
    <s v="73.2"/>
    <s v="5.3"/>
    <n v="1069"/>
    <n v="28053"/>
    <s v="0.64"/>
    <s v="0.15"/>
    <s v="0.71"/>
    <s v="0.11"/>
    <s v="0.09"/>
    <n v="12427"/>
    <s v="K - D diff."/>
    <n v="2371"/>
    <n v="2870"/>
    <s v="0.83"/>
    <s v="0.92"/>
    <s v="74.30%"/>
    <s v="12.30%"/>
    <n v="15626"/>
    <n v="8127"/>
    <n v="3242"/>
    <n v="874"/>
    <n v="171"/>
    <n v="13"/>
    <n v="13044"/>
    <n v="217"/>
    <n v="977"/>
    <n v="3446"/>
    <n v="301"/>
    <n v="40"/>
    <s v="0.92"/>
    <n v="6886.7894736842109"/>
    <x v="0"/>
  </r>
  <r>
    <n v="2644"/>
    <s v="Hiko"/>
    <s v="Spencer Martin"/>
    <x v="0"/>
    <x v="0"/>
    <m/>
    <s v="Liquid, Rogue"/>
    <n v="16611"/>
    <n v="15079"/>
    <s v="53.90%"/>
    <s v="71.6"/>
    <n v="5"/>
    <n v="937"/>
    <n v="24398"/>
    <s v="0.68"/>
    <s v="0.14"/>
    <s v="0.62"/>
    <s v="0.1"/>
    <s v="0.11"/>
    <n v="11321"/>
    <s v="K - D diff."/>
    <n v="1560"/>
    <n v="1391"/>
    <s v="1.12"/>
    <s v="0.89"/>
    <s v="76.90%"/>
    <s v="9.40%"/>
    <n v="13077"/>
    <n v="7327"/>
    <n v="2944"/>
    <n v="859"/>
    <n v="172"/>
    <n v="19"/>
    <n v="12322"/>
    <n v="242"/>
    <n v="565"/>
    <n v="2929"/>
    <n v="249"/>
    <n v="336"/>
    <s v="1.04"/>
    <n v="5617.15"/>
    <x v="0"/>
  </r>
  <r>
    <n v="13179"/>
    <s v="RZU"/>
    <s v="Jeff Ngo"/>
    <x v="9"/>
    <x v="0"/>
    <s v="Brazen"/>
    <s v="Triumph, Bad News Bears, Rugratz"/>
    <n v="8255"/>
    <n v="8776"/>
    <s v="53.90%"/>
    <s v="73.9"/>
    <s v="3.8"/>
    <n v="466"/>
    <n v="12168"/>
    <s v="0.68"/>
    <s v="0.12"/>
    <s v="0.72"/>
    <s v="0.11"/>
    <s v="0.1"/>
    <n v="5641"/>
    <s v="K - D diff."/>
    <n v="1249"/>
    <n v="1432"/>
    <s v="0.87"/>
    <s v="0.98"/>
    <s v="72.10%"/>
    <s v="14.90%"/>
    <n v="6527"/>
    <n v="3659"/>
    <n v="1449"/>
    <n v="442"/>
    <n v="83"/>
    <n v="8"/>
    <n v="6067"/>
    <n v="200"/>
    <n v="450"/>
    <n v="1444"/>
    <n v="97"/>
    <n v="15"/>
    <s v="1.01"/>
    <n v="3075.1578947368421"/>
    <x v="3"/>
  </r>
  <r>
    <n v="7942"/>
    <s v="dERZKIY"/>
    <s v="Igor Radosavlevich"/>
    <x v="13"/>
    <x v="18"/>
    <s v="SHIPACHI"/>
    <s v="K29, ANOX"/>
    <n v="7217"/>
    <n v="7623"/>
    <s v="53.90%"/>
    <n v="72"/>
    <s v="2.3"/>
    <n v="419"/>
    <n v="10917"/>
    <s v="0.66"/>
    <s v="0.13"/>
    <s v="0.7"/>
    <s v="0.1"/>
    <s v="0.11"/>
    <n v="4997"/>
    <s v="K - D diff."/>
    <n v="836"/>
    <n v="938"/>
    <s v="0.89"/>
    <s v="0.91"/>
    <s v="73.80%"/>
    <s v="12.10%"/>
    <n v="5920"/>
    <n v="3312"/>
    <n v="1251"/>
    <n v="345"/>
    <n v="82"/>
    <n v="7"/>
    <n v="5542"/>
    <n v="53"/>
    <n v="167"/>
    <n v="1394"/>
    <n v="65"/>
    <n v="8"/>
    <s v="0.95"/>
    <n v="2558.25"/>
    <x v="3"/>
  </r>
  <r>
    <n v="14161"/>
    <s v="RAiLWAY"/>
    <s v="Artem Gradovich"/>
    <x v="13"/>
    <x v="1"/>
    <s v="INDE IRAE"/>
    <s v="INDE IRAE, Espada"/>
    <n v="8423"/>
    <n v="9077"/>
    <s v="53.90%"/>
    <s v="76.5"/>
    <s v="4.8"/>
    <n v="461"/>
    <n v="12365"/>
    <s v="0.68"/>
    <s v="0.13"/>
    <s v="0.73"/>
    <s v="0.09"/>
    <s v="0.08"/>
    <n v="5714"/>
    <s v="K - D diff."/>
    <n v="1358"/>
    <n v="1697"/>
    <s v="0.8"/>
    <s v="0.99"/>
    <s v="70.60%"/>
    <s v="15.80%"/>
    <n v="6651"/>
    <n v="3667"/>
    <n v="1486"/>
    <n v="469"/>
    <n v="83"/>
    <n v="9"/>
    <n v="6251"/>
    <n v="76"/>
    <n v="536"/>
    <n v="1427"/>
    <n v="127"/>
    <n v="25"/>
    <n v="1"/>
    <n v="2995.15"/>
    <x v="3"/>
  </r>
  <r>
    <n v="14202"/>
    <s v="coolio"/>
    <s v="AndrÃ¡s FercsÃ¡k"/>
    <x v="9"/>
    <x v="7"/>
    <s v="ONYX"/>
    <s v="Budapest Five, Salamander"/>
    <n v="5994"/>
    <n v="6599"/>
    <s v="53.90%"/>
    <n v="65"/>
    <s v="3.9"/>
    <n v="379"/>
    <n v="10205"/>
    <s v="0.59"/>
    <s v="0.11"/>
    <s v="0.65"/>
    <s v="0.1"/>
    <s v="0.1"/>
    <n v="4253"/>
    <s v="K - D diff."/>
    <n v="624"/>
    <n v="732"/>
    <s v="0.85"/>
    <s v="0.85"/>
    <s v="72.30%"/>
    <s v="8.90%"/>
    <n v="5952"/>
    <n v="2898"/>
    <n v="1034"/>
    <n v="265"/>
    <n v="47"/>
    <n v="9"/>
    <n v="4447"/>
    <n v="28"/>
    <n v="446"/>
    <n v="993"/>
    <n v="77"/>
    <n v="24"/>
    <s v="0.94"/>
    <n v="2253.5500000000002"/>
    <x v="3"/>
  </r>
  <r>
    <n v="14932"/>
    <s v="faveN"/>
    <s v="Josef Baumann"/>
    <x v="9"/>
    <x v="14"/>
    <s v="BIG"/>
    <s v="Sprout, EURONICS"/>
    <n v="26565"/>
    <n v="23485"/>
    <s v="54.20%"/>
    <s v="78.5"/>
    <s v="3.3"/>
    <n v="1348"/>
    <n v="36024"/>
    <s v="0.74"/>
    <s v="0.12"/>
    <s v="0.65"/>
    <s v="0.1"/>
    <s v="0.12"/>
    <n v="17746"/>
    <s v="K - D diff."/>
    <n v="3768"/>
    <n v="3265"/>
    <s v="1.15"/>
    <s v="1.04"/>
    <s v="71.50%"/>
    <s v="14.30%"/>
    <n v="18278"/>
    <n v="11127"/>
    <n v="4793"/>
    <n v="1492"/>
    <n v="294"/>
    <n v="40"/>
    <n v="18498"/>
    <n v="1861"/>
    <n v="1465"/>
    <n v="4474"/>
    <n v="262"/>
    <n v="75"/>
    <s v="1.13"/>
    <n v="9203.1578947368416"/>
    <x v="1"/>
  </r>
  <r>
    <n v="14737"/>
    <s v="meyern"/>
    <s v="Ignacio Meyer"/>
    <x v="12"/>
    <x v="32"/>
    <s v="Leviatan"/>
    <s v="Furious, MIBR, Isurus, Sharks"/>
    <n v="8277"/>
    <n v="7541"/>
    <s v="54.20%"/>
    <s v="76.8"/>
    <s v="3.5"/>
    <n v="436"/>
    <n v="11379"/>
    <s v="0.73"/>
    <s v="0.11"/>
    <s v="0.66"/>
    <s v="0.1"/>
    <s v="0.13"/>
    <n v="5478"/>
    <s v="K - D diff."/>
    <n v="1205"/>
    <n v="1041"/>
    <s v="1.16"/>
    <s v="1.04"/>
    <s v="75.70%"/>
    <s v="15.50%"/>
    <n v="5901"/>
    <n v="3430"/>
    <n v="1451"/>
    <n v="459"/>
    <n v="122"/>
    <n v="16"/>
    <n v="5662"/>
    <n v="862"/>
    <n v="273"/>
    <n v="1427"/>
    <n v="60"/>
    <n v="16"/>
    <s v="1.11"/>
    <n v="2896.6315789473683"/>
    <x v="3"/>
  </r>
  <r>
    <n v="2241"/>
    <s v="rmn"/>
    <s v="Ricardo Oliveira"/>
    <x v="5"/>
    <x v="31"/>
    <s v="SAW"/>
    <s v="SAW, k1ck, Giants"/>
    <n v="20149"/>
    <n v="20180"/>
    <s v="54.20%"/>
    <s v="74.3"/>
    <s v="3.6"/>
    <n v="1129"/>
    <n v="29540"/>
    <s v="0.68"/>
    <s v="0.13"/>
    <s v="0.68"/>
    <s v="0.1"/>
    <s v="0.11"/>
    <n v="13745"/>
    <s v="K - D diff."/>
    <n v="2813"/>
    <n v="2563"/>
    <s v="1.1"/>
    <n v="1"/>
    <s v="74.20%"/>
    <s v="14.10%"/>
    <n v="15795"/>
    <n v="8857"/>
    <n v="3619"/>
    <n v="1055"/>
    <n v="194"/>
    <n v="20"/>
    <n v="15379"/>
    <n v="435"/>
    <n v="878"/>
    <n v="3245"/>
    <n v="181"/>
    <n v="79"/>
    <s v="0.99"/>
    <n v="6992.85"/>
    <x v="1"/>
  </r>
  <r>
    <n v="14176"/>
    <s v="misutaaa"/>
    <s v="KÃ©vin Rabier"/>
    <x v="12"/>
    <x v="26"/>
    <s v="Vitality"/>
    <s v="Vitality"/>
    <n v="7663"/>
    <n v="8064"/>
    <s v="54.20%"/>
    <s v="68.1"/>
    <s v="2.9"/>
    <n v="458"/>
    <n v="12112"/>
    <s v="0.63"/>
    <s v="0.11"/>
    <s v="0.67"/>
    <s v="0.12"/>
    <s v="0.11"/>
    <n v="5226"/>
    <s v="K - D diff."/>
    <n v="1087"/>
    <n v="1274"/>
    <s v="0.85"/>
    <s v="0.94"/>
    <s v="73.00%"/>
    <s v="12.60%"/>
    <n v="6886"/>
    <n v="3422"/>
    <n v="1283"/>
    <n v="419"/>
    <n v="92"/>
    <n v="10"/>
    <n v="5677"/>
    <n v="55"/>
    <n v="595"/>
    <n v="1261"/>
    <n v="80"/>
    <n v="10"/>
    <n v="1"/>
    <n v="2783.75"/>
    <x v="3"/>
  </r>
  <r>
    <n v="11039"/>
    <s v="JazzPimp"/>
    <s v="Dominick Dimpfel"/>
    <x v="3"/>
    <x v="0"/>
    <s v="Gaimin Gladiators"/>
    <s v="Gaimin Gladiators, Recon 5, ChocoCheck"/>
    <n v="7819"/>
    <n v="8168"/>
    <s v="54.30%"/>
    <s v="74.9"/>
    <s v="3.5"/>
    <n v="438"/>
    <n v="11485"/>
    <s v="0.68"/>
    <s v="0.13"/>
    <s v="0.71"/>
    <s v="0.1"/>
    <s v="0.11"/>
    <n v="5420"/>
    <s v="K - D diff."/>
    <n v="1047"/>
    <n v="1155"/>
    <s v="0.91"/>
    <s v="0.95"/>
    <s v="73.40%"/>
    <s v="13.30%"/>
    <n v="6065"/>
    <n v="3552"/>
    <n v="1419"/>
    <n v="372"/>
    <n v="72"/>
    <n v="5"/>
    <n v="5737"/>
    <n v="250"/>
    <n v="442"/>
    <n v="1318"/>
    <n v="74"/>
    <n v="44"/>
    <s v="1.01"/>
    <n v="2888.5263157894738"/>
    <x v="3"/>
  </r>
  <r>
    <n v="7943"/>
    <s v="uNdo"/>
    <s v="Alexander Kiziukevich"/>
    <x v="6"/>
    <x v="18"/>
    <s v="VRTX"/>
    <s v="Unique, Quantum Bellator Fire, Space Jam"/>
    <n v="7217"/>
    <n v="7588"/>
    <s v="54.30%"/>
    <s v="70.3"/>
    <s v="2.8"/>
    <n v="431"/>
    <n v="11262"/>
    <s v="0.64"/>
    <s v="0.12"/>
    <s v="0.67"/>
    <s v="0.08"/>
    <s v="0.09"/>
    <n v="5052"/>
    <s v="K - D diff."/>
    <n v="841"/>
    <n v="936"/>
    <s v="0.9"/>
    <s v="0.9"/>
    <s v="67.30%"/>
    <s v="10.40%"/>
    <n v="6210"/>
    <n v="3387"/>
    <n v="1256"/>
    <n v="326"/>
    <n v="76"/>
    <n v="7"/>
    <n v="5372"/>
    <n v="40"/>
    <n v="396"/>
    <n v="1330"/>
    <n v="74"/>
    <n v="15"/>
    <s v="0.94"/>
    <n v="2727.1578947368421"/>
    <x v="3"/>
  </r>
  <r>
    <n v="1146"/>
    <s v="dennis"/>
    <s v="Dennis Edman"/>
    <x v="14"/>
    <x v="15"/>
    <m/>
    <s v="Apeks, fnatic, NIP, GamerLegion"/>
    <n v="29842"/>
    <n v="28702"/>
    <s v="54.40%"/>
    <s v="76.5"/>
    <n v="4"/>
    <n v="1575"/>
    <n v="41834"/>
    <s v="0.71"/>
    <s v="0.12"/>
    <s v="0.69"/>
    <s v="0.09"/>
    <s v="0.1"/>
    <n v="20154"/>
    <s v="K - D diff."/>
    <n v="4356"/>
    <n v="3997"/>
    <s v="1.09"/>
    <s v="1.03"/>
    <s v="73.70%"/>
    <s v="15.00%"/>
    <n v="21680"/>
    <n v="12864"/>
    <n v="5312"/>
    <n v="1607"/>
    <n v="335"/>
    <n v="36"/>
    <n v="20505"/>
    <n v="2668"/>
    <n v="912"/>
    <n v="5385"/>
    <n v="339"/>
    <n v="82"/>
    <s v="1.03"/>
    <n v="10109.450000000001"/>
    <x v="1"/>
  </r>
  <r>
    <n v="19236"/>
    <s v="KENSI"/>
    <s v="Aleksandr Gurkin"/>
    <x v="11"/>
    <x v="1"/>
    <s v="forZe"/>
    <s v="forZe, ex-ETHEREAL"/>
    <n v="10006"/>
    <n v="9327"/>
    <s v="54.40%"/>
    <s v="73.6"/>
    <s v="4.7"/>
    <n v="546"/>
    <n v="14716"/>
    <s v="0.68"/>
    <s v="0.12"/>
    <s v="0.63"/>
    <s v="0.09"/>
    <s v="0.09"/>
    <n v="6844"/>
    <s v="K - D diff."/>
    <n v="1332"/>
    <n v="1385"/>
    <s v="0.96"/>
    <s v="0.96"/>
    <s v="73.90%"/>
    <s v="12.80%"/>
    <n v="7872"/>
    <n v="4405"/>
    <n v="1823"/>
    <n v="521"/>
    <n v="83"/>
    <n v="12"/>
    <n v="7744"/>
    <n v="206"/>
    <n v="250"/>
    <n v="1668"/>
    <n v="150"/>
    <n v="21"/>
    <s v="1.07"/>
    <n v="3626.8947368421054"/>
    <x v="2"/>
  </r>
  <r>
    <n v="16495"/>
    <s v="kory"/>
    <s v="KornÃ©l SzedlÃ¡r"/>
    <x v="2"/>
    <x v="7"/>
    <s v="Sangal"/>
    <s v="Sangal, Budapest Five, Salamander"/>
    <n v="9068"/>
    <n v="9143"/>
    <s v="54.40%"/>
    <s v="77.3"/>
    <s v="4.4"/>
    <n v="489"/>
    <n v="13011"/>
    <s v="0.7"/>
    <s v="0.14"/>
    <s v="0.7"/>
    <s v="0.11"/>
    <s v="0.12"/>
    <n v="6166"/>
    <s v="K - D diff."/>
    <n v="1594"/>
    <n v="1607"/>
    <s v="0.99"/>
    <s v="1.07"/>
    <s v="68.30%"/>
    <s v="17.00%"/>
    <n v="6845"/>
    <n v="3940"/>
    <n v="1664"/>
    <n v="459"/>
    <n v="92"/>
    <n v="11"/>
    <n v="6517"/>
    <n v="435"/>
    <n v="385"/>
    <n v="1628"/>
    <n v="108"/>
    <n v="30"/>
    <s v="1.06"/>
    <n v="3325.8947368421054"/>
    <x v="2"/>
  </r>
  <r>
    <n v="13992"/>
    <s v="Zix"/>
    <s v="Krasen Minchev"/>
    <x v="4"/>
    <x v="9"/>
    <m/>
    <s v="Bpro"/>
    <n v="7076"/>
    <n v="7242"/>
    <s v="54.40%"/>
    <n v="75"/>
    <s v="4.4"/>
    <n v="400"/>
    <n v="10329"/>
    <s v="0.69"/>
    <s v="0.14"/>
    <s v="0.7"/>
    <s v="0.12"/>
    <s v="0.11"/>
    <n v="4763"/>
    <s v="K - D diff."/>
    <n v="1001"/>
    <n v="1083"/>
    <s v="0.92"/>
    <s v="0.98"/>
    <s v="74.00%"/>
    <s v="13.90%"/>
    <n v="5566"/>
    <n v="3000"/>
    <n v="1304"/>
    <n v="373"/>
    <n v="81"/>
    <n v="5"/>
    <n v="5327"/>
    <n v="29"/>
    <n v="425"/>
    <n v="1238"/>
    <n v="66"/>
    <n v="5"/>
    <s v="1.04"/>
    <n v="2469.4"/>
    <x v="3"/>
  </r>
  <r>
    <n v="1064"/>
    <s v="crisby"/>
    <s v="Christian Schmitt"/>
    <x v="5"/>
    <x v="14"/>
    <s v="OG Academy"/>
    <s v="ALTERNATE aTTaX, EURONICS, Unicorns of Love"/>
    <n v="20610"/>
    <n v="22423"/>
    <s v="54.40%"/>
    <s v="71.5"/>
    <s v="3.4"/>
    <n v="1209"/>
    <n v="31542"/>
    <s v="0.65"/>
    <s v="0.13"/>
    <s v="0.71"/>
    <s v="0.11"/>
    <s v="0.1"/>
    <n v="14188"/>
    <s v="K - D diff."/>
    <n v="2911"/>
    <n v="3167"/>
    <s v="0.92"/>
    <s v="0.96"/>
    <s v="72.80%"/>
    <s v="13.50%"/>
    <n v="17354"/>
    <n v="9294"/>
    <n v="3619"/>
    <n v="1053"/>
    <n v="204"/>
    <n v="18"/>
    <n v="15161"/>
    <n v="730"/>
    <n v="904"/>
    <n v="3541"/>
    <n v="277"/>
    <n v="32"/>
    <s v="0.93"/>
    <n v="7801.9473684210525"/>
    <x v="1"/>
  </r>
  <r>
    <n v="9521"/>
    <s v="dobu"/>
    <s v="Gan-Erdene Batbold"/>
    <x v="4"/>
    <x v="34"/>
    <s v="NKT"/>
    <s v="5POWER, TIGER, TheMongolz"/>
    <n v="15000"/>
    <n v="14372"/>
    <s v="54.50%"/>
    <n v="80"/>
    <s v="3.6"/>
    <n v="801"/>
    <n v="21013"/>
    <s v="0.71"/>
    <s v="0.15"/>
    <s v="0.68"/>
    <s v="0.1"/>
    <s v="0.1"/>
    <n v="10039"/>
    <s v="K - D diff."/>
    <n v="2381"/>
    <n v="2396"/>
    <s v="0.99"/>
    <s v="1.04"/>
    <s v="73.60%"/>
    <s v="15.80%"/>
    <n v="10974"/>
    <n v="6297"/>
    <n v="2722"/>
    <n v="838"/>
    <n v="165"/>
    <n v="17"/>
    <n v="11252"/>
    <n v="340"/>
    <n v="684"/>
    <n v="2567"/>
    <n v="148"/>
    <n v="51"/>
    <s v="1.03"/>
    <n v="5106.8500000000004"/>
    <x v="0"/>
  </r>
  <r>
    <n v="7594"/>
    <s v="flamie"/>
    <s v="Egor Vasilyev"/>
    <x v="3"/>
    <x v="1"/>
    <s v="1WIN"/>
    <s v="Natus Vincere"/>
    <n v="29923"/>
    <n v="28568"/>
    <s v="54.50%"/>
    <n v="75"/>
    <s v="3.9"/>
    <n v="1627"/>
    <n v="42977"/>
    <s v="0.7"/>
    <s v="0.14"/>
    <s v="0.66"/>
    <s v="0.09"/>
    <s v="0.09"/>
    <n v="20241"/>
    <s v="K - D diff."/>
    <n v="3966"/>
    <n v="4020"/>
    <s v="0.99"/>
    <s v="0.97"/>
    <s v="73.30%"/>
    <s v="13.00%"/>
    <n v="22736"/>
    <n v="12967"/>
    <n v="5306"/>
    <n v="1590"/>
    <n v="343"/>
    <n v="35"/>
    <n v="21090"/>
    <n v="1754"/>
    <n v="1628"/>
    <n v="5124"/>
    <n v="290"/>
    <n v="90"/>
    <s v="1.02"/>
    <n v="10217.5"/>
    <x v="1"/>
  </r>
  <r>
    <n v="9811"/>
    <s v="PlesseN"/>
    <s v="Niclas Plessen"/>
    <x v="2"/>
    <x v="15"/>
    <s v="Finest"/>
    <s v="Galaxy Racer, Chaos, Japaleno, Red Reserve, fnatic Academy"/>
    <n v="24862"/>
    <n v="24630"/>
    <s v="54.50%"/>
    <s v="80.3"/>
    <s v="5.7"/>
    <n v="1310"/>
    <n v="35095"/>
    <s v="0.71"/>
    <s v="0.15"/>
    <s v="0.7"/>
    <s v="0.1"/>
    <s v="0.09"/>
    <n v="16590"/>
    <s v="K - D diff."/>
    <n v="4195"/>
    <n v="4187"/>
    <n v="1"/>
    <s v="1.07"/>
    <s v="71.70%"/>
    <s v="16.90%"/>
    <n v="18505"/>
    <n v="10393"/>
    <n v="4478"/>
    <n v="1393"/>
    <n v="296"/>
    <n v="30"/>
    <n v="16674"/>
    <n v="1495"/>
    <n v="1786"/>
    <n v="4512"/>
    <n v="352"/>
    <n v="89"/>
    <s v="1.01"/>
    <n v="8543.65"/>
    <x v="1"/>
  </r>
  <r>
    <n v="9960"/>
    <s v="frozen"/>
    <s v="David ÄŒerÅˆanskÃ½"/>
    <x v="11"/>
    <x v="17"/>
    <s v="MOUZ"/>
    <s v="MOUZ, eXtatus"/>
    <n v="24136"/>
    <n v="20574"/>
    <s v="54.60%"/>
    <s v="82.9"/>
    <s v="5.1"/>
    <n v="1218"/>
    <n v="31866"/>
    <s v="0.76"/>
    <s v="0.13"/>
    <s v="0.65"/>
    <s v="0.09"/>
    <s v="0.11"/>
    <n v="15834"/>
    <s v="K - D diff."/>
    <n v="3463"/>
    <n v="3098"/>
    <s v="1.12"/>
    <s v="1.05"/>
    <s v="73.50%"/>
    <s v="15.10%"/>
    <n v="16032"/>
    <n v="9799"/>
    <n v="4184"/>
    <n v="1471"/>
    <n v="344"/>
    <n v="36"/>
    <n v="17384"/>
    <n v="1178"/>
    <n v="849"/>
    <n v="4379"/>
    <n v="333"/>
    <n v="100"/>
    <s v="1.12"/>
    <n v="8225.1578947368416"/>
    <x v="1"/>
  </r>
  <r>
    <n v="16948"/>
    <s v="TRAVIS"/>
    <s v="Aleksandr Timkiv"/>
    <x v="2"/>
    <x v="1"/>
    <s v="1WIN"/>
    <s v="1WIN"/>
    <n v="9492"/>
    <n v="9060"/>
    <s v="54.60%"/>
    <s v="78.8"/>
    <s v="4.3"/>
    <n v="508"/>
    <n v="13542"/>
    <s v="0.7"/>
    <s v="0.14"/>
    <s v="0.67"/>
    <s v="0.1"/>
    <s v="0.08"/>
    <n v="6354"/>
    <s v="K - D diff."/>
    <n v="1621"/>
    <n v="1733"/>
    <s v="0.94"/>
    <s v="1.05"/>
    <s v="72.20%"/>
    <s v="16.60%"/>
    <n v="7188"/>
    <n v="4022"/>
    <n v="1681"/>
    <n v="512"/>
    <n v="123"/>
    <n v="16"/>
    <n v="7288"/>
    <n v="42"/>
    <n v="417"/>
    <n v="1645"/>
    <n v="89"/>
    <n v="45"/>
    <s v="1.11"/>
    <n v="3440.9473684210525"/>
    <x v="2"/>
  </r>
  <r>
    <n v="10611"/>
    <s v="Fadey"/>
    <s v="Rhys Armstrong"/>
    <x v="2"/>
    <x v="33"/>
    <s v="ATK"/>
    <s v="ATK, Bravado"/>
    <n v="12715"/>
    <n v="13196"/>
    <s v="54.60%"/>
    <n v="76"/>
    <s v="3.7"/>
    <n v="712"/>
    <n v="18356"/>
    <s v="0.69"/>
    <s v="0.13"/>
    <s v="0.72"/>
    <s v="0.11"/>
    <s v="0.1"/>
    <n v="8505"/>
    <s v="K - D diff."/>
    <n v="2197"/>
    <n v="2549"/>
    <s v="0.86"/>
    <s v="1.03"/>
    <s v="73.30%"/>
    <s v="16.80%"/>
    <n v="9851"/>
    <n v="5324"/>
    <n v="2324"/>
    <n v="698"/>
    <n v="146"/>
    <n v="13"/>
    <n v="9887"/>
    <n v="286"/>
    <n v="346"/>
    <n v="2072"/>
    <n v="118"/>
    <n v="30"/>
    <s v="0.98"/>
    <n v="4470.05"/>
    <x v="2"/>
  </r>
  <r>
    <n v="3732"/>
    <s v="F1KU"/>
    <s v="Maciej Miklas"/>
    <x v="12"/>
    <x v="3"/>
    <s v="OG"/>
    <s v="lvlUP, RESISTANCE, ONYX, 4glory"/>
    <n v="11580"/>
    <n v="11225"/>
    <s v="54.70%"/>
    <s v="77.9"/>
    <s v="5.1"/>
    <n v="608"/>
    <n v="16549"/>
    <s v="0.7"/>
    <s v="0.13"/>
    <s v="0.68"/>
    <s v="0.09"/>
    <s v="0.09"/>
    <n v="7687"/>
    <s v="K - D diff."/>
    <n v="1680"/>
    <n v="1820"/>
    <s v="0.92"/>
    <s v="0.99"/>
    <s v="70.10%"/>
    <s v="14.10%"/>
    <n v="8862"/>
    <n v="4814"/>
    <n v="2049"/>
    <n v="644"/>
    <n v="164"/>
    <n v="16"/>
    <n v="8612"/>
    <n v="366"/>
    <n v="378"/>
    <n v="2085"/>
    <n v="151"/>
    <n v="48"/>
    <s v="1.07"/>
    <n v="4175.6842105263158"/>
    <x v="2"/>
  </r>
  <r>
    <n v="15117"/>
    <s v="Keoz"/>
    <s v="Nicolas Dgus"/>
    <x v="10"/>
    <x v="23"/>
    <s v="Falcons"/>
    <s v="Syman, LDLC, K23"/>
    <n v="14980"/>
    <n v="15598"/>
    <s v="54.70%"/>
    <s v="75.1"/>
    <s v="4.9"/>
    <n v="832"/>
    <n v="22130"/>
    <s v="0.68"/>
    <s v="0.13"/>
    <s v="0.7"/>
    <s v="0.11"/>
    <s v="0.09"/>
    <n v="10089"/>
    <s v="K - D diff."/>
    <n v="2408"/>
    <n v="2720"/>
    <s v="0.89"/>
    <s v="1.01"/>
    <s v="72.90%"/>
    <s v="15.80%"/>
    <n v="12041"/>
    <n v="6409"/>
    <n v="2652"/>
    <n v="861"/>
    <n v="151"/>
    <n v="16"/>
    <n v="10575"/>
    <n v="985"/>
    <n v="704"/>
    <n v="2483"/>
    <n v="218"/>
    <n v="66"/>
    <s v="1.03"/>
    <n v="5574.6315789473683"/>
    <x v="0"/>
  </r>
  <r>
    <n v="16731"/>
    <s v="IceBerg"/>
    <s v="Oliver Berg"/>
    <x v="10"/>
    <x v="2"/>
    <s v="Tricked"/>
    <s v="Tricked, Singularity, Ambush"/>
    <n v="6411"/>
    <n v="7554"/>
    <s v="54.70%"/>
    <s v="71.4"/>
    <s v="3.9"/>
    <n v="379"/>
    <n v="10111"/>
    <s v="0.63"/>
    <s v="0.13"/>
    <s v="0.75"/>
    <s v="0.11"/>
    <s v="0.09"/>
    <n v="4371"/>
    <s v="K - D diff."/>
    <n v="1106"/>
    <n v="1481"/>
    <s v="0.75"/>
    <s v="0.97"/>
    <s v="70.80%"/>
    <s v="16.40%"/>
    <n v="5740"/>
    <n v="2819"/>
    <n v="1151"/>
    <n v="322"/>
    <n v="71"/>
    <n v="8"/>
    <n v="4862"/>
    <n v="51"/>
    <n v="443"/>
    <n v="986"/>
    <n v="54"/>
    <n v="34"/>
    <s v="0.94"/>
    <n v="2523.8947368421054"/>
    <x v="3"/>
  </r>
  <r>
    <n v="12004"/>
    <s v="clax"/>
    <s v="Timur Sabirov"/>
    <x v="11"/>
    <x v="1"/>
    <s v="K23"/>
    <s v="K23, Trident, Cyber Legacy, Singularity, EXTREMUM"/>
    <n v="7015"/>
    <n v="6742"/>
    <s v="54.80%"/>
    <n v="75"/>
    <s v="4.7"/>
    <n v="387"/>
    <n v="10293"/>
    <s v="0.68"/>
    <s v="0.11"/>
    <s v="0.66"/>
    <s v="0.09"/>
    <s v="0.1"/>
    <n v="4790"/>
    <s v="K - D diff."/>
    <n v="831"/>
    <n v="829"/>
    <n v="1"/>
    <s v="0.94"/>
    <s v="68.40%"/>
    <s v="11.10%"/>
    <n v="5503"/>
    <n v="3092"/>
    <n v="1265"/>
    <n v="348"/>
    <n v="76"/>
    <n v="9"/>
    <n v="5231"/>
    <n v="123"/>
    <n v="383"/>
    <n v="1208"/>
    <n v="60"/>
    <n v="23"/>
    <s v="1.04"/>
    <n v="2299.2380952380954"/>
    <x v="3"/>
  </r>
  <r>
    <n v="11515"/>
    <s v="kenzor"/>
    <s v="Leonard Volodarchuk"/>
    <x v="3"/>
    <x v="29"/>
    <s v="GUESS"/>
    <s v="pro100"/>
    <n v="10785"/>
    <n v="10728"/>
    <s v="54.80%"/>
    <s v="76.6"/>
    <s v="2.6"/>
    <n v="598"/>
    <n v="15627"/>
    <s v="0.69"/>
    <s v="0.13"/>
    <s v="0.69"/>
    <s v="0.1"/>
    <s v="0.11"/>
    <n v="7316"/>
    <s v="K - D diff."/>
    <n v="1522"/>
    <n v="1482"/>
    <s v="1.03"/>
    <n v="1"/>
    <s v="71.00%"/>
    <s v="14.00%"/>
    <n v="8311"/>
    <n v="4710"/>
    <n v="1905"/>
    <n v="557"/>
    <n v="126"/>
    <n v="18"/>
    <n v="7491"/>
    <n v="618"/>
    <n v="509"/>
    <n v="2103"/>
    <n v="63"/>
    <n v="34"/>
    <s v="1.05"/>
    <n v="3725.2"/>
    <x v="2"/>
  </r>
  <r>
    <n v="9819"/>
    <s v="doto"/>
    <s v="Joonas Forss"/>
    <x v="13"/>
    <x v="4"/>
    <s v="HAVU"/>
    <s v="HAVU, ENCE"/>
    <n v="11512"/>
    <n v="11696"/>
    <s v="54.80%"/>
    <s v="74.6"/>
    <s v="4.5"/>
    <n v="648"/>
    <n v="17287"/>
    <s v="0.67"/>
    <s v="0.14"/>
    <s v="0.68"/>
    <s v="0.09"/>
    <s v="0.09"/>
    <n v="7772"/>
    <s v="K - D diff."/>
    <n v="1718"/>
    <n v="1991"/>
    <s v="0.86"/>
    <s v="0.97"/>
    <s v="73.20%"/>
    <s v="14.00%"/>
    <n v="9515"/>
    <n v="4902"/>
    <n v="2139"/>
    <n v="606"/>
    <n v="111"/>
    <n v="14"/>
    <n v="8061"/>
    <n v="715"/>
    <n v="579"/>
    <n v="2001"/>
    <n v="124"/>
    <n v="75"/>
    <s v="0.98"/>
    <n v="4287.6842105263158"/>
    <x v="2"/>
  </r>
  <r>
    <n v="19038"/>
    <s v="PR1mE"/>
    <s v="Mathias Carlsen"/>
    <x v="10"/>
    <x v="2"/>
    <s v="Tricked"/>
    <s v="Tricked"/>
    <n v="7572"/>
    <n v="7962"/>
    <s v="54.80%"/>
    <s v="71.8"/>
    <s v="4.2"/>
    <n v="424"/>
    <n v="11470"/>
    <s v="0.66"/>
    <s v="0.11"/>
    <s v="0.69"/>
    <s v="0.09"/>
    <s v="0.1"/>
    <n v="5184"/>
    <s v="K - D diff."/>
    <n v="1179"/>
    <n v="1319"/>
    <s v="0.89"/>
    <s v="0.99"/>
    <s v="74.30%"/>
    <s v="15.60%"/>
    <n v="6286"/>
    <n v="3357"/>
    <n v="1348"/>
    <n v="402"/>
    <n v="72"/>
    <n v="5"/>
    <n v="5684"/>
    <n v="290"/>
    <n v="402"/>
    <n v="1091"/>
    <n v="101"/>
    <n v="28"/>
    <s v="0.99"/>
    <n v="2851.3684210526317"/>
    <x v="3"/>
  </r>
  <r>
    <n v="11199"/>
    <s v="beastik"/>
    <s v="Sebastian DaÅˆo"/>
    <x v="2"/>
    <x v="22"/>
    <s v="SINNERS"/>
    <s v="SINNERS"/>
    <n v="12582"/>
    <n v="13207"/>
    <s v="54.80%"/>
    <n v="71"/>
    <s v="4.6"/>
    <n v="730"/>
    <n v="19608"/>
    <s v="0.64"/>
    <s v="0.13"/>
    <s v="0.67"/>
    <s v="0.11"/>
    <s v="0.07"/>
    <n v="8615"/>
    <s v="K - D diff."/>
    <n v="1959"/>
    <n v="2302"/>
    <s v="0.85"/>
    <s v="0.97"/>
    <s v="72.10%"/>
    <s v="13.80%"/>
    <n v="10993"/>
    <n v="5628"/>
    <n v="2167"/>
    <n v="677"/>
    <n v="126"/>
    <n v="17"/>
    <n v="9122"/>
    <n v="26"/>
    <n v="1243"/>
    <n v="2026"/>
    <n v="179"/>
    <n v="19"/>
    <s v="1.01"/>
    <n v="4564.8500000000004"/>
    <x v="2"/>
  </r>
  <r>
    <n v="10372"/>
    <s v="kaboose"/>
    <s v="Jake McDonald"/>
    <x v="9"/>
    <x v="0"/>
    <m/>
    <s v="Selfless, Vision"/>
    <n v="10006"/>
    <n v="10311"/>
    <s v="54.90%"/>
    <s v="76.1"/>
    <s v="2.4"/>
    <n v="549"/>
    <n v="14235"/>
    <s v="0.7"/>
    <s v="0.12"/>
    <s v="0.72"/>
    <s v="0.11"/>
    <s v="0.11"/>
    <n v="6668"/>
    <s v="K - D diff."/>
    <n v="1561"/>
    <n v="1756"/>
    <s v="0.89"/>
    <s v="1.01"/>
    <s v="72.30%"/>
    <s v="16.10%"/>
    <n v="7567"/>
    <n v="4184"/>
    <n v="1777"/>
    <n v="575"/>
    <n v="117"/>
    <n v="15"/>
    <n v="7189"/>
    <n v="271"/>
    <n v="625"/>
    <n v="1836"/>
    <n v="74"/>
    <n v="31"/>
    <s v="0.99"/>
    <n v="3649.8421052631579"/>
    <x v="2"/>
  </r>
  <r>
    <n v="12161"/>
    <s v="KrizzeN"/>
    <s v="Aidyn Turlybekov"/>
    <x v="9"/>
    <x v="10"/>
    <m/>
    <s v="AVANGAR, Winstrike"/>
    <n v="12720"/>
    <n v="13088"/>
    <s v="54.90%"/>
    <s v="71.4"/>
    <s v="3.9"/>
    <n v="763"/>
    <n v="20020"/>
    <s v="0.64"/>
    <s v="0.14"/>
    <s v="0.65"/>
    <s v="0.1"/>
    <s v="0.09"/>
    <n v="8963"/>
    <s v="K - D diff."/>
    <n v="1649"/>
    <n v="1742"/>
    <s v="0.95"/>
    <s v="0.93"/>
    <s v="74.30%"/>
    <s v="11.40%"/>
    <n v="11057"/>
    <n v="6035"/>
    <n v="2211"/>
    <n v="614"/>
    <n v="94"/>
    <n v="9"/>
    <n v="9341"/>
    <n v="79"/>
    <n v="963"/>
    <n v="2172"/>
    <n v="163"/>
    <n v="25"/>
    <s v="1.01"/>
    <n v="4826.7368421052633"/>
    <x v="0"/>
  </r>
  <r>
    <n v="12708"/>
    <s v="rigoN"/>
    <s v="Rigon Gashi"/>
    <x v="9"/>
    <x v="39"/>
    <s v="Bad News Eagles"/>
    <s v="Bad News Eagles, BLINK, c0ntact"/>
    <n v="7748"/>
    <n v="7499"/>
    <s v="55.00%"/>
    <n v="82"/>
    <s v="3.3"/>
    <n v="382"/>
    <n v="10192"/>
    <s v="0.76"/>
    <s v="0.13"/>
    <s v="0.74"/>
    <s v="0.1"/>
    <s v="0.1"/>
    <n v="5017"/>
    <s v="K - D diff."/>
    <n v="1231"/>
    <n v="1237"/>
    <n v="1"/>
    <s v="1.07"/>
    <s v="73.40%"/>
    <s v="17.10%"/>
    <n v="5175"/>
    <n v="3057"/>
    <n v="1328"/>
    <n v="510"/>
    <n v="105"/>
    <n v="17"/>
    <n v="5414"/>
    <n v="548"/>
    <n v="180"/>
    <n v="1525"/>
    <n v="84"/>
    <n v="16"/>
    <s v="1.1"/>
    <n v="2445.1428571428573"/>
    <x v="3"/>
  </r>
  <r>
    <n v="14394"/>
    <s v="Tuurtle"/>
    <s v="Matheus Anhaia"/>
    <x v="4"/>
    <x v="6"/>
    <s v="MIBR"/>
    <s v="MIBR, DETONA, Bravos, C4"/>
    <n v="13764"/>
    <n v="13382"/>
    <s v="55.00%"/>
    <s v="76.9"/>
    <s v="2.8"/>
    <n v="750"/>
    <n v="19746"/>
    <s v="0.7"/>
    <s v="0.14"/>
    <s v="0.68"/>
    <s v="0.1"/>
    <s v="0.11"/>
    <n v="9307"/>
    <s v="K - D diff."/>
    <n v="2160"/>
    <n v="2230"/>
    <s v="0.97"/>
    <s v="1.03"/>
    <s v="74.00%"/>
    <s v="15.50%"/>
    <n v="10439"/>
    <n v="5966"/>
    <n v="2414"/>
    <n v="753"/>
    <n v="159"/>
    <n v="15"/>
    <n v="10712"/>
    <n v="32"/>
    <n v="789"/>
    <n v="2139"/>
    <n v="116"/>
    <n v="20"/>
    <s v="1.08"/>
    <n v="4994.3684210526317"/>
    <x v="0"/>
  </r>
  <r>
    <n v="8837"/>
    <s v="akez"/>
    <s v="Kristian Kornbakk"/>
    <x v="5"/>
    <x v="28"/>
    <n v="777"/>
    <s v="777, Apeks"/>
    <n v="8403"/>
    <n v="9335"/>
    <s v="55.00%"/>
    <s v="71.1"/>
    <s v="3.4"/>
    <n v="492"/>
    <n v="13290"/>
    <s v="0.63"/>
    <s v="0.13"/>
    <s v="0.7"/>
    <s v="0.11"/>
    <s v="0.1"/>
    <n v="5777"/>
    <s v="K - D diff."/>
    <n v="1057"/>
    <n v="1222"/>
    <s v="0.86"/>
    <s v="0.91"/>
    <s v="72.70%"/>
    <s v="11.80%"/>
    <n v="7513"/>
    <n v="3787"/>
    <n v="1459"/>
    <n v="434"/>
    <n v="90"/>
    <n v="7"/>
    <n v="6523"/>
    <n v="59"/>
    <n v="334"/>
    <n v="1395"/>
    <n v="94"/>
    <n v="13"/>
    <s v="0.92"/>
    <n v="3225.4736842105262"/>
    <x v="3"/>
  </r>
  <r>
    <n v="1154"/>
    <s v="roman"/>
    <s v="Roman Redihin"/>
    <x v="7"/>
    <x v="18"/>
    <m/>
    <s v="Nemiga, K29"/>
    <n v="6787"/>
    <n v="7451"/>
    <s v="55.00%"/>
    <s v="69.6"/>
    <n v="3"/>
    <n v="414"/>
    <n v="10880"/>
    <s v="0.62"/>
    <s v="0.14"/>
    <s v="0.68"/>
    <s v="0.11"/>
    <s v="0.1"/>
    <n v="4793"/>
    <s v="K - D diff."/>
    <n v="871"/>
    <n v="1003"/>
    <s v="0.87"/>
    <s v="0.91"/>
    <s v="70.30%"/>
    <s v="11.40%"/>
    <n v="6087"/>
    <n v="3230"/>
    <n v="1195"/>
    <n v="313"/>
    <n v="52"/>
    <n v="3"/>
    <n v="4634"/>
    <n v="105"/>
    <n v="611"/>
    <n v="1331"/>
    <n v="63"/>
    <n v="54"/>
    <s v="0.91"/>
    <n v="2494"/>
    <x v="3"/>
  </r>
  <r>
    <n v="9083"/>
    <s v="COLDYY1"/>
    <s v="Pavel Veklenko"/>
    <x v="5"/>
    <x v="29"/>
    <m/>
    <s v="Spirit"/>
    <n v="17902"/>
    <n v="16184"/>
    <s v="55.10%"/>
    <s v="77.5"/>
    <s v="3.9"/>
    <n v="947"/>
    <n v="24917"/>
    <s v="0.72"/>
    <s v="0.13"/>
    <s v="0.65"/>
    <s v="0.09"/>
    <s v="0.11"/>
    <n v="12081"/>
    <s v="K - D diff."/>
    <n v="2286"/>
    <n v="2017"/>
    <s v="1.13"/>
    <s v="0.99"/>
    <s v="72.80%"/>
    <s v="13.00%"/>
    <n v="12836"/>
    <n v="7646"/>
    <n v="3265"/>
    <n v="978"/>
    <n v="169"/>
    <n v="23"/>
    <n v="13052"/>
    <n v="572"/>
    <n v="743"/>
    <n v="3296"/>
    <n v="234"/>
    <n v="48"/>
    <s v="1.06"/>
    <n v="6273.4736842105267"/>
    <x v="0"/>
  </r>
  <r>
    <n v="17585"/>
    <s v="b4rtiN"/>
    <s v="Bruno CÃ¢mara"/>
    <x v="11"/>
    <x v="6"/>
    <s v="TeamOne"/>
    <s v="TeamOne, GODSENT"/>
    <n v="10145"/>
    <n v="9196"/>
    <s v="55.10%"/>
    <s v="74.7"/>
    <s v="3.6"/>
    <n v="546"/>
    <n v="14300"/>
    <s v="0.71"/>
    <s v="0.12"/>
    <s v="0.64"/>
    <s v="0.1"/>
    <s v="0.11"/>
    <n v="6800"/>
    <s v="K - D diff."/>
    <n v="1343"/>
    <n v="1248"/>
    <s v="1.08"/>
    <s v="0.99"/>
    <s v="71.80%"/>
    <s v="12.90%"/>
    <n v="7500"/>
    <n v="4283"/>
    <n v="1826"/>
    <n v="568"/>
    <n v="109"/>
    <n v="14"/>
    <n v="6953"/>
    <n v="646"/>
    <n v="539"/>
    <n v="1841"/>
    <n v="139"/>
    <n v="83"/>
    <s v="1.1"/>
    <n v="3583.1052631578946"/>
    <x v="2"/>
  </r>
  <r>
    <n v="12088"/>
    <s v="ryann"/>
    <s v="Ryan Welsh"/>
    <x v="10"/>
    <x v="0"/>
    <m/>
    <s v="Singularity, Swole Patrol, Envy, Gorilla Gang"/>
    <n v="12192"/>
    <n v="12461"/>
    <s v="55.10%"/>
    <s v="73.9"/>
    <n v="3"/>
    <n v="697"/>
    <n v="17857"/>
    <s v="0.68"/>
    <s v="0.12"/>
    <s v="0.7"/>
    <s v="0.12"/>
    <s v="0.1"/>
    <n v="8231"/>
    <s v="K - D diff."/>
    <n v="1971"/>
    <n v="2037"/>
    <s v="0.97"/>
    <s v="1.03"/>
    <s v="73.10%"/>
    <s v="15.70%"/>
    <n v="9626"/>
    <n v="5228"/>
    <n v="2207"/>
    <n v="652"/>
    <n v="126"/>
    <n v="18"/>
    <n v="8776"/>
    <n v="305"/>
    <n v="830"/>
    <n v="2126"/>
    <n v="103"/>
    <n v="78"/>
    <s v="1.04"/>
    <n v="4276.2"/>
    <x v="2"/>
  </r>
  <r>
    <n v="17508"/>
    <s v="glowiing"/>
    <s v="Aleksandr Matsievich"/>
    <x v="8"/>
    <x v="1"/>
    <s v="1WIN"/>
    <s v="1WIN, Trident, Cyber Legacy"/>
    <n v="9603"/>
    <n v="9410"/>
    <s v="55.20%"/>
    <n v="80"/>
    <s v="4.9"/>
    <n v="503"/>
    <n v="13395"/>
    <s v="0.72"/>
    <s v="0.13"/>
    <s v="0.7"/>
    <s v="0.1"/>
    <s v="0.1"/>
    <n v="6362"/>
    <s v="K - D diff."/>
    <n v="1571"/>
    <n v="1650"/>
    <s v="0.95"/>
    <s v="1.05"/>
    <s v="71.30%"/>
    <s v="16.40%"/>
    <n v="7033"/>
    <n v="3950"/>
    <n v="1716"/>
    <n v="570"/>
    <n v="119"/>
    <n v="7"/>
    <n v="6703"/>
    <n v="724"/>
    <n v="357"/>
    <n v="1703"/>
    <n v="117"/>
    <n v="24"/>
    <s v="1.08"/>
    <n v="3279.85"/>
    <x v="3"/>
  </r>
  <r>
    <n v="13042"/>
    <s v="LOGAN"/>
    <s v="Logan Corti"/>
    <x v="2"/>
    <x v="26"/>
    <m/>
    <s v="LDLC, Heretics"/>
    <n v="10091"/>
    <n v="10391"/>
    <s v="55.20%"/>
    <s v="70.6"/>
    <s v="2.6"/>
    <n v="590"/>
    <n v="15692"/>
    <s v="0.64"/>
    <s v="0.12"/>
    <s v="0.66"/>
    <s v="0.1"/>
    <s v="0.1"/>
    <n v="7053"/>
    <s v="K - D diff."/>
    <n v="1436"/>
    <n v="1476"/>
    <s v="0.97"/>
    <s v="0.97"/>
    <s v="70.30%"/>
    <s v="13.00%"/>
    <n v="8639"/>
    <n v="4737"/>
    <n v="1710"/>
    <n v="498"/>
    <n v="100"/>
    <n v="8"/>
    <n v="6677"/>
    <n v="562"/>
    <n v="641"/>
    <n v="2049"/>
    <n v="69"/>
    <n v="110"/>
    <s v="1.01"/>
    <n v="3817.3157894736842"/>
    <x v="2"/>
  </r>
  <r>
    <n v="14419"/>
    <s v="roeJ"/>
    <s v="Fredrik JÃ¸rgensen"/>
    <x v="8"/>
    <x v="2"/>
    <s v="fnatic"/>
    <s v="Copenhagen Flames, MAD Lions, Tricked"/>
    <n v="17651"/>
    <n v="16225"/>
    <s v="55.30%"/>
    <s v="83.5"/>
    <s v="4.3"/>
    <n v="896"/>
    <n v="23667"/>
    <s v="0.75"/>
    <s v="0.15"/>
    <s v="0.69"/>
    <s v="0.11"/>
    <s v="0.11"/>
    <n v="11793"/>
    <s v="K - D diff."/>
    <n v="3107"/>
    <n v="2708"/>
    <s v="1.15"/>
    <s v="1.13"/>
    <s v="73.10%"/>
    <s v="18.40%"/>
    <n v="11874"/>
    <n v="7377"/>
    <n v="3211"/>
    <n v="987"/>
    <n v="199"/>
    <n v="19"/>
    <n v="13786"/>
    <n v="52"/>
    <n v="855"/>
    <n v="2759"/>
    <n v="207"/>
    <n v="48"/>
    <s v="1.15"/>
    <n v="6180.0526315789475"/>
    <x v="0"/>
  </r>
  <r>
    <n v="12018"/>
    <s v="TeSeS"/>
    <s v="RenÃ© Madsen"/>
    <x v="10"/>
    <x v="2"/>
    <s v="Heroic"/>
    <s v="Heroic, Copenhagen Flames"/>
    <n v="15953"/>
    <n v="14907"/>
    <s v="55.30%"/>
    <s v="78.5"/>
    <s v="4.6"/>
    <n v="832"/>
    <n v="22223"/>
    <s v="0.72"/>
    <s v="0.14"/>
    <s v="0.67"/>
    <s v="0.11"/>
    <s v="0.12"/>
    <n v="10631"/>
    <s v="K - D diff."/>
    <n v="2338"/>
    <n v="2269"/>
    <s v="1.03"/>
    <s v="1.02"/>
    <s v="73.00%"/>
    <s v="14.60%"/>
    <n v="11592"/>
    <n v="6664"/>
    <n v="2845"/>
    <n v="916"/>
    <n v="179"/>
    <n v="27"/>
    <n v="12450"/>
    <n v="161"/>
    <n v="615"/>
    <n v="2577"/>
    <n v="167"/>
    <n v="34"/>
    <s v="1.11"/>
    <n v="5651.5789473684208"/>
    <x v="0"/>
  </r>
  <r>
    <n v="11250"/>
    <s v="Flarich"/>
    <s v="Vadim Karetin"/>
    <x v="3"/>
    <x v="36"/>
    <s v="EC Kyiv"/>
    <s v="HellRaisers, pro100"/>
    <n v="19554"/>
    <n v="17753"/>
    <s v="55.30%"/>
    <n v="74"/>
    <s v="3.7"/>
    <n v="1069"/>
    <n v="28457"/>
    <s v="0.69"/>
    <s v="0.11"/>
    <s v="0.62"/>
    <s v="0.08"/>
    <s v="0.1"/>
    <n v="13288"/>
    <s v="K - D diff."/>
    <n v="2124"/>
    <n v="1924"/>
    <s v="1.1"/>
    <s v="0.93"/>
    <s v="71.70%"/>
    <s v="10.70%"/>
    <n v="15169"/>
    <n v="8548"/>
    <n v="3471"/>
    <n v="1031"/>
    <n v="219"/>
    <n v="19"/>
    <n v="15374"/>
    <n v="128"/>
    <n v="650"/>
    <n v="3202"/>
    <n v="213"/>
    <n v="53"/>
    <s v="1.07"/>
    <n v="6616"/>
    <x v="0"/>
  </r>
  <r>
    <n v="8998"/>
    <s v="JUST"/>
    <s v="Tiago Moura"/>
    <x v="13"/>
    <x v="31"/>
    <s v="SAW"/>
    <s v="SAW, OFFSET"/>
    <n v="16258"/>
    <n v="15385"/>
    <s v="55.30%"/>
    <s v="75.6"/>
    <s v="5.4"/>
    <n v="889"/>
    <n v="23444"/>
    <s v="0.69"/>
    <s v="0.13"/>
    <s v="0.66"/>
    <s v="0.09"/>
    <s v="0.11"/>
    <n v="10873"/>
    <s v="K - D diff."/>
    <n v="2147"/>
    <n v="2008"/>
    <s v="1.07"/>
    <s v="0.98"/>
    <s v="71.70%"/>
    <s v="12.80%"/>
    <n v="12571"/>
    <n v="6831"/>
    <n v="2943"/>
    <n v="875"/>
    <n v="204"/>
    <n v="20"/>
    <n v="11910"/>
    <n v="343"/>
    <n v="856"/>
    <n v="2886"/>
    <n v="237"/>
    <n v="84"/>
    <s v="1.03"/>
    <n v="5829.6842105263158"/>
    <x v="0"/>
  </r>
  <r>
    <n v="10762"/>
    <s v="Rock1nG"/>
    <s v="Ivan Stratiev"/>
    <x v="3"/>
    <x v="9"/>
    <s v="allStars"/>
    <s v="SKADE, Outlaws, Bpro"/>
    <n v="15317"/>
    <n v="16361"/>
    <s v="55.30%"/>
    <s v="74.1"/>
    <n v="5"/>
    <n v="887"/>
    <n v="23379"/>
    <s v="0.66"/>
    <s v="0.14"/>
    <s v="0.7"/>
    <s v="0.1"/>
    <s v="0.09"/>
    <n v="10556"/>
    <s v="K - D diff."/>
    <n v="2324"/>
    <n v="2600"/>
    <s v="0.89"/>
    <s v="0.98"/>
    <s v="72.60%"/>
    <s v="14.20%"/>
    <n v="12823"/>
    <n v="6915"/>
    <n v="2707"/>
    <n v="760"/>
    <n v="162"/>
    <n v="12"/>
    <n v="11329"/>
    <n v="351"/>
    <n v="883"/>
    <n v="2555"/>
    <n v="210"/>
    <n v="39"/>
    <s v="1.01"/>
    <n v="5508.75"/>
    <x v="0"/>
  </r>
  <r>
    <n v="19967"/>
    <s v="sorrow"/>
    <s v="Zhandarbek Mamyrbek"/>
    <x v="13"/>
    <x v="10"/>
    <s v="AVANGAR"/>
    <s v="100PG, Unique"/>
    <n v="6624"/>
    <n v="7318"/>
    <s v="55.30%"/>
    <s v="70.5"/>
    <s v="3.6"/>
    <n v="388"/>
    <n v="10398"/>
    <s v="0.64"/>
    <s v="0.11"/>
    <s v="0.7"/>
    <s v="0.1"/>
    <s v="0.08"/>
    <n v="4570"/>
    <s v="K - D diff."/>
    <n v="897"/>
    <n v="1088"/>
    <s v="0.82"/>
    <s v="0.92"/>
    <s v="74.60%"/>
    <s v="13.10%"/>
    <n v="5828"/>
    <n v="2982"/>
    <n v="1199"/>
    <n v="320"/>
    <n v="61"/>
    <n v="8"/>
    <n v="5082"/>
    <n v="114"/>
    <n v="313"/>
    <n v="1057"/>
    <n v="66"/>
    <n v="18"/>
    <s v="0.96"/>
    <n v="2543.7368421052633"/>
    <x v="3"/>
  </r>
  <r>
    <n v="12810"/>
    <s v="SHOCK"/>
    <s v="Max Kvapil"/>
    <x v="10"/>
    <x v="22"/>
    <s v="SINNERS"/>
    <s v="SINNERS"/>
    <n v="13403"/>
    <n v="12922"/>
    <s v="55.40%"/>
    <s v="72.9"/>
    <s v="3.5"/>
    <n v="740"/>
    <n v="19869"/>
    <s v="0.67"/>
    <s v="0.11"/>
    <s v="0.65"/>
    <s v="0.08"/>
    <s v="0.09"/>
    <n v="9074"/>
    <s v="K - D diff."/>
    <n v="1744"/>
    <n v="1820"/>
    <s v="0.96"/>
    <s v="0.95"/>
    <s v="72.80%"/>
    <s v="12.30%"/>
    <n v="10795"/>
    <n v="5814"/>
    <n v="2378"/>
    <n v="714"/>
    <n v="149"/>
    <n v="19"/>
    <n v="9683"/>
    <n v="701"/>
    <n v="500"/>
    <n v="2387"/>
    <n v="121"/>
    <n v="52"/>
    <s v="1.04"/>
    <n v="4888.6842105263158"/>
    <x v="0"/>
  </r>
  <r>
    <n v="12101"/>
    <s v="neptune"/>
    <s v="Jason Tran"/>
    <x v="12"/>
    <x v="0"/>
    <m/>
    <s v="Ghost, Bee's Money Crew, Recon 5"/>
    <n v="9091"/>
    <n v="9114"/>
    <s v="55.40%"/>
    <s v="74.8"/>
    <s v="3.1"/>
    <n v="498"/>
    <n v="13218"/>
    <s v="0.69"/>
    <s v="0.13"/>
    <s v="0.69"/>
    <s v="0.11"/>
    <s v="0.1"/>
    <n v="6161"/>
    <s v="K - D diff."/>
    <n v="1265"/>
    <n v="1345"/>
    <s v="0.94"/>
    <s v="0.98"/>
    <s v="73.50%"/>
    <s v="13.60%"/>
    <n v="7057"/>
    <n v="3931"/>
    <n v="1647"/>
    <n v="473"/>
    <n v="103"/>
    <n v="7"/>
    <n v="6353"/>
    <n v="209"/>
    <n v="717"/>
    <n v="1660"/>
    <n v="85"/>
    <n v="99"/>
    <s v="1.04"/>
    <n v="3317.5263157894738"/>
    <x v="2"/>
  </r>
  <r>
    <n v="13170"/>
    <s v="kwezz"/>
    <s v="Oliver Rasmussen"/>
    <x v="9"/>
    <x v="2"/>
    <s v="Tricked"/>
    <s v="Tricked"/>
    <n v="10991"/>
    <n v="11114"/>
    <s v="55.40%"/>
    <s v="72.4"/>
    <s v="4.6"/>
    <n v="627"/>
    <n v="16838"/>
    <s v="0.65"/>
    <s v="0.11"/>
    <s v="0.66"/>
    <s v="0.09"/>
    <s v="0.09"/>
    <n v="7483"/>
    <s v="K - D diff."/>
    <n v="1231"/>
    <n v="1325"/>
    <s v="0.93"/>
    <s v="0.9"/>
    <s v="71.60%"/>
    <s v="10.90%"/>
    <n v="9355"/>
    <n v="4814"/>
    <n v="1975"/>
    <n v="563"/>
    <n v="117"/>
    <n v="14"/>
    <n v="7979"/>
    <n v="266"/>
    <n v="684"/>
    <n v="1886"/>
    <n v="177"/>
    <n v="41"/>
    <s v="1.01"/>
    <n v="4077.8947368421054"/>
    <x v="2"/>
  </r>
  <r>
    <n v="10449"/>
    <s v="ISSAA"/>
    <s v="Issa Murad"/>
    <x v="3"/>
    <x v="50"/>
    <m/>
    <s v="HellRaisers, OG"/>
    <n v="16229"/>
    <n v="14827"/>
    <s v="55.50%"/>
    <s v="75.7"/>
    <s v="3.6"/>
    <n v="870"/>
    <n v="22834"/>
    <s v="0.71"/>
    <s v="0.12"/>
    <s v="0.65"/>
    <s v="0.1"/>
    <s v="0.11"/>
    <n v="10968"/>
    <s v="K - D diff."/>
    <n v="2234"/>
    <n v="1908"/>
    <s v="1.17"/>
    <s v="1.02"/>
    <s v="72.40%"/>
    <s v="13.90%"/>
    <n v="11866"/>
    <n v="7007"/>
    <n v="2867"/>
    <n v="903"/>
    <n v="176"/>
    <n v="15"/>
    <n v="12309"/>
    <n v="227"/>
    <n v="535"/>
    <n v="2959"/>
    <n v="219"/>
    <n v="43"/>
    <s v="1.05"/>
    <n v="5736.6315789473683"/>
    <x v="0"/>
  </r>
  <r>
    <n v="16723"/>
    <s v="Cabbi"/>
    <s v="Casper Jensen"/>
    <x v="2"/>
    <x v="2"/>
    <s v="MASONIC"/>
    <s v="MASONIC, Lyngby Vikings, AGF"/>
    <n v="8983"/>
    <n v="9034"/>
    <s v="55.60%"/>
    <s v="75.8"/>
    <s v="4.5"/>
    <n v="477"/>
    <n v="12780"/>
    <s v="0.7"/>
    <s v="0.13"/>
    <s v="0.71"/>
    <s v="0.11"/>
    <s v="0.12"/>
    <n v="5965"/>
    <s v="K - D diff."/>
    <n v="1409"/>
    <n v="1475"/>
    <s v="0.96"/>
    <s v="1.03"/>
    <s v="71.30%"/>
    <s v="16.00%"/>
    <n v="6815"/>
    <n v="3712"/>
    <n v="1619"/>
    <n v="514"/>
    <n v="109"/>
    <n v="11"/>
    <n v="7153"/>
    <n v="136"/>
    <n v="268"/>
    <n v="1313"/>
    <n v="111"/>
    <n v="43"/>
    <s v="1.05"/>
    <n v="3259.3157894736842"/>
    <x v="3"/>
  </r>
  <r>
    <n v="9078"/>
    <s v="k0nfig"/>
    <s v="Kristian Wienecke"/>
    <x v="3"/>
    <x v="2"/>
    <s v="Astralis"/>
    <s v="Dignitas, OpTic, Complexity, North"/>
    <n v="31098"/>
    <n v="28605"/>
    <s v="55.70%"/>
    <n v="81"/>
    <s v="2.9"/>
    <n v="1562"/>
    <n v="41332"/>
    <s v="0.75"/>
    <s v="0.13"/>
    <s v="0.69"/>
    <s v="0.09"/>
    <s v="0.1"/>
    <n v="20220"/>
    <s v="K - D diff."/>
    <n v="4955"/>
    <n v="4865"/>
    <s v="1.02"/>
    <s v="1.07"/>
    <s v="73.00%"/>
    <s v="16.90%"/>
    <n v="21112"/>
    <n v="12311"/>
    <n v="5475"/>
    <n v="1952"/>
    <n v="429"/>
    <n v="53"/>
    <n v="21949"/>
    <n v="1647"/>
    <n v="1462"/>
    <n v="5752"/>
    <n v="224"/>
    <n v="132"/>
    <s v="1.08"/>
    <n v="10260.799999999999"/>
    <x v="1"/>
  </r>
  <r>
    <n v="11358"/>
    <s v="0i"/>
    <s v="ZhiWei Liu"/>
    <x v="13"/>
    <x v="35"/>
    <s v="Invictus"/>
    <s v="Invictus, New4, FIVE, After"/>
    <n v="8630"/>
    <n v="9060"/>
    <s v="55.80%"/>
    <s v="73.4"/>
    <s v="3.3"/>
    <n v="490"/>
    <n v="12812"/>
    <s v="0.67"/>
    <s v="0.13"/>
    <s v="0.71"/>
    <s v="0.1"/>
    <s v="0.1"/>
    <n v="5956"/>
    <s v="K - D diff."/>
    <n v="1159"/>
    <n v="1242"/>
    <s v="0.93"/>
    <s v="0.96"/>
    <s v="68.40%"/>
    <s v="12.80%"/>
    <n v="6856"/>
    <n v="3907"/>
    <n v="1527"/>
    <n v="423"/>
    <n v="95"/>
    <n v="4"/>
    <n v="5977"/>
    <n v="58"/>
    <n v="735"/>
    <n v="1763"/>
    <n v="90"/>
    <n v="23"/>
    <n v="1"/>
    <n v="3040.4"/>
    <x v="3"/>
  </r>
  <r>
    <n v="11940"/>
    <s v="neaLaN"/>
    <s v="Sanzhar Iskhakov"/>
    <x v="10"/>
    <x v="10"/>
    <s v="K23"/>
    <s v="K23, Syman"/>
    <n v="18706"/>
    <n v="20025"/>
    <s v="55.80%"/>
    <s v="73.9"/>
    <s v="4.8"/>
    <n v="1078"/>
    <n v="28797"/>
    <s v="0.65"/>
    <s v="0.14"/>
    <s v="0.7"/>
    <s v="0.09"/>
    <s v="0.09"/>
    <n v="13005"/>
    <s v="K - D diff."/>
    <n v="2888"/>
    <n v="3123"/>
    <s v="0.92"/>
    <s v="0.99"/>
    <s v="71.40%"/>
    <s v="14.10%"/>
    <n v="15792"/>
    <n v="8571"/>
    <n v="3334"/>
    <n v="951"/>
    <n v="131"/>
    <n v="18"/>
    <n v="14007"/>
    <n v="237"/>
    <n v="1002"/>
    <n v="3207"/>
    <n v="217"/>
    <n v="78"/>
    <n v="1"/>
    <n v="6758.4"/>
    <x v="0"/>
  </r>
  <r>
    <n v="14294"/>
    <s v="hazr"/>
    <s v="Jared O'Bree"/>
    <x v="11"/>
    <x v="16"/>
    <s v="Encore"/>
    <s v="AVANT, Looking For Org, Breakaway, Dire Wolves"/>
    <n v="14955"/>
    <n v="13650"/>
    <s v="56.00%"/>
    <s v="81.1"/>
    <s v="4.4"/>
    <n v="784"/>
    <n v="20019"/>
    <s v="0.75"/>
    <s v="0.14"/>
    <s v="0.68"/>
    <s v="0.11"/>
    <s v="0.11"/>
    <n v="9714"/>
    <s v="K - D diff."/>
    <n v="2271"/>
    <n v="2223"/>
    <s v="1.02"/>
    <s v="1.05"/>
    <s v="74.00%"/>
    <s v="15.90%"/>
    <n v="10305"/>
    <n v="5878"/>
    <n v="2691"/>
    <n v="911"/>
    <n v="208"/>
    <n v="26"/>
    <n v="11123"/>
    <n v="281"/>
    <n v="810"/>
    <n v="2571"/>
    <n v="170"/>
    <n v="26"/>
    <s v="1.14"/>
    <n v="5190.3157894736842"/>
    <x v="0"/>
  </r>
  <r>
    <n v="8183"/>
    <s v="rain"/>
    <s v="HÃ¥vard Nygaard"/>
    <x v="6"/>
    <x v="28"/>
    <s v="FaZe"/>
    <s v="FaZe"/>
    <n v="30599"/>
    <n v="29728"/>
    <s v="56.00%"/>
    <s v="79.9"/>
    <s v="3.6"/>
    <n v="1627"/>
    <n v="43068"/>
    <s v="0.71"/>
    <s v="0.15"/>
    <s v="0.69"/>
    <s v="0.1"/>
    <s v="0.09"/>
    <n v="20290"/>
    <s v="K - D diff."/>
    <n v="5345"/>
    <n v="5533"/>
    <s v="0.97"/>
    <s v="1.07"/>
    <s v="74.00%"/>
    <s v="17.60%"/>
    <n v="22778"/>
    <n v="12646"/>
    <n v="5453"/>
    <n v="1779"/>
    <n v="360"/>
    <n v="52"/>
    <n v="22782"/>
    <n v="213"/>
    <n v="1545"/>
    <n v="5748"/>
    <n v="268"/>
    <n v="94"/>
    <s v="1.03"/>
    <n v="11047.78947368421"/>
    <x v="1"/>
  </r>
  <r>
    <n v="17372"/>
    <s v="FaNg"/>
    <s v="Justin Coakley"/>
    <x v="11"/>
    <x v="5"/>
    <s v="Complexity"/>
    <s v="Complexity, Extra Salt"/>
    <n v="11999"/>
    <n v="11510"/>
    <s v="56.00%"/>
    <s v="76.3"/>
    <s v="3.9"/>
    <n v="651"/>
    <n v="16966"/>
    <s v="0.71"/>
    <s v="0.13"/>
    <s v="0.68"/>
    <s v="0.11"/>
    <s v="0.1"/>
    <n v="8147"/>
    <s v="K - D diff."/>
    <n v="1825"/>
    <n v="1819"/>
    <n v="1"/>
    <s v="1.03"/>
    <s v="74.10%"/>
    <s v="15.20%"/>
    <n v="8819"/>
    <n v="5203"/>
    <n v="2171"/>
    <n v="652"/>
    <n v="107"/>
    <n v="14"/>
    <n v="9181"/>
    <n v="238"/>
    <n v="648"/>
    <n v="1806"/>
    <n v="130"/>
    <n v="22"/>
    <s v="1.08"/>
    <n v="4095.45"/>
    <x v="2"/>
  </r>
  <r>
    <n v="7527"/>
    <s v="pyth"/>
    <s v="Jacob MourujÃ¤rvi"/>
    <x v="8"/>
    <x v="15"/>
    <m/>
    <s v="NIP, Vexed"/>
    <n v="13677"/>
    <n v="13682"/>
    <s v="56.00%"/>
    <s v="70.3"/>
    <s v="4.1"/>
    <n v="756"/>
    <n v="19801"/>
    <s v="0.69"/>
    <s v="0.13"/>
    <s v="0.69"/>
    <s v="0.1"/>
    <s v="0.1"/>
    <n v="9175"/>
    <s v="K - D diff."/>
    <n v="1888"/>
    <n v="1900"/>
    <s v="0.99"/>
    <s v="0.98"/>
    <s v="73.00%"/>
    <s v="14.10%"/>
    <n v="10626"/>
    <n v="5784"/>
    <n v="2488"/>
    <n v="737"/>
    <n v="147"/>
    <n v="19"/>
    <n v="9396"/>
    <n v="972"/>
    <n v="486"/>
    <n v="2615"/>
    <n v="164"/>
    <n v="64"/>
    <n v="1"/>
    <n v="4718.8999999999996"/>
    <x v="2"/>
  </r>
  <r>
    <n v="5796"/>
    <s v="tiziaN"/>
    <s v="Tizian Feldbusch"/>
    <x v="13"/>
    <x v="14"/>
    <s v="BIG"/>
    <s v="BIG, ALTERNATE aTTaX"/>
    <n v="29892"/>
    <n v="30831"/>
    <s v="56.10%"/>
    <s v="71.1"/>
    <s v="4.6"/>
    <n v="1770"/>
    <n v="46856"/>
    <s v="0.64"/>
    <s v="0.13"/>
    <s v="0.66"/>
    <s v="0.09"/>
    <s v="0.09"/>
    <n v="20720"/>
    <s v="K - D diff."/>
    <n v="4234"/>
    <n v="4563"/>
    <s v="0.93"/>
    <s v="0.96"/>
    <s v="72.20%"/>
    <s v="12.60%"/>
    <n v="26136"/>
    <n v="13668"/>
    <n v="5307"/>
    <n v="1421"/>
    <n v="290"/>
    <n v="34"/>
    <n v="21825"/>
    <n v="213"/>
    <n v="1830"/>
    <n v="5490"/>
    <n v="427"/>
    <n v="176"/>
    <s v="0.96"/>
    <n v="11351.736842105263"/>
    <x v="1"/>
  </r>
  <r>
    <n v="18221"/>
    <s v="Spinx"/>
    <s v="Lotan Giladi"/>
    <x v="10"/>
    <x v="24"/>
    <s v="ENCE"/>
    <s v="ENCE, c0ntact"/>
    <n v="8661"/>
    <n v="7619"/>
    <s v="56.20%"/>
    <s v="78.7"/>
    <s v="3.4"/>
    <n v="442"/>
    <n v="11732"/>
    <s v="0.74"/>
    <s v="0.11"/>
    <s v="0.65"/>
    <s v="0.08"/>
    <s v="0.1"/>
    <n v="5714"/>
    <s v="K - D diff."/>
    <n v="1178"/>
    <n v="1080"/>
    <s v="1.09"/>
    <s v="1.02"/>
    <s v="71.50%"/>
    <s v="13.70%"/>
    <n v="6018"/>
    <n v="3506"/>
    <n v="1611"/>
    <n v="474"/>
    <n v="104"/>
    <n v="19"/>
    <n v="6595"/>
    <n v="245"/>
    <n v="252"/>
    <n v="1465"/>
    <n v="76"/>
    <n v="51"/>
    <s v="1.13"/>
    <n v="2991.6842105263158"/>
    <x v="3"/>
  </r>
  <r>
    <n v="8374"/>
    <s v="bodyy"/>
    <s v="Alexandre Pianaro"/>
    <x v="3"/>
    <x v="26"/>
    <s v="HEET"/>
    <s v="G2, DBL PONEY, LDLC"/>
    <n v="23955"/>
    <n v="24183"/>
    <s v="56.20%"/>
    <s v="76.2"/>
    <s v="4.6"/>
    <n v="1341"/>
    <n v="35573"/>
    <s v="0.67"/>
    <s v="0.15"/>
    <s v="0.68"/>
    <s v="0.11"/>
    <s v="0.09"/>
    <n v="16249"/>
    <s v="K - D diff."/>
    <n v="3878"/>
    <n v="4011"/>
    <s v="0.97"/>
    <s v="1.02"/>
    <s v="73.30%"/>
    <s v="15.40%"/>
    <n v="19324"/>
    <n v="10425"/>
    <n v="4265"/>
    <n v="1271"/>
    <n v="262"/>
    <n v="26"/>
    <n v="17736"/>
    <n v="578"/>
    <n v="1285"/>
    <n v="4032"/>
    <n v="296"/>
    <n v="101"/>
    <s v="0.99"/>
    <n v="8883.7368421052633"/>
    <x v="1"/>
  </r>
  <r>
    <n v="7414"/>
    <s v="smF"/>
    <s v="Danni Dyg"/>
    <x v="5"/>
    <x v="2"/>
    <s v="DREAM"/>
    <s v="CPH Wolves, Secret"/>
    <n v="13708"/>
    <n v="14090"/>
    <s v="56.20%"/>
    <s v="69.6"/>
    <s v="4.6"/>
    <n v="821"/>
    <n v="21503"/>
    <s v="0.64"/>
    <s v="0.13"/>
    <s v="0.66"/>
    <s v="0.11"/>
    <s v="0.11"/>
    <n v="9538"/>
    <s v="K - D diff."/>
    <n v="1676"/>
    <n v="1795"/>
    <s v="0.93"/>
    <s v="0.92"/>
    <s v="72.30%"/>
    <s v="11.40%"/>
    <n v="11965"/>
    <n v="6337"/>
    <n v="2417"/>
    <n v="637"/>
    <n v="134"/>
    <n v="13"/>
    <n v="10028"/>
    <n v="243"/>
    <n v="591"/>
    <n v="2544"/>
    <n v="224"/>
    <n v="98"/>
    <s v="0.96"/>
    <n v="5176.9473684210525"/>
    <x v="0"/>
  </r>
  <r>
    <n v="13239"/>
    <s v="Qikert"/>
    <s v="Alexey Golubev"/>
    <x v="4"/>
    <x v="10"/>
    <s v="Outsiders"/>
    <s v="AVANGAR, Virtus.pro"/>
    <n v="23498"/>
    <n v="21535"/>
    <s v="56.30%"/>
    <s v="77.4"/>
    <s v="4.8"/>
    <n v="1269"/>
    <n v="33537"/>
    <s v="0.7"/>
    <s v="0.13"/>
    <s v="0.64"/>
    <s v="0.09"/>
    <s v="0.1"/>
    <n v="15888"/>
    <s v="K - D diff."/>
    <n v="3552"/>
    <n v="3290"/>
    <s v="1.08"/>
    <s v="1.03"/>
    <s v="70.60%"/>
    <s v="14.10%"/>
    <n v="17649"/>
    <n v="10084"/>
    <n v="4290"/>
    <n v="1246"/>
    <n v="244"/>
    <n v="24"/>
    <n v="18090"/>
    <n v="322"/>
    <n v="1175"/>
    <n v="3607"/>
    <n v="278"/>
    <n v="88"/>
    <s v="1.11"/>
    <n v="8403.4736842105267"/>
    <x v="1"/>
  </r>
  <r>
    <n v="12564"/>
    <s v="Geniuss"/>
    <s v="Kritthee Sawatmuang"/>
    <x v="2"/>
    <x v="12"/>
    <m/>
    <s v="Signature, Beyond, Lucid Dream"/>
    <n v="7345"/>
    <n v="7036"/>
    <s v="56.40%"/>
    <s v="78.5"/>
    <s v="3.3"/>
    <n v="398"/>
    <n v="10155"/>
    <s v="0.72"/>
    <s v="0.13"/>
    <s v="0.69"/>
    <s v="0.11"/>
    <s v="0.11"/>
    <n v="4847"/>
    <s v="K - D diff."/>
    <n v="1227"/>
    <n v="1160"/>
    <s v="1.06"/>
    <s v="1.08"/>
    <s v="74.60%"/>
    <s v="17.20%"/>
    <n v="5308"/>
    <n v="2975"/>
    <n v="1358"/>
    <n v="411"/>
    <n v="94"/>
    <n v="9"/>
    <n v="5479"/>
    <n v="81"/>
    <n v="514"/>
    <n v="1213"/>
    <n v="68"/>
    <n v="13"/>
    <s v="1.11"/>
    <n v="2615.3157894736842"/>
    <x v="3"/>
  </r>
  <r>
    <n v="13749"/>
    <s v="Queenix"/>
    <s v="Jonas Dideriksen"/>
    <x v="4"/>
    <x v="2"/>
    <s v="MASONIC"/>
    <s v="MASONIC, x6tence"/>
    <n v="8306"/>
    <n v="8369"/>
    <s v="56.40%"/>
    <s v="71.5"/>
    <s v="4.8"/>
    <n v="481"/>
    <n v="12960"/>
    <s v="0.64"/>
    <s v="0.12"/>
    <s v="0.65"/>
    <s v="0.1"/>
    <s v="0.11"/>
    <n v="5733"/>
    <s v="K - D diff."/>
    <n v="1020"/>
    <n v="1051"/>
    <s v="0.97"/>
    <s v="0.93"/>
    <s v="70.80%"/>
    <s v="11.10%"/>
    <n v="7227"/>
    <n v="3780"/>
    <n v="1452"/>
    <n v="387"/>
    <n v="109"/>
    <n v="5"/>
    <n v="6358"/>
    <n v="81"/>
    <n v="433"/>
    <n v="1317"/>
    <n v="117"/>
    <n v="22"/>
    <s v="1.03"/>
    <n v="3116.2105263157896"/>
    <x v="3"/>
  </r>
  <r>
    <n v="10463"/>
    <s v="Baaten"/>
    <s v="Linus Andersson"/>
    <x v="4"/>
    <x v="15"/>
    <m/>
    <s v="x6tence Galaxy, Red Reserve, fnatic Academy, Chaos"/>
    <n v="13293"/>
    <n v="13254"/>
    <s v="56.50%"/>
    <s v="74.1"/>
    <s v="3.7"/>
    <n v="738"/>
    <n v="19661"/>
    <s v="0.68"/>
    <s v="0.12"/>
    <s v="0.67"/>
    <s v="0.1"/>
    <s v="0.11"/>
    <n v="8975"/>
    <s v="K - D diff."/>
    <n v="1721"/>
    <n v="1976"/>
    <s v="0.87"/>
    <s v="0.94"/>
    <s v="71.90%"/>
    <s v="12.40%"/>
    <n v="10686"/>
    <n v="5746"/>
    <n v="2319"/>
    <n v="746"/>
    <n v="149"/>
    <n v="15"/>
    <n v="9494"/>
    <n v="144"/>
    <n v="1141"/>
    <n v="2353"/>
    <n v="168"/>
    <n v="20"/>
    <n v="1"/>
    <n v="4630"/>
    <x v="2"/>
  </r>
  <r>
    <n v="10168"/>
    <s v="bottle"/>
    <s v="Lei Mao"/>
    <x v="8"/>
    <x v="35"/>
    <m/>
    <s v="Born Of Fire, Eclipse, Invictus, 5POWER, CyberZen"/>
    <n v="14489"/>
    <n v="13618"/>
    <s v="56.80%"/>
    <s v="79.5"/>
    <s v="3.6"/>
    <n v="768"/>
    <n v="19801"/>
    <s v="0.73"/>
    <s v="0.14"/>
    <s v="0.69"/>
    <s v="0.1"/>
    <s v="0.1"/>
    <n v="9641"/>
    <s v="K - D diff."/>
    <n v="1995"/>
    <n v="1930"/>
    <s v="1.03"/>
    <s v="1.01"/>
    <s v="71.00%"/>
    <s v="13.90%"/>
    <n v="10160"/>
    <n v="6059"/>
    <n v="2550"/>
    <n v="816"/>
    <n v="198"/>
    <n v="18"/>
    <n v="10743"/>
    <n v="141"/>
    <n v="952"/>
    <n v="2511"/>
    <n v="152"/>
    <n v="21"/>
    <s v="1.05"/>
    <n v="5082.2631578947367"/>
    <x v="0"/>
  </r>
  <r>
    <n v="8575"/>
    <s v="Calyx"/>
    <s v="BuÄŸra ArkÄ±n"/>
    <x v="2"/>
    <x v="20"/>
    <m/>
    <s v="Space Soldiers, Eternal Fire, DarkPassage"/>
    <n v="21198"/>
    <n v="18350"/>
    <s v="57.00%"/>
    <s v="77.4"/>
    <s v="3.6"/>
    <n v="1113"/>
    <n v="29124"/>
    <s v="0.73"/>
    <s v="0.12"/>
    <s v="0.63"/>
    <s v="0.09"/>
    <s v="0.1"/>
    <n v="14203"/>
    <s v="K - D diff."/>
    <n v="2635"/>
    <n v="2219"/>
    <s v="1.19"/>
    <s v="0.99"/>
    <s v="74.20%"/>
    <s v="12.60%"/>
    <n v="14921"/>
    <n v="8951"/>
    <n v="3796"/>
    <n v="1196"/>
    <n v="234"/>
    <n v="26"/>
    <n v="14840"/>
    <n v="1145"/>
    <n v="1491"/>
    <n v="3514"/>
    <n v="219"/>
    <n v="45"/>
    <s v="1.09"/>
    <n v="7327.3684210526317"/>
    <x v="1"/>
  </r>
  <r>
    <n v="18120"/>
    <s v="sinnopsyy"/>
    <s v="Dionis Budeci"/>
    <x v="6"/>
    <x v="48"/>
    <s v="Bad News Eagles"/>
    <s v="Bad News Eagles, BLINK, Secret"/>
    <n v="12017"/>
    <n v="12583"/>
    <s v="57.10%"/>
    <s v="78.8"/>
    <s v="5.4"/>
    <n v="650"/>
    <n v="17449"/>
    <s v="0.69"/>
    <s v="0.13"/>
    <s v="0.72"/>
    <s v="0.08"/>
    <s v="0.07"/>
    <n v="8047"/>
    <s v="K - D diff."/>
    <n v="1963"/>
    <n v="2235"/>
    <s v="0.88"/>
    <s v="1.02"/>
    <s v="72.70%"/>
    <s v="16.20%"/>
    <n v="9402"/>
    <n v="5070"/>
    <n v="2153"/>
    <n v="670"/>
    <n v="139"/>
    <n v="15"/>
    <n v="8775"/>
    <n v="300"/>
    <n v="464"/>
    <n v="2209"/>
    <n v="157"/>
    <n v="135"/>
    <s v="1.03"/>
    <n v="4443.8421052631575"/>
    <x v="2"/>
  </r>
  <r>
    <n v="3459"/>
    <s v="kinqie"/>
    <s v="Semyon Lisitsyn"/>
    <x v="5"/>
    <x v="1"/>
    <s v="FreeTON"/>
    <s v="DreamEaters, Hard Legion"/>
    <n v="11130"/>
    <n v="11727"/>
    <s v="57.10%"/>
    <s v="74.7"/>
    <s v="4.6"/>
    <n v="631"/>
    <n v="16775"/>
    <s v="0.66"/>
    <s v="0.13"/>
    <s v="0.7"/>
    <s v="0.11"/>
    <s v="0.09"/>
    <n v="7616"/>
    <s v="K - D diff."/>
    <n v="1719"/>
    <n v="1895"/>
    <s v="0.91"/>
    <s v="0.99"/>
    <s v="72.30%"/>
    <s v="14.90%"/>
    <n v="9159"/>
    <n v="4928"/>
    <n v="2009"/>
    <n v="545"/>
    <n v="121"/>
    <n v="13"/>
    <n v="8323"/>
    <n v="76"/>
    <n v="628"/>
    <n v="1949"/>
    <n v="148"/>
    <n v="23"/>
    <s v="0.96"/>
    <n v="4179.7368421052633"/>
    <x v="2"/>
  </r>
  <r>
    <n v="17147"/>
    <s v="juanflatroo"/>
    <s v="Flatron Halimi"/>
    <x v="3"/>
    <x v="48"/>
    <s v="Bad News Eagles"/>
    <s v="Bad News Eagles, BLINK, Secret"/>
    <n v="11595"/>
    <n v="11175"/>
    <s v="57.20%"/>
    <s v="83.1"/>
    <s v="5.4"/>
    <n v="575"/>
    <n v="15349"/>
    <s v="0.76"/>
    <s v="0.13"/>
    <s v="0.73"/>
    <s v="0.1"/>
    <s v="0.1"/>
    <n v="7622"/>
    <s v="K - D diff."/>
    <n v="1759"/>
    <n v="1770"/>
    <s v="0.99"/>
    <s v="1.05"/>
    <s v="71.00%"/>
    <s v="16.10%"/>
    <n v="7727"/>
    <n v="4667"/>
    <n v="2097"/>
    <n v="710"/>
    <n v="136"/>
    <n v="12"/>
    <n v="9041"/>
    <n v="176"/>
    <n v="336"/>
    <n v="1910"/>
    <n v="147"/>
    <n v="20"/>
    <s v="1.1"/>
    <n v="4043.3684210526317"/>
    <x v="2"/>
  </r>
  <r>
    <n v="18317"/>
    <s v="magixx"/>
    <s v="Boris Vorobiev"/>
    <x v="12"/>
    <x v="1"/>
    <s v="Spirit"/>
    <s v="Spirit"/>
    <n v="10965"/>
    <n v="10680"/>
    <s v="57.30%"/>
    <s v="70.3"/>
    <s v="3.7"/>
    <n v="638"/>
    <n v="16888"/>
    <s v="0.65"/>
    <s v="0.11"/>
    <s v="0.63"/>
    <s v="0.1"/>
    <s v="0.1"/>
    <n v="7544"/>
    <s v="K - D diff."/>
    <n v="1561"/>
    <n v="1575"/>
    <s v="0.99"/>
    <s v="0.97"/>
    <s v="74.60%"/>
    <s v="12.90%"/>
    <n v="9344"/>
    <n v="4957"/>
    <n v="1888"/>
    <n v="577"/>
    <n v="109"/>
    <n v="13"/>
    <n v="8137"/>
    <n v="352"/>
    <n v="426"/>
    <n v="1897"/>
    <n v="121"/>
    <n v="66"/>
    <s v="1.05"/>
    <n v="4091.4736842105262"/>
    <x v="2"/>
  </r>
  <r>
    <n v="7716"/>
    <s v="chopper"/>
    <s v="Leonid Vishnyakov"/>
    <x v="3"/>
    <x v="1"/>
    <s v="Spirit"/>
    <s v="Spirit, Vega Squadron"/>
    <n v="19066"/>
    <n v="19479"/>
    <s v="57.40%"/>
    <s v="72.1"/>
    <s v="4.4"/>
    <n v="1103"/>
    <n v="29250"/>
    <s v="0.65"/>
    <s v="0.13"/>
    <s v="0.67"/>
    <s v="0.1"/>
    <s v="0.09"/>
    <n v="13161"/>
    <s v="K - D diff."/>
    <n v="2856"/>
    <n v="3120"/>
    <s v="0.92"/>
    <s v="0.98"/>
    <s v="70.80%"/>
    <s v="13.40%"/>
    <n v="16089"/>
    <n v="8598"/>
    <n v="3421"/>
    <n v="957"/>
    <n v="171"/>
    <n v="14"/>
    <n v="13854"/>
    <n v="178"/>
    <n v="1583"/>
    <n v="3172"/>
    <n v="270"/>
    <n v="72"/>
    <s v="0.97"/>
    <n v="7179.6842105263158"/>
    <x v="1"/>
  </r>
  <r>
    <n v="17929"/>
    <s v="Walco"/>
    <s v="Colby Walsh"/>
    <x v="11"/>
    <x v="5"/>
    <s v="EG.CD"/>
    <s v="RBG, Carpe Diem"/>
    <n v="8861"/>
    <n v="9311"/>
    <s v="57.40%"/>
    <s v="73.9"/>
    <s v="7.7"/>
    <n v="504"/>
    <n v="13362"/>
    <s v="0.66"/>
    <s v="0.13"/>
    <s v="0.7"/>
    <s v="0.1"/>
    <s v="0.09"/>
    <n v="5981"/>
    <s v="K - D diff."/>
    <n v="1553"/>
    <n v="1653"/>
    <s v="0.94"/>
    <s v="1.04"/>
    <s v="71.90%"/>
    <s v="16.70%"/>
    <n v="7381"/>
    <n v="3779"/>
    <n v="1631"/>
    <n v="473"/>
    <n v="89"/>
    <n v="9"/>
    <n v="6513"/>
    <n v="182"/>
    <n v="534"/>
    <n v="1439"/>
    <n v="182"/>
    <n v="44"/>
    <s v="1.02"/>
    <n v="3341.1052631578946"/>
    <x v="2"/>
  </r>
  <r>
    <n v="6904"/>
    <s v="STYKO"/>
    <s v="Martin Styk"/>
    <x v="13"/>
    <x v="17"/>
    <s v="Apeks"/>
    <s v="HellRaisers, MOUZ, GODSENT"/>
    <n v="27642"/>
    <n v="27189"/>
    <s v="57.50%"/>
    <s v="74.4"/>
    <n v="5"/>
    <n v="1569"/>
    <n v="41373"/>
    <s v="0.67"/>
    <s v="0.13"/>
    <s v="0.66"/>
    <s v="0.09"/>
    <s v="0.08"/>
    <n v="18847"/>
    <s v="K - D diff."/>
    <n v="3562"/>
    <n v="3820"/>
    <s v="0.93"/>
    <s v="0.94"/>
    <s v="73.20%"/>
    <s v="12.20%"/>
    <n v="22526"/>
    <n v="12210"/>
    <n v="4857"/>
    <n v="1458"/>
    <n v="283"/>
    <n v="39"/>
    <n v="19482"/>
    <n v="1192"/>
    <n v="1435"/>
    <n v="4947"/>
    <n v="473"/>
    <n v="178"/>
    <n v="1"/>
    <n v="9194.6666666666661"/>
    <x v="1"/>
  </r>
  <r>
    <n v="20101"/>
    <s v="fame"/>
    <s v="Petr Bolyshev"/>
    <x v="12"/>
    <x v="1"/>
    <s v="Outsiders"/>
    <s v="K23, SG.pro"/>
    <n v="10046"/>
    <n v="9168"/>
    <s v="57.70%"/>
    <s v="77.9"/>
    <s v="3.3"/>
    <n v="518"/>
    <n v="13818"/>
    <s v="0.73"/>
    <s v="0.11"/>
    <s v="0.66"/>
    <s v="0.09"/>
    <s v="0.11"/>
    <n v="6697"/>
    <s v="K - D diff."/>
    <n v="1628"/>
    <n v="1473"/>
    <s v="1.11"/>
    <s v="1.08"/>
    <s v="72.80%"/>
    <s v="16.80%"/>
    <n v="7121"/>
    <n v="4168"/>
    <n v="1842"/>
    <n v="566"/>
    <n v="109"/>
    <n v="12"/>
    <n v="7741"/>
    <n v="233"/>
    <n v="302"/>
    <n v="1670"/>
    <n v="104"/>
    <n v="33"/>
    <s v="1.11"/>
    <n v="3539.4210526315787"/>
    <x v="2"/>
  </r>
  <r>
    <n v="11230"/>
    <s v="aproto"/>
    <s v="Alex Protopapas"/>
    <x v="4"/>
    <x v="0"/>
    <m/>
    <s v="CLG Academy, Vision, BlackOut"/>
    <n v="7153"/>
    <n v="7068"/>
    <s v="57.80%"/>
    <s v="74.9"/>
    <s v="3.2"/>
    <n v="383"/>
    <n v="10053"/>
    <s v="0.71"/>
    <s v="0.11"/>
    <s v="0.7"/>
    <s v="0.1"/>
    <s v="0.13"/>
    <n v="4789"/>
    <s v="K - D diff."/>
    <n v="850"/>
    <n v="822"/>
    <s v="1.03"/>
    <s v="0.95"/>
    <s v="75.10%"/>
    <s v="13.00%"/>
    <n v="5264"/>
    <n v="3033"/>
    <n v="1247"/>
    <n v="418"/>
    <n v="83"/>
    <n v="8"/>
    <n v="4758"/>
    <n v="157"/>
    <n v="467"/>
    <n v="1593"/>
    <n v="67"/>
    <n v="122"/>
    <s v="1.05"/>
    <n v="2543.9473684210525"/>
    <x v="3"/>
  </r>
  <r>
    <n v="8000"/>
    <s v="syken"/>
    <s v="Thilo Phan"/>
    <x v="13"/>
    <x v="14"/>
    <m/>
    <s v="expert, EURONICS"/>
    <n v="7450"/>
    <n v="7698"/>
    <s v="57.80%"/>
    <s v="74.1"/>
    <s v="3.3"/>
    <n v="413"/>
    <n v="10832"/>
    <s v="0.69"/>
    <s v="0.12"/>
    <s v="0.71"/>
    <s v="0.11"/>
    <s v="0.11"/>
    <n v="5013"/>
    <s v="K - D diff."/>
    <n v="1004"/>
    <n v="1132"/>
    <s v="0.89"/>
    <s v="0.96"/>
    <s v="70.20%"/>
    <s v="13.30%"/>
    <n v="5819"/>
    <n v="3176"/>
    <n v="1323"/>
    <n v="433"/>
    <n v="78"/>
    <n v="3"/>
    <n v="5299"/>
    <n v="257"/>
    <n v="369"/>
    <n v="1446"/>
    <n v="68"/>
    <n v="15"/>
    <s v="0.98"/>
    <n v="2727.7894736842104"/>
    <x v="3"/>
  </r>
  <r>
    <n v="16415"/>
    <s v="supra"/>
    <s v="Anton TÅ¡ernobai"/>
    <x v="11"/>
    <x v="41"/>
    <s v="Tokyo Revengers"/>
    <s v="Gambit Youngsters, Nordavind"/>
    <n v="9501"/>
    <n v="9428"/>
    <s v="58.00%"/>
    <s v="72.9"/>
    <s v="5.4"/>
    <n v="533"/>
    <n v="14303"/>
    <s v="0.66"/>
    <s v="0.12"/>
    <s v="0.66"/>
    <s v="0.1"/>
    <s v="0.1"/>
    <n v="6379"/>
    <s v="K - D diff."/>
    <n v="1492"/>
    <n v="1658"/>
    <s v="0.9"/>
    <n v="1"/>
    <s v="74.10%"/>
    <s v="14.70%"/>
    <n v="7924"/>
    <n v="4059"/>
    <n v="1665"/>
    <n v="519"/>
    <n v="125"/>
    <n v="11"/>
    <n v="6892"/>
    <n v="350"/>
    <n v="607"/>
    <n v="1502"/>
    <n v="131"/>
    <n v="48"/>
    <s v="1.05"/>
    <n v="3356.4"/>
    <x v="2"/>
  </r>
  <r>
    <n v="12781"/>
    <s v="k1to"/>
    <s v="Nils Gruhne"/>
    <x v="4"/>
    <x v="14"/>
    <s v="BIG Academy"/>
    <s v="BIG, ALTERNATE aTTaX, Sprout"/>
    <n v="23197"/>
    <n v="23538"/>
    <s v="58.00%"/>
    <s v="74.9"/>
    <s v="4.6"/>
    <n v="1275"/>
    <n v="33907"/>
    <s v="0.68"/>
    <s v="0.12"/>
    <s v="0.69"/>
    <s v="0.1"/>
    <s v="0.09"/>
    <n v="15639"/>
    <s v="K - D diff."/>
    <n v="3624"/>
    <n v="4031"/>
    <s v="0.9"/>
    <n v="1"/>
    <s v="74.10%"/>
    <s v="15.20%"/>
    <n v="18268"/>
    <n v="10036"/>
    <n v="4001"/>
    <n v="1278"/>
    <n v="295"/>
    <n v="29"/>
    <n v="16115"/>
    <n v="1385"/>
    <n v="1033"/>
    <n v="4327"/>
    <n v="273"/>
    <n v="117"/>
    <s v="1.04"/>
    <n v="8118.45"/>
    <x v="1"/>
  </r>
  <r>
    <n v="2898"/>
    <s v="raalz"/>
    <s v="Rasmus Steensborg"/>
    <x v="6"/>
    <x v="2"/>
    <s v="Sprout"/>
    <s v="Sprout, Lyngby Vikings, Ambush"/>
    <n v="17047"/>
    <n v="17443"/>
    <s v="58.00%"/>
    <s v="71.5"/>
    <s v="4.9"/>
    <n v="958"/>
    <n v="25914"/>
    <s v="0.66"/>
    <s v="0.12"/>
    <s v="0.67"/>
    <s v="0.1"/>
    <s v="0.11"/>
    <n v="11635"/>
    <s v="K - D diff."/>
    <n v="2465"/>
    <n v="2448"/>
    <s v="1.01"/>
    <s v="0.98"/>
    <s v="71.10%"/>
    <s v="13.50%"/>
    <n v="14279"/>
    <n v="7543"/>
    <n v="3017"/>
    <n v="860"/>
    <n v="191"/>
    <n v="24"/>
    <n v="12794"/>
    <n v="112"/>
    <n v="1055"/>
    <n v="2779"/>
    <n v="319"/>
    <n v="43"/>
    <s v="0.97"/>
    <n v="6364.5263157894733"/>
    <x v="0"/>
  </r>
  <r>
    <n v="17792"/>
    <s v="ice"/>
    <s v="Aman Seitkaliyev"/>
    <x v="10"/>
    <x v="10"/>
    <s v="AVANGAR"/>
    <s v="100PG, Unique"/>
    <n v="7803"/>
    <n v="8065"/>
    <s v="58.20%"/>
    <s v="73.1"/>
    <s v="3.5"/>
    <n v="436"/>
    <n v="11668"/>
    <s v="0.67"/>
    <s v="0.12"/>
    <s v="0.69"/>
    <s v="0.11"/>
    <s v="0.12"/>
    <n v="5317"/>
    <s v="K - D diff."/>
    <n v="1131"/>
    <n v="1222"/>
    <s v="0.93"/>
    <s v="0.98"/>
    <s v="70.60%"/>
    <s v="13.80%"/>
    <n v="6351"/>
    <n v="3435"/>
    <n v="1360"/>
    <n v="447"/>
    <n v="68"/>
    <n v="7"/>
    <n v="5838"/>
    <n v="203"/>
    <n v="394"/>
    <n v="1301"/>
    <n v="69"/>
    <n v="26"/>
    <s v="1.01"/>
    <n v="2902.1578947368421"/>
    <x v="3"/>
  </r>
  <r>
    <n v="284"/>
    <s v="JACKZ"/>
    <s v="Audric Jug"/>
    <x v="5"/>
    <x v="26"/>
    <s v="G2"/>
    <s v="G2, EnVyUs Academy, 3DMAX"/>
    <n v="19495"/>
    <n v="19674"/>
    <s v="58.30%"/>
    <s v="73.8"/>
    <s v="3.3"/>
    <n v="1096"/>
    <n v="29144"/>
    <s v="0.67"/>
    <s v="0.13"/>
    <s v="0.68"/>
    <s v="0.1"/>
    <s v="0.1"/>
    <n v="13213"/>
    <s v="K - D diff."/>
    <n v="3142"/>
    <n v="3362"/>
    <s v="0.93"/>
    <s v="1.01"/>
    <s v="72.90%"/>
    <s v="15.10%"/>
    <n v="15931"/>
    <n v="8461"/>
    <n v="3466"/>
    <n v="1063"/>
    <n v="202"/>
    <n v="21"/>
    <n v="14367"/>
    <n v="256"/>
    <n v="1305"/>
    <n v="3349"/>
    <n v="186"/>
    <n v="91"/>
    <s v="0.98"/>
    <n v="7253.894736842105"/>
    <x v="1"/>
  </r>
  <r>
    <n v="5061"/>
    <s v="PERCY"/>
    <s v="Martin Wessel"/>
    <x v="8"/>
    <x v="2"/>
    <m/>
    <s v="Secret, Sprout, Tricked"/>
    <n v="18369"/>
    <n v="18769"/>
    <s v="58.50%"/>
    <s v="73.5"/>
    <s v="4.2"/>
    <n v="1030"/>
    <n v="27376"/>
    <s v="0.67"/>
    <s v="0.12"/>
    <s v="0.69"/>
    <s v="0.09"/>
    <s v="0.09"/>
    <n v="12530"/>
    <s v="K - D diff."/>
    <n v="2768"/>
    <n v="3040"/>
    <s v="0.91"/>
    <s v="0.99"/>
    <s v="72.80%"/>
    <s v="14.60%"/>
    <n v="14846"/>
    <n v="8096"/>
    <n v="3252"/>
    <n v="978"/>
    <n v="187"/>
    <n v="17"/>
    <n v="13450"/>
    <n v="462"/>
    <n v="928"/>
    <n v="3241"/>
    <n v="241"/>
    <n v="101"/>
    <s v="0.98"/>
    <n v="6825.3157894736842"/>
    <x v="0"/>
  </r>
  <r>
    <n v="19114"/>
    <s v="Kylar"/>
    <s v="Kacper Walukiewicz"/>
    <x v="9"/>
    <x v="3"/>
    <s v="FLET"/>
    <s v="AVEZ, Anonymo"/>
    <n v="10912"/>
    <n v="10619"/>
    <s v="59.00%"/>
    <s v="73.7"/>
    <s v="4.5"/>
    <n v="593"/>
    <n v="15953"/>
    <s v="0.68"/>
    <s v="0.12"/>
    <s v="0.67"/>
    <s v="0.1"/>
    <s v="0.11"/>
    <n v="7390"/>
    <s v="K - D diff."/>
    <n v="1438"/>
    <n v="1519"/>
    <s v="0.95"/>
    <s v="0.96"/>
    <s v="71.20%"/>
    <s v="12.80%"/>
    <n v="8563"/>
    <n v="4750"/>
    <n v="1926"/>
    <n v="563"/>
    <n v="134"/>
    <n v="17"/>
    <n v="8040"/>
    <n v="270"/>
    <n v="487"/>
    <n v="1954"/>
    <n v="157"/>
    <n v="37"/>
    <s v="1.05"/>
    <n v="3964.3157894736842"/>
    <x v="2"/>
  </r>
  <r>
    <n v="9545"/>
    <s v="xms"/>
    <s v="Alexandre FortÃ©"/>
    <x v="3"/>
    <x v="26"/>
    <m/>
    <s v="Envy, Heretics, LDLC"/>
    <n v="12206"/>
    <n v="12830"/>
    <s v="59.00%"/>
    <n v="71"/>
    <s v="2.9"/>
    <n v="712"/>
    <n v="18783"/>
    <s v="0.65"/>
    <s v="0.12"/>
    <s v="0.68"/>
    <s v="0.11"/>
    <s v="0.1"/>
    <n v="8266"/>
    <s v="K - D diff."/>
    <n v="1738"/>
    <n v="2207"/>
    <s v="0.79"/>
    <s v="0.93"/>
    <s v="69.60%"/>
    <s v="12.90%"/>
    <n v="10517"/>
    <n v="5318"/>
    <n v="2135"/>
    <n v="649"/>
    <n v="149"/>
    <n v="15"/>
    <n v="8215"/>
    <n v="196"/>
    <n v="956"/>
    <n v="2732"/>
    <n v="110"/>
    <n v="25"/>
    <s v="0.96"/>
    <n v="4391.5"/>
    <x v="2"/>
  </r>
  <r>
    <n v="13915"/>
    <s v="YEKINDAR"/>
    <s v="Mareks GaÄ¼inskis"/>
    <x v="9"/>
    <x v="36"/>
    <s v="Virtus.pro"/>
    <s v="pro100, Virtus.pro, EPG"/>
    <n v="21930"/>
    <n v="20473"/>
    <s v="59.10%"/>
    <s v="82.7"/>
    <s v="3.9"/>
    <n v="1104"/>
    <n v="29387"/>
    <s v="0.75"/>
    <s v="0.13"/>
    <s v="0.7"/>
    <s v="0.09"/>
    <s v="0.09"/>
    <n v="14232"/>
    <s v="K - D diff."/>
    <n v="4405"/>
    <n v="4228"/>
    <s v="1.04"/>
    <s v="1.18"/>
    <s v="73.50%"/>
    <s v="21.40%"/>
    <n v="15155"/>
    <n v="8596"/>
    <n v="3950"/>
    <n v="1348"/>
    <n v="300"/>
    <n v="38"/>
    <n v="15801"/>
    <n v="1315"/>
    <n v="1214"/>
    <n v="3326"/>
    <n v="236"/>
    <n v="92"/>
    <s v="1.14"/>
    <n v="7743.6842105263158"/>
    <x v="1"/>
  </r>
  <r>
    <n v="18697"/>
    <s v="oxygeN"/>
    <s v="Blagoi Dimitrov"/>
    <x v="12"/>
    <x v="9"/>
    <s v="OG Academy"/>
    <s v="SKADE"/>
    <n v="8969"/>
    <n v="9420"/>
    <s v="59.20%"/>
    <s v="68.2"/>
    <s v="4.1"/>
    <n v="531"/>
    <n v="14280"/>
    <s v="0.63"/>
    <s v="0.11"/>
    <s v="0.66"/>
    <s v="0.1"/>
    <s v="0.08"/>
    <n v="6217"/>
    <s v="K - D diff."/>
    <n v="1373"/>
    <n v="1663"/>
    <s v="0.83"/>
    <s v="0.95"/>
    <s v="74.00%"/>
    <s v="13.60%"/>
    <n v="8063"/>
    <n v="4156"/>
    <n v="1495"/>
    <n v="456"/>
    <n v="95"/>
    <n v="15"/>
    <n v="6603"/>
    <n v="102"/>
    <n v="514"/>
    <n v="1597"/>
    <n v="150"/>
    <n v="37"/>
    <n v="1"/>
    <n v="3286.85"/>
    <x v="3"/>
  </r>
  <r>
    <n v="15683"/>
    <s v="SLOWLY"/>
    <s v="Kelun Sun"/>
    <x v="11"/>
    <x v="35"/>
    <s v="TYLOO"/>
    <s v="TYLOO, EHOME"/>
    <n v="10379"/>
    <n v="9750"/>
    <s v="59.30%"/>
    <n v="79"/>
    <s v="2.9"/>
    <n v="540"/>
    <n v="14298"/>
    <s v="0.73"/>
    <s v="0.13"/>
    <s v="0.68"/>
    <s v="0.1"/>
    <s v="0.1"/>
    <n v="6823"/>
    <s v="K - D diff."/>
    <n v="1638"/>
    <n v="1699"/>
    <s v="0.96"/>
    <s v="1.04"/>
    <s v="70.70%"/>
    <s v="15.40%"/>
    <n v="7475"/>
    <n v="4178"/>
    <n v="1869"/>
    <n v="655"/>
    <n v="107"/>
    <n v="14"/>
    <n v="7792"/>
    <n v="101"/>
    <n v="568"/>
    <n v="1831"/>
    <n v="67"/>
    <n v="44"/>
    <s v="1.11"/>
    <n v="3495.35"/>
    <x v="2"/>
  </r>
  <r>
    <n v="17956"/>
    <s v="jabbi"/>
    <s v="Jakob Nygaard"/>
    <x v="12"/>
    <x v="2"/>
    <s v="Heroic"/>
    <s v="Copenhagen Flames, Singularity"/>
    <n v="13844"/>
    <n v="13776"/>
    <s v="59.60%"/>
    <s v="71.5"/>
    <s v="4.4"/>
    <n v="775"/>
    <n v="20783"/>
    <s v="0.67"/>
    <s v="0.11"/>
    <s v="0.66"/>
    <s v="0.1"/>
    <s v="0.1"/>
    <n v="9497"/>
    <s v="K - D diff."/>
    <n v="1933"/>
    <n v="2004"/>
    <s v="0.96"/>
    <s v="0.97"/>
    <s v="73.30%"/>
    <s v="13.30%"/>
    <n v="11286"/>
    <n v="6161"/>
    <n v="2480"/>
    <n v="714"/>
    <n v="129"/>
    <n v="13"/>
    <n v="10378"/>
    <n v="287"/>
    <n v="708"/>
    <n v="2304"/>
    <n v="162"/>
    <n v="53"/>
    <s v="1.03"/>
    <n v="5120.3684210526317"/>
    <x v="0"/>
  </r>
  <r>
    <n v="12030"/>
    <s v="EspiranTo"/>
    <s v="Rokas Milasauskas"/>
    <x v="10"/>
    <x v="38"/>
    <m/>
    <s v="Imperial, Valiance, CR4ZY, c0ntact"/>
    <n v="16973"/>
    <n v="15656"/>
    <s v="59.90%"/>
    <s v="77.3"/>
    <s v="3.2"/>
    <n v="870"/>
    <n v="22795"/>
    <s v="0.74"/>
    <s v="0.11"/>
    <s v="0.69"/>
    <s v="0.1"/>
    <s v="0.1"/>
    <n v="11218"/>
    <s v="K - D diff."/>
    <n v="2752"/>
    <n v="2604"/>
    <s v="1.06"/>
    <s v="1.08"/>
    <s v="73.30%"/>
    <s v="16.90%"/>
    <n v="11577"/>
    <n v="6917"/>
    <n v="3103"/>
    <n v="965"/>
    <n v="210"/>
    <n v="23"/>
    <n v="10761"/>
    <n v="2015"/>
    <n v="719"/>
    <n v="3347"/>
    <n v="121"/>
    <n v="36"/>
    <s v="1.11"/>
    <n v="5929.5789473684208"/>
    <x v="0"/>
  </r>
  <r>
    <n v="10722"/>
    <s v="gas"/>
    <s v="Yi Ding"/>
    <x v="13"/>
    <x v="35"/>
    <s v="Wings Up"/>
    <s v="Wings Up, LGD, EDG, Aster"/>
    <n v="9628"/>
    <n v="8837"/>
    <s v="60.00%"/>
    <s v="82.4"/>
    <s v="2.3"/>
    <n v="472"/>
    <n v="12376"/>
    <s v="0.78"/>
    <s v="0.12"/>
    <s v="0.71"/>
    <s v="0.09"/>
    <s v="0.12"/>
    <n v="6264"/>
    <s v="K - D diff."/>
    <n v="1324"/>
    <n v="1172"/>
    <s v="1.13"/>
    <s v="1.04"/>
    <s v="73.10%"/>
    <s v="16.00%"/>
    <n v="6112"/>
    <n v="3794"/>
    <n v="1728"/>
    <n v="605"/>
    <n v="122"/>
    <n v="15"/>
    <n v="7439"/>
    <n v="22"/>
    <n v="571"/>
    <n v="1530"/>
    <n v="64"/>
    <n v="20"/>
    <s v="1.12"/>
    <n v="3268.1578947368421"/>
    <x v="3"/>
  </r>
  <r>
    <n v="10566"/>
    <s v="chelo"/>
    <s v="Marcelo Cespedes"/>
    <x v="2"/>
    <x v="6"/>
    <s v="MIBR"/>
    <s v="MIBR, INTZ, Luminosity"/>
    <n v="16972"/>
    <n v="15532"/>
    <s v="60.70%"/>
    <n v="78"/>
    <s v="3.6"/>
    <n v="915"/>
    <n v="23714"/>
    <s v="0.72"/>
    <s v="0.13"/>
    <s v="0.65"/>
    <s v="0.1"/>
    <s v="0.1"/>
    <n v="11250"/>
    <s v="K - D diff."/>
    <n v="2759"/>
    <n v="2609"/>
    <s v="1.06"/>
    <s v="1.07"/>
    <s v="74.00%"/>
    <s v="16.30%"/>
    <n v="12464"/>
    <n v="7032"/>
    <n v="2983"/>
    <n v="997"/>
    <n v="207"/>
    <n v="31"/>
    <n v="12509"/>
    <n v="536"/>
    <n v="751"/>
    <n v="2970"/>
    <n v="196"/>
    <n v="61"/>
    <s v="1.06"/>
    <n v="5728.3"/>
    <x v="0"/>
  </r>
  <r>
    <n v="19823"/>
    <s v="dukefissura"/>
    <s v="SuleÄ±men Orazaly"/>
    <x v="13"/>
    <x v="10"/>
    <s v="Unique"/>
    <s v="Unique, 100PG"/>
    <n v="7230"/>
    <n v="7347"/>
    <s v="60.70%"/>
    <s v="77.5"/>
    <s v="3.9"/>
    <n v="381"/>
    <n v="10223"/>
    <s v="0.71"/>
    <s v="0.12"/>
    <s v="0.72"/>
    <s v="0.11"/>
    <s v="0.1"/>
    <n v="4851"/>
    <s v="K - D diff."/>
    <n v="1282"/>
    <n v="1468"/>
    <s v="0.87"/>
    <s v="1.05"/>
    <s v="69.00%"/>
    <s v="17.50%"/>
    <n v="5372"/>
    <n v="3027"/>
    <n v="1356"/>
    <n v="389"/>
    <n v="71"/>
    <n v="8"/>
    <n v="5458"/>
    <n v="138"/>
    <n v="383"/>
    <n v="1191"/>
    <n v="59"/>
    <n v="21"/>
    <s v="1.05"/>
    <n v="2645"/>
    <x v="3"/>
  </r>
  <r>
    <n v="10938"/>
    <s v="kiR"/>
    <s v="Andreas Kirstein"/>
    <x v="9"/>
    <x v="2"/>
    <s v="Tricked"/>
    <s v="Tricked"/>
    <n v="10215"/>
    <n v="11191"/>
    <s v="61.50%"/>
    <s v="71.4"/>
    <s v="4.4"/>
    <n v="586"/>
    <n v="15815"/>
    <s v="0.65"/>
    <s v="0.11"/>
    <s v="0.71"/>
    <s v="0.1"/>
    <s v="0.1"/>
    <n v="7015"/>
    <s v="K - D diff."/>
    <n v="1649"/>
    <n v="1842"/>
    <s v="0.9"/>
    <s v="0.99"/>
    <s v="70.00%"/>
    <s v="15.00%"/>
    <n v="8800"/>
    <n v="4598"/>
    <n v="1765"/>
    <n v="531"/>
    <n v="111"/>
    <n v="10"/>
    <n v="7751"/>
    <n v="117"/>
    <n v="565"/>
    <n v="1663"/>
    <n v="118"/>
    <n v="34"/>
    <s v="0.98"/>
    <n v="3914.5263157894738"/>
    <x v="2"/>
  </r>
  <r>
    <n v="19738"/>
    <s v="Djoko"/>
    <s v="Thomas Pavoni"/>
    <x v="3"/>
    <x v="26"/>
    <s v="HEET"/>
    <s v="HEET, DBL PONEY"/>
    <n v="9138"/>
    <n v="9139"/>
    <s v="61.80%"/>
    <s v="74.8"/>
    <s v="5.9"/>
    <n v="503"/>
    <n v="13359"/>
    <s v="0.68"/>
    <s v="0.13"/>
    <s v="0.68"/>
    <s v="0.1"/>
    <s v="0.1"/>
    <n v="6125"/>
    <s v="K - D diff."/>
    <n v="1446"/>
    <n v="1615"/>
    <s v="0.9"/>
    <s v="1.01"/>
    <s v="72.50%"/>
    <s v="14.90%"/>
    <n v="7234"/>
    <n v="3878"/>
    <n v="1608"/>
    <n v="523"/>
    <n v="105"/>
    <n v="11"/>
    <n v="6719"/>
    <n v="101"/>
    <n v="427"/>
    <n v="1753"/>
    <n v="146"/>
    <n v="25"/>
    <s v="1.05"/>
    <n v="3360.7894736842104"/>
    <x v="2"/>
  </r>
  <r>
    <n v="9130"/>
    <s v="Drone"/>
    <s v="Taylor Johnson"/>
    <x v="2"/>
    <x v="0"/>
    <m/>
    <s v="Splyce, Envy"/>
    <n v="8164"/>
    <n v="8332"/>
    <s v="61.80%"/>
    <s v="75.2"/>
    <s v="3.9"/>
    <n v="454"/>
    <n v="11841"/>
    <s v="0.69"/>
    <s v="0.13"/>
    <s v="0.7"/>
    <s v="0.12"/>
    <s v="0.11"/>
    <n v="5472"/>
    <s v="K - D diff."/>
    <n v="1188"/>
    <n v="1484"/>
    <s v="0.8"/>
    <s v="0.96"/>
    <s v="71.10%"/>
    <s v="14.50%"/>
    <n v="6369"/>
    <n v="3454"/>
    <n v="1458"/>
    <n v="461"/>
    <n v="84"/>
    <n v="15"/>
    <n v="6059"/>
    <n v="84"/>
    <n v="346"/>
    <n v="1573"/>
    <n v="80"/>
    <n v="32"/>
    <s v="0.99"/>
    <n v="2997.3684210526317"/>
    <x v="3"/>
  </r>
  <r>
    <n v="10761"/>
    <s v="NK4Y"/>
    <s v="Nikola Radushev"/>
    <x v="13"/>
    <x v="9"/>
    <m/>
    <s v="Outlaws, Bpro, ex-Epsilon"/>
    <n v="8697"/>
    <n v="8268"/>
    <s v="62.10%"/>
    <s v="76.3"/>
    <s v="3.6"/>
    <n v="480"/>
    <n v="12325"/>
    <s v="0.71"/>
    <s v="0.14"/>
    <s v="0.67"/>
    <s v="0.1"/>
    <s v="0.11"/>
    <n v="5862"/>
    <s v="K - D diff."/>
    <n v="1052"/>
    <n v="974"/>
    <s v="1.08"/>
    <s v="0.96"/>
    <s v="75.60%"/>
    <s v="12.70%"/>
    <n v="6463"/>
    <n v="3740"/>
    <n v="1548"/>
    <n v="454"/>
    <n v="101"/>
    <n v="19"/>
    <n v="6093"/>
    <n v="210"/>
    <n v="496"/>
    <n v="1808"/>
    <n v="92"/>
    <n v="25"/>
    <s v="1.07"/>
    <n v="3089.8421052631579"/>
    <x v="3"/>
  </r>
  <r>
    <n v="11716"/>
    <s v="SANJI"/>
    <s v="Sanjar Kuliev"/>
    <x v="2"/>
    <x v="51"/>
    <s v="Virtus.pro"/>
    <s v="Virtus.pro, AVANGAR, Syman"/>
    <n v="12151"/>
    <n v="13149"/>
    <s v="62.20%"/>
    <s v="68.8"/>
    <s v="3.9"/>
    <n v="743"/>
    <n v="19879"/>
    <s v="0.61"/>
    <s v="0.12"/>
    <s v="0.66"/>
    <s v="0.1"/>
    <s v="0.08"/>
    <n v="8512"/>
    <s v="K - D diff."/>
    <n v="1651"/>
    <n v="1881"/>
    <s v="0.88"/>
    <s v="0.92"/>
    <s v="70.60%"/>
    <s v="11.30%"/>
    <n v="11367"/>
    <n v="5670"/>
    <n v="2155"/>
    <n v="584"/>
    <n v="96"/>
    <n v="7"/>
    <n v="8544"/>
    <n v="338"/>
    <n v="1125"/>
    <n v="1997"/>
    <n v="152"/>
    <n v="29"/>
    <s v="0.97"/>
    <n v="4738.4210526315792"/>
    <x v="2"/>
  </r>
  <r>
    <n v="10394"/>
    <s v="Twistzz"/>
    <s v="Russel Van Dulken"/>
    <x v="9"/>
    <x v="5"/>
    <s v="FaZe"/>
    <s v="FaZe, Liquid"/>
    <n v="26811"/>
    <n v="22783"/>
    <s v="62.30%"/>
    <s v="76.9"/>
    <s v="3.4"/>
    <n v="1394"/>
    <n v="36637"/>
    <s v="0.73"/>
    <s v="0.11"/>
    <s v="0.62"/>
    <s v="0.1"/>
    <s v="0.12"/>
    <n v="17685"/>
    <s v="K - D diff."/>
    <n v="3212"/>
    <n v="2943"/>
    <s v="1.09"/>
    <s v="0.97"/>
    <s v="73.90%"/>
    <s v="12.20%"/>
    <n v="18952"/>
    <n v="10984"/>
    <n v="4732"/>
    <n v="1563"/>
    <n v="356"/>
    <n v="50"/>
    <n v="19443"/>
    <n v="782"/>
    <n v="1240"/>
    <n v="5120"/>
    <n v="239"/>
    <n v="65"/>
    <s v="1.11"/>
    <n v="9210.0526315789466"/>
    <x v="1"/>
  </r>
  <r>
    <n v="11617"/>
    <s v="malbsMd"/>
    <s v="Mario Samayoa"/>
    <x v="12"/>
    <x v="52"/>
    <s v="00NATION"/>
    <s v="TeamOne, Infinity"/>
    <n v="10305"/>
    <n v="9931"/>
    <s v="62.90%"/>
    <s v="80.3"/>
    <s v="4.9"/>
    <n v="537"/>
    <n v="13737"/>
    <s v="0.75"/>
    <s v="0.12"/>
    <s v="0.72"/>
    <s v="0.11"/>
    <s v="0.11"/>
    <n v="6684"/>
    <s v="K - D diff."/>
    <n v="1671"/>
    <n v="1613"/>
    <s v="1.04"/>
    <s v="1.08"/>
    <s v="72.00%"/>
    <s v="17.70%"/>
    <n v="7053"/>
    <n v="4037"/>
    <n v="1842"/>
    <n v="657"/>
    <n v="127"/>
    <n v="21"/>
    <n v="7535"/>
    <n v="60"/>
    <n v="469"/>
    <n v="2111"/>
    <n v="139"/>
    <n v="16"/>
    <s v="1.1"/>
    <n v="3607.6315789473683"/>
    <x v="2"/>
  </r>
  <r>
    <n v="16462"/>
    <s v="Grus"/>
    <s v="Sander Iversen"/>
    <x v="2"/>
    <x v="28"/>
    <m/>
    <s v="Apeks, 777"/>
    <n v="9973"/>
    <n v="10752"/>
    <s v="63.70%"/>
    <n v="73"/>
    <s v="5.3"/>
    <n v="554"/>
    <n v="15106"/>
    <s v="0.66"/>
    <s v="0.12"/>
    <s v="0.71"/>
    <s v="0.1"/>
    <s v="0.09"/>
    <n v="6711"/>
    <s v="K - D diff."/>
    <n v="1745"/>
    <n v="1969"/>
    <s v="0.89"/>
    <s v="1.03"/>
    <s v="70.50%"/>
    <s v="16.60%"/>
    <n v="8395"/>
    <n v="4275"/>
    <n v="1737"/>
    <n v="587"/>
    <n v="97"/>
    <n v="15"/>
    <n v="7147"/>
    <n v="188"/>
    <n v="557"/>
    <n v="1908"/>
    <n v="150"/>
    <n v="47"/>
    <n v="1"/>
    <n v="3427.9523809523807"/>
    <x v="2"/>
  </r>
  <r>
    <n v="9896"/>
    <s v="b0RUP"/>
    <s v="Johannes Borup"/>
    <x v="9"/>
    <x v="2"/>
    <m/>
    <s v="Tricked, Heroic, MAD Lions"/>
    <n v="25570"/>
    <n v="25109"/>
    <s v="63.80%"/>
    <s v="73.2"/>
    <s v="4.6"/>
    <n v="1411"/>
    <n v="37302"/>
    <s v="0.69"/>
    <s v="0.11"/>
    <s v="0.67"/>
    <s v="0.1"/>
    <s v="0.1"/>
    <n v="17053"/>
    <s v="K - D diff."/>
    <n v="3830"/>
    <n v="4156"/>
    <s v="0.92"/>
    <s v="0.99"/>
    <s v="73.30%"/>
    <s v="14.50%"/>
    <n v="20249"/>
    <n v="10732"/>
    <n v="4495"/>
    <n v="1492"/>
    <n v="298"/>
    <n v="36"/>
    <n v="19009"/>
    <n v="341"/>
    <n v="1538"/>
    <n v="4280"/>
    <n v="371"/>
    <n v="93"/>
    <s v="1.01"/>
    <n v="9335"/>
    <x v="1"/>
  </r>
  <r>
    <n v="15096"/>
    <s v="grux"/>
    <s v="Denis Gutaj"/>
    <x v="9"/>
    <x v="15"/>
    <s v="Savage"/>
    <s v="Savage, Red Reserve, SMASH"/>
    <n v="9112"/>
    <n v="8874"/>
    <s v="67.10%"/>
    <s v="73.8"/>
    <s v="2.9"/>
    <n v="490"/>
    <n v="13084"/>
    <s v="0.7"/>
    <s v="0.11"/>
    <s v="0.68"/>
    <s v="0.1"/>
    <s v="0.11"/>
    <n v="6202"/>
    <s v="K - D diff."/>
    <n v="1228"/>
    <n v="1295"/>
    <s v="0.95"/>
    <s v="0.97"/>
    <s v="72.40%"/>
    <s v="13.40%"/>
    <n v="6882"/>
    <n v="3973"/>
    <n v="1645"/>
    <n v="495"/>
    <n v="81"/>
    <n v="8"/>
    <n v="6985"/>
    <n v="141"/>
    <n v="339"/>
    <n v="1592"/>
    <n v="68"/>
    <n v="15"/>
    <s v="1.04"/>
    <n v="3289.9473684210525"/>
    <x v="3"/>
  </r>
  <r>
    <n v="18987"/>
    <s v="b1t"/>
    <s v="Valeriy Vakhovskiy"/>
    <x v="12"/>
    <x v="29"/>
    <s v="Natus Vincere"/>
    <s v="Natus Vincere, NAVI Junior"/>
    <n v="8581"/>
    <n v="7696"/>
    <s v="67.90%"/>
    <s v="76.3"/>
    <s v="4.5"/>
    <n v="459"/>
    <n v="12180"/>
    <s v="0.7"/>
    <s v="0.11"/>
    <s v="0.63"/>
    <s v="0.09"/>
    <s v="0.1"/>
    <n v="5775"/>
    <s v="K - D diff."/>
    <n v="1447"/>
    <n v="1257"/>
    <s v="1.15"/>
    <s v="1.09"/>
    <s v="75.30%"/>
    <s v="16.80%"/>
    <n v="6405"/>
    <n v="3653"/>
    <n v="1564"/>
    <n v="444"/>
    <n v="102"/>
    <n v="12"/>
    <n v="6519"/>
    <n v="202"/>
    <n v="334"/>
    <n v="1443"/>
    <n v="82"/>
    <n v="33"/>
    <s v="1.12"/>
    <n v="3062.5263157894738"/>
    <x v="3"/>
  </r>
  <r>
    <n v="7390"/>
    <s v="ScreaM"/>
    <s v="Adil Benrlitom"/>
    <x v="8"/>
    <x v="23"/>
    <m/>
    <s v="Envy, G2, Titan, VeryGames"/>
    <n v="27501"/>
    <n v="24396"/>
    <s v="68.10%"/>
    <s v="79.1"/>
    <s v="3.3"/>
    <n v="1430"/>
    <n v="37087"/>
    <s v="0.74"/>
    <s v="0.12"/>
    <s v="0.66"/>
    <s v="0.1"/>
    <s v="0.11"/>
    <n v="18175"/>
    <s v="K - D diff."/>
    <n v="3674"/>
    <n v="3022"/>
    <s v="1.22"/>
    <s v="1.03"/>
    <s v="73.00%"/>
    <s v="14.00%"/>
    <n v="18912"/>
    <n v="11244"/>
    <n v="4993"/>
    <n v="1557"/>
    <n v="342"/>
    <n v="39"/>
    <n v="20794"/>
    <n v="276"/>
    <n v="987"/>
    <n v="5181"/>
    <n v="210"/>
    <n v="99"/>
    <s v="1.09"/>
    <n v="9469.421052631578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n v="11893"/>
    <x v="0"/>
    <s v="Mathieu Herbaut"/>
    <x v="0"/>
    <x v="0"/>
    <s v="Vitality"/>
    <s v="Vitality, aAa"/>
    <n v="22622"/>
    <n v="16458"/>
    <x v="0"/>
    <n v="88"/>
    <s v="3.6"/>
    <n v="1020"/>
    <n v="26803"/>
    <s v="0.84"/>
    <s v="0.12"/>
    <s v="0.61"/>
    <s v="0.1"/>
    <s v="0.12"/>
    <n v="14196"/>
    <s v="K - D diff."/>
    <n v="4152"/>
    <n v="2592"/>
    <s v="1.6"/>
    <s v="1.28"/>
    <s v="73.10%"/>
    <s v="21.40%"/>
    <n v="12607"/>
    <n v="8195"/>
    <n v="4087"/>
    <n v="1474"/>
    <n v="369"/>
    <n v="71"/>
    <n v="8261"/>
    <n v="8552"/>
    <n v="1290"/>
    <n v="4262"/>
    <n v="260"/>
    <n v="49"/>
    <s v="1.32"/>
  </r>
  <r>
    <n v="7998"/>
    <x v="1"/>
    <s v="Aleksandr Kostyliev"/>
    <x v="1"/>
    <x v="1"/>
    <s v="Natus Vincere"/>
    <s v="Natus Vincere"/>
    <n v="35512"/>
    <n v="26413"/>
    <x v="1"/>
    <s v="86.4"/>
    <s v="2.4"/>
    <n v="1571"/>
    <n v="41491"/>
    <s v="0.86"/>
    <s v="0.1"/>
    <s v="0.64"/>
    <s v="0.08"/>
    <s v="0.11"/>
    <n v="22559"/>
    <s v="K - D diff."/>
    <n v="6014"/>
    <n v="3734"/>
    <s v="1.61"/>
    <s v="1.24"/>
    <s v="75.20%"/>
    <s v="20.80%"/>
    <n v="18932"/>
    <n v="13085"/>
    <n v="6644"/>
    <n v="2262"/>
    <n v="504"/>
    <n v="64"/>
    <n v="14717"/>
    <n v="13451"/>
    <n v="901"/>
    <n v="6057"/>
    <n v="199"/>
    <n v="254"/>
    <s v="1.25"/>
  </r>
  <r>
    <n v="16920"/>
    <x v="2"/>
    <s v="Dmitry Sokolov"/>
    <x v="0"/>
    <x v="2"/>
    <s v="Cloud9"/>
    <s v="Gambit Youngsters, Gambit"/>
    <n v="18091"/>
    <n v="12492"/>
    <x v="2"/>
    <s v="78.6"/>
    <s v="3.9"/>
    <n v="884"/>
    <n v="23451"/>
    <s v="0.77"/>
    <s v="0.11"/>
    <s v="0.53"/>
    <s v="0.08"/>
    <s v="0.11"/>
    <n v="11950"/>
    <s v="K - D diff."/>
    <n v="2705"/>
    <n v="1383"/>
    <s v="1.96"/>
    <s v="1.15"/>
    <s v="77.00%"/>
    <s v="16.20%"/>
    <n v="11501"/>
    <n v="7416"/>
    <n v="3208"/>
    <n v="1075"/>
    <n v="221"/>
    <n v="30"/>
    <n v="3791"/>
    <n v="10580"/>
    <n v="550"/>
    <n v="3008"/>
    <n v="175"/>
    <n v="70"/>
    <s v="1.26"/>
  </r>
  <r>
    <n v="20113"/>
    <x v="3"/>
    <s v="Denis Zhukov"/>
    <x v="0"/>
    <x v="2"/>
    <s v="1WIN"/>
    <s v="1WIN"/>
    <n v="8738"/>
    <n v="6397"/>
    <x v="3"/>
    <s v="80.4"/>
    <s v="3.4"/>
    <n v="404"/>
    <n v="10913"/>
    <s v="0.8"/>
    <s v="0.1"/>
    <s v="0.59"/>
    <s v="0.09"/>
    <s v="0.11"/>
    <n v="5785"/>
    <s v="K - D diff."/>
    <n v="1261"/>
    <n v="727"/>
    <s v="1.73"/>
    <s v="1.13"/>
    <s v="76.40%"/>
    <s v="16.70%"/>
    <n v="5128"/>
    <n v="3598"/>
    <n v="1549"/>
    <n v="518"/>
    <n v="112"/>
    <n v="8"/>
    <n v="2664"/>
    <n v="4348"/>
    <n v="181"/>
    <n v="1459"/>
    <n v="86"/>
    <n v="40"/>
    <s v="1.23"/>
  </r>
  <r>
    <n v="18835"/>
    <x v="4"/>
    <s v="Rafael Costa"/>
    <x v="2"/>
    <x v="3"/>
    <s v="FURIA"/>
    <s v="FURIA, paiN"/>
    <n v="8482"/>
    <n v="6517"/>
    <x v="4"/>
    <s v="80.2"/>
    <n v="3"/>
    <n v="404"/>
    <n v="10701"/>
    <s v="0.79"/>
    <s v="0.1"/>
    <s v="0.61"/>
    <s v="0.08"/>
    <s v="0.1"/>
    <n v="5488"/>
    <s v="K - D diff."/>
    <n v="1309"/>
    <n v="892"/>
    <s v="1.47"/>
    <s v="1.14"/>
    <s v="76.10%"/>
    <s v="17.30%"/>
    <n v="5213"/>
    <n v="3288"/>
    <n v="1548"/>
    <n v="524"/>
    <n v="114"/>
    <n v="14"/>
    <n v="2545"/>
    <n v="4412"/>
    <n v="264"/>
    <n v="1209"/>
    <n v="52"/>
    <n v="28"/>
    <s v="1.22"/>
  </r>
  <r>
    <n v="8950"/>
    <x v="5"/>
    <s v="Andrew Khong"/>
    <x v="3"/>
    <x v="4"/>
    <s v="Rare Atom"/>
    <s v="ViCi, Flash, MVP.karnal"/>
    <n v="17675"/>
    <n v="13384"/>
    <x v="5"/>
    <s v="80.1"/>
    <s v="2.9"/>
    <n v="864"/>
    <n v="22588"/>
    <s v="0.78"/>
    <s v="0.11"/>
    <s v="0.59"/>
    <s v="0.08"/>
    <s v="0.1"/>
    <n v="11485"/>
    <s v="K - D diff."/>
    <n v="2688"/>
    <n v="1586"/>
    <s v="1.69"/>
    <s v="1.14"/>
    <s v="76.50%"/>
    <s v="17.00%"/>
    <n v="11103"/>
    <n v="6900"/>
    <n v="3249"/>
    <n v="1094"/>
    <n v="216"/>
    <n v="26"/>
    <n v="4893"/>
    <n v="9053"/>
    <n v="577"/>
    <n v="2834"/>
    <n v="172"/>
    <n v="203"/>
    <s v="1.19"/>
  </r>
  <r>
    <n v="17306"/>
    <x v="6"/>
    <s v="Abdul Gasanov"/>
    <x v="0"/>
    <x v="2"/>
    <s v="OG"/>
    <s v="Espada, Spirit"/>
    <n v="14351"/>
    <n v="10988"/>
    <x v="6"/>
    <s v="79.3"/>
    <s v="2.9"/>
    <n v="686"/>
    <n v="18284"/>
    <s v="0.78"/>
    <s v="0.09"/>
    <s v="0.6"/>
    <s v="0.07"/>
    <s v="0.1"/>
    <n v="9383"/>
    <s v="K - D diff."/>
    <n v="2480"/>
    <n v="1469"/>
    <s v="1.69"/>
    <s v="1.21"/>
    <s v="73.90%"/>
    <s v="19.20%"/>
    <n v="8901"/>
    <n v="5669"/>
    <n v="2677"/>
    <n v="841"/>
    <n v="175"/>
    <n v="21"/>
    <n v="4118"/>
    <n v="7544"/>
    <n v="253"/>
    <n v="2266"/>
    <n v="181"/>
    <n v="49"/>
    <s v="1.21"/>
  </r>
  <r>
    <n v="11271"/>
    <x v="7"/>
    <s v="Owen Butterfield"/>
    <x v="4"/>
    <x v="5"/>
    <m/>
    <s v="BIG, Movistar Riders, Epsilon"/>
    <n v="18466"/>
    <n v="14617"/>
    <x v="2"/>
    <s v="79.3"/>
    <s v="2.5"/>
    <n v="888"/>
    <n v="23515"/>
    <s v="0.79"/>
    <s v="0.1"/>
    <s v="0.62"/>
    <s v="0.08"/>
    <s v="0.1"/>
    <n v="11971"/>
    <s v="K - D diff."/>
    <n v="3187"/>
    <n v="2183"/>
    <s v="1.46"/>
    <s v="1.19"/>
    <s v="76.10%"/>
    <s v="19.80%"/>
    <n v="11544"/>
    <n v="7188"/>
    <n v="3367"/>
    <n v="1141"/>
    <n v="254"/>
    <n v="21"/>
    <n v="4786"/>
    <n v="9692"/>
    <n v="584"/>
    <n v="3283"/>
    <n v="141"/>
    <n v="31"/>
    <s v="1.2"/>
  </r>
  <r>
    <n v="12591"/>
    <x v="8"/>
    <s v="Euan Moore"/>
    <x v="1"/>
    <x v="6"/>
    <s v="Encore"/>
    <s v="AVANT, Looking For Org, Dire Wolves"/>
    <n v="17063"/>
    <n v="13103"/>
    <x v="7"/>
    <s v="78.1"/>
    <n v="4"/>
    <n v="861"/>
    <n v="22023"/>
    <s v="0.77"/>
    <s v="0.1"/>
    <s v="0.59"/>
    <s v="0.08"/>
    <s v="0.11"/>
    <n v="11405"/>
    <s v="K - D diff."/>
    <n v="2599"/>
    <n v="1390"/>
    <s v="1.87"/>
    <s v="1.15"/>
    <s v="77.70%"/>
    <s v="17.00%"/>
    <n v="10618"/>
    <n v="7146"/>
    <n v="3098"/>
    <n v="945"/>
    <n v="194"/>
    <n v="22"/>
    <n v="5037"/>
    <n v="8539"/>
    <n v="437"/>
    <n v="2848"/>
    <n v="198"/>
    <n v="41"/>
    <s v="1.2"/>
  </r>
  <r>
    <n v="7938"/>
    <x v="9"/>
    <s v="Ismailcan DÃ¶rtkardeÅŸ"/>
    <x v="5"/>
    <x v="7"/>
    <s v="Eternal Fire"/>
    <s v="Eternal Fire, Space Soldiers, BIG"/>
    <n v="37879"/>
    <n v="31623"/>
    <x v="8"/>
    <s v="89.1"/>
    <s v="4.6"/>
    <n v="1772"/>
    <n v="46706"/>
    <s v="0.81"/>
    <s v="0.15"/>
    <s v="0.68"/>
    <s v="0.1"/>
    <s v="0.1"/>
    <n v="24117"/>
    <s v="K - D diff."/>
    <n v="6449"/>
    <n v="5003"/>
    <s v="1.29"/>
    <s v="1.18"/>
    <s v="74.80%"/>
    <s v="19.40%"/>
    <n v="22589"/>
    <n v="14081"/>
    <n v="6997"/>
    <n v="2414"/>
    <n v="564"/>
    <n v="61"/>
    <n v="30174"/>
    <n v="355"/>
    <n v="857"/>
    <n v="6127"/>
    <n v="394"/>
    <n v="50"/>
    <s v="1.17"/>
  </r>
  <r>
    <n v="18227"/>
    <x v="10"/>
    <s v="Dmitriy Shvorak"/>
    <x v="6"/>
    <x v="1"/>
    <s v="Iron Branch"/>
    <s v="CR4ZY, Project X, Akuma, Run or Die"/>
    <n v="9369"/>
    <n v="6979"/>
    <x v="9"/>
    <s v="76.1"/>
    <s v="2.7"/>
    <n v="474"/>
    <n v="12537"/>
    <s v="0.75"/>
    <s v="0.09"/>
    <s v="0.56"/>
    <s v="0.07"/>
    <s v="0.09"/>
    <n v="6358"/>
    <s v="K - D diff."/>
    <n v="1612"/>
    <n v="812"/>
    <s v="1.99"/>
    <s v="1.2"/>
    <s v="74.40%"/>
    <s v="19.10%"/>
    <n v="6179"/>
    <n v="4062"/>
    <n v="1715"/>
    <n v="461"/>
    <n v="106"/>
    <n v="14"/>
    <n v="2118"/>
    <n v="5533"/>
    <n v="202"/>
    <n v="1440"/>
    <n v="73"/>
    <n v="28"/>
    <s v="1.21"/>
  </r>
  <r>
    <n v="18072"/>
    <x v="11"/>
    <s v="ÃdÃ¡m TorzsÃ¡s"/>
    <x v="7"/>
    <x v="8"/>
    <s v="MOUZ"/>
    <s v="MOUZ, Budapest Five, MOUZ NXT, Salamander"/>
    <n v="9904"/>
    <n v="7896"/>
    <x v="10"/>
    <n v="78"/>
    <s v="2.5"/>
    <n v="478"/>
    <n v="12776"/>
    <s v="0.78"/>
    <s v="0.09"/>
    <s v="0.62"/>
    <s v="0.08"/>
    <s v="0.11"/>
    <n v="6499"/>
    <s v="K - D diff."/>
    <n v="1578"/>
    <n v="1028"/>
    <s v="1.54"/>
    <s v="1.15"/>
    <s v="76.20%"/>
    <s v="18.30%"/>
    <n v="6277"/>
    <n v="4001"/>
    <n v="1751"/>
    <n v="603"/>
    <n v="128"/>
    <n v="16"/>
    <n v="2352"/>
    <n v="5696"/>
    <n v="183"/>
    <n v="1606"/>
    <n v="83"/>
    <n v="39"/>
    <s v="1.18"/>
  </r>
  <r>
    <n v="7592"/>
    <x v="12"/>
    <s v="Nicolai Reedtz"/>
    <x v="5"/>
    <x v="9"/>
    <s v="NIP"/>
    <s v="Astralis, TSM"/>
    <n v="36293"/>
    <n v="29085"/>
    <x v="11"/>
    <s v="80.3"/>
    <s v="4.3"/>
    <n v="1793"/>
    <n v="46666"/>
    <s v="0.78"/>
    <s v="0.13"/>
    <s v="0.62"/>
    <s v="0.07"/>
    <s v="0.08"/>
    <n v="23693"/>
    <s v="K - D diff."/>
    <n v="6207"/>
    <n v="4437"/>
    <s v="1.4"/>
    <s v="1.17"/>
    <s v="78.50%"/>
    <s v="18.90%"/>
    <n v="22973"/>
    <n v="14353"/>
    <n v="6700"/>
    <n v="2125"/>
    <n v="467"/>
    <n v="48"/>
    <n v="14483"/>
    <n v="12758"/>
    <n v="1566"/>
    <n v="6978"/>
    <n v="431"/>
    <n v="121"/>
    <s v="1.16"/>
  </r>
  <r>
    <n v="16207"/>
    <x v="13"/>
    <s v="Zhenghao Lv"/>
    <x v="4"/>
    <x v="10"/>
    <s v="TYLOO"/>
    <s v="TYLOO, EHOME"/>
    <n v="8149"/>
    <n v="6556"/>
    <x v="12"/>
    <s v="79.8"/>
    <s v="2.3"/>
    <n v="391"/>
    <n v="10366"/>
    <s v="0.79"/>
    <s v="0.1"/>
    <s v="0.63"/>
    <s v="0.09"/>
    <s v="0.1"/>
    <n v="5400"/>
    <s v="K - D diff."/>
    <n v="1384"/>
    <n v="921"/>
    <s v="1.5"/>
    <s v="1.19"/>
    <s v="73.30%"/>
    <s v="18.30%"/>
    <n v="4966"/>
    <n v="3335"/>
    <n v="1499"/>
    <n v="458"/>
    <n v="98"/>
    <n v="10"/>
    <n v="3124"/>
    <n v="3177"/>
    <n v="318"/>
    <n v="1435"/>
    <n v="64"/>
    <n v="66"/>
    <s v="1.2"/>
  </r>
  <r>
    <n v="3741"/>
    <x v="14"/>
    <s v="Nikola KovaÄ"/>
    <x v="8"/>
    <x v="11"/>
    <s v="G2"/>
    <s v="G2, FaZe, MOUZ"/>
    <n v="34634"/>
    <n v="29087"/>
    <x v="13"/>
    <n v="86"/>
    <s v="4.4"/>
    <n v="1637"/>
    <n v="43526"/>
    <s v="0.8"/>
    <s v="0.13"/>
    <s v="0.67"/>
    <s v="0.08"/>
    <s v="0.1"/>
    <n v="22258"/>
    <s v="K - D diff."/>
    <n v="6195"/>
    <n v="5049"/>
    <s v="1.23"/>
    <s v="1.18"/>
    <s v="73.10%"/>
    <s v="20.00%"/>
    <n v="21268"/>
    <n v="13294"/>
    <n v="6231"/>
    <n v="2146"/>
    <n v="519"/>
    <n v="68"/>
    <n v="23581"/>
    <n v="3296"/>
    <n v="1138"/>
    <n v="6308"/>
    <n v="297"/>
    <n v="89"/>
    <s v="1.15"/>
  </r>
  <r>
    <n v="15165"/>
    <x v="15"/>
    <s v="Benjamin Bremer"/>
    <x v="8"/>
    <x v="9"/>
    <s v="Astralis"/>
    <s v="Astralis, Complexity, Heroic, Epsilon"/>
    <n v="18058"/>
    <n v="14312"/>
    <x v="14"/>
    <s v="85.6"/>
    <s v="7.1"/>
    <n v="884"/>
    <n v="23631"/>
    <s v="0.76"/>
    <s v="0.14"/>
    <s v="0.61"/>
    <s v="0.07"/>
    <s v="0.09"/>
    <n v="12024"/>
    <s v="K - D diff."/>
    <n v="2857"/>
    <n v="1995"/>
    <s v="1.43"/>
    <s v="1.13"/>
    <s v="74.10%"/>
    <s v="17.60%"/>
    <n v="11607"/>
    <n v="7531"/>
    <n v="3222"/>
    <n v="1024"/>
    <n v="224"/>
    <n v="23"/>
    <n v="14032"/>
    <n v="164"/>
    <n v="827"/>
    <n v="2661"/>
    <n v="397"/>
    <n v="64"/>
    <s v="1.22"/>
  </r>
  <r>
    <n v="7131"/>
    <x v="16"/>
    <s v="Hansel Ferdinand"/>
    <x v="5"/>
    <x v="12"/>
    <s v="TYLOO"/>
    <s v="TYLOO, Gen.G, EXTREMUM"/>
    <n v="20591"/>
    <n v="16796"/>
    <x v="15"/>
    <n v="83"/>
    <s v="5.1"/>
    <n v="1033"/>
    <n v="26924"/>
    <s v="0.76"/>
    <s v="0.14"/>
    <s v="0.62"/>
    <s v="0.1"/>
    <s v="0.12"/>
    <n v="13454"/>
    <s v="K - D diff."/>
    <n v="2330"/>
    <n v="1934"/>
    <s v="1.2"/>
    <s v="0.98"/>
    <s v="75.70%"/>
    <s v="12.20%"/>
    <n v="13470"/>
    <n v="8251"/>
    <n v="3628"/>
    <n v="1255"/>
    <n v="281"/>
    <n v="39"/>
    <n v="15155"/>
    <n v="728"/>
    <n v="1169"/>
    <n v="3259"/>
    <n v="305"/>
    <n v="45"/>
    <s v="1.15"/>
  </r>
  <r>
    <n v="9216"/>
    <x v="17"/>
    <s v="Marcelo David"/>
    <x v="2"/>
    <x v="3"/>
    <s v="00NATION"/>
    <s v="SK, FaZe, Luminosity, MIBR"/>
    <n v="28576"/>
    <n v="22946"/>
    <x v="16"/>
    <s v="79.2"/>
    <s v="2.4"/>
    <n v="1426"/>
    <n v="37264"/>
    <s v="0.77"/>
    <s v="0.11"/>
    <s v="0.62"/>
    <s v="0.08"/>
    <s v="0.1"/>
    <n v="19016"/>
    <s v="K - D diff."/>
    <n v="3355"/>
    <n v="2453"/>
    <s v="1.37"/>
    <s v="1.01"/>
    <s v="74.90%"/>
    <s v="12.50%"/>
    <n v="18248"/>
    <n v="11854"/>
    <n v="5167"/>
    <n v="1623"/>
    <n v="341"/>
    <n v="31"/>
    <n v="17732"/>
    <n v="3229"/>
    <n v="2161"/>
    <n v="5249"/>
    <n v="205"/>
    <n v="60"/>
    <s v="1.15"/>
  </r>
  <r>
    <n v="9102"/>
    <x v="18"/>
    <s v="Simon Williams"/>
    <x v="2"/>
    <x v="6"/>
    <s v="ORDER"/>
    <s v="ORDER, Renegades, Grayhound, Kings"/>
    <n v="17188"/>
    <n v="13437"/>
    <x v="17"/>
    <s v="79.1"/>
    <s v="6.9"/>
    <n v="902"/>
    <n v="22858"/>
    <s v="0.75"/>
    <s v="0.14"/>
    <s v="0.59"/>
    <s v="0.09"/>
    <s v="0.1"/>
    <n v="11611"/>
    <s v="K - D diff."/>
    <n v="2600"/>
    <n v="1399"/>
    <s v="1.86"/>
    <s v="1.13"/>
    <s v="80.90%"/>
    <s v="16.10%"/>
    <n v="11247"/>
    <n v="7366"/>
    <n v="3111"/>
    <n v="954"/>
    <n v="162"/>
    <n v="18"/>
    <n v="5220"/>
    <n v="7131"/>
    <n v="982"/>
    <n v="3423"/>
    <n v="439"/>
    <n v="29"/>
    <s v="1.15"/>
  </r>
  <r>
    <n v="9172"/>
    <x v="19"/>
    <s v="Hyun-Pyo Lee"/>
    <x v="8"/>
    <x v="13"/>
    <s v="NKT"/>
    <s v="NKT, MVP PK, MVP Project"/>
    <n v="14756"/>
    <n v="12329"/>
    <x v="18"/>
    <s v="82.6"/>
    <s v="2.8"/>
    <n v="727"/>
    <n v="18859"/>
    <s v="0.78"/>
    <s v="0.12"/>
    <s v="0.65"/>
    <s v="0.09"/>
    <s v="0.1"/>
    <n v="9608"/>
    <s v="K - D diff."/>
    <n v="2189"/>
    <n v="1915"/>
    <s v="1.14"/>
    <s v="1.08"/>
    <s v="72.40%"/>
    <s v="15.70%"/>
    <n v="9251"/>
    <n v="5822"/>
    <n v="2662"/>
    <n v="912"/>
    <n v="186"/>
    <n v="26"/>
    <n v="10598"/>
    <n v="371"/>
    <n v="1087"/>
    <n v="2569"/>
    <n v="113"/>
    <n v="47"/>
    <s v="1.14"/>
  </r>
  <r>
    <n v="15631"/>
    <x v="20"/>
    <s v="Kaike Cerato"/>
    <x v="4"/>
    <x v="3"/>
    <s v="FURIA"/>
    <s v="FURIA"/>
    <n v="17821"/>
    <n v="14059"/>
    <x v="16"/>
    <s v="79.2"/>
    <s v="5.4"/>
    <n v="930"/>
    <n v="24208"/>
    <s v="0.74"/>
    <s v="0.13"/>
    <s v="0.58"/>
    <s v="0.08"/>
    <s v="0.1"/>
    <n v="11907"/>
    <s v="K - D diff."/>
    <n v="2047"/>
    <n v="1497"/>
    <s v="1.37"/>
    <s v="0.99"/>
    <s v="75.00%"/>
    <s v="11.70%"/>
    <n v="12301"/>
    <n v="7473"/>
    <n v="3205"/>
    <n v="1006"/>
    <n v="195"/>
    <n v="28"/>
    <n v="12854"/>
    <n v="551"/>
    <n v="1355"/>
    <n v="2739"/>
    <n v="326"/>
    <n v="101"/>
    <s v="1.18"/>
  </r>
  <r>
    <n v="8944"/>
    <x v="21"/>
    <s v="Benedict Tan"/>
    <x v="8"/>
    <x v="14"/>
    <m/>
    <s v="BOOT-d[S], BOOT, dream[S]cape"/>
    <n v="12164"/>
    <n v="10118"/>
    <x v="19"/>
    <s v="85.4"/>
    <s v="4.2"/>
    <n v="603"/>
    <n v="15560"/>
    <s v="0.78"/>
    <s v="0.14"/>
    <s v="0.65"/>
    <s v="0.07"/>
    <s v="0.1"/>
    <n v="7983"/>
    <s v="K - D diff."/>
    <n v="1838"/>
    <n v="1550"/>
    <s v="1.19"/>
    <s v="1.09"/>
    <s v="75.80%"/>
    <s v="17.00%"/>
    <n v="7577"/>
    <n v="4863"/>
    <n v="2231"/>
    <n v="732"/>
    <n v="142"/>
    <n v="15"/>
    <n v="8704"/>
    <n v="427"/>
    <n v="826"/>
    <n v="1973"/>
    <n v="157"/>
    <n v="101"/>
    <s v="1.14"/>
  </r>
  <r>
    <n v="11847"/>
    <x v="22"/>
    <s v="Matthew O'Rourke"/>
    <x v="0"/>
    <x v="15"/>
    <m/>
    <s v="Chiefs, Athletico, Dark Sided"/>
    <n v="12510"/>
    <n v="10760"/>
    <x v="20"/>
    <s v="87.1"/>
    <s v="3.6"/>
    <n v="625"/>
    <n v="15713"/>
    <s v="0.8"/>
    <s v="0.18"/>
    <s v="0.68"/>
    <s v="0.1"/>
    <s v="0.13"/>
    <n v="8125"/>
    <s v="K - D diff."/>
    <n v="1908"/>
    <n v="1825"/>
    <s v="1.05"/>
    <s v="1.08"/>
    <s v="75.80%"/>
    <s v="16.90%"/>
    <n v="7588"/>
    <n v="4887"/>
    <n v="2284"/>
    <n v="775"/>
    <n v="165"/>
    <n v="14"/>
    <n v="9814"/>
    <n v="148"/>
    <n v="264"/>
    <n v="2192"/>
    <n v="109"/>
    <n v="6"/>
    <s v="1.21"/>
  </r>
  <r>
    <n v="13776"/>
    <x v="23"/>
    <s v="Dzhami Ali"/>
    <x v="6"/>
    <x v="2"/>
    <s v="Outsiders"/>
    <s v="AVANGAR, Virtus.pro"/>
    <n v="22608"/>
    <n v="17316"/>
    <x v="21"/>
    <n v="73"/>
    <s v="3.9"/>
    <n v="1189"/>
    <n v="31521"/>
    <s v="0.72"/>
    <s v="0.09"/>
    <s v="0.55"/>
    <s v="0.07"/>
    <s v="0.09"/>
    <n v="15469"/>
    <s v="K - D diff."/>
    <n v="3753"/>
    <n v="2089"/>
    <s v="1.8"/>
    <s v="1.15"/>
    <s v="76.00%"/>
    <s v="17.10%"/>
    <n v="16052"/>
    <n v="10001"/>
    <n v="4041"/>
    <n v="1202"/>
    <n v="206"/>
    <n v="19"/>
    <n v="3061"/>
    <n v="14965"/>
    <n v="1081"/>
    <n v="3198"/>
    <n v="252"/>
    <n v="137"/>
    <s v="1.17"/>
  </r>
  <r>
    <n v="9626"/>
    <x v="24"/>
    <s v="Adrian GuÈ›Äƒ"/>
    <x v="0"/>
    <x v="16"/>
    <s v="ECSTATIC"/>
    <s v="Nexus"/>
    <n v="22423"/>
    <n v="19052"/>
    <x v="22"/>
    <n v="80"/>
    <s v="1.8"/>
    <n v="1097"/>
    <n v="28850"/>
    <s v="0.78"/>
    <s v="0.11"/>
    <s v="0.66"/>
    <s v="0.09"/>
    <s v="0.11"/>
    <n v="14611"/>
    <s v="K - D diff."/>
    <n v="3983"/>
    <n v="2960"/>
    <s v="1.35"/>
    <s v="1.19"/>
    <s v="73.40%"/>
    <s v="19.80%"/>
    <n v="14239"/>
    <n v="8851"/>
    <n v="4086"/>
    <n v="1327"/>
    <n v="316"/>
    <n v="31"/>
    <n v="8583"/>
    <n v="9211"/>
    <n v="507"/>
    <n v="3998"/>
    <n v="133"/>
    <n v="50"/>
    <s v="1.13"/>
  </r>
  <r>
    <n v="16847"/>
    <x v="25"/>
    <s v="MiÅ‚osz Knasiak"/>
    <x v="7"/>
    <x v="17"/>
    <s v="MOUZ NXT"/>
    <s v="MOUZ NXT, AGO"/>
    <n v="10241"/>
    <n v="8484"/>
    <x v="23"/>
    <n v="80"/>
    <s v="3.8"/>
    <n v="498"/>
    <n v="13378"/>
    <s v="0.77"/>
    <s v="0.12"/>
    <s v="0.63"/>
    <s v="0.1"/>
    <s v="0.11"/>
    <n v="6773"/>
    <s v="K - D diff."/>
    <n v="1656"/>
    <n v="1114"/>
    <s v="1.49"/>
    <s v="1.15"/>
    <s v="76.70%"/>
    <s v="18.40%"/>
    <n v="6605"/>
    <n v="4156"/>
    <n v="1896"/>
    <n v="596"/>
    <n v="120"/>
    <n v="5"/>
    <n v="2444"/>
    <n v="5801"/>
    <n v="181"/>
    <n v="1687"/>
    <n v="153"/>
    <n v="16"/>
    <s v="1.17"/>
  </r>
  <r>
    <n v="798"/>
    <x v="26"/>
    <s v="TomÃ¡Å¡ Å Å¥astnÃ½"/>
    <x v="9"/>
    <x v="18"/>
    <s v="Tokyo Revengers"/>
    <s v="MOUZ, SINNERS, HellRaisers"/>
    <n v="29371"/>
    <n v="24509"/>
    <x v="24"/>
    <s v="78.2"/>
    <s v="3.4"/>
    <n v="1460"/>
    <n v="38504"/>
    <s v="0.76"/>
    <s v="0.1"/>
    <s v="0.64"/>
    <s v="0.07"/>
    <s v="0.08"/>
    <n v="19306"/>
    <s v="K - D diff."/>
    <n v="5123"/>
    <n v="3652"/>
    <s v="1.4"/>
    <s v="1.17"/>
    <s v="73.40%"/>
    <s v="18.90%"/>
    <n v="19198"/>
    <n v="11802"/>
    <n v="5377"/>
    <n v="1731"/>
    <n v="363"/>
    <n v="33"/>
    <n v="5625"/>
    <n v="16854"/>
    <n v="1023"/>
    <n v="5191"/>
    <n v="335"/>
    <n v="406"/>
    <s v="1.13"/>
  </r>
  <r>
    <n v="13281"/>
    <x v="27"/>
    <s v="Aleksei Gusev"/>
    <x v="6"/>
    <x v="2"/>
    <s v="Entropiq"/>
    <s v="Entropiq, Winstrike, EPG"/>
    <n v="26132"/>
    <n v="21336"/>
    <x v="25"/>
    <s v="78.1"/>
    <s v="2.7"/>
    <n v="1304"/>
    <n v="34783"/>
    <s v="0.75"/>
    <s v="0.11"/>
    <s v="0.61"/>
    <s v="0.07"/>
    <s v="0.08"/>
    <n v="17472"/>
    <s v="K - D diff."/>
    <n v="4718"/>
    <n v="2938"/>
    <s v="1.61"/>
    <s v="1.2"/>
    <s v="74.50%"/>
    <s v="19.70%"/>
    <n v="17311"/>
    <n v="10958"/>
    <n v="4691"/>
    <n v="1525"/>
    <n v="273"/>
    <n v="25"/>
    <n v="5031"/>
    <n v="16248"/>
    <n v="396"/>
    <n v="4164"/>
    <n v="233"/>
    <n v="122"/>
    <s v="1.17"/>
  </r>
  <r>
    <n v="7167"/>
    <x v="28"/>
    <s v="Kenny Schrub"/>
    <x v="2"/>
    <x v="0"/>
    <s v="G2"/>
    <s v="G2, Envy, Titan"/>
    <n v="37067"/>
    <n v="30736"/>
    <x v="26"/>
    <s v="74.7"/>
    <s v="3.4"/>
    <n v="1852"/>
    <n v="48898"/>
    <s v="0.76"/>
    <s v="0.11"/>
    <s v="0.63"/>
    <s v="0.09"/>
    <s v="0.11"/>
    <n v="24567"/>
    <s v="K - D diff."/>
    <n v="5847"/>
    <n v="3969"/>
    <s v="1.47"/>
    <s v="1.13"/>
    <s v="76.50%"/>
    <s v="17.50%"/>
    <n v="24331"/>
    <n v="15241"/>
    <n v="6747"/>
    <n v="2120"/>
    <n v="412"/>
    <n v="47"/>
    <n v="8533"/>
    <n v="19544"/>
    <n v="843"/>
    <n v="7423"/>
    <n v="707"/>
    <n v="80"/>
    <s v="1.13"/>
  </r>
  <r>
    <n v="10774"/>
    <x v="29"/>
    <s v="WingHei Cheung"/>
    <x v="6"/>
    <x v="19"/>
    <s v="YK"/>
    <s v="ViCi, TYLOO"/>
    <n v="15040"/>
    <n v="12743"/>
    <x v="27"/>
    <s v="80.7"/>
    <s v="2.9"/>
    <n v="773"/>
    <n v="19766"/>
    <s v="0.76"/>
    <s v="0.13"/>
    <s v="0.64"/>
    <s v="0.09"/>
    <s v="0.11"/>
    <n v="9837"/>
    <s v="K - D diff."/>
    <n v="1902"/>
    <n v="1717"/>
    <s v="1.11"/>
    <n v="1"/>
    <s v="75.70%"/>
    <s v="13.50%"/>
    <n v="9929"/>
    <n v="5988"/>
    <n v="2725"/>
    <n v="918"/>
    <n v="182"/>
    <n v="24"/>
    <n v="10686"/>
    <n v="690"/>
    <n v="766"/>
    <n v="2735"/>
    <n v="158"/>
    <n v="32"/>
    <s v="1.16"/>
  </r>
  <r>
    <n v="10981"/>
    <x v="30"/>
    <s v="Mateusz Wilczewski"/>
    <x v="1"/>
    <x v="17"/>
    <m/>
    <s v="OG, ALTERNATE aTTaX, PANTHERS"/>
    <n v="13904"/>
    <n v="11530"/>
    <x v="28"/>
    <s v="76.7"/>
    <s v="3.4"/>
    <n v="696"/>
    <n v="18646"/>
    <s v="0.75"/>
    <s v="0.11"/>
    <s v="0.62"/>
    <s v="0.09"/>
    <s v="0.12"/>
    <n v="9247"/>
    <s v="K - D diff."/>
    <n v="2203"/>
    <n v="1553"/>
    <s v="1.42"/>
    <s v="1.12"/>
    <s v="73.40%"/>
    <s v="17.30%"/>
    <n v="9399"/>
    <n v="5767"/>
    <n v="2516"/>
    <n v="774"/>
    <n v="167"/>
    <n v="23"/>
    <n v="5626"/>
    <n v="5438"/>
    <n v="448"/>
    <n v="2252"/>
    <n v="151"/>
    <n v="31"/>
    <s v="1.16"/>
  </r>
  <r>
    <n v="3972"/>
    <x v="31"/>
    <s v="Nemanja KovaÄ"/>
    <x v="5"/>
    <x v="11"/>
    <s v="G2"/>
    <s v="G2, Valiance, Binary Dragons"/>
    <n v="30144"/>
    <n v="25923"/>
    <x v="16"/>
    <s v="84.8"/>
    <s v="5.5"/>
    <n v="1474"/>
    <n v="38947"/>
    <s v="0.77"/>
    <s v="0.14"/>
    <s v="0.67"/>
    <s v="0.1"/>
    <s v="0.11"/>
    <n v="19652"/>
    <s v="K - D diff."/>
    <n v="4536"/>
    <n v="3818"/>
    <s v="1.19"/>
    <s v="1.09"/>
    <s v="76.10%"/>
    <s v="16.60%"/>
    <n v="19295"/>
    <n v="11861"/>
    <n v="5534"/>
    <n v="1846"/>
    <n v="378"/>
    <n v="33"/>
    <n v="21272"/>
    <n v="344"/>
    <n v="3190"/>
    <n v="4826"/>
    <n v="422"/>
    <n v="156"/>
    <s v="1.12"/>
  </r>
  <r>
    <n v="9960"/>
    <x v="32"/>
    <s v="David ÄŒerÅˆanskÃ½"/>
    <x v="7"/>
    <x v="20"/>
    <s v="MOUZ"/>
    <s v="MOUZ, eXtatus"/>
    <n v="24136"/>
    <n v="20574"/>
    <x v="29"/>
    <s v="82.9"/>
    <s v="5.1"/>
    <n v="1218"/>
    <n v="31866"/>
    <s v="0.76"/>
    <s v="0.13"/>
    <s v="0.65"/>
    <s v="0.09"/>
    <s v="0.11"/>
    <n v="15834"/>
    <s v="K - D diff."/>
    <n v="3463"/>
    <n v="3098"/>
    <s v="1.12"/>
    <s v="1.05"/>
    <s v="73.50%"/>
    <s v="15.10%"/>
    <n v="16032"/>
    <n v="9799"/>
    <n v="4184"/>
    <n v="1471"/>
    <n v="344"/>
    <n v="36"/>
    <n v="17384"/>
    <n v="1178"/>
    <n v="849"/>
    <n v="4379"/>
    <n v="333"/>
    <n v="100"/>
    <s v="1.12"/>
  </r>
  <r>
    <n v="16816"/>
    <x v="33"/>
    <s v="Vinicius Moreira"/>
    <x v="6"/>
    <x v="3"/>
    <s v="00NATION"/>
    <s v="DETONA, 00NATION"/>
    <n v="10883"/>
    <n v="9398"/>
    <x v="30"/>
    <s v="83.6"/>
    <s v="3.1"/>
    <n v="533"/>
    <n v="14130"/>
    <s v="0.77"/>
    <s v="0.13"/>
    <s v="0.67"/>
    <s v="0.09"/>
    <s v="0.1"/>
    <n v="7098"/>
    <s v="K - D diff."/>
    <n v="1806"/>
    <n v="1548"/>
    <s v="1.17"/>
    <s v="1.12"/>
    <s v="73.20%"/>
    <s v="17.90%"/>
    <n v="7032"/>
    <n v="4315"/>
    <n v="1963"/>
    <n v="647"/>
    <n v="164"/>
    <n v="9"/>
    <n v="7544"/>
    <n v="1047"/>
    <n v="404"/>
    <n v="1800"/>
    <n v="99"/>
    <n v="32"/>
    <s v="1.18"/>
  </r>
  <r>
    <n v="12877"/>
    <x v="34"/>
    <s v="Michael Hawkins"/>
    <x v="4"/>
    <x v="6"/>
    <m/>
    <s v="Rooster, madlikewizards, Paradox"/>
    <n v="11270"/>
    <n v="9818"/>
    <x v="31"/>
    <s v="84.2"/>
    <s v="4.1"/>
    <n v="560"/>
    <n v="14454"/>
    <s v="0.78"/>
    <s v="0.13"/>
    <s v="0.68"/>
    <s v="0.1"/>
    <s v="0.09"/>
    <n v="7347"/>
    <s v="K - D diff."/>
    <n v="2574"/>
    <n v="2036"/>
    <s v="1.26"/>
    <s v="1.32"/>
    <s v="72.30%"/>
    <s v="24.80%"/>
    <n v="7107"/>
    <n v="4471"/>
    <n v="2021"/>
    <n v="679"/>
    <n v="160"/>
    <n v="16"/>
    <n v="3548"/>
    <n v="5692"/>
    <n v="260"/>
    <n v="1601"/>
    <n v="160"/>
    <n v="35"/>
    <s v="1.2"/>
  </r>
  <r>
    <n v="11141"/>
    <x v="35"/>
    <s v="Erdenetsogt Gantulga"/>
    <x v="2"/>
    <x v="21"/>
    <s v="NKT"/>
    <s v="Grayhound, TIGER, Immunity"/>
    <n v="17397"/>
    <n v="14889"/>
    <x v="32"/>
    <s v="83.3"/>
    <s v="5.1"/>
    <n v="869"/>
    <n v="22571"/>
    <s v="0.77"/>
    <s v="0.15"/>
    <s v="0.66"/>
    <s v="0.09"/>
    <s v="0.09"/>
    <n v="11431"/>
    <s v="K - D diff."/>
    <n v="2385"/>
    <n v="2041"/>
    <s v="1.17"/>
    <s v="1.04"/>
    <s v="75.20%"/>
    <s v="14.30%"/>
    <n v="11140"/>
    <n v="6979"/>
    <n v="3187"/>
    <n v="1032"/>
    <n v="217"/>
    <n v="16"/>
    <n v="12309"/>
    <n v="384"/>
    <n v="1608"/>
    <n v="2838"/>
    <n v="247"/>
    <n v="52"/>
    <s v="1.17"/>
  </r>
  <r>
    <n v="12553"/>
    <x v="36"/>
    <s v="Yuri Santos"/>
    <x v="4"/>
    <x v="3"/>
    <s v="FURIA"/>
    <s v="FURIA"/>
    <n v="20149"/>
    <n v="16995"/>
    <x v="33"/>
    <s v="84.2"/>
    <n v="5"/>
    <n v="1022"/>
    <n v="26677"/>
    <s v="0.76"/>
    <s v="0.15"/>
    <s v="0.64"/>
    <s v="0.09"/>
    <s v="0.11"/>
    <n v="13336"/>
    <s v="K - D diff."/>
    <n v="2580"/>
    <n v="1877"/>
    <s v="1.37"/>
    <s v="1.03"/>
    <s v="76.40%"/>
    <s v="13.70%"/>
    <n v="13341"/>
    <n v="8292"/>
    <n v="3570"/>
    <n v="1201"/>
    <n v="251"/>
    <n v="22"/>
    <n v="15471"/>
    <n v="453"/>
    <n v="744"/>
    <n v="3219"/>
    <n v="286"/>
    <n v="43"/>
    <s v="1.18"/>
  </r>
  <r>
    <n v="8574"/>
    <x v="37"/>
    <s v="Ã–zgÃ¼r Eker"/>
    <x v="6"/>
    <x v="7"/>
    <s v="Eternal Fire"/>
    <s v="Eternal Fire, HellRaisers, MOUZ, DarkPassage"/>
    <n v="22815"/>
    <n v="18947"/>
    <x v="34"/>
    <s v="76.4"/>
    <s v="2.4"/>
    <n v="1178"/>
    <n v="30952"/>
    <s v="0.74"/>
    <s v="0.11"/>
    <s v="0.61"/>
    <s v="0.08"/>
    <s v="0.1"/>
    <n v="15130"/>
    <s v="K - D diff."/>
    <n v="3693"/>
    <n v="2485"/>
    <s v="1.49"/>
    <s v="1.13"/>
    <s v="76.10%"/>
    <s v="17.30%"/>
    <n v="15822"/>
    <n v="9398"/>
    <n v="4130"/>
    <n v="1287"/>
    <n v="279"/>
    <n v="36"/>
    <n v="6232"/>
    <n v="12438"/>
    <n v="462"/>
    <n v="3472"/>
    <n v="214"/>
    <n v="84"/>
    <s v="1.12"/>
  </r>
  <r>
    <n v="1088"/>
    <x v="38"/>
    <s v="Anatoliy Yashin"/>
    <x v="10"/>
    <x v="2"/>
    <s v="HellRaisers"/>
    <s v="forZe, RuSh3D, Spartak, Enso"/>
    <n v="9317"/>
    <n v="7766"/>
    <x v="35"/>
    <s v="78.5"/>
    <s v="2.6"/>
    <n v="457"/>
    <n v="12154"/>
    <s v="0.77"/>
    <s v="0.1"/>
    <s v="0.64"/>
    <s v="0.07"/>
    <s v="0.09"/>
    <n v="6279"/>
    <s v="K - D diff."/>
    <n v="1595"/>
    <n v="1041"/>
    <s v="1.53"/>
    <s v="1.18"/>
    <s v="71.60%"/>
    <s v="19.00%"/>
    <n v="5875"/>
    <n v="3952"/>
    <n v="1735"/>
    <n v="484"/>
    <n v="99"/>
    <n v="9"/>
    <n v="1248"/>
    <n v="5656"/>
    <n v="105"/>
    <n v="2206"/>
    <n v="112"/>
    <n v="7"/>
    <s v="1.12"/>
  </r>
  <r>
    <n v="11140"/>
    <x v="39"/>
    <s v="Joshua Potter"/>
    <x v="6"/>
    <x v="15"/>
    <s v="ORDER"/>
    <s v="ORDER, Renegades, Chiefs, Tainted Minds"/>
    <n v="18179"/>
    <n v="15568"/>
    <x v="36"/>
    <s v="85.6"/>
    <s v="8.5"/>
    <n v="946"/>
    <n v="23988"/>
    <s v="0.76"/>
    <s v="0.17"/>
    <s v="0.65"/>
    <s v="0.1"/>
    <s v="0.09"/>
    <n v="11887"/>
    <s v="K - D diff."/>
    <n v="2792"/>
    <n v="2439"/>
    <s v="1.14"/>
    <s v="1.08"/>
    <s v="77.50%"/>
    <s v="15.90%"/>
    <n v="12101"/>
    <n v="7199"/>
    <n v="3368"/>
    <n v="1063"/>
    <n v="230"/>
    <n v="27"/>
    <n v="12322"/>
    <n v="825"/>
    <n v="1492"/>
    <n v="3018"/>
    <n v="490"/>
    <n v="77"/>
    <s v="1.19"/>
  </r>
  <r>
    <n v="5736"/>
    <x v="40"/>
    <s v="Vito Giuseppe"/>
    <x v="11"/>
    <x v="3"/>
    <m/>
    <s v="MIBR, INTZ"/>
    <n v="16548"/>
    <n v="14142"/>
    <x v="37"/>
    <s v="78.5"/>
    <s v="2.1"/>
    <n v="827"/>
    <n v="21606"/>
    <s v="0.77"/>
    <s v="0.1"/>
    <s v="0.65"/>
    <s v="0.08"/>
    <s v="0.09"/>
    <n v="10956"/>
    <s v="K - D diff."/>
    <n v="2929"/>
    <n v="2200"/>
    <s v="1.33"/>
    <s v="1.17"/>
    <s v="74.60%"/>
    <s v="19.40%"/>
    <n v="10650"/>
    <n v="6792"/>
    <n v="2989"/>
    <n v="945"/>
    <n v="207"/>
    <n v="23"/>
    <n v="5082"/>
    <n v="7983"/>
    <n v="732"/>
    <n v="2586"/>
    <n v="142"/>
    <n v="48"/>
    <s v="1.12"/>
  </r>
  <r>
    <n v="11816"/>
    <x v="41"/>
    <s v="Robin Kool"/>
    <x v="4"/>
    <x v="22"/>
    <s v="FaZe"/>
    <s v="MOUZ"/>
    <n v="22490"/>
    <n v="18697"/>
    <x v="38"/>
    <s v="78.5"/>
    <s v="2.4"/>
    <n v="1149"/>
    <n v="30413"/>
    <s v="0.74"/>
    <s v="0.11"/>
    <s v="0.61"/>
    <s v="0.07"/>
    <s v="0.09"/>
    <n v="14993"/>
    <s v="K - D diff."/>
    <n v="2943"/>
    <n v="2410"/>
    <s v="1.22"/>
    <s v="1.02"/>
    <s v="73.10%"/>
    <s v="13.50%"/>
    <n v="15420"/>
    <n v="9347"/>
    <n v="4109"/>
    <n v="1251"/>
    <n v="258"/>
    <n v="28"/>
    <n v="16807"/>
    <n v="1080"/>
    <n v="738"/>
    <n v="3679"/>
    <n v="131"/>
    <n v="117"/>
    <s v="1.15"/>
  </r>
  <r>
    <n v="14087"/>
    <x v="42"/>
    <s v="Elias Olkkonen"/>
    <x v="0"/>
    <x v="23"/>
    <m/>
    <s v="SJ, ENCE"/>
    <n v="10302"/>
    <n v="8894"/>
    <x v="39"/>
    <s v="78.2"/>
    <s v="2.8"/>
    <n v="503"/>
    <n v="13449"/>
    <s v="0.77"/>
    <s v="0.1"/>
    <s v="0.66"/>
    <s v="0.08"/>
    <s v="0.09"/>
    <n v="6747"/>
    <s v="K - D diff."/>
    <n v="2050"/>
    <n v="1538"/>
    <s v="1.33"/>
    <s v="1.24"/>
    <s v="72.50%"/>
    <s v="22.20%"/>
    <n v="6702"/>
    <n v="4128"/>
    <n v="1826"/>
    <n v="658"/>
    <n v="127"/>
    <n v="8"/>
    <n v="2872"/>
    <n v="5073"/>
    <n v="421"/>
    <n v="1835"/>
    <n v="83"/>
    <n v="46"/>
    <s v="1.15"/>
  </r>
  <r>
    <n v="9884"/>
    <x v="43"/>
    <s v="Collin McSweegan"/>
    <x v="7"/>
    <x v="24"/>
    <m/>
    <s v="New Identity, Secret Club, BlackOut"/>
    <n v="10634"/>
    <n v="9395"/>
    <x v="32"/>
    <s v="83.9"/>
    <s v="3.5"/>
    <n v="525"/>
    <n v="13568"/>
    <s v="0.78"/>
    <s v="0.14"/>
    <s v="0.69"/>
    <s v="0.11"/>
    <s v="0.14"/>
    <n v="6906"/>
    <s v="K - D diff."/>
    <n v="1518"/>
    <n v="1276"/>
    <s v="1.19"/>
    <s v="1.07"/>
    <s v="74.80%"/>
    <s v="16.20%"/>
    <n v="6662"/>
    <n v="4167"/>
    <n v="1920"/>
    <n v="672"/>
    <n v="124"/>
    <n v="23"/>
    <n v="8173"/>
    <n v="205"/>
    <n v="404"/>
    <n v="1766"/>
    <n v="91"/>
    <n v="16"/>
    <s v="1.12"/>
  </r>
  <r>
    <n v="8412"/>
    <x v="44"/>
    <s v="Simeon Ganev"/>
    <x v="8"/>
    <x v="25"/>
    <s v="SKADE"/>
    <s v="SKADE, E-frag.net, Fiend"/>
    <n v="24903"/>
    <n v="20679"/>
    <x v="40"/>
    <n v="77"/>
    <s v="3.2"/>
    <n v="1283"/>
    <n v="33620"/>
    <s v="0.74"/>
    <s v="0.12"/>
    <s v="0.62"/>
    <s v="0.08"/>
    <s v="0.11"/>
    <n v="16695"/>
    <s v="K - D diff."/>
    <n v="2721"/>
    <n v="2236"/>
    <s v="1.22"/>
    <s v="0.96"/>
    <s v="74.30%"/>
    <s v="11.20%"/>
    <n v="16925"/>
    <n v="10474"/>
    <n v="4539"/>
    <n v="1418"/>
    <n v="237"/>
    <n v="27"/>
    <n v="19438"/>
    <n v="349"/>
    <n v="272"/>
    <n v="4561"/>
    <n v="296"/>
    <n v="45"/>
    <s v="1.11"/>
  </r>
  <r>
    <n v="13238"/>
    <x v="45"/>
    <s v="Kitikawin Rattanasukol"/>
    <x v="6"/>
    <x v="26"/>
    <m/>
    <s v="Lucid Dream, 5POWER"/>
    <n v="9304"/>
    <n v="7896"/>
    <x v="41"/>
    <s v="76.9"/>
    <n v="2"/>
    <n v="476"/>
    <n v="12393"/>
    <s v="0.75"/>
    <s v="0.1"/>
    <s v="0.64"/>
    <s v="0.08"/>
    <s v="0.09"/>
    <n v="6199"/>
    <s v="K - D diff."/>
    <n v="1542"/>
    <n v="1102"/>
    <s v="1.4"/>
    <s v="1.14"/>
    <s v="73.10%"/>
    <s v="17.50%"/>
    <n v="6194"/>
    <n v="3885"/>
    <n v="1655"/>
    <n v="538"/>
    <n v="110"/>
    <n v="11"/>
    <n v="3249"/>
    <n v="3987"/>
    <n v="349"/>
    <n v="1649"/>
    <n v="63"/>
    <n v="27"/>
    <s v="1.14"/>
  </r>
  <r>
    <n v="12733"/>
    <x v="46"/>
    <s v="Bogdan Chernikov"/>
    <x v="1"/>
    <x v="2"/>
    <s v="K23"/>
    <s v="K23, forZe"/>
    <n v="24769"/>
    <n v="20066"/>
    <x v="42"/>
    <s v="72.4"/>
    <s v="2.2"/>
    <n v="1282"/>
    <n v="34452"/>
    <s v="0.72"/>
    <s v="0.08"/>
    <s v="0.58"/>
    <s v="0.07"/>
    <s v="0.08"/>
    <n v="16798"/>
    <s v="K - D diff."/>
    <n v="5002"/>
    <n v="3073"/>
    <s v="1.63"/>
    <s v="1.24"/>
    <s v="74.90%"/>
    <s v="20.80%"/>
    <n v="17654"/>
    <n v="10662"/>
    <n v="4559"/>
    <n v="1337"/>
    <n v="222"/>
    <n v="18"/>
    <n v="2339"/>
    <n v="17549"/>
    <n v="825"/>
    <n v="3919"/>
    <n v="175"/>
    <n v="47"/>
    <s v="1.15"/>
  </r>
  <r>
    <n v="15662"/>
    <x v="47"/>
    <s v="Aleksandr Zagodyrenko"/>
    <x v="1"/>
    <x v="2"/>
    <s v="forZe"/>
    <s v="forZe, Unique"/>
    <n v="14696"/>
    <n v="12200"/>
    <x v="43"/>
    <s v="74.3"/>
    <s v="2.7"/>
    <n v="754"/>
    <n v="20154"/>
    <s v="0.73"/>
    <s v="0.09"/>
    <s v="0.61"/>
    <s v="0.09"/>
    <s v="0.11"/>
    <n v="9854"/>
    <s v="K - D diff."/>
    <n v="2584"/>
    <n v="1670"/>
    <s v="1.55"/>
    <s v="1.17"/>
    <s v="74.10%"/>
    <s v="18.60%"/>
    <n v="10300"/>
    <n v="6195"/>
    <n v="2676"/>
    <n v="805"/>
    <n v="156"/>
    <n v="22"/>
    <n v="4279"/>
    <n v="7548"/>
    <n v="239"/>
    <n v="2509"/>
    <n v="139"/>
    <n v="27"/>
    <s v="1.15"/>
  </r>
  <r>
    <n v="10394"/>
    <x v="48"/>
    <s v="Russel Van Dulken"/>
    <x v="4"/>
    <x v="27"/>
    <s v="FaZe"/>
    <s v="FaZe, Liquid"/>
    <n v="26811"/>
    <n v="22783"/>
    <x v="44"/>
    <s v="76.9"/>
    <s v="3.4"/>
    <n v="1394"/>
    <n v="36637"/>
    <s v="0.73"/>
    <s v="0.11"/>
    <s v="0.62"/>
    <s v="0.1"/>
    <s v="0.12"/>
    <n v="17685"/>
    <s v="K - D diff."/>
    <n v="3212"/>
    <n v="2943"/>
    <s v="1.09"/>
    <s v="0.97"/>
    <s v="73.90%"/>
    <s v="12.20%"/>
    <n v="18952"/>
    <n v="10984"/>
    <n v="4732"/>
    <n v="1563"/>
    <n v="356"/>
    <n v="50"/>
    <n v="19443"/>
    <n v="782"/>
    <n v="1240"/>
    <n v="5120"/>
    <n v="239"/>
    <n v="65"/>
    <s v="1.11"/>
  </r>
  <r>
    <n v="8943"/>
    <x v="49"/>
    <s v="Nevin Aw"/>
    <x v="6"/>
    <x v="14"/>
    <m/>
    <s v="BOOT-d[S], HZ, BOOT, dream[S]cape"/>
    <n v="14145"/>
    <n v="12334"/>
    <x v="45"/>
    <s v="78.5"/>
    <s v="3.5"/>
    <n v="722"/>
    <n v="18651"/>
    <s v="0.76"/>
    <s v="0.11"/>
    <s v="0.66"/>
    <s v="0.09"/>
    <s v="0.09"/>
    <n v="9213"/>
    <s v="K - D diff."/>
    <n v="2658"/>
    <n v="1858"/>
    <s v="1.43"/>
    <s v="1.21"/>
    <s v="73.60%"/>
    <s v="20.10%"/>
    <n v="9438"/>
    <n v="5577"/>
    <n v="2549"/>
    <n v="897"/>
    <n v="171"/>
    <n v="19"/>
    <n v="4741"/>
    <n v="6178"/>
    <n v="525"/>
    <n v="2539"/>
    <n v="167"/>
    <n v="24"/>
    <s v="1.11"/>
  </r>
  <r>
    <n v="14736"/>
    <x v="50"/>
    <s v="Franco Garcia"/>
    <x v="0"/>
    <x v="28"/>
    <s v="9z"/>
    <s v="9z"/>
    <n v="8304"/>
    <n v="6898"/>
    <x v="46"/>
    <s v="77.8"/>
    <s v="3.5"/>
    <n v="426"/>
    <n v="11279"/>
    <s v="0.74"/>
    <s v="0.12"/>
    <s v="0.61"/>
    <s v="0.09"/>
    <s v="0.12"/>
    <n v="5602"/>
    <s v="K - D diff."/>
    <n v="1008"/>
    <n v="777"/>
    <s v="1.3"/>
    <n v="1"/>
    <s v="75.40%"/>
    <s v="12.60%"/>
    <n v="5677"/>
    <n v="3557"/>
    <n v="1494"/>
    <n v="452"/>
    <n v="92"/>
    <n v="7"/>
    <n v="6750"/>
    <n v="50"/>
    <n v="201"/>
    <n v="1217"/>
    <n v="97"/>
    <n v="29"/>
    <s v="1.15"/>
  </r>
  <r>
    <n v="2757"/>
    <x v="51"/>
    <s v="Ladislav KovÃ¡cs"/>
    <x v="9"/>
    <x v="20"/>
    <s v="Sampi"/>
    <s v="Natus Vincere, FaZe"/>
    <n v="30535"/>
    <n v="25774"/>
    <x v="47"/>
    <s v="71.8"/>
    <s v="2.8"/>
    <n v="1578"/>
    <n v="41357"/>
    <s v="0.74"/>
    <s v="0.11"/>
    <s v="0.62"/>
    <s v="0.08"/>
    <s v="0.09"/>
    <n v="20238"/>
    <s v="K - D diff."/>
    <n v="5307"/>
    <n v="3777"/>
    <s v="1.41"/>
    <s v="1.16"/>
    <s v="76.40%"/>
    <s v="18.60%"/>
    <n v="21119"/>
    <n v="12563"/>
    <n v="5497"/>
    <n v="1828"/>
    <n v="313"/>
    <n v="37"/>
    <n v="6940"/>
    <n v="17441"/>
    <n v="706"/>
    <n v="5096"/>
    <n v="326"/>
    <n v="68"/>
    <s v="1.11"/>
  </r>
  <r>
    <n v="13249"/>
    <x v="52"/>
    <s v="Josh Ohm"/>
    <x v="6"/>
    <x v="24"/>
    <s v="Liquid"/>
    <s v="Extra Salt, Singularity, Cloud9"/>
    <n v="21303"/>
    <n v="17903"/>
    <x v="48"/>
    <s v="76.5"/>
    <s v="2.9"/>
    <n v="1103"/>
    <n v="28680"/>
    <s v="0.74"/>
    <s v="0.11"/>
    <s v="0.62"/>
    <s v="0.11"/>
    <s v="0.12"/>
    <n v="14323"/>
    <s v="K - D diff."/>
    <n v="3355"/>
    <n v="2407"/>
    <s v="1.39"/>
    <s v="1.11"/>
    <s v="75.50%"/>
    <s v="16.50%"/>
    <n v="14357"/>
    <n v="9043"/>
    <n v="3866"/>
    <n v="1146"/>
    <n v="250"/>
    <n v="18"/>
    <n v="7051"/>
    <n v="10272"/>
    <n v="391"/>
    <n v="3442"/>
    <n v="173"/>
    <n v="35"/>
    <s v="1.15"/>
  </r>
  <r>
    <n v="11283"/>
    <x v="53"/>
    <s v="Otto Sihvo"/>
    <x v="1"/>
    <x v="23"/>
    <s v="HAVU"/>
    <s v="HAVU, Valiance, CR4ZY, c0ntact"/>
    <n v="16712"/>
    <n v="14070"/>
    <x v="49"/>
    <s v="76.2"/>
    <s v="3.3"/>
    <n v="855"/>
    <n v="22591"/>
    <s v="0.74"/>
    <s v="0.1"/>
    <s v="0.62"/>
    <s v="0.09"/>
    <s v="0.11"/>
    <n v="11142"/>
    <s v="K - D diff."/>
    <n v="2836"/>
    <n v="1902"/>
    <s v="1.49"/>
    <s v="1.15"/>
    <s v="75.50%"/>
    <s v="18.00%"/>
    <n v="11449"/>
    <n v="6904"/>
    <n v="3104"/>
    <n v="955"/>
    <n v="160"/>
    <n v="19"/>
    <n v="3782"/>
    <n v="9345"/>
    <n v="556"/>
    <n v="2879"/>
    <n v="170"/>
    <n v="13"/>
    <s v="1.15"/>
  </r>
  <r>
    <n v="9277"/>
    <x v="54"/>
    <s v="Fredrik Gustafsson"/>
    <x v="11"/>
    <x v="29"/>
    <m/>
    <s v="Chaos, Red Reserve, Apeks, Japaleno, Galaxy Racer"/>
    <n v="23743"/>
    <n v="20127"/>
    <x v="20"/>
    <s v="80.4"/>
    <s v="3.9"/>
    <n v="1207"/>
    <n v="32156"/>
    <s v="0.74"/>
    <s v="0.14"/>
    <s v="0.63"/>
    <s v="0.09"/>
    <s v="0.11"/>
    <n v="15874"/>
    <s v="K - D diff."/>
    <n v="3341"/>
    <n v="2595"/>
    <s v="1.29"/>
    <s v="1.05"/>
    <s v="71.60%"/>
    <s v="14.80%"/>
    <n v="16282"/>
    <n v="10005"/>
    <n v="4180"/>
    <n v="1409"/>
    <n v="249"/>
    <n v="31"/>
    <n v="16327"/>
    <n v="1351"/>
    <n v="1505"/>
    <n v="4241"/>
    <n v="289"/>
    <n v="116"/>
    <s v="1.11"/>
  </r>
  <r>
    <n v="15821"/>
    <x v="55"/>
    <s v="Adam Zouhar"/>
    <x v="0"/>
    <x v="18"/>
    <s v="OG"/>
    <s v="SINNERS"/>
    <n v="13707"/>
    <n v="12172"/>
    <x v="50"/>
    <s v="86.2"/>
    <s v="8.5"/>
    <n v="676"/>
    <n v="18080"/>
    <s v="0.76"/>
    <s v="0.16"/>
    <s v="0.67"/>
    <s v="0.09"/>
    <s v="0.12"/>
    <n v="8891"/>
    <s v="K - D diff."/>
    <n v="2282"/>
    <n v="1926"/>
    <s v="1.18"/>
    <s v="1.12"/>
    <s v="72.90%"/>
    <s v="17.60%"/>
    <n v="9189"/>
    <n v="5369"/>
    <n v="2488"/>
    <n v="817"/>
    <n v="174"/>
    <n v="43"/>
    <n v="10748"/>
    <n v="406"/>
    <n v="289"/>
    <n v="2068"/>
    <n v="201"/>
    <n v="31"/>
    <s v="1.18"/>
  </r>
  <r>
    <n v="9136"/>
    <x v="56"/>
    <s v="Vincent Cayonte"/>
    <x v="1"/>
    <x v="24"/>
    <s v="Evil Geniuses"/>
    <s v="Evil Geniuses, NRG"/>
    <n v="23029"/>
    <n v="20248"/>
    <x v="18"/>
    <s v="80.5"/>
    <s v="2.5"/>
    <n v="1164"/>
    <n v="30296"/>
    <s v="0.76"/>
    <s v="0.12"/>
    <s v="0.67"/>
    <s v="0.1"/>
    <s v="0.12"/>
    <n v="15137"/>
    <s v="K - D diff."/>
    <n v="3096"/>
    <n v="2783"/>
    <s v="1.11"/>
    <s v="1.02"/>
    <s v="73.40%"/>
    <s v="14.40%"/>
    <n v="15159"/>
    <n v="9359"/>
    <n v="4034"/>
    <n v="1406"/>
    <n v="306"/>
    <n v="32"/>
    <n v="17813"/>
    <n v="348"/>
    <n v="647"/>
    <n v="4110"/>
    <n v="131"/>
    <n v="40"/>
    <s v="1.1"/>
  </r>
  <r>
    <n v="13254"/>
    <x v="57"/>
    <s v="Tyson Ngo"/>
    <x v="0"/>
    <x v="27"/>
    <m/>
    <s v="Bad News Bears, ATK"/>
    <n v="7931"/>
    <n v="7092"/>
    <x v="51"/>
    <s v="82.4"/>
    <s v="3.2"/>
    <n v="401"/>
    <n v="10399"/>
    <s v="0.76"/>
    <s v="0.14"/>
    <s v="0.68"/>
    <s v="0.1"/>
    <s v="0.12"/>
    <n v="5128"/>
    <s v="K - D diff."/>
    <n v="1173"/>
    <n v="1121"/>
    <s v="1.05"/>
    <s v="1.05"/>
    <s v="71.30%"/>
    <s v="15.60%"/>
    <n v="5271"/>
    <n v="3097"/>
    <n v="1401"/>
    <n v="503"/>
    <n v="112"/>
    <n v="15"/>
    <n v="5215"/>
    <n v="814"/>
    <n v="237"/>
    <n v="1583"/>
    <n v="62"/>
    <n v="38"/>
    <s v="1.15"/>
  </r>
  <r>
    <n v="14619"/>
    <x v="58"/>
    <s v="Gage Green"/>
    <x v="1"/>
    <x v="24"/>
    <s v="ONET4P"/>
    <s v="Party Astronauts"/>
    <n v="16071"/>
    <n v="14047"/>
    <x v="52"/>
    <s v="81.2"/>
    <s v="4.9"/>
    <n v="827"/>
    <n v="21545"/>
    <s v="0.75"/>
    <s v="0.14"/>
    <s v="0.65"/>
    <s v="0.1"/>
    <s v="0.11"/>
    <n v="10526"/>
    <s v="K - D diff."/>
    <n v="2310"/>
    <n v="2137"/>
    <s v="1.08"/>
    <s v="1.04"/>
    <s v="72.70%"/>
    <s v="14.60%"/>
    <n v="11019"/>
    <n v="6462"/>
    <n v="2853"/>
    <n v="973"/>
    <n v="206"/>
    <n v="32"/>
    <n v="11610"/>
    <n v="464"/>
    <n v="1064"/>
    <n v="2730"/>
    <n v="202"/>
    <n v="54"/>
    <s v="1.16"/>
  </r>
  <r>
    <n v="11219"/>
    <x v="59"/>
    <s v="Tsvetelin Dimitrov"/>
    <x v="4"/>
    <x v="25"/>
    <s v="Evil Geniuses"/>
    <s v="Evil Geniuses, NRG, Outlaws"/>
    <n v="22812"/>
    <n v="19387"/>
    <x v="53"/>
    <s v="74.2"/>
    <s v="2.4"/>
    <n v="1199"/>
    <n v="31114"/>
    <s v="0.73"/>
    <s v="0.1"/>
    <s v="0.62"/>
    <s v="0.1"/>
    <s v="0.11"/>
    <n v="15199"/>
    <s v="K - D diff."/>
    <n v="3923"/>
    <n v="2745"/>
    <s v="1.43"/>
    <s v="1.15"/>
    <s v="75.10%"/>
    <s v="18.00%"/>
    <n v="15915"/>
    <n v="9524"/>
    <n v="4043"/>
    <n v="1347"/>
    <n v="264"/>
    <n v="21"/>
    <n v="5642"/>
    <n v="12614"/>
    <n v="716"/>
    <n v="3714"/>
    <n v="150"/>
    <n v="30"/>
    <s v="1.14"/>
  </r>
  <r>
    <n v="29"/>
    <x v="60"/>
    <s v="Patrik Lindberg"/>
    <x v="12"/>
    <x v="29"/>
    <m/>
    <s v="NIP, Dignitas"/>
    <n v="40979"/>
    <n v="35331"/>
    <x v="54"/>
    <s v="76.3"/>
    <s v="3.7"/>
    <n v="2089"/>
    <n v="54327"/>
    <s v="0.75"/>
    <s v="0.12"/>
    <s v="0.65"/>
    <s v="0.09"/>
    <s v="0.1"/>
    <n v="27163"/>
    <s v="K - D diff."/>
    <n v="5897"/>
    <n v="4745"/>
    <s v="1.24"/>
    <s v="1.06"/>
    <s v="76.50%"/>
    <s v="15.60%"/>
    <n v="27164"/>
    <n v="16782"/>
    <n v="7563"/>
    <n v="2322"/>
    <n v="453"/>
    <n v="43"/>
    <n v="27542"/>
    <n v="4275"/>
    <n v="1344"/>
    <n v="7336"/>
    <n v="395"/>
    <n v="151"/>
    <s v="1.1"/>
  </r>
  <r>
    <n v="10664"/>
    <x v="61"/>
    <s v="Peeratch Ingkudanonda"/>
    <x v="1"/>
    <x v="26"/>
    <s v="LZ"/>
    <s v="Beyond, Alpha Red, Signature"/>
    <n v="12279"/>
    <n v="10714"/>
    <x v="55"/>
    <s v="78.5"/>
    <s v="2.4"/>
    <n v="634"/>
    <n v="16189"/>
    <s v="0.76"/>
    <s v="0.11"/>
    <s v="0.66"/>
    <s v="0.08"/>
    <s v="0.09"/>
    <n v="8107"/>
    <s v="K - D diff."/>
    <n v="2002"/>
    <n v="1468"/>
    <s v="1.36"/>
    <s v="1.13"/>
    <s v="75.20%"/>
    <s v="18.00%"/>
    <n v="8082"/>
    <n v="4975"/>
    <n v="2262"/>
    <n v="719"/>
    <n v="132"/>
    <n v="19"/>
    <n v="6032"/>
    <n v="3508"/>
    <n v="575"/>
    <n v="2052"/>
    <n v="95"/>
    <n v="56"/>
    <s v="1.13"/>
  </r>
  <r>
    <n v="13670"/>
    <x v="62"/>
    <s v="Tim Jonasson"/>
    <x v="1"/>
    <x v="29"/>
    <s v="Apeks"/>
    <s v="Apeks, GamerLegion, NIP, x6tence Galaxy"/>
    <n v="17547"/>
    <n v="14717"/>
    <x v="17"/>
    <s v="73.5"/>
    <s v="2.8"/>
    <n v="894"/>
    <n v="23861"/>
    <s v="0.74"/>
    <s v="0.09"/>
    <s v="0.62"/>
    <s v="0.09"/>
    <s v="0.11"/>
    <n v="11865"/>
    <s v="K - D diff."/>
    <n v="2434"/>
    <n v="1584"/>
    <s v="1.54"/>
    <s v="1.07"/>
    <s v="76.20%"/>
    <s v="15.20%"/>
    <n v="11996"/>
    <n v="7534"/>
    <n v="3173"/>
    <n v="979"/>
    <n v="165"/>
    <n v="14"/>
    <n v="5716"/>
    <n v="8044"/>
    <n v="613"/>
    <n v="2996"/>
    <n v="180"/>
    <n v="57"/>
    <s v="1.12"/>
  </r>
  <r>
    <n v="12126"/>
    <x v="63"/>
    <s v="Valentin Vasilev"/>
    <x v="6"/>
    <x v="25"/>
    <s v="fnatic"/>
    <s v="Complexity, Windigo, Bpro"/>
    <n v="21485"/>
    <n v="18630"/>
    <x v="56"/>
    <n v="78"/>
    <s v="3.8"/>
    <n v="1101"/>
    <n v="29160"/>
    <s v="0.74"/>
    <s v="0.12"/>
    <s v="0.64"/>
    <s v="0.09"/>
    <s v="0.1"/>
    <n v="14140"/>
    <s v="K - D diff."/>
    <n v="3694"/>
    <n v="2772"/>
    <s v="1.33"/>
    <s v="1.14"/>
    <s v="76.20%"/>
    <s v="18.40%"/>
    <n v="15020"/>
    <n v="8731"/>
    <n v="3815"/>
    <n v="1285"/>
    <n v="276"/>
    <n v="33"/>
    <n v="6183"/>
    <n v="11134"/>
    <n v="375"/>
    <n v="3612"/>
    <n v="213"/>
    <n v="30"/>
    <s v="1.14"/>
  </r>
  <r>
    <n v="15698"/>
    <x v="64"/>
    <s v="Eduardo Wolkmer"/>
    <x v="13"/>
    <x v="3"/>
    <s v="00NATION"/>
    <s v="GODSENT, Yeah"/>
    <n v="9294"/>
    <n v="7852"/>
    <x v="57"/>
    <s v="80.2"/>
    <s v="4.7"/>
    <n v="473"/>
    <n v="12553"/>
    <s v="0.74"/>
    <s v="0.13"/>
    <s v="0.63"/>
    <s v="0.08"/>
    <s v="0.11"/>
    <n v="6282"/>
    <s v="K - D diff."/>
    <n v="1373"/>
    <n v="1058"/>
    <s v="1.3"/>
    <s v="1.07"/>
    <s v="73.60%"/>
    <s v="15.60%"/>
    <n v="6271"/>
    <n v="3982"/>
    <n v="1707"/>
    <n v="483"/>
    <n v="101"/>
    <n v="9"/>
    <n v="6343"/>
    <n v="1035"/>
    <n v="267"/>
    <n v="1487"/>
    <n v="140"/>
    <n v="71"/>
    <s v="1.16"/>
  </r>
  <r>
    <n v="9895"/>
    <x v="65"/>
    <s v="Daniel Mertz"/>
    <x v="6"/>
    <x v="9"/>
    <m/>
    <s v="North Academy, Heroic, North, Nordavind, Singularity"/>
    <n v="19077"/>
    <n v="16483"/>
    <x v="58"/>
    <s v="77.4"/>
    <s v="2.4"/>
    <n v="955"/>
    <n v="25333"/>
    <s v="0.75"/>
    <s v="0.1"/>
    <s v="0.65"/>
    <s v="0.1"/>
    <s v="0.1"/>
    <n v="12723"/>
    <s v="K - D diff."/>
    <n v="3710"/>
    <n v="2616"/>
    <s v="1.42"/>
    <s v="1.23"/>
    <s v="74.10%"/>
    <s v="21.20%"/>
    <n v="12610"/>
    <n v="7947"/>
    <n v="3448"/>
    <n v="1096"/>
    <n v="214"/>
    <n v="18"/>
    <n v="3881"/>
    <n v="10977"/>
    <n v="630"/>
    <n v="3478"/>
    <n v="142"/>
    <n v="35"/>
    <s v="1.1"/>
  </r>
  <r>
    <n v="20097"/>
    <x v="66"/>
    <s v="Deyvid Benchev"/>
    <x v="4"/>
    <x v="25"/>
    <s v="Enterprise"/>
    <s v="FATE, Fiend"/>
    <n v="10915"/>
    <n v="9130"/>
    <x v="59"/>
    <s v="74.1"/>
    <s v="3.3"/>
    <n v="566"/>
    <n v="15106"/>
    <s v="0.72"/>
    <s v="0.1"/>
    <s v="0.6"/>
    <s v="0.09"/>
    <s v="0.09"/>
    <n v="7367"/>
    <s v="K - D diff."/>
    <n v="1771"/>
    <n v="1181"/>
    <s v="1.5"/>
    <s v="1.12"/>
    <s v="75.40%"/>
    <s v="17.30%"/>
    <n v="7739"/>
    <n v="4690"/>
    <n v="1941"/>
    <n v="614"/>
    <n v="109"/>
    <n v="13"/>
    <n v="2778"/>
    <n v="6103"/>
    <n v="221"/>
    <n v="1683"/>
    <n v="117"/>
    <n v="64"/>
    <s v="1.14"/>
  </r>
  <r>
    <n v="11264"/>
    <x v="67"/>
    <s v="Matthew Yu"/>
    <x v="1"/>
    <x v="27"/>
    <m/>
    <s v="Ghost, Bee's Money Crew, Orgless"/>
    <n v="11627"/>
    <n v="9979"/>
    <x v="60"/>
    <s v="74.2"/>
    <s v="2.1"/>
    <n v="609"/>
    <n v="15901"/>
    <s v="0.73"/>
    <s v="0.1"/>
    <s v="0.63"/>
    <s v="0.09"/>
    <s v="0.1"/>
    <n v="7692"/>
    <s v="K - D diff."/>
    <n v="2057"/>
    <n v="1399"/>
    <s v="1.47"/>
    <s v="1.17"/>
    <s v="72.30%"/>
    <s v="18.50%"/>
    <n v="8209"/>
    <n v="4738"/>
    <n v="2139"/>
    <n v="663"/>
    <n v="138"/>
    <n v="14"/>
    <n v="1523"/>
    <n v="7327"/>
    <n v="605"/>
    <n v="2109"/>
    <n v="94"/>
    <n v="12"/>
    <s v="1.13"/>
  </r>
  <r>
    <n v="8789"/>
    <x v="68"/>
    <s v="Nikolay Bityukov"/>
    <x v="5"/>
    <x v="2"/>
    <s v="Entropiq"/>
    <s v="Spirit, Vega Squadron, Gambit"/>
    <n v="20159"/>
    <n v="17517"/>
    <x v="61"/>
    <s v="81.4"/>
    <s v="4.9"/>
    <n v="1015"/>
    <n v="26603"/>
    <s v="0.76"/>
    <s v="0.13"/>
    <s v="0.66"/>
    <s v="0.1"/>
    <s v="0.12"/>
    <n v="13431"/>
    <s v="K - D diff."/>
    <n v="3080"/>
    <n v="2525"/>
    <s v="1.22"/>
    <s v="1.09"/>
    <s v="74.20%"/>
    <s v="16.50%"/>
    <n v="13172"/>
    <n v="8352"/>
    <n v="3690"/>
    <n v="1148"/>
    <n v="222"/>
    <n v="19"/>
    <n v="15573"/>
    <n v="433"/>
    <n v="876"/>
    <n v="3028"/>
    <n v="245"/>
    <n v="49"/>
    <s v="1.1"/>
  </r>
  <r>
    <n v="5021"/>
    <x v="69"/>
    <s v="Braxton Pierce"/>
    <x v="8"/>
    <x v="24"/>
    <m/>
    <s v="Swole Patrol, Torqued, iBUYPOWER, Lazarus"/>
    <n v="10527"/>
    <n v="8898"/>
    <x v="46"/>
    <s v="77.6"/>
    <s v="4.7"/>
    <n v="556"/>
    <n v="14447"/>
    <s v="0.73"/>
    <s v="0.14"/>
    <s v="0.62"/>
    <s v="0.08"/>
    <s v="0.09"/>
    <n v="7071"/>
    <s v="K - D diff."/>
    <n v="1395"/>
    <n v="1165"/>
    <s v="1.2"/>
    <s v="1.02"/>
    <s v="75.70%"/>
    <s v="13.60%"/>
    <n v="7376"/>
    <n v="4462"/>
    <n v="1915"/>
    <n v="564"/>
    <n v="122"/>
    <n v="8"/>
    <n v="6649"/>
    <n v="1365"/>
    <n v="460"/>
    <n v="1847"/>
    <n v="172"/>
    <n v="55"/>
    <s v="1.1"/>
  </r>
  <r>
    <n v="8565"/>
    <x v="70"/>
    <s v="Henrique Teles"/>
    <x v="2"/>
    <x v="3"/>
    <m/>
    <s v="Immortals, FURIA, Luminosity"/>
    <n v="20188"/>
    <n v="16640"/>
    <x v="62"/>
    <s v="74.8"/>
    <s v="3.8"/>
    <n v="1101"/>
    <n v="28598"/>
    <s v="0.71"/>
    <s v="0.12"/>
    <s v="0.58"/>
    <s v="0.08"/>
    <s v="0.09"/>
    <n v="13719"/>
    <s v="K - D diff."/>
    <n v="3022"/>
    <n v="1984"/>
    <s v="1.52"/>
    <s v="1.08"/>
    <s v="74.40%"/>
    <s v="14.90%"/>
    <n v="14879"/>
    <n v="8790"/>
    <n v="3642"/>
    <n v="1054"/>
    <n v="213"/>
    <n v="20"/>
    <n v="5239"/>
    <n v="10163"/>
    <n v="896"/>
    <n v="3609"/>
    <n v="230"/>
    <n v="98"/>
    <s v="1.1"/>
  </r>
  <r>
    <n v="14505"/>
    <x v="71"/>
    <s v="Luke Blakey"/>
    <x v="2"/>
    <x v="15"/>
    <m/>
    <s v="Paradox, SYF"/>
    <n v="8895"/>
    <n v="7909"/>
    <x v="63"/>
    <n v="80"/>
    <s v="2.9"/>
    <n v="452"/>
    <n v="11703"/>
    <s v="0.76"/>
    <s v="0.11"/>
    <s v="0.68"/>
    <s v="0.08"/>
    <s v="0.09"/>
    <n v="5842"/>
    <s v="K - D diff."/>
    <n v="1757"/>
    <n v="1334"/>
    <s v="1.32"/>
    <s v="1.23"/>
    <s v="71.80%"/>
    <s v="21.70%"/>
    <n v="5861"/>
    <n v="3584"/>
    <n v="1605"/>
    <n v="526"/>
    <n v="112"/>
    <n v="15"/>
    <n v="3116"/>
    <n v="3874"/>
    <n v="187"/>
    <n v="1615"/>
    <n v="77"/>
    <n v="43"/>
    <s v="1.14"/>
  </r>
  <r>
    <n v="16555"/>
    <x v="72"/>
    <s v="Sergey Rykhtorov"/>
    <x v="7"/>
    <x v="2"/>
    <s v="Cloud9"/>
    <s v="Gambit Youngsters, Gambit"/>
    <n v="18478"/>
    <n v="15914"/>
    <x v="64"/>
    <s v="80.4"/>
    <s v="5.2"/>
    <n v="957"/>
    <n v="25369"/>
    <s v="0.73"/>
    <s v="0.14"/>
    <s v="0.63"/>
    <s v="0.09"/>
    <s v="0.09"/>
    <n v="12233"/>
    <s v="K - D diff."/>
    <n v="2763"/>
    <n v="2265"/>
    <s v="1.22"/>
    <s v="1.06"/>
    <s v="76.40%"/>
    <s v="15.40%"/>
    <n v="13136"/>
    <n v="7552"/>
    <n v="3377"/>
    <n v="1068"/>
    <n v="212"/>
    <n v="24"/>
    <n v="13952"/>
    <n v="687"/>
    <n v="766"/>
    <n v="2819"/>
    <n v="265"/>
    <n v="47"/>
    <s v="1.16"/>
  </r>
  <r>
    <n v="18743"/>
    <x v="73"/>
    <s v="Gabriel Lino"/>
    <x v="1"/>
    <x v="3"/>
    <s v="paiN"/>
    <s v="RED Canids, PaquetÃ¡, paiN"/>
    <n v="10480"/>
    <n v="9064"/>
    <x v="65"/>
    <s v="76.7"/>
    <s v="2.3"/>
    <n v="524"/>
    <n v="13953"/>
    <s v="0.75"/>
    <s v="0.11"/>
    <s v="0.65"/>
    <s v="0.09"/>
    <s v="0.1"/>
    <n v="7048"/>
    <s v="K - D diff."/>
    <n v="1772"/>
    <n v="1254"/>
    <s v="1.41"/>
    <s v="1.15"/>
    <s v="73.90%"/>
    <s v="17.80%"/>
    <n v="6905"/>
    <n v="4449"/>
    <n v="1899"/>
    <n v="575"/>
    <n v="117"/>
    <n v="8"/>
    <n v="4112"/>
    <n v="4257"/>
    <n v="327"/>
    <n v="1734"/>
    <n v="60"/>
    <n v="19"/>
    <s v="1.14"/>
  </r>
  <r>
    <n v="11139"/>
    <x v="74"/>
    <s v="Alistair Johnston"/>
    <x v="1"/>
    <x v="15"/>
    <s v="ORDER"/>
    <s v="ORDER, Chiefs, Renegades"/>
    <n v="19564"/>
    <n v="16750"/>
    <x v="66"/>
    <n v="76"/>
    <s v="3.4"/>
    <n v="1057"/>
    <n v="26844"/>
    <s v="0.73"/>
    <s v="0.12"/>
    <s v="0.62"/>
    <s v="0.09"/>
    <s v="0.09"/>
    <n v="13106"/>
    <s v="K - D diff."/>
    <n v="3629"/>
    <n v="2820"/>
    <s v="1.29"/>
    <s v="1.17"/>
    <s v="77.30%"/>
    <s v="18.70%"/>
    <n v="13738"/>
    <n v="8245"/>
    <n v="3539"/>
    <n v="1072"/>
    <n v="225"/>
    <n v="25"/>
    <n v="7121"/>
    <n v="7659"/>
    <n v="1103"/>
    <n v="3380"/>
    <n v="290"/>
    <n v="70"/>
    <s v="1.14"/>
  </r>
  <r>
    <n v="12271"/>
    <x v="75"/>
    <s v="Kaleb Jayne"/>
    <x v="1"/>
    <x v="27"/>
    <m/>
    <s v="eUnited, Rise Nation"/>
    <n v="14503"/>
    <n v="12528"/>
    <x v="67"/>
    <s v="79.2"/>
    <n v="2"/>
    <n v="752"/>
    <n v="19559"/>
    <s v="0.74"/>
    <s v="0.12"/>
    <s v="0.64"/>
    <s v="0.08"/>
    <s v="0.09"/>
    <n v="9691"/>
    <s v="K - D diff."/>
    <n v="2043"/>
    <n v="1500"/>
    <s v="1.36"/>
    <s v="1.06"/>
    <s v="76.50%"/>
    <s v="15.30%"/>
    <n v="9868"/>
    <n v="6043"/>
    <n v="2660"/>
    <n v="828"/>
    <n v="144"/>
    <n v="16"/>
    <n v="10480"/>
    <n v="939"/>
    <n v="753"/>
    <n v="2236"/>
    <n v="95"/>
    <n v="28"/>
    <s v="1.14"/>
  </r>
  <r>
    <n v="10263"/>
    <x v="76"/>
    <s v="Kevin Susanto"/>
    <x v="1"/>
    <x v="12"/>
    <s v="NKT"/>
    <s v="TYLOO, Recca, BTRG, NKT"/>
    <n v="13334"/>
    <n v="11610"/>
    <x v="26"/>
    <s v="74.2"/>
    <s v="1.9"/>
    <n v="698"/>
    <n v="18113"/>
    <s v="0.74"/>
    <s v="0.1"/>
    <s v="0.64"/>
    <s v="0.1"/>
    <s v="0.1"/>
    <n v="8857"/>
    <s v="K - D diff."/>
    <n v="2102"/>
    <n v="1535"/>
    <s v="1.37"/>
    <s v="1.11"/>
    <s v="75.80%"/>
    <s v="16.50%"/>
    <n v="9256"/>
    <n v="5525"/>
    <n v="2381"/>
    <n v="774"/>
    <n v="160"/>
    <n v="17"/>
    <n v="3313"/>
    <n v="6969"/>
    <n v="605"/>
    <n v="2367"/>
    <n v="86"/>
    <n v="20"/>
    <s v="1.09"/>
  </r>
  <r>
    <n v="8370"/>
    <x v="77"/>
    <s v="Oscar CaÃ±ellas"/>
    <x v="5"/>
    <x v="30"/>
    <m/>
    <s v="OpTic, Movistar Riders"/>
    <n v="16275"/>
    <n v="14364"/>
    <x v="68"/>
    <s v="79.5"/>
    <s v="5.7"/>
    <n v="840"/>
    <n v="21804"/>
    <s v="0.75"/>
    <s v="0.13"/>
    <s v="0.66"/>
    <s v="0.1"/>
    <s v="0.1"/>
    <n v="10742"/>
    <s v="K - D diff."/>
    <n v="2859"/>
    <n v="2317"/>
    <s v="1.23"/>
    <s v="1.15"/>
    <s v="74.40%"/>
    <s v="18.60%"/>
    <n v="11062"/>
    <n v="6669"/>
    <n v="2862"/>
    <n v="994"/>
    <n v="192"/>
    <n v="25"/>
    <n v="6823"/>
    <n v="5352"/>
    <n v="807"/>
    <n v="2952"/>
    <n v="315"/>
    <n v="60"/>
    <s v="1.09"/>
  </r>
  <r>
    <n v="695"/>
    <x v="78"/>
    <s v="Aleksi Jalli"/>
    <x v="14"/>
    <x v="23"/>
    <s v="temp"/>
    <s v="ENCE, NIP, FaZe"/>
    <n v="31366"/>
    <n v="27037"/>
    <x v="59"/>
    <s v="74.9"/>
    <s v="3.6"/>
    <n v="1615"/>
    <n v="42334"/>
    <s v="0.74"/>
    <s v="0.11"/>
    <s v="0.64"/>
    <s v="0.08"/>
    <s v="0.09"/>
    <n v="21027"/>
    <s v="K - D diff."/>
    <n v="5021"/>
    <n v="3302"/>
    <s v="1.52"/>
    <s v="1.13"/>
    <s v="76.70%"/>
    <s v="17.50%"/>
    <n v="21307"/>
    <n v="13181"/>
    <n v="5782"/>
    <n v="1697"/>
    <n v="336"/>
    <n v="31"/>
    <n v="8713"/>
    <n v="15102"/>
    <n v="1531"/>
    <n v="5345"/>
    <n v="503"/>
    <n v="216"/>
    <s v="1.09"/>
  </r>
  <r>
    <n v="8918"/>
    <x v="79"/>
    <s v="Denis Sharipov"/>
    <x v="6"/>
    <x v="2"/>
    <s v="Natus Vincere"/>
    <s v="Natus Vincere, FlipSid3"/>
    <n v="25927"/>
    <n v="22812"/>
    <x v="69"/>
    <s v="82.9"/>
    <s v="4.6"/>
    <n v="1318"/>
    <n v="34779"/>
    <s v="0.75"/>
    <s v="0.14"/>
    <s v="0.66"/>
    <s v="0.09"/>
    <s v="0.1"/>
    <n v="17140"/>
    <s v="K - D diff."/>
    <n v="4084"/>
    <n v="3621"/>
    <s v="1.13"/>
    <s v="1.08"/>
    <s v="73.20%"/>
    <s v="16.40%"/>
    <n v="17639"/>
    <n v="10582"/>
    <n v="4708"/>
    <n v="1510"/>
    <n v="302"/>
    <n v="38"/>
    <n v="19820"/>
    <n v="199"/>
    <n v="1387"/>
    <n v="4222"/>
    <n v="285"/>
    <n v="71"/>
    <s v="1.09"/>
  </r>
  <r>
    <n v="18221"/>
    <x v="80"/>
    <s v="Lotan Giladi"/>
    <x v="0"/>
    <x v="31"/>
    <s v="ENCE"/>
    <s v="ENCE, c0ntact"/>
    <n v="8661"/>
    <n v="7619"/>
    <x v="70"/>
    <s v="78.7"/>
    <s v="3.4"/>
    <n v="442"/>
    <n v="11732"/>
    <s v="0.74"/>
    <s v="0.11"/>
    <s v="0.65"/>
    <s v="0.08"/>
    <s v="0.1"/>
    <n v="5714"/>
    <s v="K - D diff."/>
    <n v="1178"/>
    <n v="1080"/>
    <s v="1.09"/>
    <s v="1.02"/>
    <s v="71.50%"/>
    <s v="13.70%"/>
    <n v="6018"/>
    <n v="3506"/>
    <n v="1611"/>
    <n v="474"/>
    <n v="104"/>
    <n v="19"/>
    <n v="6595"/>
    <n v="245"/>
    <n v="252"/>
    <n v="1465"/>
    <n v="76"/>
    <n v="51"/>
    <s v="1.13"/>
  </r>
  <r>
    <n v="7266"/>
    <x v="81"/>
    <s v="Florian Rische"/>
    <x v="5"/>
    <x v="32"/>
    <s v="BIG"/>
    <s v="BIG, ALTERNATE aTTaX, Sprout"/>
    <n v="33692"/>
    <n v="29045"/>
    <x v="71"/>
    <s v="74.3"/>
    <s v="2.5"/>
    <n v="1735"/>
    <n v="46095"/>
    <s v="0.73"/>
    <s v="0.1"/>
    <s v="0.63"/>
    <s v="0.08"/>
    <s v="0.09"/>
    <n v="22550"/>
    <s v="K - D diff."/>
    <n v="6366"/>
    <n v="4518"/>
    <s v="1.41"/>
    <s v="1.19"/>
    <s v="75.50%"/>
    <s v="20.20%"/>
    <n v="23545"/>
    <n v="14140"/>
    <n v="6097"/>
    <n v="1930"/>
    <n v="351"/>
    <n v="32"/>
    <n v="5382"/>
    <n v="20663"/>
    <n v="1967"/>
    <n v="5329"/>
    <n v="318"/>
    <n v="117"/>
    <s v="1.09"/>
  </r>
  <r>
    <n v="15090"/>
    <x v="82"/>
    <s v="Josh Pigue"/>
    <x v="9"/>
    <x v="24"/>
    <s v="EG.PA"/>
    <s v="Party Astronauts, New England Whalers, High Coast"/>
    <n v="17405"/>
    <n v="15140"/>
    <x v="48"/>
    <s v="76.2"/>
    <s v="3.4"/>
    <n v="918"/>
    <n v="23924"/>
    <s v="0.73"/>
    <s v="0.12"/>
    <s v="0.63"/>
    <s v="0.1"/>
    <s v="0.1"/>
    <n v="11606"/>
    <s v="K - D diff."/>
    <n v="2928"/>
    <n v="2298"/>
    <s v="1.27"/>
    <s v="1.12"/>
    <s v="73.70%"/>
    <s v="17.40%"/>
    <n v="12318"/>
    <n v="7279"/>
    <n v="3143"/>
    <n v="938"/>
    <n v="204"/>
    <n v="42"/>
    <n v="4610"/>
    <n v="8162"/>
    <n v="846"/>
    <n v="3364"/>
    <n v="194"/>
    <n v="284"/>
    <s v="1.14"/>
  </r>
  <r>
    <n v="39"/>
    <x v="83"/>
    <s v="Christopher Alesund"/>
    <x v="15"/>
    <x v="29"/>
    <m/>
    <s v="NIP"/>
    <n v="33271"/>
    <n v="28973"/>
    <x v="72"/>
    <s v="76.6"/>
    <s v="4.4"/>
    <n v="1745"/>
    <n v="45030"/>
    <s v="0.74"/>
    <s v="0.15"/>
    <s v="0.64"/>
    <s v="0.09"/>
    <s v="0.08"/>
    <n v="22118"/>
    <s v="K - D diff."/>
    <n v="4471"/>
    <n v="4183"/>
    <s v="1.07"/>
    <s v="1.01"/>
    <s v="76.10%"/>
    <s v="14.00%"/>
    <n v="22912"/>
    <n v="13750"/>
    <n v="6125"/>
    <n v="1838"/>
    <n v="359"/>
    <n v="46"/>
    <n v="24114"/>
    <n v="947"/>
    <n v="2224"/>
    <n v="4999"/>
    <n v="464"/>
    <n v="548"/>
    <s v="1.09"/>
  </r>
  <r>
    <n v="8783"/>
    <x v="84"/>
    <s v="Jakob Hansen"/>
    <x v="8"/>
    <x v="9"/>
    <m/>
    <s v="Heroic, OpTic, Tricked, North"/>
    <n v="17527"/>
    <n v="14851"/>
    <x v="2"/>
    <s v="74.1"/>
    <s v="2.4"/>
    <n v="940"/>
    <n v="24427"/>
    <s v="0.72"/>
    <s v="0.1"/>
    <s v="0.61"/>
    <s v="0.08"/>
    <s v="0.1"/>
    <n v="11901"/>
    <s v="K - D diff."/>
    <n v="2942"/>
    <n v="1904"/>
    <s v="1.55"/>
    <s v="1.14"/>
    <s v="74.70%"/>
    <s v="17.50%"/>
    <n v="12526"/>
    <n v="7630"/>
    <n v="3146"/>
    <n v="913"/>
    <n v="194"/>
    <n v="18"/>
    <n v="4048"/>
    <n v="8877"/>
    <n v="660"/>
    <n v="3768"/>
    <n v="177"/>
    <n v="31"/>
    <s v="1.09"/>
  </r>
  <r>
    <n v="10722"/>
    <x v="85"/>
    <s v="Yi Ding"/>
    <x v="5"/>
    <x v="10"/>
    <s v="Wings Up"/>
    <s v="Wings Up, LGD, EDG, Aster"/>
    <n v="9628"/>
    <n v="8837"/>
    <x v="73"/>
    <s v="82.4"/>
    <s v="2.3"/>
    <n v="472"/>
    <n v="12376"/>
    <s v="0.78"/>
    <s v="0.12"/>
    <s v="0.71"/>
    <s v="0.09"/>
    <s v="0.12"/>
    <n v="6264"/>
    <s v="K - D diff."/>
    <n v="1324"/>
    <n v="1172"/>
    <s v="1.13"/>
    <s v="1.04"/>
    <s v="73.10%"/>
    <s v="16.00%"/>
    <n v="6112"/>
    <n v="3794"/>
    <n v="1728"/>
    <n v="605"/>
    <n v="122"/>
    <n v="15"/>
    <n v="7439"/>
    <n v="22"/>
    <n v="571"/>
    <n v="1530"/>
    <n v="64"/>
    <n v="20"/>
    <s v="1.12"/>
  </r>
  <r>
    <n v="18141"/>
    <x v="86"/>
    <s v="Rodrigo Bittencourt"/>
    <x v="8"/>
    <x v="3"/>
    <s v="paiN"/>
    <s v="paiN"/>
    <n v="12001"/>
    <n v="10404"/>
    <x v="74"/>
    <s v="80.6"/>
    <s v="5.4"/>
    <n v="622"/>
    <n v="16530"/>
    <s v="0.73"/>
    <s v="0.15"/>
    <s v="0.63"/>
    <s v="0.1"/>
    <s v="0.11"/>
    <n v="8019"/>
    <s v="K - D diff."/>
    <n v="1689"/>
    <n v="1506"/>
    <s v="1.12"/>
    <s v="1.03"/>
    <s v="73.20%"/>
    <s v="13.80%"/>
    <n v="8511"/>
    <n v="5038"/>
    <n v="2151"/>
    <n v="676"/>
    <n v="137"/>
    <n v="17"/>
    <n v="9136"/>
    <n v="338"/>
    <n v="550"/>
    <n v="1796"/>
    <n v="176"/>
    <n v="52"/>
    <s v="1.16"/>
  </r>
  <r>
    <n v="13980"/>
    <x v="87"/>
    <s v="Igor Solodkov"/>
    <x v="5"/>
    <x v="33"/>
    <s v="1WIN"/>
    <s v="Nemiga, GoodJob"/>
    <n v="23585"/>
    <n v="21089"/>
    <x v="75"/>
    <n v="82"/>
    <s v="3.7"/>
    <n v="1172"/>
    <n v="31354"/>
    <s v="0.75"/>
    <s v="0.13"/>
    <s v="0.67"/>
    <s v="0.09"/>
    <s v="0.1"/>
    <n v="15620"/>
    <s v="K - D diff."/>
    <n v="3106"/>
    <n v="2483"/>
    <s v="1.25"/>
    <s v="1.03"/>
    <s v="71.40%"/>
    <s v="13.90%"/>
    <n v="15734"/>
    <n v="9784"/>
    <n v="4105"/>
    <n v="1376"/>
    <n v="312"/>
    <n v="43"/>
    <n v="17821"/>
    <n v="260"/>
    <n v="1602"/>
    <n v="3691"/>
    <n v="233"/>
    <n v="28"/>
    <s v="1.14"/>
  </r>
  <r>
    <n v="15007"/>
    <x v="88"/>
    <s v="Austin Abadir"/>
    <x v="3"/>
    <x v="24"/>
    <s v="Mythic"/>
    <s v="Swole Patrol, eUnited, Triumph"/>
    <n v="14703"/>
    <n v="12697"/>
    <x v="76"/>
    <n v="74"/>
    <s v="2.2"/>
    <n v="771"/>
    <n v="19991"/>
    <s v="0.74"/>
    <s v="0.09"/>
    <s v="0.64"/>
    <s v="0.09"/>
    <s v="0.1"/>
    <n v="9890"/>
    <s v="K - D diff."/>
    <n v="2420"/>
    <n v="1820"/>
    <s v="1.33"/>
    <s v="1.12"/>
    <s v="75.10%"/>
    <s v="17.30%"/>
    <n v="10101"/>
    <n v="6220"/>
    <n v="2695"/>
    <n v="819"/>
    <n v="144"/>
    <n v="12"/>
    <n v="4855"/>
    <n v="6855"/>
    <n v="504"/>
    <n v="2381"/>
    <n v="89"/>
    <n v="44"/>
    <s v="1.12"/>
  </r>
  <r>
    <n v="8575"/>
    <x v="89"/>
    <s v="BuÄŸra ArkÄ±n"/>
    <x v="1"/>
    <x v="7"/>
    <m/>
    <s v="Space Soldiers, Eternal Fire, DarkPassage"/>
    <n v="21198"/>
    <n v="18350"/>
    <x v="77"/>
    <s v="77.4"/>
    <s v="3.6"/>
    <n v="1113"/>
    <n v="29124"/>
    <s v="0.73"/>
    <s v="0.12"/>
    <s v="0.63"/>
    <s v="0.09"/>
    <s v="0.1"/>
    <n v="14203"/>
    <s v="K - D diff."/>
    <n v="2635"/>
    <n v="2219"/>
    <s v="1.19"/>
    <s v="0.99"/>
    <s v="74.20%"/>
    <s v="12.60%"/>
    <n v="14921"/>
    <n v="8951"/>
    <n v="3796"/>
    <n v="1196"/>
    <n v="234"/>
    <n v="26"/>
    <n v="14840"/>
    <n v="1145"/>
    <n v="1491"/>
    <n v="3514"/>
    <n v="219"/>
    <n v="45"/>
    <s v="1.09"/>
  </r>
  <r>
    <n v="8711"/>
    <x v="90"/>
    <s v="Aran Groesbeek"/>
    <x v="6"/>
    <x v="34"/>
    <m/>
    <s v="Bravado, Extra Salt, Cloud9"/>
    <n v="17758"/>
    <n v="15541"/>
    <x v="78"/>
    <s v="78.5"/>
    <s v="4.3"/>
    <n v="940"/>
    <n v="24238"/>
    <s v="0.73"/>
    <s v="0.13"/>
    <s v="0.64"/>
    <s v="0.11"/>
    <s v="0.12"/>
    <n v="11844"/>
    <s v="K - D diff."/>
    <n v="2668"/>
    <n v="2096"/>
    <s v="1.27"/>
    <s v="1.07"/>
    <s v="73.40%"/>
    <s v="15.10%"/>
    <n v="12394"/>
    <n v="7417"/>
    <n v="3215"/>
    <n v="960"/>
    <n v="229"/>
    <n v="23"/>
    <n v="10797"/>
    <n v="3452"/>
    <n v="428"/>
    <n v="2795"/>
    <n v="233"/>
    <n v="122"/>
    <s v="1.09"/>
  </r>
  <r>
    <n v="1378"/>
    <x v="91"/>
    <s v="Jesse Linjala"/>
    <x v="14"/>
    <x v="23"/>
    <s v="HAVU"/>
    <s v="HAVU, GODSENT, PENTA, FunPlus Phoenix"/>
    <n v="20665"/>
    <n v="18281"/>
    <x v="79"/>
    <s v="80.3"/>
    <s v="7.7"/>
    <n v="1073"/>
    <n v="28305"/>
    <s v="0.73"/>
    <s v="0.14"/>
    <s v="0.65"/>
    <s v="0.08"/>
    <s v="0.09"/>
    <n v="13633"/>
    <s v="K - D diff."/>
    <n v="2478"/>
    <n v="2315"/>
    <s v="1.07"/>
    <s v="0.97"/>
    <s v="75.10%"/>
    <s v="12.60%"/>
    <n v="14672"/>
    <n v="8453"/>
    <n v="3680"/>
    <n v="1182"/>
    <n v="284"/>
    <n v="34"/>
    <n v="14628"/>
    <n v="599"/>
    <n v="1526"/>
    <n v="3366"/>
    <n v="503"/>
    <n v="78"/>
    <s v="1.09"/>
  </r>
  <r>
    <n v="9042"/>
    <x v="92"/>
    <s v="Ronnie Bylicki"/>
    <x v="11"/>
    <x v="24"/>
    <m/>
    <s v="Echo Fox, Splyce, Ghost, Dignitas, Tempo Storm, Conquest"/>
    <n v="9797"/>
    <n v="8616"/>
    <x v="80"/>
    <s v="83.7"/>
    <s v="3.6"/>
    <n v="491"/>
    <n v="12856"/>
    <s v="0.76"/>
    <s v="0.16"/>
    <s v="0.67"/>
    <s v="0.09"/>
    <s v="0.12"/>
    <n v="6615"/>
    <s v="K - D diff."/>
    <n v="1145"/>
    <n v="864"/>
    <s v="1.33"/>
    <n v="1"/>
    <s v="76.80%"/>
    <s v="13.50%"/>
    <n v="6241"/>
    <n v="4174"/>
    <n v="1844"/>
    <n v="474"/>
    <n v="111"/>
    <n v="12"/>
    <n v="7011"/>
    <n v="135"/>
    <n v="717"/>
    <n v="1794"/>
    <n v="131"/>
    <n v="26"/>
    <s v="1.09"/>
  </r>
  <r>
    <n v="12715"/>
    <x v="93"/>
    <s v="Peter Athanasatos"/>
    <x v="11"/>
    <x v="15"/>
    <m/>
    <s v="Chiefs, Legacy, AVANT, Funky Monkeys"/>
    <n v="13957"/>
    <n v="12329"/>
    <x v="81"/>
    <s v="75.2"/>
    <s v="2.4"/>
    <n v="732"/>
    <n v="18819"/>
    <s v="0.74"/>
    <s v="0.1"/>
    <s v="0.66"/>
    <s v="0.08"/>
    <s v="0.09"/>
    <n v="9266"/>
    <s v="K - D diff."/>
    <n v="2293"/>
    <n v="1838"/>
    <s v="1.25"/>
    <s v="1.11"/>
    <s v="76.30%"/>
    <s v="18.00%"/>
    <n v="9553"/>
    <n v="5738"/>
    <n v="2570"/>
    <n v="770"/>
    <n v="171"/>
    <n v="17"/>
    <n v="6381"/>
    <n v="4569"/>
    <n v="576"/>
    <n v="2343"/>
    <n v="96"/>
    <n v="28"/>
    <s v="1.1"/>
  </r>
  <r>
    <n v="8520"/>
    <x v="94"/>
    <s v="Keith Markovic"/>
    <x v="1"/>
    <x v="27"/>
    <s v="Liquid"/>
    <s v="Liquid, OpTic"/>
    <n v="30083"/>
    <n v="26060"/>
    <x v="82"/>
    <s v="81.4"/>
    <s v="5.8"/>
    <n v="1575"/>
    <n v="41364"/>
    <s v="0.73"/>
    <s v="0.15"/>
    <s v="0.63"/>
    <s v="0.1"/>
    <s v="0.11"/>
    <n v="20192"/>
    <s v="K - D diff."/>
    <n v="3798"/>
    <n v="3047"/>
    <s v="1.25"/>
    <n v="1"/>
    <s v="75.10%"/>
    <s v="12.90%"/>
    <n v="21172"/>
    <n v="12729"/>
    <n v="5455"/>
    <n v="1640"/>
    <n v="330"/>
    <n v="38"/>
    <n v="19111"/>
    <n v="3089"/>
    <n v="1848"/>
    <n v="5436"/>
    <n v="538"/>
    <n v="155"/>
    <s v="1.09"/>
  </r>
  <r>
    <n v="8576"/>
    <x v="95"/>
    <s v="Lasse Uronen"/>
    <x v="3"/>
    <x v="23"/>
    <s v="temp"/>
    <s v="HAVU, iGame.com, SJ"/>
    <n v="31855"/>
    <n v="27425"/>
    <x v="83"/>
    <s v="73.7"/>
    <s v="3.7"/>
    <n v="1661"/>
    <n v="44157"/>
    <s v="0.72"/>
    <s v="0.1"/>
    <s v="0.62"/>
    <s v="0.08"/>
    <s v="0.1"/>
    <n v="21438"/>
    <s v="K - D diff."/>
    <n v="4748"/>
    <n v="3508"/>
    <s v="1.35"/>
    <s v="1.07"/>
    <s v="74.30%"/>
    <s v="15.50%"/>
    <n v="22719"/>
    <n v="13573"/>
    <n v="5715"/>
    <n v="1777"/>
    <n v="344"/>
    <n v="29"/>
    <n v="9260"/>
    <n v="15053"/>
    <n v="1601"/>
    <n v="5526"/>
    <n v="328"/>
    <n v="141"/>
    <s v="1.09"/>
  </r>
  <r>
    <n v="7390"/>
    <x v="96"/>
    <s v="Adil Benrlitom"/>
    <x v="3"/>
    <x v="35"/>
    <m/>
    <s v="Envy, G2, Titan, VeryGames"/>
    <n v="27501"/>
    <n v="24396"/>
    <x v="84"/>
    <s v="79.1"/>
    <s v="3.3"/>
    <n v="1430"/>
    <n v="37087"/>
    <s v="0.74"/>
    <s v="0.12"/>
    <s v="0.66"/>
    <s v="0.1"/>
    <s v="0.11"/>
    <n v="18175"/>
    <s v="K - D diff."/>
    <n v="3674"/>
    <n v="3022"/>
    <s v="1.22"/>
    <s v="1.03"/>
    <s v="73.00%"/>
    <s v="14.00%"/>
    <n v="18912"/>
    <n v="11244"/>
    <n v="4993"/>
    <n v="1557"/>
    <n v="342"/>
    <n v="39"/>
    <n v="20794"/>
    <n v="276"/>
    <n v="987"/>
    <n v="5181"/>
    <n v="210"/>
    <n v="99"/>
    <s v="1.09"/>
  </r>
  <r>
    <n v="16848"/>
    <x v="97"/>
    <s v="Olek Miskiewicz"/>
    <x v="4"/>
    <x v="17"/>
    <s v="ENCE"/>
    <s v="ENCE, Wisla Krakow"/>
    <n v="11782"/>
    <n v="10081"/>
    <x v="85"/>
    <s v="73.9"/>
    <s v="2.3"/>
    <n v="602"/>
    <n v="16157"/>
    <s v="0.73"/>
    <s v="0.09"/>
    <s v="0.62"/>
    <s v="0.07"/>
    <s v="0.08"/>
    <n v="8005"/>
    <s v="K - D diff."/>
    <n v="1871"/>
    <n v="1197"/>
    <s v="1.56"/>
    <s v="1.12"/>
    <s v="75.80%"/>
    <s v="17.00%"/>
    <n v="8152"/>
    <n v="5102"/>
    <n v="2149"/>
    <n v="641"/>
    <n v="106"/>
    <n v="7"/>
    <n v="3304"/>
    <n v="6428"/>
    <n v="111"/>
    <n v="1896"/>
    <n v="56"/>
    <n v="22"/>
    <s v="1.11"/>
  </r>
  <r>
    <n v="13466"/>
    <x v="98"/>
    <s v="Denislav Dimitrov"/>
    <x v="4"/>
    <x v="25"/>
    <s v="SKADE"/>
    <s v="SKADE"/>
    <n v="23081"/>
    <n v="20130"/>
    <x v="86"/>
    <s v="74.9"/>
    <s v="2.9"/>
    <n v="1173"/>
    <n v="31580"/>
    <s v="0.73"/>
    <s v="0.1"/>
    <s v="0.64"/>
    <s v="0.08"/>
    <s v="0.1"/>
    <n v="15427"/>
    <s v="K - D diff."/>
    <n v="3935"/>
    <n v="2767"/>
    <s v="1.42"/>
    <s v="1.14"/>
    <s v="75.00%"/>
    <s v="18.10%"/>
    <n v="16153"/>
    <n v="9623"/>
    <n v="4269"/>
    <n v="1251"/>
    <n v="253"/>
    <n v="31"/>
    <n v="7579"/>
    <n v="11496"/>
    <n v="588"/>
    <n v="3244"/>
    <n v="187"/>
    <n v="61"/>
    <s v="1.12"/>
  </r>
  <r>
    <n v="8738"/>
    <x v="99"/>
    <s v="Jonathan Jablonowski"/>
    <x v="8"/>
    <x v="24"/>
    <s v="Liquid"/>
    <s v="Liquid"/>
    <n v="31980"/>
    <n v="28924"/>
    <x v="87"/>
    <s v="83.7"/>
    <s v="4.1"/>
    <n v="1614"/>
    <n v="42316"/>
    <s v="0.76"/>
    <s v="0.16"/>
    <s v="0.68"/>
    <s v="0.1"/>
    <s v="0.12"/>
    <n v="21008"/>
    <s v="K - D diff."/>
    <n v="5509"/>
    <n v="5148"/>
    <s v="1.07"/>
    <s v="1.11"/>
    <s v="73.80%"/>
    <s v="18.00%"/>
    <n v="21308"/>
    <n v="12890"/>
    <n v="5804"/>
    <n v="1841"/>
    <n v="418"/>
    <n v="55"/>
    <n v="24503"/>
    <n v="230"/>
    <n v="1776"/>
    <n v="5140"/>
    <n v="306"/>
    <n v="86"/>
    <s v="1.09"/>
  </r>
  <r>
    <n v="12713"/>
    <x v="100"/>
    <s v="Ricky Kemery"/>
    <x v="4"/>
    <x v="24"/>
    <s v="Complexity"/>
    <s v="Cloud9, Singularity"/>
    <n v="15806"/>
    <n v="14141"/>
    <x v="16"/>
    <s v="81.3"/>
    <s v="3.2"/>
    <n v="813"/>
    <n v="21349"/>
    <s v="0.74"/>
    <s v="0.14"/>
    <s v="0.66"/>
    <s v="0.11"/>
    <s v="0.14"/>
    <n v="10426"/>
    <s v="K - D diff."/>
    <n v="2159"/>
    <n v="1909"/>
    <s v="1.13"/>
    <s v="1.02"/>
    <s v="73.90%"/>
    <s v="14.30%"/>
    <n v="10923"/>
    <n v="6457"/>
    <n v="2811"/>
    <n v="927"/>
    <n v="209"/>
    <n v="22"/>
    <n v="12179"/>
    <n v="343"/>
    <n v="627"/>
    <n v="2551"/>
    <n v="104"/>
    <n v="25"/>
    <s v="1.15"/>
  </r>
  <r>
    <n v="7256"/>
    <x v="101"/>
    <s v="Johannes Maget"/>
    <x v="14"/>
    <x v="32"/>
    <m/>
    <s v="BIG, MOUZ"/>
    <n v="21063"/>
    <n v="18628"/>
    <x v="88"/>
    <s v="78.8"/>
    <s v="4.7"/>
    <n v="1074"/>
    <n v="28389"/>
    <s v="0.74"/>
    <s v="0.15"/>
    <s v="0.66"/>
    <s v="0.1"/>
    <s v="0.12"/>
    <n v="14009"/>
    <s v="K - D diff."/>
    <n v="2233"/>
    <n v="1803"/>
    <s v="1.24"/>
    <s v="0.95"/>
    <s v="72.20%"/>
    <s v="11.00%"/>
    <n v="14380"/>
    <n v="8738"/>
    <n v="3804"/>
    <n v="1204"/>
    <n v="242"/>
    <n v="21"/>
    <n v="15140"/>
    <n v="215"/>
    <n v="1206"/>
    <n v="4233"/>
    <n v="255"/>
    <n v="35"/>
    <s v="1.09"/>
  </r>
  <r>
    <n v="16546"/>
    <x v="102"/>
    <s v="David Polster"/>
    <x v="4"/>
    <x v="24"/>
    <s v="Gaimin Gladiators"/>
    <s v="Gaimin Gladiators, Party Astronauts, Triumph"/>
    <n v="13098"/>
    <n v="11487"/>
    <x v="89"/>
    <s v="80.6"/>
    <s v="5.5"/>
    <n v="681"/>
    <n v="17699"/>
    <s v="0.74"/>
    <s v="0.14"/>
    <s v="0.65"/>
    <s v="0.1"/>
    <s v="0.11"/>
    <n v="8814"/>
    <s v="K - D diff."/>
    <n v="1518"/>
    <n v="1332"/>
    <s v="1.14"/>
    <s v="0.97"/>
    <s v="76.50%"/>
    <s v="12.40%"/>
    <n v="8885"/>
    <n v="5575"/>
    <n v="2360"/>
    <n v="727"/>
    <n v="138"/>
    <n v="14"/>
    <n v="7804"/>
    <n v="1969"/>
    <n v="826"/>
    <n v="2157"/>
    <n v="221"/>
    <n v="185"/>
    <s v="1.14"/>
  </r>
  <r>
    <n v="9031"/>
    <x v="103"/>
    <s v="Valdemar BjÃ¸rn VangsÃ¥"/>
    <x v="2"/>
    <x v="9"/>
    <s v="OG"/>
    <s v="North, OG, Heroic"/>
    <n v="24018"/>
    <n v="21192"/>
    <x v="90"/>
    <n v="80"/>
    <s v="4.9"/>
    <n v="1230"/>
    <n v="32676"/>
    <s v="0.74"/>
    <s v="0.13"/>
    <s v="0.65"/>
    <s v="0.1"/>
    <s v="0.1"/>
    <n v="15988"/>
    <s v="K - D diff."/>
    <n v="3085"/>
    <n v="2467"/>
    <s v="1.25"/>
    <s v="1.01"/>
    <s v="75.20%"/>
    <s v="13.70%"/>
    <n v="16688"/>
    <n v="9948"/>
    <n v="4373"/>
    <n v="1378"/>
    <n v="255"/>
    <n v="34"/>
    <n v="18588"/>
    <n v="187"/>
    <n v="1230"/>
    <n v="3690"/>
    <n v="327"/>
    <n v="54"/>
    <s v="1.09"/>
  </r>
  <r>
    <n v="14294"/>
    <x v="104"/>
    <s v="Jared O'Bree"/>
    <x v="7"/>
    <x v="15"/>
    <s v="Encore"/>
    <s v="AVANT, Looking For Org, Breakaway, Dire Wolves"/>
    <n v="14955"/>
    <n v="13650"/>
    <x v="91"/>
    <s v="81.1"/>
    <s v="4.4"/>
    <n v="784"/>
    <n v="20019"/>
    <s v="0.75"/>
    <s v="0.14"/>
    <s v="0.68"/>
    <s v="0.11"/>
    <s v="0.11"/>
    <n v="9714"/>
    <s v="K - D diff."/>
    <n v="2271"/>
    <n v="2223"/>
    <s v="1.02"/>
    <s v="1.05"/>
    <s v="74.00%"/>
    <s v="15.90%"/>
    <n v="10305"/>
    <n v="5878"/>
    <n v="2691"/>
    <n v="911"/>
    <n v="208"/>
    <n v="26"/>
    <n v="11123"/>
    <n v="281"/>
    <n v="810"/>
    <n v="2571"/>
    <n v="170"/>
    <n v="26"/>
    <s v="1.14"/>
  </r>
  <r>
    <n v="13679"/>
    <x v="105"/>
    <s v="Å½ygimantas Chmieliauskas"/>
    <x v="1"/>
    <x v="36"/>
    <m/>
    <s v="Imperial, HellRaisers, NoChance"/>
    <n v="11227"/>
    <n v="9897"/>
    <x v="14"/>
    <s v="78.3"/>
    <s v="2.6"/>
    <n v="592"/>
    <n v="15492"/>
    <s v="0.72"/>
    <s v="0.12"/>
    <s v="0.64"/>
    <s v="0.08"/>
    <s v="0.09"/>
    <n v="7452"/>
    <s v="K - D diff."/>
    <n v="1600"/>
    <n v="1494"/>
    <s v="1.07"/>
    <s v="1.02"/>
    <s v="74.00%"/>
    <s v="14.70%"/>
    <n v="8040"/>
    <n v="4642"/>
    <n v="2006"/>
    <n v="660"/>
    <n v="127"/>
    <n v="17"/>
    <n v="6305"/>
    <n v="2657"/>
    <n v="250"/>
    <n v="1945"/>
    <n v="81"/>
    <n v="6"/>
    <s v="1.12"/>
  </r>
  <r>
    <n v="14932"/>
    <x v="106"/>
    <s v="Josef Baumann"/>
    <x v="4"/>
    <x v="32"/>
    <s v="BIG"/>
    <s v="Sprout, EURONICS"/>
    <n v="26565"/>
    <n v="23485"/>
    <x v="92"/>
    <s v="78.5"/>
    <s v="3.3"/>
    <n v="1348"/>
    <n v="36024"/>
    <s v="0.74"/>
    <s v="0.12"/>
    <s v="0.65"/>
    <s v="0.1"/>
    <s v="0.12"/>
    <n v="17746"/>
    <s v="K - D diff."/>
    <n v="3768"/>
    <n v="3265"/>
    <s v="1.15"/>
    <s v="1.04"/>
    <s v="71.50%"/>
    <s v="14.30%"/>
    <n v="18278"/>
    <n v="11127"/>
    <n v="4793"/>
    <n v="1492"/>
    <n v="294"/>
    <n v="40"/>
    <n v="18498"/>
    <n v="1861"/>
    <n v="1465"/>
    <n v="4474"/>
    <n v="262"/>
    <n v="75"/>
    <s v="1.13"/>
  </r>
  <r>
    <n v="18462"/>
    <x v="107"/>
    <s v="William Merriman"/>
    <x v="6"/>
    <x v="5"/>
    <s v="fnatic"/>
    <s v="fnatic, Endpoint, GamerLegion, Cloud9, Vexed"/>
    <n v="10146"/>
    <n v="8912"/>
    <x v="40"/>
    <s v="80.3"/>
    <s v="5.4"/>
    <n v="519"/>
    <n v="14054"/>
    <s v="0.72"/>
    <s v="0.14"/>
    <s v="0.63"/>
    <s v="0.09"/>
    <s v="0.12"/>
    <n v="6771"/>
    <s v="K - D diff."/>
    <n v="1231"/>
    <n v="1043"/>
    <s v="1.18"/>
    <s v="0.98"/>
    <s v="73.80%"/>
    <s v="12.80%"/>
    <n v="7283"/>
    <n v="4272"/>
    <n v="1772"/>
    <n v="593"/>
    <n v="119"/>
    <n v="15"/>
    <n v="7234"/>
    <n v="619"/>
    <n v="495"/>
    <n v="1686"/>
    <n v="120"/>
    <n v="14"/>
    <s v="1.14"/>
  </r>
  <r>
    <n v="8564"/>
    <x v="108"/>
    <s v="Fernando Alvarenga"/>
    <x v="14"/>
    <x v="3"/>
    <s v="Imperial"/>
    <s v="SK, MIBR, Luminosity"/>
    <n v="28173"/>
    <n v="25379"/>
    <x v="93"/>
    <s v="82.9"/>
    <n v="5"/>
    <n v="1436"/>
    <n v="37508"/>
    <s v="0.75"/>
    <s v="0.15"/>
    <s v="0.68"/>
    <s v="0.09"/>
    <s v="0.08"/>
    <n v="18644"/>
    <s v="K - D diff."/>
    <n v="4992"/>
    <n v="4238"/>
    <s v="1.18"/>
    <s v="1.14"/>
    <s v="77.90%"/>
    <s v="19.20%"/>
    <n v="18864"/>
    <n v="11560"/>
    <n v="5089"/>
    <n v="1599"/>
    <n v="350"/>
    <n v="46"/>
    <n v="20370"/>
    <n v="391"/>
    <n v="2270"/>
    <n v="4542"/>
    <n v="383"/>
    <n v="257"/>
    <s v="1.08"/>
  </r>
  <r>
    <n v="13300"/>
    <x v="109"/>
    <s v="Asger Jensen"/>
    <x v="6"/>
    <x v="9"/>
    <s v="Astralis"/>
    <s v="Astralis, Copenhagen Flames, FunPlus Phoenix, GODSENT"/>
    <n v="14044"/>
    <n v="12253"/>
    <x v="56"/>
    <s v="71.7"/>
    <s v="2.4"/>
    <n v="731"/>
    <n v="19507"/>
    <s v="0.72"/>
    <s v="0.09"/>
    <s v="0.63"/>
    <s v="0.08"/>
    <s v="0.1"/>
    <n v="9419"/>
    <s v="K - D diff."/>
    <n v="2407"/>
    <n v="1582"/>
    <s v="1.52"/>
    <s v="1.15"/>
    <s v="75.40%"/>
    <s v="18.20%"/>
    <n v="10088"/>
    <n v="5957"/>
    <n v="2493"/>
    <n v="791"/>
    <n v="162"/>
    <n v="16"/>
    <n v="3897"/>
    <n v="7374"/>
    <n v="295"/>
    <n v="2370"/>
    <n v="119"/>
    <n v="29"/>
    <s v="1.1"/>
  </r>
  <r>
    <n v="17861"/>
    <x v="110"/>
    <s v="Jhonatan Willian"/>
    <x v="1"/>
    <x v="3"/>
    <s v="MIBR"/>
    <s v="MIBR, Bravos, Keyd"/>
    <n v="8183"/>
    <n v="7194"/>
    <x v="57"/>
    <s v="82.2"/>
    <s v="6.2"/>
    <n v="430"/>
    <n v="11228"/>
    <s v="0.73"/>
    <s v="0.16"/>
    <s v="0.64"/>
    <s v="0.09"/>
    <s v="0.1"/>
    <n v="5472"/>
    <s v="K - D diff."/>
    <n v="1177"/>
    <n v="986"/>
    <s v="1.19"/>
    <s v="1.04"/>
    <s v="75.80%"/>
    <s v="15.40%"/>
    <n v="5756"/>
    <n v="3434"/>
    <n v="1477"/>
    <n v="459"/>
    <n v="92"/>
    <n v="10"/>
    <n v="6151"/>
    <n v="408"/>
    <n v="257"/>
    <n v="1242"/>
    <n v="142"/>
    <n v="40"/>
    <s v="1.15"/>
  </r>
  <r>
    <n v="9078"/>
    <x v="111"/>
    <s v="Kristian Wienecke"/>
    <x v="8"/>
    <x v="9"/>
    <s v="Astralis"/>
    <s v="Dignitas, OpTic, Complexity, North"/>
    <n v="31098"/>
    <n v="28605"/>
    <x v="94"/>
    <n v="81"/>
    <s v="2.9"/>
    <n v="1562"/>
    <n v="41332"/>
    <s v="0.75"/>
    <s v="0.13"/>
    <s v="0.69"/>
    <s v="0.09"/>
    <s v="0.1"/>
    <n v="20220"/>
    <s v="K - D diff."/>
    <n v="4955"/>
    <n v="4865"/>
    <s v="1.02"/>
    <s v="1.07"/>
    <s v="73.00%"/>
    <s v="16.90%"/>
    <n v="21112"/>
    <n v="12311"/>
    <n v="5475"/>
    <n v="1952"/>
    <n v="429"/>
    <n v="53"/>
    <n v="21949"/>
    <n v="1647"/>
    <n v="1462"/>
    <n v="5752"/>
    <n v="224"/>
    <n v="132"/>
    <s v="1.08"/>
  </r>
  <r>
    <n v="7398"/>
    <x v="112"/>
    <s v="Peter Rasmussen"/>
    <x v="11"/>
    <x v="9"/>
    <s v="Vitality"/>
    <s v="Astralis, TSM"/>
    <n v="37250"/>
    <n v="32885"/>
    <x v="95"/>
    <s v="77.2"/>
    <s v="3.2"/>
    <n v="1953"/>
    <n v="50862"/>
    <s v="0.73"/>
    <s v="0.14"/>
    <s v="0.65"/>
    <s v="0.09"/>
    <s v="0.09"/>
    <n v="24859"/>
    <s v="K - D diff."/>
    <n v="5993"/>
    <n v="5188"/>
    <s v="1.16"/>
    <s v="1.09"/>
    <s v="75.20%"/>
    <s v="16.10%"/>
    <n v="26003"/>
    <n v="15554"/>
    <n v="6765"/>
    <n v="2078"/>
    <n v="423"/>
    <n v="39"/>
    <n v="26134"/>
    <n v="1859"/>
    <n v="2176"/>
    <n v="6552"/>
    <n v="351"/>
    <n v="241"/>
    <s v="1.08"/>
  </r>
  <r>
    <n v="180"/>
    <x v="113"/>
    <s v="Bin Liu"/>
    <x v="10"/>
    <x v="10"/>
    <s v="TCG"/>
    <s v="VG.CyberZen, ViCi, CyberZen, 5POWER"/>
    <n v="15647"/>
    <n v="13721"/>
    <x v="55"/>
    <s v="78.2"/>
    <s v="5.5"/>
    <n v="836"/>
    <n v="21434"/>
    <s v="0.73"/>
    <s v="0.13"/>
    <s v="0.64"/>
    <s v="0.09"/>
    <s v="0.09"/>
    <n v="10501"/>
    <s v="K - D diff."/>
    <n v="2515"/>
    <n v="2121"/>
    <s v="1.19"/>
    <s v="1.09"/>
    <s v="76.40%"/>
    <s v="16.30%"/>
    <n v="10933"/>
    <n v="6573"/>
    <n v="2908"/>
    <n v="842"/>
    <n v="158"/>
    <n v="20"/>
    <n v="6149"/>
    <n v="4285"/>
    <n v="1636"/>
    <n v="2916"/>
    <n v="244"/>
    <n v="446"/>
    <s v="1.08"/>
  </r>
  <r>
    <n v="8552"/>
    <x v="114"/>
    <s v="YuanZhang Sheng"/>
    <x v="8"/>
    <x v="10"/>
    <s v="TYLOO"/>
    <s v="TYLOO, Flash"/>
    <n v="24187"/>
    <n v="21526"/>
    <x v="96"/>
    <s v="79.3"/>
    <s v="2.3"/>
    <n v="1261"/>
    <n v="32444"/>
    <s v="0.75"/>
    <s v="0.14"/>
    <s v="0.66"/>
    <s v="0.11"/>
    <s v="0.11"/>
    <n v="16192"/>
    <s v="K - D diff."/>
    <n v="3175"/>
    <n v="2896"/>
    <s v="1.1"/>
    <s v="1.01"/>
    <s v="75.90%"/>
    <s v="13.40%"/>
    <n v="16252"/>
    <n v="10171"/>
    <n v="4354"/>
    <n v="1386"/>
    <n v="255"/>
    <n v="26"/>
    <n v="18784"/>
    <n v="233"/>
    <n v="1135"/>
    <n v="3842"/>
    <n v="163"/>
    <n v="113"/>
    <s v="1.08"/>
  </r>
  <r>
    <n v="9115"/>
    <x v="115"/>
    <s v="Christopher Nong"/>
    <x v="2"/>
    <x v="15"/>
    <s v="MOUZ"/>
    <s v="MOUZ, Grayhound, Renegades"/>
    <n v="19140"/>
    <n v="17212"/>
    <x v="87"/>
    <s v="80.9"/>
    <s v="5.2"/>
    <n v="1006"/>
    <n v="25904"/>
    <s v="0.74"/>
    <s v="0.14"/>
    <s v="0.66"/>
    <s v="0.09"/>
    <s v="0.1"/>
    <n v="12631"/>
    <s v="K - D diff."/>
    <n v="3112"/>
    <n v="2633"/>
    <s v="1.18"/>
    <s v="1.1"/>
    <s v="75.90%"/>
    <s v="16.30%"/>
    <n v="13273"/>
    <n v="7807"/>
    <n v="3424"/>
    <n v="1139"/>
    <n v="237"/>
    <n v="24"/>
    <n v="13533"/>
    <n v="867"/>
    <n v="1145"/>
    <n v="3241"/>
    <n v="321"/>
    <n v="69"/>
    <s v="1.08"/>
  </r>
  <r>
    <n v="3543"/>
    <x v="116"/>
    <s v="ÄorÄ‘e NiciforoviÄ‡"/>
    <x v="11"/>
    <x v="37"/>
    <s v="GamerS1337"/>
    <s v="Binary Dragons, iNation, Valiance"/>
    <n v="9002"/>
    <n v="7798"/>
    <x v="85"/>
    <n v="73"/>
    <s v="2.9"/>
    <n v="489"/>
    <n v="12531"/>
    <s v="0.72"/>
    <s v="0.1"/>
    <s v="0.62"/>
    <s v="0.09"/>
    <s v="0.1"/>
    <n v="6060"/>
    <s v="K - D diff."/>
    <n v="1599"/>
    <n v="1141"/>
    <s v="1.4"/>
    <s v="1.15"/>
    <s v="75.90%"/>
    <s v="18.10%"/>
    <n v="6471"/>
    <n v="3811"/>
    <n v="1653"/>
    <n v="508"/>
    <n v="80"/>
    <n v="8"/>
    <n v="1914"/>
    <n v="4730"/>
    <n v="539"/>
    <n v="1693"/>
    <n v="99"/>
    <n v="45"/>
    <s v="1.08"/>
  </r>
  <r>
    <n v="7993"/>
    <x v="117"/>
    <s v="Dimitri Hadjipaschali"/>
    <x v="9"/>
    <x v="34"/>
    <m/>
    <s v="Bravado"/>
    <n v="7633"/>
    <n v="6771"/>
    <x v="6"/>
    <s v="77.4"/>
    <s v="4.4"/>
    <n v="412"/>
    <n v="10449"/>
    <s v="0.73"/>
    <s v="0.13"/>
    <s v="0.65"/>
    <s v="0.1"/>
    <s v="0.09"/>
    <n v="5105"/>
    <s v="K - D diff."/>
    <n v="1271"/>
    <n v="957"/>
    <s v="1.33"/>
    <s v="1.12"/>
    <s v="79.10%"/>
    <s v="17.90%"/>
    <n v="5344"/>
    <n v="3235"/>
    <n v="1326"/>
    <n v="442"/>
    <n v="91"/>
    <n v="11"/>
    <n v="3310"/>
    <n v="2430"/>
    <n v="373"/>
    <n v="1396"/>
    <n v="111"/>
    <n v="27"/>
    <s v="1.08"/>
  </r>
  <r>
    <n v="9247"/>
    <x v="118"/>
    <s v="Enkhtaivan Lkhagva"/>
    <x v="15"/>
    <x v="21"/>
    <m/>
    <s v="TheMongolz, Mazaalai"/>
    <n v="8352"/>
    <n v="7676"/>
    <x v="69"/>
    <s v="81.4"/>
    <s v="3.2"/>
    <n v="431"/>
    <n v="10994"/>
    <s v="0.76"/>
    <s v="0.13"/>
    <s v="0.7"/>
    <s v="0.08"/>
    <s v="0.09"/>
    <n v="5463"/>
    <s v="K - D diff."/>
    <n v="1413"/>
    <n v="1228"/>
    <s v="1.15"/>
    <s v="1.12"/>
    <s v="72.90%"/>
    <s v="18.80%"/>
    <n v="5531"/>
    <n v="3323"/>
    <n v="1522"/>
    <n v="506"/>
    <n v="93"/>
    <n v="19"/>
    <n v="5226"/>
    <n v="1025"/>
    <n v="319"/>
    <n v="1663"/>
    <n v="76"/>
    <n v="55"/>
    <s v="1.08"/>
  </r>
  <r>
    <n v="9032"/>
    <x v="119"/>
    <s v="Emil Reif"/>
    <x v="1"/>
    <x v="9"/>
    <s v="Vitality"/>
    <s v="Astralis, SK, Dignitas"/>
    <n v="26714"/>
    <n v="23482"/>
    <x v="97"/>
    <s v="79.7"/>
    <s v="5.8"/>
    <n v="1411"/>
    <n v="37134"/>
    <s v="0.72"/>
    <s v="0.15"/>
    <s v="0.63"/>
    <s v="0.09"/>
    <s v="0.1"/>
    <n v="17827"/>
    <s v="K - D diff."/>
    <n v="3815"/>
    <n v="3451"/>
    <s v="1.11"/>
    <s v="1.03"/>
    <s v="75.80%"/>
    <s v="14.30%"/>
    <n v="19307"/>
    <n v="11146"/>
    <n v="4847"/>
    <n v="1496"/>
    <n v="305"/>
    <n v="33"/>
    <n v="20139"/>
    <n v="526"/>
    <n v="1133"/>
    <n v="4521"/>
    <n v="414"/>
    <n v="56"/>
    <s v="1.08"/>
  </r>
  <r>
    <n v="9255"/>
    <x v="120"/>
    <s v="William Sundin"/>
    <x v="5"/>
    <x v="29"/>
    <s v="Into the Breach"/>
    <s v="Epsilon, NIP, Red Reserve"/>
    <n v="20957"/>
    <n v="18273"/>
    <x v="4"/>
    <s v="74.6"/>
    <s v="2.1"/>
    <n v="1101"/>
    <n v="29050"/>
    <s v="0.72"/>
    <s v="0.1"/>
    <s v="0.63"/>
    <s v="0.08"/>
    <s v="0.08"/>
    <n v="14143"/>
    <s v="K - D diff."/>
    <n v="3899"/>
    <n v="2947"/>
    <s v="1.32"/>
    <s v="1.17"/>
    <s v="75.00%"/>
    <s v="19.40%"/>
    <n v="14907"/>
    <n v="8995"/>
    <n v="3730"/>
    <n v="1184"/>
    <n v="220"/>
    <n v="14"/>
    <n v="3759"/>
    <n v="12023"/>
    <n v="1056"/>
    <n v="3946"/>
    <n v="159"/>
    <n v="53"/>
    <s v="1.08"/>
  </r>
  <r>
    <n v="5799"/>
    <x v="121"/>
    <s v="Kevin BartholomÃ¤us"/>
    <x v="14"/>
    <x v="32"/>
    <m/>
    <s v="ALTERNATE aTTaX, BIG, KILLERFISH"/>
    <n v="11408"/>
    <n v="10191"/>
    <x v="10"/>
    <s v="73.6"/>
    <s v="2.8"/>
    <n v="594"/>
    <n v="15524"/>
    <s v="0.73"/>
    <s v="0.09"/>
    <s v="0.66"/>
    <s v="0.08"/>
    <s v="0.08"/>
    <n v="7599"/>
    <s v="K - D diff."/>
    <n v="2319"/>
    <n v="1664"/>
    <s v="1.39"/>
    <s v="1.23"/>
    <s v="75.40%"/>
    <s v="22.00%"/>
    <n v="7925"/>
    <n v="4764"/>
    <n v="2037"/>
    <n v="638"/>
    <n v="145"/>
    <n v="15"/>
    <n v="1226"/>
    <n v="6634"/>
    <n v="1105"/>
    <n v="2267"/>
    <n v="117"/>
    <n v="70"/>
    <s v="1.08"/>
  </r>
  <r>
    <n v="9219"/>
    <x v="122"/>
    <s v="JoÃ£o Vasconcellos"/>
    <x v="8"/>
    <x v="3"/>
    <m/>
    <s v="SK, GODSENT, Immortals, Tempo Storm"/>
    <n v="19490"/>
    <n v="17889"/>
    <x v="98"/>
    <s v="84.6"/>
    <s v="3.5"/>
    <n v="998"/>
    <n v="25554"/>
    <s v="0.76"/>
    <s v="0.16"/>
    <s v="0.7"/>
    <s v="0.1"/>
    <s v="0.09"/>
    <n v="12790"/>
    <s v="K - D diff."/>
    <n v="3354"/>
    <n v="3317"/>
    <s v="1.01"/>
    <s v="1.11"/>
    <s v="75.50%"/>
    <s v="18.00%"/>
    <n v="12764"/>
    <n v="7808"/>
    <n v="3545"/>
    <n v="1181"/>
    <n v="231"/>
    <n v="25"/>
    <n v="13991"/>
    <n v="919"/>
    <n v="1262"/>
    <n v="3071"/>
    <n v="198"/>
    <n v="98"/>
    <s v="1.08"/>
  </r>
  <r>
    <n v="11916"/>
    <x v="123"/>
    <s v="Jere Salo"/>
    <x v="7"/>
    <x v="23"/>
    <s v="GORILLAZ"/>
    <s v="GORILLAZ, ENCE, HAVU"/>
    <n v="14855"/>
    <n v="13039"/>
    <x v="99"/>
    <s v="79.3"/>
    <n v="4"/>
    <n v="776"/>
    <n v="20425"/>
    <s v="0.73"/>
    <s v="0.14"/>
    <s v="0.64"/>
    <s v="0.1"/>
    <s v="0.11"/>
    <n v="10002"/>
    <s v="K - D diff."/>
    <n v="2084"/>
    <n v="1844"/>
    <s v="1.13"/>
    <s v="1.03"/>
    <s v="72.80%"/>
    <s v="14.10%"/>
    <n v="10423"/>
    <n v="6327"/>
    <n v="2685"/>
    <n v="820"/>
    <n v="152"/>
    <n v="18"/>
    <n v="10236"/>
    <n v="1303"/>
    <n v="587"/>
    <n v="2558"/>
    <n v="192"/>
    <n v="25"/>
    <s v="1.13"/>
  </r>
  <r>
    <n v="18736"/>
    <x v="124"/>
    <s v="Jordan White"/>
    <x v="4"/>
    <x v="15"/>
    <s v="VERTEX"/>
    <s v="VERTEX, TRUCKERS WITH ATTITUDE, Airborne"/>
    <n v="8219"/>
    <n v="7244"/>
    <x v="100"/>
    <s v="75.7"/>
    <s v="5.4"/>
    <n v="441"/>
    <n v="11492"/>
    <s v="0.72"/>
    <s v="0.12"/>
    <s v="0.63"/>
    <s v="0.09"/>
    <s v="0.09"/>
    <n v="5488"/>
    <s v="K - D diff."/>
    <n v="1400"/>
    <n v="1053"/>
    <s v="1.33"/>
    <s v="1.12"/>
    <s v="73.60%"/>
    <s v="17.40%"/>
    <n v="6004"/>
    <n v="3451"/>
    <n v="1463"/>
    <n v="462"/>
    <n v="104"/>
    <n v="8"/>
    <n v="2227"/>
    <n v="4198"/>
    <n v="276"/>
    <n v="1337"/>
    <n v="156"/>
    <n v="54"/>
    <s v="1.12"/>
  </r>
  <r>
    <n v="7810"/>
    <x v="125"/>
    <s v="Shahzeb Khan"/>
    <x v="3"/>
    <x v="24"/>
    <m/>
    <s v="Complexity, Misfits, Echo Fox, Conquest, OpTic"/>
    <n v="18509"/>
    <n v="16451"/>
    <x v="101"/>
    <s v="74.8"/>
    <s v="2.4"/>
    <n v="966"/>
    <n v="25252"/>
    <s v="0.73"/>
    <s v="0.1"/>
    <s v="0.65"/>
    <s v="0.09"/>
    <s v="0.1"/>
    <n v="12368"/>
    <s v="K - D diff."/>
    <n v="3270"/>
    <n v="2472"/>
    <s v="1.32"/>
    <s v="1.15"/>
    <s v="74.50%"/>
    <s v="18.80%"/>
    <n v="12884"/>
    <n v="7748"/>
    <n v="3362"/>
    <n v="1037"/>
    <n v="193"/>
    <n v="28"/>
    <n v="4329"/>
    <n v="9773"/>
    <n v="465"/>
    <n v="3816"/>
    <n v="118"/>
    <n v="36"/>
    <s v="1.08"/>
  </r>
  <r>
    <n v="11154"/>
    <x v="126"/>
    <s v="Raphael Lacerda"/>
    <x v="8"/>
    <x v="3"/>
    <s v="MIBR"/>
    <s v="MIBR, Sharks"/>
    <n v="13416"/>
    <n v="11515"/>
    <x v="102"/>
    <s v="76.8"/>
    <s v="4.8"/>
    <n v="739"/>
    <n v="19050"/>
    <s v="0.7"/>
    <s v="0.13"/>
    <s v="0.6"/>
    <s v="0.09"/>
    <s v="0.12"/>
    <n v="9135"/>
    <s v="K - D diff."/>
    <n v="1358"/>
    <n v="1079"/>
    <s v="1.26"/>
    <s v="0.93"/>
    <s v="73.60%"/>
    <s v="10.20%"/>
    <n v="9915"/>
    <n v="5878"/>
    <n v="2392"/>
    <n v="719"/>
    <n v="133"/>
    <n v="13"/>
    <n v="10562"/>
    <n v="76"/>
    <n v="561"/>
    <n v="2044"/>
    <n v="198"/>
    <n v="37"/>
    <s v="1.12"/>
  </r>
  <r>
    <n v="7028"/>
    <x v="127"/>
    <s v="YuLun Cai"/>
    <x v="8"/>
    <x v="10"/>
    <s v="TYLOO"/>
    <s v="TYLOO, Flash"/>
    <n v="23807"/>
    <n v="21025"/>
    <x v="103"/>
    <s v="79.8"/>
    <s v="5.5"/>
    <n v="1268"/>
    <n v="32666"/>
    <s v="0.73"/>
    <s v="0.14"/>
    <s v="0.64"/>
    <s v="0.09"/>
    <s v="0.09"/>
    <n v="16047"/>
    <s v="K - D diff."/>
    <n v="3282"/>
    <n v="2728"/>
    <s v="1.2"/>
    <s v="1.03"/>
    <s v="76.90%"/>
    <s v="14.00%"/>
    <n v="16619"/>
    <n v="10208"/>
    <n v="4242"/>
    <n v="1304"/>
    <n v="264"/>
    <n v="29"/>
    <n v="15077"/>
    <n v="2663"/>
    <n v="1577"/>
    <n v="4113"/>
    <n v="342"/>
    <n v="82"/>
    <s v="1.08"/>
  </r>
  <r>
    <n v="11162"/>
    <x v="128"/>
    <s v="Jordan Bajic"/>
    <x v="1"/>
    <x v="15"/>
    <s v="ORDER"/>
    <s v="ORDER, Renegades, Kings"/>
    <n v="17302"/>
    <n v="15301"/>
    <x v="104"/>
    <s v="77.5"/>
    <s v="5.1"/>
    <n v="947"/>
    <n v="24099"/>
    <s v="0.72"/>
    <s v="0.14"/>
    <s v="0.63"/>
    <s v="0.1"/>
    <s v="0.1"/>
    <n v="11545"/>
    <s v="K - D diff."/>
    <n v="2669"/>
    <n v="2462"/>
    <s v="1.08"/>
    <s v="1.05"/>
    <s v="75.80%"/>
    <s v="14.90%"/>
    <n v="12554"/>
    <n v="7214"/>
    <n v="3142"/>
    <n v="976"/>
    <n v="189"/>
    <n v="24"/>
    <n v="11909"/>
    <n v="1109"/>
    <n v="1291"/>
    <n v="2755"/>
    <n v="227"/>
    <n v="50"/>
    <s v="1.14"/>
  </r>
  <r>
    <n v="8555"/>
    <x v="129"/>
    <s v="Aleksandar Zarkovic"/>
    <x v="8"/>
    <x v="29"/>
    <m/>
    <s v="Valiance, Enyoy"/>
    <n v="10437"/>
    <n v="9487"/>
    <x v="105"/>
    <n v="79"/>
    <s v="3.5"/>
    <n v="528"/>
    <n v="13954"/>
    <s v="0.75"/>
    <s v="0.12"/>
    <s v="0.68"/>
    <s v="0.09"/>
    <s v="0.1"/>
    <n v="6882"/>
    <s v="K - D diff."/>
    <n v="1769"/>
    <n v="1402"/>
    <s v="1.26"/>
    <s v="1.13"/>
    <s v="72.80%"/>
    <s v="18.90%"/>
    <n v="7072"/>
    <n v="4196"/>
    <n v="1970"/>
    <n v="575"/>
    <n v="129"/>
    <n v="12"/>
    <n v="3869"/>
    <n v="3914"/>
    <n v="331"/>
    <n v="2166"/>
    <n v="149"/>
    <n v="34"/>
    <s v="1.08"/>
  </r>
  <r>
    <n v="7356"/>
    <x v="130"/>
    <s v="MichaÅ‚ MÃ¼ller"/>
    <x v="8"/>
    <x v="17"/>
    <m/>
    <s v="Virtus.pro, Kinguin, CSGL"/>
    <n v="33874"/>
    <n v="30809"/>
    <x v="106"/>
    <s v="80.2"/>
    <s v="3.8"/>
    <n v="1732"/>
    <n v="45397"/>
    <s v="0.75"/>
    <s v="0.13"/>
    <s v="0.68"/>
    <s v="0.09"/>
    <s v="0.1"/>
    <n v="22373"/>
    <s v="K - D diff."/>
    <n v="5011"/>
    <n v="4632"/>
    <s v="1.08"/>
    <s v="1.05"/>
    <s v="71.50%"/>
    <s v="15.80%"/>
    <n v="23024"/>
    <n v="13786"/>
    <n v="6189"/>
    <n v="1950"/>
    <n v="389"/>
    <n v="59"/>
    <n v="25816"/>
    <n v="1209"/>
    <n v="592"/>
    <n v="5875"/>
    <n v="381"/>
    <n v="46"/>
    <s v="1.08"/>
  </r>
  <r>
    <n v="8848"/>
    <x v="131"/>
    <s v="Thomas Nielsen"/>
    <x v="8"/>
    <x v="9"/>
    <s v="Sashi"/>
    <s v="Tricked, Singularity"/>
    <n v="15855"/>
    <n v="13957"/>
    <x v="107"/>
    <s v="76.1"/>
    <s v="6.3"/>
    <n v="841"/>
    <n v="22116"/>
    <s v="0.72"/>
    <s v="0.12"/>
    <s v="0.63"/>
    <s v="0.09"/>
    <s v="0.1"/>
    <n v="10637"/>
    <s v="K - D diff."/>
    <n v="2445"/>
    <n v="1817"/>
    <s v="1.35"/>
    <s v="1.08"/>
    <s v="73.90%"/>
    <s v="16.30%"/>
    <n v="11479"/>
    <n v="6701"/>
    <n v="2845"/>
    <n v="916"/>
    <n v="160"/>
    <n v="15"/>
    <n v="4026"/>
    <n v="7747"/>
    <n v="917"/>
    <n v="2840"/>
    <n v="333"/>
    <n v="28"/>
    <s v="1.08"/>
  </r>
  <r>
    <n v="12732"/>
    <x v="132"/>
    <s v="Evgenii Lebedev"/>
    <x v="0"/>
    <x v="2"/>
    <s v="Outsiders"/>
    <s v="forZe"/>
    <n v="24608"/>
    <n v="21806"/>
    <x v="90"/>
    <s v="80.3"/>
    <s v="4.3"/>
    <n v="1249"/>
    <n v="33673"/>
    <s v="0.73"/>
    <s v="0.13"/>
    <s v="0.65"/>
    <s v="0.09"/>
    <s v="0.11"/>
    <n v="16583"/>
    <s v="K - D diff."/>
    <n v="2898"/>
    <n v="2660"/>
    <s v="1.09"/>
    <s v="0.97"/>
    <s v="73.50%"/>
    <s v="12.10%"/>
    <n v="17090"/>
    <n v="10492"/>
    <n v="4472"/>
    <n v="1331"/>
    <n v="261"/>
    <n v="27"/>
    <n v="18437"/>
    <n v="940"/>
    <n v="1000"/>
    <n v="3836"/>
    <n v="395"/>
    <n v="93"/>
    <s v="1.13"/>
  </r>
  <r>
    <n v="9656"/>
    <x v="133"/>
    <s v="Ali HaÃ¯nouss"/>
    <x v="5"/>
    <x v="0"/>
    <s v="Falcons"/>
    <s v="LDLC, EnVyUs Academy"/>
    <n v="22302"/>
    <n v="19994"/>
    <x v="50"/>
    <n v="80"/>
    <s v="4.1"/>
    <n v="1152"/>
    <n v="30382"/>
    <s v="0.73"/>
    <s v="0.13"/>
    <s v="0.66"/>
    <s v="0.1"/>
    <s v="0.12"/>
    <n v="14935"/>
    <s v="K - D diff."/>
    <n v="2954"/>
    <n v="2760"/>
    <s v="1.07"/>
    <n v="1"/>
    <s v="70.20%"/>
    <s v="13.50%"/>
    <n v="15447"/>
    <n v="9424"/>
    <n v="3972"/>
    <n v="1257"/>
    <n v="247"/>
    <n v="35"/>
    <n v="16597"/>
    <n v="541"/>
    <n v="1273"/>
    <n v="3573"/>
    <n v="276"/>
    <n v="145"/>
    <s v="1.08"/>
  </r>
  <r>
    <n v="8745"/>
    <x v="134"/>
    <s v="Ricardo Mulholland"/>
    <x v="14"/>
    <x v="15"/>
    <s v="Aftershock"/>
    <s v="ORDER, CLG, Rogue"/>
    <n v="17834"/>
    <n v="15446"/>
    <x v="108"/>
    <s v="77.3"/>
    <s v="5.2"/>
    <n v="962"/>
    <n v="25181"/>
    <s v="0.71"/>
    <s v="0.13"/>
    <s v="0.61"/>
    <s v="0.08"/>
    <s v="0.09"/>
    <n v="12120"/>
    <s v="K - D diff."/>
    <n v="2940"/>
    <n v="2320"/>
    <s v="1.27"/>
    <s v="1.1"/>
    <s v="74.10%"/>
    <s v="16.30%"/>
    <n v="13061"/>
    <n v="7736"/>
    <n v="3269"/>
    <n v="923"/>
    <n v="169"/>
    <n v="23"/>
    <n v="8360"/>
    <n v="5402"/>
    <n v="670"/>
    <n v="3105"/>
    <n v="260"/>
    <n v="105"/>
    <s v="1.07"/>
  </r>
  <r>
    <n v="13602"/>
    <x v="135"/>
    <s v="Nico Tamjidi"/>
    <x v="0"/>
    <x v="9"/>
    <s v="fnatic"/>
    <s v="Copenhagen Flames"/>
    <n v="13844"/>
    <n v="12020"/>
    <x v="7"/>
    <s v="71.7"/>
    <s v="3.2"/>
    <n v="727"/>
    <n v="19522"/>
    <s v="0.71"/>
    <s v="0.08"/>
    <s v="0.62"/>
    <s v="0.09"/>
    <s v="0.1"/>
    <n v="9445"/>
    <s v="K - D diff."/>
    <n v="2238"/>
    <n v="1384"/>
    <s v="1.62"/>
    <s v="1.12"/>
    <s v="75.10%"/>
    <s v="16.80%"/>
    <n v="10077"/>
    <n v="6123"/>
    <n v="2411"/>
    <n v="757"/>
    <n v="142"/>
    <n v="12"/>
    <n v="3419"/>
    <n v="7679"/>
    <n v="172"/>
    <n v="2459"/>
    <n v="128"/>
    <n v="43"/>
    <s v="1.1"/>
  </r>
  <r>
    <n v="8707"/>
    <x v="136"/>
    <s v="Peter Gurney"/>
    <x v="15"/>
    <x v="24"/>
    <m/>
    <s v="Bad News Bears, NRG, Complexity"/>
    <n v="20902"/>
    <n v="18205"/>
    <x v="109"/>
    <s v="73.3"/>
    <s v="3.4"/>
    <n v="1132"/>
    <n v="29624"/>
    <s v="0.71"/>
    <s v="0.11"/>
    <s v="0.61"/>
    <s v="0.09"/>
    <s v="0.1"/>
    <n v="14117"/>
    <s v="K - D diff."/>
    <n v="3363"/>
    <n v="2286"/>
    <s v="1.47"/>
    <s v="1.11"/>
    <s v="74.90%"/>
    <s v="16.30%"/>
    <n v="15507"/>
    <n v="8983"/>
    <n v="3752"/>
    <n v="1149"/>
    <n v="210"/>
    <n v="23"/>
    <n v="3177"/>
    <n v="12210"/>
    <n v="1214"/>
    <n v="4103"/>
    <n v="185"/>
    <n v="55"/>
    <s v="1.07"/>
  </r>
  <r>
    <n v="11586"/>
    <x v="137"/>
    <s v="Michael Gulino"/>
    <x v="6"/>
    <x v="24"/>
    <m/>
    <s v="eUnited"/>
    <n v="11313"/>
    <n v="10311"/>
    <x v="67"/>
    <s v="80.8"/>
    <s v="6.4"/>
    <n v="594"/>
    <n v="15426"/>
    <s v="0.73"/>
    <s v="0.15"/>
    <s v="0.67"/>
    <s v="0.1"/>
    <s v="0.11"/>
    <n v="7453"/>
    <s v="K - D diff."/>
    <n v="1664"/>
    <n v="1652"/>
    <s v="1.01"/>
    <s v="1.03"/>
    <s v="74.30%"/>
    <s v="15.40%"/>
    <n v="7973"/>
    <n v="4588"/>
    <n v="2051"/>
    <n v="646"/>
    <n v="155"/>
    <n v="13"/>
    <n v="7504"/>
    <n v="727"/>
    <n v="851"/>
    <n v="1992"/>
    <n v="203"/>
    <n v="58"/>
    <s v="1.13"/>
  </r>
  <r>
    <n v="9294"/>
    <x v="138"/>
    <s v="NielsÂ Christian Sillassen"/>
    <x v="8"/>
    <x v="9"/>
    <m/>
    <s v="Sprout, Nordavind"/>
    <n v="17805"/>
    <n v="15366"/>
    <x v="110"/>
    <s v="71.9"/>
    <s v="3.2"/>
    <n v="948"/>
    <n v="25338"/>
    <s v="0.7"/>
    <s v="0.1"/>
    <s v="0.61"/>
    <s v="0.09"/>
    <s v="0.1"/>
    <n v="12138"/>
    <s v="K - D diff."/>
    <n v="2661"/>
    <n v="1865"/>
    <s v="1.43"/>
    <s v="1.07"/>
    <s v="73.90%"/>
    <s v="15.30%"/>
    <n v="13200"/>
    <n v="7772"/>
    <n v="3264"/>
    <n v="916"/>
    <n v="173"/>
    <n v="13"/>
    <n v="5861"/>
    <n v="7788"/>
    <n v="648"/>
    <n v="3284"/>
    <n v="223"/>
    <n v="48"/>
    <s v="1.07"/>
  </r>
  <r>
    <n v="14737"/>
    <x v="139"/>
    <s v="Ignacio Meyer"/>
    <x v="16"/>
    <x v="38"/>
    <s v="Leviatan"/>
    <s v="Furious, MIBR, Isurus, Sharks"/>
    <n v="8277"/>
    <n v="7541"/>
    <x v="92"/>
    <s v="76.8"/>
    <s v="3.5"/>
    <n v="436"/>
    <n v="11379"/>
    <s v="0.73"/>
    <s v="0.11"/>
    <s v="0.66"/>
    <s v="0.1"/>
    <s v="0.13"/>
    <n v="5478"/>
    <s v="K - D diff."/>
    <n v="1205"/>
    <n v="1041"/>
    <s v="1.16"/>
    <s v="1.04"/>
    <s v="75.70%"/>
    <s v="15.50%"/>
    <n v="5901"/>
    <n v="3430"/>
    <n v="1451"/>
    <n v="459"/>
    <n v="122"/>
    <n v="16"/>
    <n v="5662"/>
    <n v="862"/>
    <n v="273"/>
    <n v="1427"/>
    <n v="60"/>
    <n v="16"/>
    <s v="1.11"/>
  </r>
  <r>
    <n v="14494"/>
    <x v="140"/>
    <s v="Paytyn Johnson"/>
    <x v="0"/>
    <x v="24"/>
    <s v="Complexity"/>
    <s v="Triumph, Bad News Bears, Complexity, FURIA"/>
    <n v="8904"/>
    <n v="7642"/>
    <x v="71"/>
    <s v="70.7"/>
    <s v="2.2"/>
    <n v="485"/>
    <n v="12690"/>
    <s v="0.7"/>
    <s v="0.09"/>
    <s v="0.6"/>
    <s v="0.08"/>
    <s v="0.1"/>
    <n v="6086"/>
    <s v="K - D diff."/>
    <n v="1419"/>
    <n v="905"/>
    <s v="1.57"/>
    <s v="1.11"/>
    <s v="72.00%"/>
    <s v="15.90%"/>
    <n v="6604"/>
    <n v="3887"/>
    <n v="1664"/>
    <n v="456"/>
    <n v="74"/>
    <n v="5"/>
    <n v="1821"/>
    <n v="5469"/>
    <n v="127"/>
    <n v="1434"/>
    <n v="60"/>
    <n v="19"/>
    <s v="1.1"/>
  </r>
  <r>
    <n v="14273"/>
    <x v="141"/>
    <s v="Artem Egorov"/>
    <x v="8"/>
    <x v="2"/>
    <s v="Nemiga"/>
    <s v="Nemiga, Spirit"/>
    <n v="16525"/>
    <n v="14435"/>
    <x v="111"/>
    <s v="74.1"/>
    <s v="2.5"/>
    <n v="871"/>
    <n v="23106"/>
    <s v="0.72"/>
    <s v="0.1"/>
    <s v="0.62"/>
    <s v="0.09"/>
    <s v="0.09"/>
    <n v="11262"/>
    <s v="K - D diff."/>
    <n v="2996"/>
    <n v="1938"/>
    <s v="1.55"/>
    <s v="1.18"/>
    <s v="74.70%"/>
    <s v="18.90%"/>
    <n v="11844"/>
    <n v="7233"/>
    <n v="2975"/>
    <n v="893"/>
    <n v="142"/>
    <n v="19"/>
    <n v="3811"/>
    <n v="9648"/>
    <n v="323"/>
    <n v="2619"/>
    <n v="126"/>
    <n v="45"/>
    <s v="1.13"/>
  </r>
  <r>
    <n v="8735"/>
    <x v="142"/>
    <s v="Timothy Ta"/>
    <x v="8"/>
    <x v="24"/>
    <s v="Evil Geniuses"/>
    <s v="Cloud9, Gen.G"/>
    <n v="22601"/>
    <n v="20356"/>
    <x v="33"/>
    <s v="79.4"/>
    <s v="3.9"/>
    <n v="1166"/>
    <n v="30439"/>
    <s v="0.74"/>
    <s v="0.13"/>
    <s v="0.67"/>
    <s v="0.1"/>
    <s v="0.1"/>
    <n v="15178"/>
    <s v="K - D diff."/>
    <n v="3098"/>
    <n v="2604"/>
    <s v="1.19"/>
    <s v="1.03"/>
    <s v="74.10%"/>
    <s v="14.50%"/>
    <n v="15261"/>
    <n v="9552"/>
    <n v="4111"/>
    <n v="1257"/>
    <n v="238"/>
    <n v="20"/>
    <n v="13738"/>
    <n v="3495"/>
    <n v="967"/>
    <n v="4100"/>
    <n v="285"/>
    <n v="57"/>
    <s v="1.07"/>
  </r>
  <r>
    <n v="13915"/>
    <x v="143"/>
    <s v="Mareks GaÄ¼inskis"/>
    <x v="4"/>
    <x v="39"/>
    <s v="Virtus.pro"/>
    <s v="pro100, Virtus.pro, EPG"/>
    <n v="21930"/>
    <n v="20473"/>
    <x v="112"/>
    <s v="82.7"/>
    <s v="3.9"/>
    <n v="1104"/>
    <n v="29387"/>
    <s v="0.75"/>
    <s v="0.13"/>
    <s v="0.7"/>
    <s v="0.09"/>
    <s v="0.09"/>
    <n v="14232"/>
    <s v="K - D diff."/>
    <n v="4405"/>
    <n v="4228"/>
    <s v="1.04"/>
    <s v="1.18"/>
    <s v="73.50%"/>
    <s v="21.40%"/>
    <n v="15155"/>
    <n v="8596"/>
    <n v="3950"/>
    <n v="1348"/>
    <n v="300"/>
    <n v="38"/>
    <n v="15801"/>
    <n v="1315"/>
    <n v="1214"/>
    <n v="3326"/>
    <n v="236"/>
    <n v="92"/>
    <s v="1.14"/>
  </r>
  <r>
    <n v="12379"/>
    <x v="144"/>
    <s v="Aleksa StankiÄ‡"/>
    <x v="5"/>
    <x v="37"/>
    <s v="ex-4glory"/>
    <s v="Valiance, ONYX, lvlUP, RESISTANCE"/>
    <n v="14877"/>
    <n v="13289"/>
    <x v="17"/>
    <s v="75.5"/>
    <s v="3.6"/>
    <n v="780"/>
    <n v="20732"/>
    <s v="0.72"/>
    <s v="0.11"/>
    <s v="0.64"/>
    <s v="0.1"/>
    <s v="0.11"/>
    <n v="9972"/>
    <s v="K - D diff."/>
    <n v="2282"/>
    <n v="1662"/>
    <s v="1.37"/>
    <s v="1.08"/>
    <s v="74.40%"/>
    <s v="16.10%"/>
    <n v="10760"/>
    <n v="6304"/>
    <n v="2657"/>
    <n v="804"/>
    <n v="188"/>
    <n v="19"/>
    <n v="5033"/>
    <n v="6700"/>
    <n v="162"/>
    <n v="2813"/>
    <n v="189"/>
    <n v="26"/>
    <s v="1.11"/>
  </r>
  <r>
    <n v="4679"/>
    <x v="145"/>
    <s v="Justin Savage"/>
    <x v="5"/>
    <x v="15"/>
    <s v="Complexity"/>
    <s v="Renegades, Complexity, 100 Thieves"/>
    <n v="21807"/>
    <n v="19460"/>
    <x v="113"/>
    <s v="77.7"/>
    <s v="5.4"/>
    <n v="1183"/>
    <n v="30912"/>
    <s v="0.71"/>
    <s v="0.13"/>
    <s v="0.63"/>
    <s v="0.09"/>
    <s v="0.11"/>
    <n v="14500"/>
    <s v="K - D diff."/>
    <n v="2560"/>
    <n v="2226"/>
    <s v="1.15"/>
    <s v="0.96"/>
    <s v="73.20%"/>
    <s v="11.70%"/>
    <n v="16412"/>
    <n v="9085"/>
    <n v="3860"/>
    <n v="1248"/>
    <n v="283"/>
    <n v="24"/>
    <n v="15721"/>
    <n v="764"/>
    <n v="1152"/>
    <n v="3795"/>
    <n v="386"/>
    <n v="33"/>
    <s v="1.07"/>
  </r>
  <r>
    <n v="10588"/>
    <x v="146"/>
    <s v="Jay Tregillgas"/>
    <x v="1"/>
    <x v="15"/>
    <s v="ORDER"/>
    <s v="ORDER, Renegades, 100 Thieves, Kings, Athletico, EXTREMUM"/>
    <n v="17667"/>
    <n v="15597"/>
    <x v="114"/>
    <s v="78.3"/>
    <s v="4.6"/>
    <n v="978"/>
    <n v="25217"/>
    <s v="0.7"/>
    <s v="0.15"/>
    <s v="0.62"/>
    <s v="0.1"/>
    <s v="0.11"/>
    <n v="11853"/>
    <s v="K - D diff."/>
    <n v="2201"/>
    <n v="1936"/>
    <s v="1.14"/>
    <s v="0.98"/>
    <s v="73.80%"/>
    <s v="11.90%"/>
    <n v="13364"/>
    <n v="7519"/>
    <n v="3105"/>
    <n v="998"/>
    <n v="211"/>
    <n v="20"/>
    <n v="12976"/>
    <n v="169"/>
    <n v="1289"/>
    <n v="2968"/>
    <n v="270"/>
    <n v="48"/>
    <s v="1.07"/>
  </r>
  <r>
    <n v="8526"/>
    <x v="147"/>
    <s v="Sergey Sklyarenko"/>
    <x v="1"/>
    <x v="1"/>
    <s v="spray'n'pray"/>
    <s v="spray'n'pray, pro100, ACG, eXplosive, k1ck"/>
    <n v="9299"/>
    <n v="8644"/>
    <x v="107"/>
    <s v="75.6"/>
    <s v="1.4"/>
    <n v="480"/>
    <n v="12461"/>
    <s v="0.75"/>
    <s v="0.1"/>
    <s v="0.69"/>
    <s v="0.09"/>
    <s v="0.08"/>
    <n v="6095"/>
    <s v="K - D diff."/>
    <n v="1897"/>
    <n v="1490"/>
    <s v="1.27"/>
    <s v="1.23"/>
    <s v="75.00%"/>
    <s v="23.10%"/>
    <n v="6366"/>
    <n v="3757"/>
    <n v="1616"/>
    <n v="592"/>
    <n v="116"/>
    <n v="14"/>
    <n v="2091"/>
    <n v="4861"/>
    <n v="377"/>
    <n v="1927"/>
    <n v="41"/>
    <n v="22"/>
    <s v="1.07"/>
  </r>
  <r>
    <n v="1225"/>
    <x v="148"/>
    <s v="Richard Papillon"/>
    <x v="14"/>
    <x v="0"/>
    <s v="Liquid"/>
    <s v="G2, Vitality, Envy"/>
    <n v="38675"/>
    <n v="34914"/>
    <x v="87"/>
    <s v="75.4"/>
    <n v="3"/>
    <n v="2018"/>
    <n v="52913"/>
    <s v="0.73"/>
    <s v="0.12"/>
    <s v="0.66"/>
    <s v="0.08"/>
    <s v="0.08"/>
    <n v="25759"/>
    <s v="K - D diff."/>
    <n v="6026"/>
    <n v="5468"/>
    <s v="1.1"/>
    <s v="1.06"/>
    <s v="74.40%"/>
    <s v="16.00%"/>
    <n v="27154"/>
    <n v="16098"/>
    <n v="7008"/>
    <n v="2166"/>
    <n v="437"/>
    <n v="50"/>
    <n v="24448"/>
    <n v="4160"/>
    <n v="2720"/>
    <n v="6910"/>
    <n v="304"/>
    <n v="174"/>
    <s v="1.07"/>
  </r>
  <r>
    <n v="11815"/>
    <x v="149"/>
    <s v="Guy Trachtman"/>
    <x v="4"/>
    <x v="31"/>
    <s v="Finest"/>
    <s v="Finest, Secret"/>
    <n v="13986"/>
    <n v="12553"/>
    <x v="115"/>
    <s v="73.3"/>
    <s v="2.3"/>
    <n v="724"/>
    <n v="19400"/>
    <s v="0.72"/>
    <s v="0.09"/>
    <s v="0.65"/>
    <s v="0.09"/>
    <s v="0.08"/>
    <n v="9354"/>
    <s v="K - D diff."/>
    <n v="2661"/>
    <n v="1967"/>
    <s v="1.35"/>
    <s v="1.18"/>
    <s v="74.50%"/>
    <s v="20.20%"/>
    <n v="10046"/>
    <n v="5890"/>
    <n v="2489"/>
    <n v="796"/>
    <n v="165"/>
    <n v="14"/>
    <n v="2631"/>
    <n v="8746"/>
    <n v="408"/>
    <n v="2127"/>
    <n v="89"/>
    <n v="35"/>
    <s v="1.11"/>
  </r>
  <r>
    <n v="12840"/>
    <x v="150"/>
    <s v="HÃ¥kon FjÃ¦rli"/>
    <x v="4"/>
    <x v="40"/>
    <s v="Complexity"/>
    <s v="Dignitas, Nordavind"/>
    <n v="14681"/>
    <n v="13276"/>
    <x v="116"/>
    <n v="74"/>
    <s v="3.1"/>
    <n v="746"/>
    <n v="20275"/>
    <s v="0.72"/>
    <s v="0.09"/>
    <s v="0.65"/>
    <s v="0.1"/>
    <s v="0.11"/>
    <n v="9763"/>
    <s v="K - D diff."/>
    <n v="2557"/>
    <n v="1895"/>
    <s v="1.35"/>
    <s v="1.14"/>
    <s v="74.20%"/>
    <s v="18.60%"/>
    <n v="10512"/>
    <n v="6073"/>
    <n v="2688"/>
    <n v="810"/>
    <n v="158"/>
    <n v="34"/>
    <n v="3690"/>
    <n v="7933"/>
    <n v="365"/>
    <n v="2570"/>
    <n v="124"/>
    <n v="41"/>
    <s v="1.1"/>
  </r>
  <r>
    <n v="18053"/>
    <x v="151"/>
    <s v="Helvijs Saukants"/>
    <x v="0"/>
    <x v="39"/>
    <s v="FaZe"/>
    <s v="FaZe, Epsilon"/>
    <n v="13326"/>
    <n v="11624"/>
    <x v="68"/>
    <n v="73"/>
    <s v="3.6"/>
    <n v="714"/>
    <n v="19063"/>
    <s v="0.7"/>
    <s v="0.1"/>
    <s v="0.61"/>
    <s v="0.1"/>
    <s v="0.11"/>
    <n v="9046"/>
    <s v="K - D diff."/>
    <n v="1615"/>
    <n v="1126"/>
    <s v="1.43"/>
    <s v="0.99"/>
    <s v="75.20%"/>
    <s v="12.20%"/>
    <n v="10017"/>
    <n v="5798"/>
    <n v="2387"/>
    <n v="706"/>
    <n v="139"/>
    <n v="16"/>
    <n v="5531"/>
    <n v="4868"/>
    <n v="474"/>
    <n v="2310"/>
    <n v="125"/>
    <n v="51"/>
    <s v="1.1"/>
  </r>
  <r>
    <n v="9218"/>
    <x v="152"/>
    <s v="Alexandre Zizi"/>
    <x v="2"/>
    <x v="3"/>
    <m/>
    <s v="INTZ, Yeah"/>
    <n v="9681"/>
    <n v="8806"/>
    <x v="117"/>
    <s v="80.4"/>
    <s v="4.7"/>
    <n v="515"/>
    <n v="13210"/>
    <s v="0.73"/>
    <s v="0.14"/>
    <s v="0.67"/>
    <s v="0.1"/>
    <s v="0.1"/>
    <n v="6466"/>
    <s v="K - D diff."/>
    <n v="1325"/>
    <n v="1164"/>
    <s v="1.14"/>
    <s v="1.02"/>
    <s v="75.20%"/>
    <s v="14.40%"/>
    <n v="6744"/>
    <n v="4077"/>
    <n v="1716"/>
    <n v="535"/>
    <n v="123"/>
    <n v="15"/>
    <n v="6560"/>
    <n v="224"/>
    <n v="1177"/>
    <n v="1581"/>
    <n v="122"/>
    <n v="31"/>
    <s v="1.07"/>
  </r>
  <r>
    <n v="9353"/>
    <x v="153"/>
    <s v="Ahmet Karahoca"/>
    <x v="8"/>
    <x v="7"/>
    <s v="Eternal Fire"/>
    <s v="Space Soldiers, Sangal"/>
    <n v="20217"/>
    <n v="18219"/>
    <x v="74"/>
    <s v="76.2"/>
    <s v="2.4"/>
    <n v="1068"/>
    <n v="27990"/>
    <s v="0.72"/>
    <s v="0.12"/>
    <s v="0.65"/>
    <s v="0.1"/>
    <s v="0.1"/>
    <n v="13493"/>
    <s v="K - D diff."/>
    <n v="2552"/>
    <n v="2465"/>
    <s v="1.04"/>
    <s v="0.98"/>
    <s v="73.70%"/>
    <s v="12.70%"/>
    <n v="14497"/>
    <n v="8457"/>
    <n v="3634"/>
    <n v="1141"/>
    <n v="236"/>
    <n v="25"/>
    <n v="14906"/>
    <n v="752"/>
    <n v="919"/>
    <n v="3471"/>
    <n v="178"/>
    <n v="39"/>
    <s v="1.07"/>
  </r>
  <r>
    <n v="15370"/>
    <x v="154"/>
    <s v="Fritz Dietrich"/>
    <x v="6"/>
    <x v="32"/>
    <s v="Sprout"/>
    <s v="Sprout, ALTERNATE aTTaX"/>
    <n v="17820"/>
    <n v="15712"/>
    <x v="118"/>
    <s v="72.6"/>
    <s v="3.2"/>
    <n v="936"/>
    <n v="25351"/>
    <s v="0.7"/>
    <s v="0.1"/>
    <s v="0.62"/>
    <s v="0.09"/>
    <s v="0.09"/>
    <n v="12039"/>
    <s v="K - D diff."/>
    <n v="3330"/>
    <n v="2173"/>
    <s v="1.53"/>
    <s v="1.18"/>
    <s v="73.50%"/>
    <s v="19.00%"/>
    <n v="13312"/>
    <n v="7691"/>
    <n v="3157"/>
    <n v="978"/>
    <n v="184"/>
    <n v="29"/>
    <n v="2771"/>
    <n v="11847"/>
    <n v="415"/>
    <n v="2660"/>
    <n v="151"/>
    <n v="43"/>
    <s v="1.11"/>
  </r>
  <r>
    <n v="7996"/>
    <x v="155"/>
    <s v="Joey Steusel"/>
    <x v="8"/>
    <x v="41"/>
    <s v="Endpoint"/>
    <s v="Endpoint, Epsilon"/>
    <n v="27809"/>
    <n v="25011"/>
    <x v="119"/>
    <s v="73.7"/>
    <s v="2.6"/>
    <n v="1472"/>
    <n v="38605"/>
    <s v="0.72"/>
    <s v="0.1"/>
    <s v="0.65"/>
    <s v="0.1"/>
    <s v="0.11"/>
    <n v="18614"/>
    <s v="K - D diff."/>
    <n v="4950"/>
    <n v="3491"/>
    <s v="1.42"/>
    <s v="1.16"/>
    <s v="74.50%"/>
    <s v="18.80%"/>
    <n v="19991"/>
    <n v="11708"/>
    <n v="5020"/>
    <n v="1523"/>
    <n v="324"/>
    <n v="39"/>
    <n v="6954"/>
    <n v="15051"/>
    <n v="839"/>
    <n v="4693"/>
    <n v="272"/>
    <n v="66"/>
    <s v="1.07"/>
  </r>
  <r>
    <n v="7910"/>
    <x v="156"/>
    <s v="Kristjan Allsaar"/>
    <x v="1"/>
    <x v="22"/>
    <s v="Strife"/>
    <s v="SMASH, ArchAngels"/>
    <n v="14831"/>
    <n v="13489"/>
    <x v="120"/>
    <n v="77"/>
    <s v="3.6"/>
    <n v="759"/>
    <n v="20147"/>
    <s v="0.74"/>
    <s v="0.13"/>
    <s v="0.67"/>
    <s v="0.1"/>
    <s v="0.13"/>
    <n v="9885"/>
    <s v="K - D diff."/>
    <n v="1858"/>
    <n v="1618"/>
    <s v="1.15"/>
    <s v="0.99"/>
    <s v="72.80%"/>
    <s v="13.20%"/>
    <n v="10262"/>
    <n v="6165"/>
    <n v="2689"/>
    <n v="859"/>
    <n v="152"/>
    <n v="20"/>
    <n v="9002"/>
    <n v="2361"/>
    <n v="579"/>
    <n v="2725"/>
    <n v="177"/>
    <n v="22"/>
    <s v="1.07"/>
  </r>
  <r>
    <n v="10587"/>
    <x v="157"/>
    <s v="Jesse Barker"/>
    <x v="2"/>
    <x v="15"/>
    <m/>
    <s v="Athletico, Tainted Minds, Chiefs"/>
    <n v="8937"/>
    <n v="8017"/>
    <x v="121"/>
    <s v="76.2"/>
    <s v="4.2"/>
    <n v="479"/>
    <n v="12350"/>
    <s v="0.72"/>
    <s v="0.12"/>
    <s v="0.65"/>
    <s v="0.09"/>
    <s v="0.1"/>
    <n v="5989"/>
    <s v="K - D diff."/>
    <n v="1635"/>
    <n v="1217"/>
    <s v="1.34"/>
    <s v="1.16"/>
    <s v="75.70%"/>
    <s v="19.20%"/>
    <n v="6361"/>
    <n v="3745"/>
    <n v="1656"/>
    <n v="480"/>
    <n v="100"/>
    <n v="8"/>
    <n v="2367"/>
    <n v="4240"/>
    <n v="351"/>
    <n v="1823"/>
    <n v="132"/>
    <n v="62"/>
    <s v="1.07"/>
  </r>
  <r>
    <n v="12030"/>
    <x v="158"/>
    <s v="Rokas Milasauskas"/>
    <x v="0"/>
    <x v="36"/>
    <m/>
    <s v="Imperial, Valiance, CR4ZY, c0ntact"/>
    <n v="16973"/>
    <n v="15656"/>
    <x v="122"/>
    <s v="77.3"/>
    <s v="3.2"/>
    <n v="870"/>
    <n v="22795"/>
    <s v="0.74"/>
    <s v="0.11"/>
    <s v="0.69"/>
    <s v="0.1"/>
    <s v="0.1"/>
    <n v="11218"/>
    <s v="K - D diff."/>
    <n v="2752"/>
    <n v="2604"/>
    <s v="1.06"/>
    <s v="1.08"/>
    <s v="73.30%"/>
    <s v="16.90%"/>
    <n v="11577"/>
    <n v="6917"/>
    <n v="3103"/>
    <n v="965"/>
    <n v="210"/>
    <n v="23"/>
    <n v="10761"/>
    <n v="2015"/>
    <n v="719"/>
    <n v="3347"/>
    <n v="121"/>
    <n v="36"/>
    <s v="1.11"/>
  </r>
  <r>
    <n v="7403"/>
    <x v="159"/>
    <s v="Georgi Yaskin"/>
    <x v="14"/>
    <x v="2"/>
    <m/>
    <s v="FlipSid3, pro100, Winstrike"/>
    <n v="25226"/>
    <n v="22750"/>
    <x v="123"/>
    <n v="75"/>
    <s v="2.6"/>
    <n v="1328"/>
    <n v="34716"/>
    <s v="0.73"/>
    <s v="0.12"/>
    <s v="0.66"/>
    <s v="0.08"/>
    <s v="0.08"/>
    <n v="16893"/>
    <s v="K - D diff."/>
    <n v="4415"/>
    <n v="3319"/>
    <s v="1.33"/>
    <s v="1.14"/>
    <s v="73.30%"/>
    <s v="18.80%"/>
    <n v="17823"/>
    <n v="10626"/>
    <n v="4553"/>
    <n v="1414"/>
    <n v="269"/>
    <n v="31"/>
    <n v="5963"/>
    <n v="13131"/>
    <n v="1045"/>
    <n v="4780"/>
    <n v="244"/>
    <n v="82"/>
    <s v="1.07"/>
  </r>
  <r>
    <n v="11355"/>
    <x v="160"/>
    <s v="ZhiHai Fu"/>
    <x v="3"/>
    <x v="10"/>
    <s v="WDNMD"/>
    <s v="5POWER, UYA, BOOT"/>
    <n v="7690"/>
    <n v="6988"/>
    <x v="22"/>
    <s v="75.8"/>
    <s v="1.6"/>
    <n v="402"/>
    <n v="10409"/>
    <s v="0.74"/>
    <s v="0.1"/>
    <s v="0.67"/>
    <s v="0.08"/>
    <s v="0.09"/>
    <n v="5156"/>
    <s v="K - D diff."/>
    <n v="1298"/>
    <n v="990"/>
    <s v="1.31"/>
    <s v="1.13"/>
    <s v="72.10%"/>
    <s v="17.70%"/>
    <n v="5253"/>
    <n v="3246"/>
    <n v="1386"/>
    <n v="428"/>
    <n v="92"/>
    <n v="4"/>
    <n v="2496"/>
    <n v="2960"/>
    <n v="537"/>
    <n v="1562"/>
    <n v="61"/>
    <n v="89"/>
    <s v="1.1"/>
  </r>
  <r>
    <n v="11163"/>
    <x v="161"/>
    <s v="Alencar Rossato"/>
    <x v="2"/>
    <x v="3"/>
    <s v="TeamOne"/>
    <s v="TeamOne, MIBR"/>
    <n v="15766"/>
    <n v="14277"/>
    <x v="99"/>
    <s v="79.4"/>
    <s v="4.9"/>
    <n v="830"/>
    <n v="21739"/>
    <s v="0.73"/>
    <s v="0.15"/>
    <s v="0.66"/>
    <s v="0.12"/>
    <s v="0.13"/>
    <n v="10542"/>
    <s v="K - D diff."/>
    <n v="2105"/>
    <n v="1867"/>
    <s v="1.13"/>
    <s v="1.01"/>
    <s v="73.30%"/>
    <s v="13.60%"/>
    <n v="11197"/>
    <n v="6627"/>
    <n v="2822"/>
    <n v="896"/>
    <n v="178"/>
    <n v="19"/>
    <n v="11738"/>
    <n v="105"/>
    <n v="865"/>
    <n v="2797"/>
    <n v="246"/>
    <n v="52"/>
    <s v="1.14"/>
  </r>
  <r>
    <n v="8605"/>
    <x v="162"/>
    <s v="HaoWen Xu"/>
    <x v="2"/>
    <x v="10"/>
    <m/>
    <s v="TYLOO"/>
    <n v="23702"/>
    <n v="21561"/>
    <x v="124"/>
    <s v="79.9"/>
    <s v="3.5"/>
    <n v="1253"/>
    <n v="32437"/>
    <s v="0.73"/>
    <s v="0.13"/>
    <s v="0.66"/>
    <s v="0.1"/>
    <s v="0.09"/>
    <n v="15837"/>
    <s v="K - D diff."/>
    <n v="3842"/>
    <n v="3575"/>
    <s v="1.07"/>
    <s v="1.08"/>
    <s v="76.20%"/>
    <s v="16.20%"/>
    <n v="16600"/>
    <n v="9947"/>
    <n v="4257"/>
    <n v="1324"/>
    <n v="278"/>
    <n v="31"/>
    <n v="14963"/>
    <n v="2229"/>
    <n v="2071"/>
    <n v="4110"/>
    <n v="199"/>
    <n v="184"/>
    <s v="1.07"/>
  </r>
  <r>
    <n v="8349"/>
    <x v="163"/>
    <s v="Mike Grzesiek"/>
    <x v="3"/>
    <x v="27"/>
    <m/>
    <s v="Cloud9"/>
    <n v="12588"/>
    <n v="11277"/>
    <x v="113"/>
    <s v="76.1"/>
    <s v="3.9"/>
    <n v="676"/>
    <n v="17460"/>
    <s v="0.72"/>
    <s v="0.14"/>
    <s v="0.65"/>
    <s v="0.09"/>
    <s v="0.11"/>
    <n v="8458"/>
    <s v="K - D diff."/>
    <n v="1734"/>
    <n v="1522"/>
    <s v="1.14"/>
    <s v="1.02"/>
    <s v="76.10%"/>
    <s v="14.00%"/>
    <n v="9002"/>
    <n v="5336"/>
    <n v="2301"/>
    <n v="663"/>
    <n v="149"/>
    <n v="9"/>
    <n v="9072"/>
    <n v="319"/>
    <n v="771"/>
    <n v="2242"/>
    <n v="182"/>
    <n v="21"/>
    <s v="1.07"/>
  </r>
  <r>
    <n v="7154"/>
    <x v="164"/>
    <s v="Jacob Winneche"/>
    <x v="5"/>
    <x v="9"/>
    <m/>
    <s v="Dignitas, SK, Liquid, CPH Wolves"/>
    <n v="18116"/>
    <n v="16100"/>
    <x v="78"/>
    <s v="78.3"/>
    <s v="3.9"/>
    <n v="976"/>
    <n v="25052"/>
    <s v="0.72"/>
    <s v="0.14"/>
    <s v="0.64"/>
    <s v="0.1"/>
    <s v="0.11"/>
    <n v="12226"/>
    <s v="K - D diff."/>
    <n v="2152"/>
    <n v="1778"/>
    <s v="1.21"/>
    <s v="0.98"/>
    <s v="76.00%"/>
    <s v="12.40%"/>
    <n v="12826"/>
    <n v="7764"/>
    <n v="3307"/>
    <n v="966"/>
    <n v="175"/>
    <n v="14"/>
    <n v="12059"/>
    <n v="2013"/>
    <n v="422"/>
    <n v="3279"/>
    <n v="326"/>
    <n v="35"/>
    <s v="1.07"/>
  </r>
  <r>
    <n v="8568"/>
    <x v="165"/>
    <s v="Ricardo Prass"/>
    <x v="8"/>
    <x v="3"/>
    <s v="Imperial"/>
    <s v="Immortals, Luminosity, SK, MIBR"/>
    <n v="24204"/>
    <n v="21578"/>
    <x v="125"/>
    <s v="81.8"/>
    <s v="8.8"/>
    <n v="1304"/>
    <n v="33995"/>
    <s v="0.71"/>
    <s v="0.17"/>
    <s v="0.63"/>
    <s v="0.08"/>
    <s v="0.09"/>
    <n v="16321"/>
    <s v="K - D diff."/>
    <n v="2988"/>
    <n v="2624"/>
    <s v="1.14"/>
    <s v="0.98"/>
    <s v="77.50%"/>
    <s v="12.70%"/>
    <n v="17674"/>
    <n v="10362"/>
    <n v="4351"/>
    <n v="1317"/>
    <n v="268"/>
    <n v="23"/>
    <n v="18029"/>
    <n v="174"/>
    <n v="1286"/>
    <n v="3973"/>
    <n v="741"/>
    <n v="42"/>
    <s v="1.07"/>
  </r>
  <r>
    <n v="8528"/>
    <x v="166"/>
    <s v="Abay Khasenov"/>
    <x v="3"/>
    <x v="42"/>
    <s v="Cloud9"/>
    <s v="Gambit, Winstrike"/>
    <n v="22601"/>
    <n v="20378"/>
    <x v="78"/>
    <n v="80"/>
    <s v="5.6"/>
    <n v="1184"/>
    <n v="31223"/>
    <s v="0.72"/>
    <s v="0.14"/>
    <s v="0.65"/>
    <s v="0.08"/>
    <s v="0.08"/>
    <n v="15178"/>
    <s v="K - D diff."/>
    <n v="3264"/>
    <n v="3115"/>
    <s v="1.05"/>
    <s v="1.02"/>
    <s v="72.80%"/>
    <s v="14.30%"/>
    <n v="16045"/>
    <n v="9574"/>
    <n v="4065"/>
    <n v="1279"/>
    <n v="240"/>
    <n v="20"/>
    <n v="16147"/>
    <n v="682"/>
    <n v="1674"/>
    <n v="3702"/>
    <n v="336"/>
    <n v="102"/>
    <s v="1.07"/>
  </r>
  <r>
    <n v="13666"/>
    <x v="167"/>
    <s v="Ludvig Brolin"/>
    <x v="7"/>
    <x v="29"/>
    <s v="NIP"/>
    <s v="fnatic, GODSENT"/>
    <n v="19311"/>
    <n v="17799"/>
    <x v="126"/>
    <n v="79"/>
    <s v="4.8"/>
    <n v="1000"/>
    <n v="26548"/>
    <s v="0.73"/>
    <s v="0.13"/>
    <s v="0.67"/>
    <s v="0.09"/>
    <s v="0.1"/>
    <n v="12730"/>
    <s v="K - D diff."/>
    <n v="3236"/>
    <n v="3143"/>
    <s v="1.03"/>
    <s v="1.08"/>
    <s v="72.90%"/>
    <s v="17.30%"/>
    <n v="13818"/>
    <n v="7876"/>
    <n v="3428"/>
    <n v="1150"/>
    <n v="251"/>
    <n v="25"/>
    <n v="14471"/>
    <n v="262"/>
    <n v="1234"/>
    <n v="3065"/>
    <n v="271"/>
    <n v="56"/>
    <s v="1.12"/>
  </r>
  <r>
    <n v="7026"/>
    <x v="168"/>
    <s v="Hui Wu"/>
    <x v="2"/>
    <x v="10"/>
    <m/>
    <s v="TYLOO, OneThree"/>
    <n v="17368"/>
    <n v="15847"/>
    <x v="127"/>
    <s v="81.5"/>
    <s v="3.1"/>
    <n v="913"/>
    <n v="23620"/>
    <s v="0.74"/>
    <s v="0.16"/>
    <s v="0.67"/>
    <s v="0.11"/>
    <s v="0.1"/>
    <n v="11622"/>
    <s v="K - D diff."/>
    <n v="2398"/>
    <n v="2263"/>
    <s v="1.06"/>
    <s v="1.01"/>
    <s v="75.40%"/>
    <s v="13.90%"/>
    <n v="11998"/>
    <n v="7318"/>
    <n v="3083"/>
    <n v="1027"/>
    <n v="171"/>
    <n v="23"/>
    <n v="12857"/>
    <n v="633"/>
    <n v="930"/>
    <n v="2814"/>
    <n v="141"/>
    <n v="28"/>
    <s v="1.07"/>
  </r>
  <r>
    <n v="14419"/>
    <x v="169"/>
    <s v="Fredrik JÃ¸rgensen"/>
    <x v="3"/>
    <x v="9"/>
    <s v="fnatic"/>
    <s v="Copenhagen Flames, MAD Lions, Tricked"/>
    <n v="17651"/>
    <n v="16225"/>
    <x v="128"/>
    <s v="83.5"/>
    <s v="4.3"/>
    <n v="896"/>
    <n v="23667"/>
    <s v="0.75"/>
    <s v="0.15"/>
    <s v="0.69"/>
    <s v="0.11"/>
    <s v="0.11"/>
    <n v="11793"/>
    <s v="K - D diff."/>
    <n v="3107"/>
    <n v="2708"/>
    <s v="1.15"/>
    <s v="1.13"/>
    <s v="73.10%"/>
    <s v="18.40%"/>
    <n v="11874"/>
    <n v="7377"/>
    <n v="3211"/>
    <n v="987"/>
    <n v="199"/>
    <n v="19"/>
    <n v="13786"/>
    <n v="52"/>
    <n v="855"/>
    <n v="2759"/>
    <n v="207"/>
    <n v="48"/>
    <s v="1.15"/>
  </r>
  <r>
    <n v="16080"/>
    <x v="170"/>
    <s v="PaweÅ‚ Dycha"/>
    <x v="1"/>
    <x v="17"/>
    <s v="ENCE"/>
    <s v="ENCE, Sprout, Aristocracy"/>
    <n v="15852"/>
    <n v="14609"/>
    <x v="129"/>
    <s v="81.2"/>
    <s v="4.7"/>
    <n v="813"/>
    <n v="21781"/>
    <s v="0.73"/>
    <s v="0.14"/>
    <s v="0.67"/>
    <s v="0.09"/>
    <s v="0.09"/>
    <n v="10475"/>
    <s v="K - D diff."/>
    <n v="2383"/>
    <n v="2329"/>
    <s v="1.02"/>
    <s v="1.04"/>
    <s v="72.60%"/>
    <s v="15.10%"/>
    <n v="11306"/>
    <n v="6514"/>
    <n v="2789"/>
    <n v="954"/>
    <n v="192"/>
    <n v="26"/>
    <n v="11434"/>
    <n v="539"/>
    <n v="861"/>
    <n v="2778"/>
    <n v="225"/>
    <n v="39"/>
    <s v="1.12"/>
  </r>
  <r>
    <n v="10504"/>
    <x v="171"/>
    <s v="Nicolas Miozzi"/>
    <x v="8"/>
    <x v="38"/>
    <s v="Arvum"/>
    <s v="TeamOne, Isurus, DETONA"/>
    <n v="9126"/>
    <n v="8286"/>
    <x v="78"/>
    <s v="79.7"/>
    <s v="4.5"/>
    <n v="489"/>
    <n v="12550"/>
    <s v="0.73"/>
    <s v="0.14"/>
    <s v="0.66"/>
    <s v="0.1"/>
    <s v="0.11"/>
    <n v="6144"/>
    <s v="K - D diff."/>
    <n v="1188"/>
    <n v="1099"/>
    <s v="1.08"/>
    <s v="0.99"/>
    <s v="72.80%"/>
    <s v="13.10%"/>
    <n v="6406"/>
    <n v="3936"/>
    <n v="1562"/>
    <n v="529"/>
    <n v="106"/>
    <n v="11"/>
    <n v="6418"/>
    <n v="505"/>
    <n v="397"/>
    <n v="1680"/>
    <n v="139"/>
    <n v="19"/>
    <s v="1.06"/>
  </r>
  <r>
    <n v="2023"/>
    <x v="172"/>
    <s v="Gabriel Toledo"/>
    <x v="9"/>
    <x v="3"/>
    <s v="Imperial"/>
    <s v="SK, MIBR, Luminosity"/>
    <n v="28701"/>
    <n v="25025"/>
    <x v="115"/>
    <s v="71.7"/>
    <s v="3.5"/>
    <n v="1583"/>
    <n v="41454"/>
    <s v="0.69"/>
    <s v="0.11"/>
    <s v="0.6"/>
    <s v="0.08"/>
    <s v="0.08"/>
    <n v="19590"/>
    <s v="K - D diff."/>
    <n v="4884"/>
    <n v="3394"/>
    <s v="1.44"/>
    <s v="1.12"/>
    <s v="73.80%"/>
    <s v="16.20%"/>
    <n v="21864"/>
    <n v="12623"/>
    <n v="5154"/>
    <n v="1518"/>
    <n v="263"/>
    <n v="32"/>
    <n v="6574"/>
    <n v="15689"/>
    <n v="1414"/>
    <n v="4540"/>
    <n v="357"/>
    <n v="194"/>
    <s v="1.06"/>
  </r>
  <r>
    <n v="9574"/>
    <x v="173"/>
    <s v="MichaÅ‚ Rudzki"/>
    <x v="1"/>
    <x v="17"/>
    <m/>
    <s v="AGO, Virtus.pro, Sprout"/>
    <n v="30207"/>
    <n v="27738"/>
    <x v="100"/>
    <s v="72.6"/>
    <s v="1.6"/>
    <n v="1557"/>
    <n v="41766"/>
    <s v="0.72"/>
    <s v="0.09"/>
    <s v="0.66"/>
    <s v="0.08"/>
    <s v="0.09"/>
    <n v="19967"/>
    <s v="K - D diff."/>
    <n v="5450"/>
    <n v="4320"/>
    <s v="1.26"/>
    <s v="1.15"/>
    <s v="74.90%"/>
    <s v="19.10%"/>
    <n v="21799"/>
    <n v="12351"/>
    <n v="5464"/>
    <n v="1727"/>
    <n v="378"/>
    <n v="47"/>
    <n v="6210"/>
    <n v="17827"/>
    <n v="1226"/>
    <n v="4710"/>
    <n v="192"/>
    <n v="98"/>
    <s v="1.06"/>
  </r>
  <r>
    <n v="11739"/>
    <x v="174"/>
    <s v="Bruno Martinelli"/>
    <x v="1"/>
    <x v="3"/>
    <s v="Los Grandes"/>
    <s v="Luminosity, Imperial, MIBR, INTZ, BOOM"/>
    <n v="14978"/>
    <n v="13532"/>
    <x v="130"/>
    <s v="77.1"/>
    <s v="3.2"/>
    <n v="805"/>
    <n v="20891"/>
    <s v="0.72"/>
    <s v="0.13"/>
    <s v="0.65"/>
    <s v="0.1"/>
    <s v="0.11"/>
    <n v="10049"/>
    <s v="K - D diff."/>
    <n v="1774"/>
    <n v="1563"/>
    <s v="1.13"/>
    <s v="0.97"/>
    <s v="75.10%"/>
    <s v="12.10%"/>
    <n v="10842"/>
    <n v="6352"/>
    <n v="2682"/>
    <n v="815"/>
    <n v="183"/>
    <n v="17"/>
    <n v="11209"/>
    <n v="101"/>
    <n v="909"/>
    <n v="2598"/>
    <n v="166"/>
    <n v="32"/>
    <s v="1.1"/>
  </r>
  <r>
    <n v="10566"/>
    <x v="175"/>
    <s v="Marcelo Cespedes"/>
    <x v="1"/>
    <x v="3"/>
    <s v="MIBR"/>
    <s v="MIBR, INTZ, Luminosity"/>
    <n v="16972"/>
    <n v="15532"/>
    <x v="131"/>
    <n v="78"/>
    <s v="3.6"/>
    <n v="915"/>
    <n v="23714"/>
    <s v="0.72"/>
    <s v="0.13"/>
    <s v="0.65"/>
    <s v="0.1"/>
    <s v="0.1"/>
    <n v="11250"/>
    <s v="K - D diff."/>
    <n v="2759"/>
    <n v="2609"/>
    <s v="1.06"/>
    <s v="1.07"/>
    <s v="74.00%"/>
    <s v="16.30%"/>
    <n v="12464"/>
    <n v="7032"/>
    <n v="2983"/>
    <n v="997"/>
    <n v="207"/>
    <n v="31"/>
    <n v="12509"/>
    <n v="536"/>
    <n v="751"/>
    <n v="2970"/>
    <n v="196"/>
    <n v="61"/>
    <s v="1.06"/>
  </r>
  <r>
    <n v="16817"/>
    <x v="176"/>
    <s v="Wesley Lopes"/>
    <x v="0"/>
    <x v="3"/>
    <s v="paiN"/>
    <s v="paiN, DETONA"/>
    <n v="12915"/>
    <n v="11407"/>
    <x v="30"/>
    <s v="75.2"/>
    <s v="4.6"/>
    <n v="702"/>
    <n v="18441"/>
    <s v="0.7"/>
    <s v="0.12"/>
    <s v="0.62"/>
    <s v="0.1"/>
    <s v="0.1"/>
    <n v="8787"/>
    <s v="K - D diff."/>
    <n v="1676"/>
    <n v="1495"/>
    <s v="1.12"/>
    <s v="0.99"/>
    <s v="75.80%"/>
    <s v="12.60%"/>
    <n v="9654"/>
    <n v="5630"/>
    <n v="2368"/>
    <n v="630"/>
    <n v="136"/>
    <n v="23"/>
    <n v="8438"/>
    <n v="1139"/>
    <n v="1047"/>
    <n v="2043"/>
    <n v="180"/>
    <n v="115"/>
    <s v="1.11"/>
  </r>
  <r>
    <n v="20101"/>
    <x v="177"/>
    <s v="Petr Bolyshev"/>
    <x v="16"/>
    <x v="2"/>
    <s v="Outsiders"/>
    <s v="K23, SG.pro"/>
    <n v="10046"/>
    <n v="9168"/>
    <x v="132"/>
    <s v="77.9"/>
    <s v="3.3"/>
    <n v="518"/>
    <n v="13818"/>
    <s v="0.73"/>
    <s v="0.11"/>
    <s v="0.66"/>
    <s v="0.09"/>
    <s v="0.11"/>
    <n v="6697"/>
    <s v="K - D diff."/>
    <n v="1628"/>
    <n v="1473"/>
    <s v="1.11"/>
    <s v="1.08"/>
    <s v="72.80%"/>
    <s v="16.80%"/>
    <n v="7121"/>
    <n v="4168"/>
    <n v="1842"/>
    <n v="566"/>
    <n v="109"/>
    <n v="12"/>
    <n v="7741"/>
    <n v="233"/>
    <n v="302"/>
    <n v="1670"/>
    <n v="104"/>
    <n v="33"/>
    <s v="1.11"/>
  </r>
  <r>
    <n v="8767"/>
    <x v="178"/>
    <s v="Chris Hanley"/>
    <x v="11"/>
    <x v="6"/>
    <m/>
    <s v="Tainted Minds, Chiefs, AVANT, Winterfox"/>
    <n v="15793"/>
    <n v="14413"/>
    <x v="103"/>
    <s v="79.7"/>
    <s v="5.2"/>
    <n v="852"/>
    <n v="21778"/>
    <s v="0.73"/>
    <s v="0.15"/>
    <s v="0.66"/>
    <s v="0.1"/>
    <s v="0.1"/>
    <n v="10534"/>
    <s v="K - D diff."/>
    <n v="2149"/>
    <n v="1929"/>
    <s v="1.11"/>
    <s v="1.01"/>
    <s v="75.70%"/>
    <s v="13.90%"/>
    <n v="11244"/>
    <n v="6585"/>
    <n v="2857"/>
    <n v="890"/>
    <n v="187"/>
    <n v="15"/>
    <n v="11852"/>
    <n v="85"/>
    <n v="1040"/>
    <n v="2564"/>
    <n v="255"/>
    <n v="8"/>
    <s v="1.06"/>
  </r>
  <r>
    <n v="9317"/>
    <x v="179"/>
    <s v="Allan Jensen"/>
    <x v="2"/>
    <x v="9"/>
    <m/>
    <s v="NRG, Singularity, Tricked"/>
    <n v="7530"/>
    <n v="6767"/>
    <x v="106"/>
    <s v="77.2"/>
    <s v="3.8"/>
    <n v="403"/>
    <n v="10503"/>
    <s v="0.72"/>
    <s v="0.12"/>
    <s v="0.64"/>
    <s v="0.09"/>
    <s v="0.12"/>
    <n v="5099"/>
    <s v="K - D diff."/>
    <n v="1069"/>
    <n v="909"/>
    <s v="1.18"/>
    <s v="1.03"/>
    <s v="73.90%"/>
    <s v="14.40%"/>
    <n v="5404"/>
    <n v="3259"/>
    <n v="1355"/>
    <n v="391"/>
    <n v="82"/>
    <n v="12"/>
    <n v="5433"/>
    <n v="404"/>
    <n v="238"/>
    <n v="1358"/>
    <n v="98"/>
    <n v="10"/>
    <s v="1.06"/>
  </r>
  <r>
    <n v="10671"/>
    <x v="180"/>
    <s v="Ethan Arnold"/>
    <x v="4"/>
    <x v="24"/>
    <m/>
    <s v="NRG, CLG, Evil Geniuses"/>
    <n v="18853"/>
    <n v="17365"/>
    <x v="16"/>
    <s v="81.4"/>
    <s v="4.3"/>
    <n v="986"/>
    <n v="25998"/>
    <s v="0.73"/>
    <s v="0.15"/>
    <s v="0.67"/>
    <s v="0.11"/>
    <s v="0.11"/>
    <n v="12529"/>
    <s v="K - D diff."/>
    <n v="3084"/>
    <n v="2859"/>
    <s v="1.08"/>
    <s v="1.08"/>
    <s v="72.60%"/>
    <s v="16.40%"/>
    <n v="13469"/>
    <n v="7867"/>
    <n v="3299"/>
    <n v="1094"/>
    <n v="239"/>
    <n v="30"/>
    <n v="14005"/>
    <n v="345"/>
    <n v="1115"/>
    <n v="3216"/>
    <n v="183"/>
    <n v="38"/>
    <s v="1.14"/>
  </r>
  <r>
    <n v="16693"/>
    <x v="181"/>
    <s v="Shahar Shushan"/>
    <x v="16"/>
    <x v="31"/>
    <s v="OG"/>
    <s v="OG, Endpoint"/>
    <n v="7461"/>
    <n v="6945"/>
    <x v="133"/>
    <s v="79.6"/>
    <n v="6"/>
    <n v="387"/>
    <n v="10352"/>
    <s v="0.72"/>
    <s v="0.14"/>
    <s v="0.67"/>
    <s v="0.11"/>
    <s v="0.11"/>
    <n v="4913"/>
    <s v="K - D diff."/>
    <n v="1216"/>
    <n v="1285"/>
    <s v="0.95"/>
    <s v="1.05"/>
    <s v="73.20%"/>
    <s v="16.80%"/>
    <n v="5439"/>
    <n v="3070"/>
    <n v="1282"/>
    <n v="433"/>
    <n v="112"/>
    <n v="16"/>
    <n v="5493"/>
    <n v="83"/>
    <n v="466"/>
    <n v="1294"/>
    <n v="126"/>
    <n v="20"/>
    <s v="1.12"/>
  </r>
  <r>
    <n v="18987"/>
    <x v="182"/>
    <s v="Valeriy Vakhovskiy"/>
    <x v="16"/>
    <x v="1"/>
    <s v="Natus Vincere"/>
    <s v="Natus Vincere, NAVI Junior"/>
    <n v="8581"/>
    <n v="7696"/>
    <x v="134"/>
    <s v="76.3"/>
    <s v="4.5"/>
    <n v="459"/>
    <n v="12180"/>
    <s v="0.7"/>
    <s v="0.11"/>
    <s v="0.63"/>
    <s v="0.09"/>
    <s v="0.1"/>
    <n v="5775"/>
    <s v="K - D diff."/>
    <n v="1447"/>
    <n v="1257"/>
    <s v="1.15"/>
    <s v="1.09"/>
    <s v="75.30%"/>
    <s v="16.80%"/>
    <n v="6405"/>
    <n v="3653"/>
    <n v="1564"/>
    <n v="444"/>
    <n v="102"/>
    <n v="12"/>
    <n v="6519"/>
    <n v="202"/>
    <n v="334"/>
    <n v="1443"/>
    <n v="82"/>
    <n v="33"/>
    <s v="1.12"/>
  </r>
  <r>
    <n v="8601"/>
    <x v="183"/>
    <s v="WeiJie Zhong"/>
    <x v="3"/>
    <x v="10"/>
    <s v="YK"/>
    <s v="ViCi, VG.CyberZen"/>
    <n v="23611"/>
    <n v="22147"/>
    <x v="135"/>
    <s v="83.8"/>
    <s v="3.8"/>
    <n v="1228"/>
    <n v="31394"/>
    <s v="0.75"/>
    <s v="0.17"/>
    <s v="0.71"/>
    <s v="0.12"/>
    <s v="0.1"/>
    <n v="15584"/>
    <s v="K - D diff."/>
    <n v="4498"/>
    <n v="4323"/>
    <s v="1.04"/>
    <s v="1.15"/>
    <s v="74.80%"/>
    <s v="19.50%"/>
    <n v="15810"/>
    <n v="9602"/>
    <n v="4279"/>
    <n v="1389"/>
    <n v="287"/>
    <n v="27"/>
    <n v="18306"/>
    <n v="74"/>
    <n v="1123"/>
    <n v="3852"/>
    <n v="273"/>
    <n v="32"/>
    <s v="1.06"/>
  </r>
  <r>
    <n v="11343"/>
    <x v="184"/>
    <s v="Georgi Grigorov"/>
    <x v="0"/>
    <x v="25"/>
    <s v="SKADE"/>
    <s v="SKADE, Windigo"/>
    <n v="33417"/>
    <n v="31190"/>
    <x v="136"/>
    <s v="79.5"/>
    <s v="3.7"/>
    <n v="1695"/>
    <n v="45194"/>
    <s v="0.74"/>
    <s v="0.13"/>
    <s v="0.69"/>
    <s v="0.1"/>
    <s v="0.1"/>
    <n v="22125"/>
    <s v="K - D diff."/>
    <n v="5117"/>
    <n v="4703"/>
    <s v="1.09"/>
    <s v="1.06"/>
    <s v="74.10%"/>
    <s v="16.10%"/>
    <n v="23069"/>
    <n v="13777"/>
    <n v="5965"/>
    <n v="1873"/>
    <n v="459"/>
    <n v="51"/>
    <n v="22023"/>
    <n v="3034"/>
    <n v="1960"/>
    <n v="5613"/>
    <n v="332"/>
    <n v="531"/>
    <s v="1.11"/>
  </r>
  <r>
    <n v="7429"/>
    <x v="185"/>
    <s v="Vincent Schopenhauer"/>
    <x v="14"/>
    <x v="0"/>
    <m/>
    <s v="Envy, LDLC"/>
    <n v="28022"/>
    <n v="25277"/>
    <x v="0"/>
    <s v="77.5"/>
    <s v="2.7"/>
    <n v="1464"/>
    <n v="37933"/>
    <s v="0.74"/>
    <s v="0.12"/>
    <s v="0.67"/>
    <s v="0.06"/>
    <s v="0.07"/>
    <n v="19093"/>
    <s v="K - D diff."/>
    <n v="3392"/>
    <n v="2451"/>
    <s v="1.38"/>
    <s v="1.01"/>
    <s v="78.90%"/>
    <s v="13.40%"/>
    <n v="18840"/>
    <n v="12242"/>
    <n v="5129"/>
    <n v="1444"/>
    <n v="254"/>
    <n v="24"/>
    <n v="17098"/>
    <n v="2853"/>
    <n v="1662"/>
    <n v="5911"/>
    <n v="408"/>
    <n v="113"/>
    <s v="1.06"/>
  </r>
  <r>
    <n v="10330"/>
    <x v="186"/>
    <s v="Frederik Gyldstrand"/>
    <x v="8"/>
    <x v="9"/>
    <s v="MOUZ"/>
    <s v="Tricked, North Academy, MAD Lions, MOUZ"/>
    <n v="19475"/>
    <n v="17493"/>
    <x v="68"/>
    <s v="73.2"/>
    <s v="3.7"/>
    <n v="1057"/>
    <n v="27637"/>
    <s v="0.7"/>
    <s v="0.1"/>
    <s v="0.63"/>
    <s v="0.09"/>
    <s v="0.1"/>
    <n v="13069"/>
    <s v="K - D diff."/>
    <n v="3109"/>
    <n v="2527"/>
    <s v="1.23"/>
    <s v="1.08"/>
    <s v="75.30%"/>
    <s v="16.30%"/>
    <n v="14568"/>
    <n v="8203"/>
    <n v="3574"/>
    <n v="1063"/>
    <n v="210"/>
    <n v="19"/>
    <n v="6682"/>
    <n v="8611"/>
    <n v="683"/>
    <n v="3218"/>
    <n v="266"/>
    <n v="62"/>
    <s v="1.06"/>
  </r>
  <r>
    <n v="9676"/>
    <x v="187"/>
    <s v="Nikhil Victor"/>
    <x v="2"/>
    <x v="15"/>
    <s v="Aftershock"/>
    <s v="Ground Zero, Athletico"/>
    <n v="7903"/>
    <n v="7368"/>
    <x v="137"/>
    <s v="82.5"/>
    <s v="4.5"/>
    <n v="413"/>
    <n v="10628"/>
    <s v="0.74"/>
    <s v="0.15"/>
    <s v="0.69"/>
    <s v="0.09"/>
    <s v="0.1"/>
    <n v="5243"/>
    <s v="K - D diff."/>
    <n v="1090"/>
    <n v="984"/>
    <s v="1.11"/>
    <s v="1.03"/>
    <s v="72.30%"/>
    <s v="14.80%"/>
    <n v="5385"/>
    <n v="3242"/>
    <n v="1459"/>
    <n v="438"/>
    <n v="91"/>
    <n v="13"/>
    <n v="5822"/>
    <n v="234"/>
    <n v="410"/>
    <n v="1324"/>
    <n v="117"/>
    <n v="12"/>
    <s v="1.06"/>
  </r>
  <r>
    <n v="9083"/>
    <x v="188"/>
    <s v="Pavel Veklenko"/>
    <x v="14"/>
    <x v="1"/>
    <m/>
    <s v="Spirit"/>
    <n v="17902"/>
    <n v="16184"/>
    <x v="138"/>
    <s v="77.5"/>
    <s v="3.9"/>
    <n v="947"/>
    <n v="24917"/>
    <s v="0.72"/>
    <s v="0.13"/>
    <s v="0.65"/>
    <s v="0.09"/>
    <s v="0.11"/>
    <n v="12081"/>
    <s v="K - D diff."/>
    <n v="2286"/>
    <n v="2017"/>
    <s v="1.13"/>
    <s v="0.99"/>
    <s v="72.80%"/>
    <s v="13.00%"/>
    <n v="12836"/>
    <n v="7646"/>
    <n v="3265"/>
    <n v="978"/>
    <n v="169"/>
    <n v="23"/>
    <n v="13052"/>
    <n v="572"/>
    <n v="743"/>
    <n v="3296"/>
    <n v="234"/>
    <n v="48"/>
    <s v="1.06"/>
  </r>
  <r>
    <n v="17585"/>
    <x v="189"/>
    <s v="Bruno CÃ¢mara"/>
    <x v="7"/>
    <x v="3"/>
    <s v="TeamOne"/>
    <s v="TeamOne, GODSENT"/>
    <n v="10145"/>
    <n v="9196"/>
    <x v="138"/>
    <s v="74.7"/>
    <s v="3.6"/>
    <n v="546"/>
    <n v="14300"/>
    <s v="0.71"/>
    <s v="0.12"/>
    <s v="0.64"/>
    <s v="0.1"/>
    <s v="0.11"/>
    <n v="6800"/>
    <s v="K - D diff."/>
    <n v="1343"/>
    <n v="1248"/>
    <s v="1.08"/>
    <s v="0.99"/>
    <s v="71.80%"/>
    <s v="12.90%"/>
    <n v="7500"/>
    <n v="4283"/>
    <n v="1826"/>
    <n v="568"/>
    <n v="109"/>
    <n v="14"/>
    <n v="6953"/>
    <n v="646"/>
    <n v="539"/>
    <n v="1841"/>
    <n v="139"/>
    <n v="83"/>
    <s v="1.1"/>
  </r>
  <r>
    <n v="12708"/>
    <x v="190"/>
    <s v="Rigon Gashi"/>
    <x v="4"/>
    <x v="43"/>
    <s v="Bad News Eagles"/>
    <s v="Bad News Eagles, BLINK, c0ntact"/>
    <n v="7748"/>
    <n v="7499"/>
    <x v="139"/>
    <n v="82"/>
    <s v="3.3"/>
    <n v="382"/>
    <n v="10192"/>
    <s v="0.76"/>
    <s v="0.13"/>
    <s v="0.74"/>
    <s v="0.1"/>
    <s v="0.1"/>
    <n v="5017"/>
    <s v="K - D diff."/>
    <n v="1231"/>
    <n v="1237"/>
    <n v="1"/>
    <s v="1.07"/>
    <s v="73.40%"/>
    <s v="17.10%"/>
    <n v="5175"/>
    <n v="3057"/>
    <n v="1328"/>
    <n v="510"/>
    <n v="105"/>
    <n v="17"/>
    <n v="5414"/>
    <n v="548"/>
    <n v="180"/>
    <n v="1525"/>
    <n v="84"/>
    <n v="16"/>
    <s v="1.1"/>
  </r>
  <r>
    <n v="7440"/>
    <x v="191"/>
    <s v="Tyler Latham"/>
    <x v="11"/>
    <x v="24"/>
    <m/>
    <s v="Cloud9"/>
    <n v="18365"/>
    <n v="15907"/>
    <x v="140"/>
    <s v="67.5"/>
    <s v="2.7"/>
    <n v="1047"/>
    <n v="27129"/>
    <s v="0.68"/>
    <s v="0.11"/>
    <s v="0.59"/>
    <s v="0.09"/>
    <s v="0.09"/>
    <n v="12658"/>
    <s v="K - D diff."/>
    <n v="2832"/>
    <n v="1829"/>
    <s v="1.55"/>
    <s v="1.08"/>
    <s v="76.90%"/>
    <s v="14.80%"/>
    <n v="14471"/>
    <n v="8308"/>
    <n v="3226"/>
    <n v="931"/>
    <n v="172"/>
    <n v="21"/>
    <n v="3839"/>
    <n v="10111"/>
    <n v="563"/>
    <n v="3592"/>
    <n v="238"/>
    <n v="44"/>
    <s v="1.06"/>
  </r>
  <r>
    <n v="16872"/>
    <x v="192"/>
    <s v="Peiqi Song"/>
    <x v="0"/>
    <x v="10"/>
    <s v="Invictus"/>
    <s v="Invictus"/>
    <n v="8014"/>
    <n v="7478"/>
    <x v="141"/>
    <s v="79.2"/>
    <s v="3.7"/>
    <n v="408"/>
    <n v="10886"/>
    <s v="0.74"/>
    <s v="0.12"/>
    <s v="0.69"/>
    <s v="0.09"/>
    <s v="0.1"/>
    <n v="5285"/>
    <s v="K - D diff."/>
    <n v="946"/>
    <n v="931"/>
    <s v="1.02"/>
    <s v="0.96"/>
    <s v="72.70%"/>
    <s v="12.70%"/>
    <n v="5601"/>
    <n v="3233"/>
    <n v="1478"/>
    <n v="478"/>
    <n v="89"/>
    <n v="7"/>
    <n v="5742"/>
    <n v="173"/>
    <n v="540"/>
    <n v="1476"/>
    <n v="63"/>
    <n v="60"/>
    <s v="1.09"/>
  </r>
  <r>
    <n v="16314"/>
    <x v="193"/>
    <s v="Fillipe Martins"/>
    <x v="1"/>
    <x v="3"/>
    <m/>
    <s v="W7M, Sharks"/>
    <n v="11087"/>
    <n v="10300"/>
    <x v="129"/>
    <s v="79.9"/>
    <s v="5.2"/>
    <n v="581"/>
    <n v="15327"/>
    <s v="0.72"/>
    <s v="0.14"/>
    <s v="0.67"/>
    <s v="0.09"/>
    <s v="0.1"/>
    <n v="7366"/>
    <s v="K - D diff."/>
    <n v="1735"/>
    <n v="1631"/>
    <s v="1.06"/>
    <s v="1.06"/>
    <s v="74.70%"/>
    <s v="16.30%"/>
    <n v="7961"/>
    <n v="4630"/>
    <n v="1933"/>
    <n v="644"/>
    <n v="136"/>
    <n v="23"/>
    <n v="8327"/>
    <n v="113"/>
    <n v="724"/>
    <n v="1736"/>
    <n v="188"/>
    <n v="31"/>
    <s v="1.11"/>
  </r>
  <r>
    <n v="13138"/>
    <x v="194"/>
    <s v="Bryan Canda"/>
    <x v="8"/>
    <x v="0"/>
    <s v="Falcons"/>
    <s v="Heretics, LDLC, 3DMAX"/>
    <n v="22548"/>
    <n v="20403"/>
    <x v="142"/>
    <s v="74.7"/>
    <s v="4.6"/>
    <n v="1199"/>
    <n v="31846"/>
    <s v="0.71"/>
    <s v="0.11"/>
    <s v="0.64"/>
    <s v="0.09"/>
    <s v="0.08"/>
    <n v="15203"/>
    <s v="K - D diff."/>
    <n v="4195"/>
    <n v="3247"/>
    <s v="1.29"/>
    <s v="1.16"/>
    <s v="71.90%"/>
    <s v="18.70%"/>
    <n v="16643"/>
    <n v="9669"/>
    <n v="4031"/>
    <n v="1228"/>
    <n v="242"/>
    <n v="33"/>
    <n v="7140"/>
    <n v="10178"/>
    <n v="934"/>
    <n v="3969"/>
    <n v="317"/>
    <n v="101"/>
    <s v="1.1"/>
  </r>
  <r>
    <n v="9056"/>
    <x v="195"/>
    <s v="Kenneth Suen"/>
    <x v="5"/>
    <x v="24"/>
    <m/>
    <s v="CLG, Ghost, Gen.G, Enemy"/>
    <n v="18522"/>
    <n v="17181"/>
    <x v="143"/>
    <s v="76.1"/>
    <s v="3.6"/>
    <n v="977"/>
    <n v="25766"/>
    <s v="0.72"/>
    <s v="0.12"/>
    <s v="0.67"/>
    <s v="0.09"/>
    <s v="0.1"/>
    <n v="12250"/>
    <s v="K - D diff."/>
    <n v="2966"/>
    <n v="2851"/>
    <s v="1.04"/>
    <s v="1.06"/>
    <s v="72.80%"/>
    <s v="16.70%"/>
    <n v="13516"/>
    <n v="7590"/>
    <n v="3354"/>
    <n v="1029"/>
    <n v="250"/>
    <n v="27"/>
    <n v="7283"/>
    <n v="6180"/>
    <n v="1061"/>
    <n v="3739"/>
    <n v="223"/>
    <n v="78"/>
    <s v="1.06"/>
  </r>
  <r>
    <n v="16323"/>
    <x v="196"/>
    <s v="Matthew Hartrick"/>
    <x v="0"/>
    <x v="15"/>
    <s v="VERTEX"/>
    <s v="ORDER, Paradox"/>
    <n v="11884"/>
    <n v="10793"/>
    <x v="38"/>
    <s v="75.5"/>
    <s v="3.6"/>
    <n v="657"/>
    <n v="16993"/>
    <s v="0.7"/>
    <s v="0.13"/>
    <s v="0.64"/>
    <s v="0.1"/>
    <s v="0.11"/>
    <n v="7934"/>
    <s v="K - D diff."/>
    <n v="1423"/>
    <n v="1266"/>
    <s v="1.12"/>
    <s v="0.96"/>
    <s v="75.30%"/>
    <s v="11.60%"/>
    <n v="9059"/>
    <n v="4981"/>
    <n v="2126"/>
    <n v="672"/>
    <n v="140"/>
    <n v="15"/>
    <n v="8605"/>
    <n v="606"/>
    <n v="486"/>
    <n v="2079"/>
    <n v="124"/>
    <n v="37"/>
    <s v="1.1"/>
  </r>
  <r>
    <n v="9108"/>
    <x v="197"/>
    <s v="Tyler Reilly"/>
    <x v="8"/>
    <x v="15"/>
    <m/>
    <s v="Chiefs"/>
    <n v="12952"/>
    <n v="11725"/>
    <x v="98"/>
    <n v="76"/>
    <s v="4.1"/>
    <n v="718"/>
    <n v="18208"/>
    <s v="0.71"/>
    <s v="0.13"/>
    <s v="0.64"/>
    <s v="0.09"/>
    <s v="0.09"/>
    <n v="8719"/>
    <s v="K - D diff."/>
    <n v="1889"/>
    <n v="1716"/>
    <s v="1.1"/>
    <s v="1.03"/>
    <s v="78.10%"/>
    <s v="14.60%"/>
    <n v="9489"/>
    <n v="5483"/>
    <n v="2375"/>
    <n v="737"/>
    <n v="112"/>
    <n v="12"/>
    <n v="8633"/>
    <n v="1246"/>
    <n v="867"/>
    <n v="2023"/>
    <n v="171"/>
    <n v="30"/>
    <s v="1.06"/>
  </r>
  <r>
    <n v="9288"/>
    <x v="198"/>
    <s v="Tosapol Saekow"/>
    <x v="11"/>
    <x v="26"/>
    <m/>
    <s v="Signature, Beyond"/>
    <n v="8271"/>
    <n v="7614"/>
    <x v="144"/>
    <n v="77"/>
    <s v="2.9"/>
    <n v="452"/>
    <n v="11472"/>
    <s v="0.72"/>
    <s v="0.12"/>
    <s v="0.66"/>
    <s v="0.08"/>
    <s v="0.09"/>
    <n v="5547"/>
    <s v="K - D diff."/>
    <n v="1363"/>
    <n v="1102"/>
    <s v="1.24"/>
    <s v="1.1"/>
    <s v="79.10%"/>
    <s v="17.90%"/>
    <n v="5925"/>
    <n v="3512"/>
    <n v="1469"/>
    <n v="454"/>
    <n v="101"/>
    <n v="11"/>
    <n v="3205"/>
    <n v="3251"/>
    <n v="528"/>
    <n v="1231"/>
    <n v="54"/>
    <n v="23"/>
    <s v="1.06"/>
  </r>
  <r>
    <n v="885"/>
    <x v="199"/>
    <s v="Olof Kajbjer"/>
    <x v="14"/>
    <x v="29"/>
    <s v="FaZe"/>
    <s v="fnatic, FaZe"/>
    <n v="29037"/>
    <n v="26340"/>
    <x v="78"/>
    <s v="72.8"/>
    <s v="4.4"/>
    <n v="1559"/>
    <n v="40766"/>
    <s v="0.71"/>
    <s v="0.13"/>
    <s v="0.65"/>
    <s v="0.09"/>
    <s v="0.08"/>
    <n v="19497"/>
    <s v="K - D diff."/>
    <n v="4355"/>
    <n v="4110"/>
    <s v="1.06"/>
    <s v="1.03"/>
    <s v="76.60%"/>
    <s v="15.10%"/>
    <n v="21269"/>
    <n v="12275"/>
    <n v="5330"/>
    <n v="1559"/>
    <n v="302"/>
    <n v="31"/>
    <n v="17746"/>
    <n v="4005"/>
    <n v="1357"/>
    <n v="5331"/>
    <n v="413"/>
    <n v="214"/>
    <s v="1.06"/>
  </r>
  <r>
    <n v="5479"/>
    <x v="200"/>
    <s v="Miikka Kemppi"/>
    <x v="2"/>
    <x v="23"/>
    <s v="Tokyo Revengers"/>
    <s v="ENCE, MOUZ, PENTA"/>
    <n v="25493"/>
    <n v="23890"/>
    <x v="145"/>
    <s v="80.7"/>
    <s v="4.9"/>
    <n v="1313"/>
    <n v="34614"/>
    <s v="0.74"/>
    <s v="0.14"/>
    <s v="0.69"/>
    <s v="0.09"/>
    <s v="0.09"/>
    <n v="16897"/>
    <s v="K - D diff."/>
    <n v="3831"/>
    <n v="3737"/>
    <s v="1.03"/>
    <s v="1.04"/>
    <s v="74.80%"/>
    <s v="16.10%"/>
    <n v="17717"/>
    <n v="10501"/>
    <n v="4587"/>
    <n v="1459"/>
    <n v="314"/>
    <n v="36"/>
    <n v="18561"/>
    <n v="471"/>
    <n v="1792"/>
    <n v="4237"/>
    <n v="382"/>
    <n v="96"/>
    <s v="1.06"/>
  </r>
  <r>
    <n v="11617"/>
    <x v="201"/>
    <s v="Mario Samayoa"/>
    <x v="16"/>
    <x v="44"/>
    <s v="00NATION"/>
    <s v="TeamOne, Infinity"/>
    <n v="10305"/>
    <n v="9931"/>
    <x v="146"/>
    <s v="80.3"/>
    <s v="4.9"/>
    <n v="537"/>
    <n v="13737"/>
    <s v="0.75"/>
    <s v="0.12"/>
    <s v="0.72"/>
    <s v="0.11"/>
    <s v="0.11"/>
    <n v="6684"/>
    <s v="K - D diff."/>
    <n v="1671"/>
    <n v="1613"/>
    <s v="1.04"/>
    <s v="1.08"/>
    <s v="72.00%"/>
    <s v="17.70%"/>
    <n v="7053"/>
    <n v="4037"/>
    <n v="1842"/>
    <n v="657"/>
    <n v="127"/>
    <n v="21"/>
    <n v="7535"/>
    <n v="60"/>
    <n v="469"/>
    <n v="2111"/>
    <n v="139"/>
    <n v="16"/>
    <s v="1.1"/>
  </r>
  <r>
    <n v="9686"/>
    <x v="202"/>
    <s v="Sean Kaiwai"/>
    <x v="5"/>
    <x v="6"/>
    <s v="EXTREMUM"/>
    <s v="Grayhound, Renegades, 100 Thieves, Immunity, EXTREMUM"/>
    <n v="16191"/>
    <n v="14502"/>
    <x v="147"/>
    <s v="73.2"/>
    <s v="3.3"/>
    <n v="897"/>
    <n v="23347"/>
    <s v="0.69"/>
    <s v="0.12"/>
    <s v="0.62"/>
    <s v="0.1"/>
    <s v="0.1"/>
    <n v="10996"/>
    <s v="K - D diff."/>
    <n v="2957"/>
    <n v="2250"/>
    <s v="1.31"/>
    <s v="1.14"/>
    <s v="74.50%"/>
    <s v="17.70%"/>
    <n v="12351"/>
    <n v="7054"/>
    <n v="2890"/>
    <n v="870"/>
    <n v="163"/>
    <n v="19"/>
    <n v="4576"/>
    <n v="8064"/>
    <n v="592"/>
    <n v="2785"/>
    <n v="166"/>
    <n v="49"/>
    <s v="1.05"/>
  </r>
  <r>
    <n v="17011"/>
    <x v="203"/>
    <s v="Alexandr Marenov"/>
    <x v="7"/>
    <x v="2"/>
    <s v="forZe"/>
    <s v="forZe, Unique, Dracarys"/>
    <n v="7532"/>
    <n v="6744"/>
    <x v="19"/>
    <n v="77"/>
    <s v="3.6"/>
    <n v="396"/>
    <n v="10659"/>
    <s v="0.71"/>
    <s v="0.12"/>
    <s v="0.63"/>
    <s v="0.08"/>
    <s v="0.09"/>
    <n v="5166"/>
    <s v="K - D diff."/>
    <n v="1199"/>
    <n v="983"/>
    <s v="1.22"/>
    <s v="1.08"/>
    <s v="72.60%"/>
    <s v="16.10%"/>
    <n v="5493"/>
    <n v="3359"/>
    <n v="1332"/>
    <n v="391"/>
    <n v="84"/>
    <n v="0"/>
    <n v="5469"/>
    <n v="569"/>
    <n v="327"/>
    <n v="1080"/>
    <n v="84"/>
    <n v="26"/>
    <s v="1.11"/>
  </r>
  <r>
    <n v="15683"/>
    <x v="204"/>
    <s v="Kelun Sun"/>
    <x v="7"/>
    <x v="10"/>
    <s v="TYLOO"/>
    <s v="TYLOO, EHOME"/>
    <n v="10379"/>
    <n v="9750"/>
    <x v="148"/>
    <n v="79"/>
    <s v="2.9"/>
    <n v="540"/>
    <n v="14298"/>
    <s v="0.73"/>
    <s v="0.13"/>
    <s v="0.68"/>
    <s v="0.1"/>
    <s v="0.1"/>
    <n v="6823"/>
    <s v="K - D diff."/>
    <n v="1638"/>
    <n v="1699"/>
    <s v="0.96"/>
    <s v="1.04"/>
    <s v="70.70%"/>
    <s v="15.40%"/>
    <n v="7475"/>
    <n v="4178"/>
    <n v="1869"/>
    <n v="655"/>
    <n v="107"/>
    <n v="14"/>
    <n v="7792"/>
    <n v="101"/>
    <n v="568"/>
    <n v="1831"/>
    <n v="67"/>
    <n v="44"/>
    <s v="1.11"/>
  </r>
  <r>
    <n v="9618"/>
    <x v="205"/>
    <s v="Nemanja IsakoviÄ‡"/>
    <x v="8"/>
    <x v="37"/>
    <s v="OG"/>
    <s v="G2, Valiance, Imperial"/>
    <n v="23191"/>
    <n v="21037"/>
    <x v="135"/>
    <s v="76.5"/>
    <s v="4.4"/>
    <n v="1253"/>
    <n v="33161"/>
    <s v="0.7"/>
    <s v="0.13"/>
    <s v="0.63"/>
    <s v="0.1"/>
    <s v="0.11"/>
    <n v="15639"/>
    <s v="K - D diff."/>
    <n v="2523"/>
    <n v="2509"/>
    <s v="1.01"/>
    <s v="0.92"/>
    <s v="73.20%"/>
    <s v="10.50%"/>
    <n v="17522"/>
    <n v="9932"/>
    <n v="4176"/>
    <n v="1242"/>
    <n v="264"/>
    <n v="25"/>
    <n v="16842"/>
    <n v="364"/>
    <n v="1715"/>
    <n v="3931"/>
    <n v="326"/>
    <n v="78"/>
    <s v="1.05"/>
  </r>
  <r>
    <n v="5388"/>
    <x v="206"/>
    <s v="Karol Rodowicz"/>
    <x v="3"/>
    <x v="17"/>
    <m/>
    <s v="Kinguin, AGO"/>
    <n v="33812"/>
    <n v="30796"/>
    <x v="81"/>
    <n v="82"/>
    <s v="7.5"/>
    <n v="1757"/>
    <n v="46953"/>
    <s v="0.72"/>
    <s v="0.16"/>
    <s v="0.66"/>
    <s v="0.09"/>
    <s v="0.09"/>
    <n v="22894"/>
    <s v="K - D diff."/>
    <n v="4845"/>
    <n v="4113"/>
    <s v="1.18"/>
    <s v="1.04"/>
    <s v="74.60%"/>
    <s v="14.90%"/>
    <n v="24059"/>
    <n v="14496"/>
    <n v="6246"/>
    <n v="1825"/>
    <n v="297"/>
    <n v="30"/>
    <n v="21723"/>
    <n v="3916"/>
    <n v="1780"/>
    <n v="5507"/>
    <n v="671"/>
    <n v="257"/>
    <s v="1.05"/>
  </r>
  <r>
    <n v="17145"/>
    <x v="207"/>
    <s v="Aleks Petrov"/>
    <x v="0"/>
    <x v="25"/>
    <s v="SKADE"/>
    <s v="SKADE"/>
    <n v="21206"/>
    <n v="19252"/>
    <x v="149"/>
    <s v="77.1"/>
    <s v="4.5"/>
    <n v="1127"/>
    <n v="30404"/>
    <s v="0.7"/>
    <s v="0.13"/>
    <s v="0.63"/>
    <s v="0.08"/>
    <s v="0.1"/>
    <n v="14268"/>
    <s v="K - D diff."/>
    <n v="2605"/>
    <n v="2454"/>
    <s v="1.06"/>
    <s v="0.96"/>
    <s v="72.20%"/>
    <s v="11.90%"/>
    <n v="16136"/>
    <n v="9022"/>
    <n v="3845"/>
    <n v="1139"/>
    <n v="233"/>
    <n v="29"/>
    <n v="16167"/>
    <n v="492"/>
    <n v="940"/>
    <n v="3358"/>
    <n v="263"/>
    <n v="57"/>
    <s v="1.1"/>
  </r>
  <r>
    <n v="10168"/>
    <x v="208"/>
    <s v="Lei Mao"/>
    <x v="3"/>
    <x v="10"/>
    <m/>
    <s v="Born Of Fire, Eclipse, Invictus, 5POWER, CyberZen"/>
    <n v="14489"/>
    <n v="13618"/>
    <x v="150"/>
    <s v="79.5"/>
    <s v="3.6"/>
    <n v="768"/>
    <n v="19801"/>
    <s v="0.73"/>
    <s v="0.14"/>
    <s v="0.69"/>
    <s v="0.1"/>
    <s v="0.1"/>
    <n v="9641"/>
    <s v="K - D diff."/>
    <n v="1995"/>
    <n v="1930"/>
    <s v="1.03"/>
    <s v="1.01"/>
    <s v="71.00%"/>
    <s v="13.90%"/>
    <n v="10160"/>
    <n v="6059"/>
    <n v="2550"/>
    <n v="816"/>
    <n v="198"/>
    <n v="18"/>
    <n v="10743"/>
    <n v="141"/>
    <n v="952"/>
    <n v="2511"/>
    <n v="152"/>
    <n v="21"/>
    <s v="1.05"/>
  </r>
  <r>
    <n v="2544"/>
    <x v="209"/>
    <s v="Victor Monteiro"/>
    <x v="3"/>
    <x v="3"/>
    <s v="ODDIK"/>
    <s v="Liberty, Redemption POA, UNO MILLE"/>
    <n v="7551"/>
    <n v="6978"/>
    <x v="151"/>
    <s v="71.7"/>
    <n v="2"/>
    <n v="398"/>
    <n v="10626"/>
    <s v="0.71"/>
    <s v="0.09"/>
    <s v="0.66"/>
    <s v="0.09"/>
    <s v="0.09"/>
    <n v="5061"/>
    <s v="K - D diff."/>
    <n v="1275"/>
    <n v="942"/>
    <s v="1.35"/>
    <s v="1.12"/>
    <s v="74.50%"/>
    <s v="17.50%"/>
    <n v="5565"/>
    <n v="3220"/>
    <n v="1314"/>
    <n v="418"/>
    <n v="96"/>
    <n v="13"/>
    <n v="1140"/>
    <n v="4956"/>
    <n v="247"/>
    <n v="1168"/>
    <n v="43"/>
    <n v="16"/>
    <s v="1.07"/>
  </r>
  <r>
    <n v="10449"/>
    <x v="210"/>
    <s v="Issa Murad"/>
    <x v="8"/>
    <x v="45"/>
    <m/>
    <s v="HellRaisers, OG"/>
    <n v="16229"/>
    <n v="14827"/>
    <x v="152"/>
    <s v="75.7"/>
    <s v="3.6"/>
    <n v="870"/>
    <n v="22834"/>
    <s v="0.71"/>
    <s v="0.12"/>
    <s v="0.65"/>
    <s v="0.1"/>
    <s v="0.11"/>
    <n v="10968"/>
    <s v="K - D diff."/>
    <n v="2234"/>
    <n v="1908"/>
    <s v="1.17"/>
    <s v="1.02"/>
    <s v="72.40%"/>
    <s v="13.90%"/>
    <n v="11866"/>
    <n v="7007"/>
    <n v="2867"/>
    <n v="903"/>
    <n v="176"/>
    <n v="15"/>
    <n v="12309"/>
    <n v="227"/>
    <n v="535"/>
    <n v="2959"/>
    <n v="219"/>
    <n v="43"/>
    <s v="1.05"/>
  </r>
  <r>
    <n v="3849"/>
    <x v="211"/>
    <s v="Jesper Wecksell"/>
    <x v="2"/>
    <x v="29"/>
    <s v="EYEBALLERS"/>
    <s v="fnatic"/>
    <n v="37544"/>
    <n v="35005"/>
    <x v="63"/>
    <s v="76.2"/>
    <n v="4"/>
    <n v="1955"/>
    <n v="51388"/>
    <s v="0.73"/>
    <s v="0.14"/>
    <s v="0.68"/>
    <s v="0.08"/>
    <s v="0.08"/>
    <n v="24935"/>
    <s v="K - D diff."/>
    <n v="7189"/>
    <n v="6363"/>
    <s v="1.13"/>
    <s v="1.16"/>
    <s v="76.30%"/>
    <s v="20.20%"/>
    <n v="26453"/>
    <n v="15449"/>
    <n v="6913"/>
    <n v="2130"/>
    <n v="407"/>
    <n v="36"/>
    <n v="14368"/>
    <n v="12911"/>
    <n v="1228"/>
    <n v="7496"/>
    <n v="602"/>
    <n v="1001"/>
    <s v="1.05"/>
  </r>
  <r>
    <n v="15940"/>
    <x v="212"/>
    <s v="Kamil Sobolewski"/>
    <x v="1"/>
    <x v="17"/>
    <s v="HONORIS"/>
    <s v="PACT, Wisla Krakow"/>
    <n v="15166"/>
    <n v="14052"/>
    <x v="61"/>
    <s v="77.9"/>
    <s v="4.2"/>
    <n v="785"/>
    <n v="21220"/>
    <s v="0.71"/>
    <s v="0.13"/>
    <s v="0.66"/>
    <s v="0.08"/>
    <s v="0.08"/>
    <n v="10143"/>
    <s v="K - D diff."/>
    <n v="1899"/>
    <n v="1811"/>
    <s v="1.05"/>
    <s v="0.97"/>
    <s v="69.20%"/>
    <s v="12.40%"/>
    <n v="11077"/>
    <n v="6398"/>
    <n v="2691"/>
    <n v="854"/>
    <n v="176"/>
    <n v="24"/>
    <n v="11123"/>
    <n v="231"/>
    <n v="1151"/>
    <n v="2466"/>
    <n v="179"/>
    <n v="56"/>
    <s v="1.09"/>
  </r>
  <r>
    <n v="19926"/>
    <x v="213"/>
    <s v="AurÃ©lien Drapier"/>
    <x v="6"/>
    <x v="0"/>
    <s v="HEET"/>
    <s v="HEET, DBL PONEY, LDLC"/>
    <n v="10973"/>
    <n v="9994"/>
    <x v="153"/>
    <s v="72.2"/>
    <s v="5.3"/>
    <n v="591"/>
    <n v="15808"/>
    <s v="0.69"/>
    <s v="0.11"/>
    <s v="0.63"/>
    <s v="0.08"/>
    <s v="0.09"/>
    <n v="7361"/>
    <s v="K - D diff."/>
    <n v="1913"/>
    <n v="1554"/>
    <s v="1.23"/>
    <s v="1.11"/>
    <s v="74.10%"/>
    <s v="17.00%"/>
    <n v="8447"/>
    <n v="4657"/>
    <n v="1937"/>
    <n v="641"/>
    <n v="111"/>
    <n v="15"/>
    <n v="4043"/>
    <n v="4871"/>
    <n v="190"/>
    <n v="1701"/>
    <n v="175"/>
    <n v="55"/>
    <s v="1.08"/>
  </r>
  <r>
    <n v="14759"/>
    <x v="214"/>
    <s v="Ivan Mihai"/>
    <x v="6"/>
    <x v="16"/>
    <s v="GamerLegion"/>
    <s v="GamerLegion, Nexus"/>
    <n v="15214"/>
    <n v="14387"/>
    <x v="154"/>
    <s v="82.2"/>
    <s v="3.7"/>
    <n v="768"/>
    <n v="20592"/>
    <s v="0.74"/>
    <s v="0.13"/>
    <s v="0.7"/>
    <s v="0.09"/>
    <s v="0.09"/>
    <n v="10122"/>
    <s v="K - D diff."/>
    <n v="2427"/>
    <n v="2290"/>
    <s v="1.06"/>
    <s v="1.07"/>
    <s v="71.20%"/>
    <s v="16.80%"/>
    <n v="10470"/>
    <n v="6338"/>
    <n v="2725"/>
    <n v="843"/>
    <n v="183"/>
    <n v="33"/>
    <n v="11491"/>
    <n v="173"/>
    <n v="737"/>
    <n v="2617"/>
    <n v="135"/>
    <n v="98"/>
    <s v="1.11"/>
  </r>
  <r>
    <n v="11842"/>
    <x v="215"/>
    <s v="Ramazan Bashizov"/>
    <x v="4"/>
    <x v="42"/>
    <s v="Golden Knights"/>
    <s v="Tengri, Syman"/>
    <n v="8110"/>
    <n v="7557"/>
    <x v="121"/>
    <s v="75.9"/>
    <s v="1.5"/>
    <n v="425"/>
    <n v="11070"/>
    <s v="0.73"/>
    <s v="0.1"/>
    <s v="0.68"/>
    <s v="0.07"/>
    <s v="0.08"/>
    <n v="5420"/>
    <s v="K - D diff."/>
    <n v="1558"/>
    <n v="1275"/>
    <s v="1.22"/>
    <s v="1.18"/>
    <s v="73.40%"/>
    <s v="20.70%"/>
    <n v="5650"/>
    <n v="3377"/>
    <n v="1494"/>
    <n v="457"/>
    <n v="86"/>
    <n v="6"/>
    <n v="2720"/>
    <n v="3573"/>
    <n v="231"/>
    <n v="1528"/>
    <n v="57"/>
    <n v="11"/>
    <s v="1.09"/>
  </r>
  <r>
    <n v="7016"/>
    <x v="216"/>
    <s v="Zhen Huang"/>
    <x v="15"/>
    <x v="10"/>
    <s v="TSG"/>
    <s v="TYLOO, CyberZen, AllGamers"/>
    <n v="9305"/>
    <n v="8614"/>
    <x v="16"/>
    <s v="81.7"/>
    <s v="3.8"/>
    <n v="500"/>
    <n v="12856"/>
    <s v="0.72"/>
    <s v="0.17"/>
    <s v="0.67"/>
    <s v="0.13"/>
    <s v="0.12"/>
    <n v="6250"/>
    <s v="K - D diff."/>
    <n v="1306"/>
    <n v="1254"/>
    <s v="1.04"/>
    <s v="1.01"/>
    <s v="74.70%"/>
    <s v="14.10%"/>
    <n v="6606"/>
    <n v="3935"/>
    <n v="1695"/>
    <n v="509"/>
    <n v="102"/>
    <n v="9"/>
    <n v="6800"/>
    <n v="46"/>
    <n v="659"/>
    <n v="1724"/>
    <n v="88"/>
    <n v="15"/>
    <s v="1.05"/>
  </r>
  <r>
    <n v="14602"/>
    <x v="217"/>
    <s v="Ole Kristian Langan"/>
    <x v="6"/>
    <x v="40"/>
    <s v="Oilers"/>
    <s v="Apeks, 777, NOREG"/>
    <n v="9052"/>
    <n v="8397"/>
    <x v="26"/>
    <s v="74.2"/>
    <s v="3.2"/>
    <n v="472"/>
    <n v="12716"/>
    <s v="0.71"/>
    <s v="0.1"/>
    <s v="0.66"/>
    <s v="0.1"/>
    <s v="0.11"/>
    <n v="6050"/>
    <s v="K - D diff."/>
    <n v="1426"/>
    <n v="1194"/>
    <s v="1.19"/>
    <s v="1.07"/>
    <s v="74.10%"/>
    <s v="16.70%"/>
    <n v="6666"/>
    <n v="3819"/>
    <n v="1601"/>
    <n v="497"/>
    <n v="125"/>
    <n v="8"/>
    <n v="2402"/>
    <n v="4746"/>
    <n v="267"/>
    <n v="1543"/>
    <n v="84"/>
    <n v="32"/>
    <s v="1.08"/>
  </r>
  <r>
    <n v="2469"/>
    <x v="218"/>
    <s v="RenÃ© Borg"/>
    <x v="15"/>
    <x v="9"/>
    <s v="ex-AGF"/>
    <s v="North, TSM, OpTic, Dignitas"/>
    <n v="31980"/>
    <n v="29096"/>
    <x v="155"/>
    <s v="73.5"/>
    <s v="3.1"/>
    <n v="1745"/>
    <n v="45680"/>
    <s v="0.7"/>
    <s v="0.12"/>
    <s v="0.64"/>
    <s v="0.09"/>
    <s v="0.1"/>
    <n v="21552"/>
    <s v="K - D diff."/>
    <n v="4269"/>
    <n v="3762"/>
    <s v="1.13"/>
    <n v="1"/>
    <s v="74.50%"/>
    <s v="13.30%"/>
    <n v="24128"/>
    <n v="13704"/>
    <n v="5692"/>
    <n v="1795"/>
    <n v="329"/>
    <n v="32"/>
    <n v="19160"/>
    <n v="5310"/>
    <n v="1048"/>
    <n v="6084"/>
    <n v="326"/>
    <n v="91"/>
    <s v="1.05"/>
  </r>
  <r>
    <n v="5794"/>
    <x v="219"/>
    <s v="Johannes Wodarz"/>
    <x v="2"/>
    <x v="32"/>
    <s v="BIG"/>
    <s v="BIG, PENTA, MOUZ"/>
    <n v="37751"/>
    <n v="36211"/>
    <x v="50"/>
    <s v="84.7"/>
    <s v="8.2"/>
    <n v="1953"/>
    <n v="51605"/>
    <s v="0.73"/>
    <s v="0.16"/>
    <s v="0.7"/>
    <s v="0.09"/>
    <s v="0.09"/>
    <n v="24485"/>
    <s v="K - D diff."/>
    <n v="6162"/>
    <n v="6265"/>
    <s v="0.98"/>
    <s v="1.06"/>
    <s v="73.00%"/>
    <s v="17.20%"/>
    <n v="27120"/>
    <n v="14806"/>
    <n v="6775"/>
    <n v="2338"/>
    <n v="497"/>
    <n v="69"/>
    <n v="26945"/>
    <n v="2296"/>
    <n v="1304"/>
    <n v="6539"/>
    <n v="644"/>
    <n v="95"/>
    <s v="1.05"/>
  </r>
  <r>
    <n v="13054"/>
    <x v="220"/>
    <s v="Charlie Dodd"/>
    <x v="7"/>
    <x v="15"/>
    <s v="DGG"/>
    <s v="ORDER, Chiefs, Ground Zero"/>
    <n v="10590"/>
    <n v="10011"/>
    <x v="156"/>
    <s v="80.2"/>
    <s v="3.9"/>
    <n v="564"/>
    <n v="14357"/>
    <s v="0.74"/>
    <s v="0.13"/>
    <s v="0.7"/>
    <s v="0.1"/>
    <s v="0.1"/>
    <n v="7020"/>
    <s v="K - D diff."/>
    <n v="1931"/>
    <n v="1927"/>
    <n v="1"/>
    <s v="1.12"/>
    <s v="72.90%"/>
    <s v="18.30%"/>
    <n v="7337"/>
    <n v="4348"/>
    <n v="1926"/>
    <n v="607"/>
    <n v="126"/>
    <n v="13"/>
    <n v="7208"/>
    <n v="1002"/>
    <n v="518"/>
    <n v="1726"/>
    <n v="128"/>
    <n v="44"/>
    <s v="1.11"/>
  </r>
  <r>
    <n v="964"/>
    <x v="221"/>
    <s v="Rustem Telepov"/>
    <x v="14"/>
    <x v="42"/>
    <m/>
    <s v="Gambit, K23, HellRaisers, Syman"/>
    <n v="28048"/>
    <n v="25564"/>
    <x v="123"/>
    <s v="73.9"/>
    <n v="4"/>
    <n v="1489"/>
    <n v="39475"/>
    <s v="0.71"/>
    <s v="0.11"/>
    <s v="0.65"/>
    <s v="0.08"/>
    <s v="0.09"/>
    <n v="18989"/>
    <s v="K - D diff."/>
    <n v="4836"/>
    <n v="3930"/>
    <s v="1.23"/>
    <s v="1.11"/>
    <s v="74.30%"/>
    <s v="17.80%"/>
    <n v="20486"/>
    <n v="12087"/>
    <n v="5072"/>
    <n v="1536"/>
    <n v="274"/>
    <n v="20"/>
    <n v="6302"/>
    <n v="15808"/>
    <n v="813"/>
    <n v="4672"/>
    <n v="413"/>
    <n v="77"/>
    <s v="1.05"/>
  </r>
  <r>
    <n v="10994"/>
    <x v="222"/>
    <s v="Martin Lund"/>
    <x v="7"/>
    <x v="9"/>
    <s v="Heroic"/>
    <s v="Heroic, Fragsters"/>
    <n v="21743"/>
    <n v="20242"/>
    <x v="157"/>
    <s v="81.1"/>
    <s v="4.1"/>
    <n v="1120"/>
    <n v="29840"/>
    <s v="0.73"/>
    <s v="0.14"/>
    <s v="0.68"/>
    <s v="0.09"/>
    <s v="0.1"/>
    <n v="14585"/>
    <s v="K - D diff."/>
    <n v="3383"/>
    <n v="3138"/>
    <s v="1.08"/>
    <s v="1.06"/>
    <s v="73.70%"/>
    <s v="16.00%"/>
    <n v="15255"/>
    <n v="9161"/>
    <n v="3973"/>
    <n v="1193"/>
    <n v="233"/>
    <n v="25"/>
    <n v="14788"/>
    <n v="2122"/>
    <n v="969"/>
    <n v="3546"/>
    <n v="271"/>
    <n v="115"/>
    <s v="1.12"/>
  </r>
  <r>
    <n v="15369"/>
    <x v="223"/>
    <s v="Hristiyan Pironkov"/>
    <x v="7"/>
    <x v="25"/>
    <s v="ex-MAD Lions"/>
    <s v="Fiend, Bpro"/>
    <n v="12310"/>
    <n v="11124"/>
    <x v="154"/>
    <s v="74.8"/>
    <s v="4.3"/>
    <n v="657"/>
    <n v="17461"/>
    <s v="0.7"/>
    <s v="0.12"/>
    <s v="0.64"/>
    <s v="0.1"/>
    <s v="0.1"/>
    <n v="8386"/>
    <s v="K - D diff."/>
    <n v="1756"/>
    <n v="1490"/>
    <s v="1.18"/>
    <s v="1.03"/>
    <s v="75.30%"/>
    <s v="14.40%"/>
    <n v="9075"/>
    <n v="5354"/>
    <n v="2273"/>
    <n v="634"/>
    <n v="117"/>
    <n v="8"/>
    <n v="7726"/>
    <n v="2197"/>
    <n v="215"/>
    <n v="2006"/>
    <n v="148"/>
    <n v="41"/>
    <s v="1.1"/>
  </r>
  <r>
    <n v="7528"/>
    <x v="224"/>
    <s v="Freddy Johansson"/>
    <x v="3"/>
    <x v="29"/>
    <s v="fnatic"/>
    <s v="fnatic"/>
    <n v="33075"/>
    <n v="30004"/>
    <x v="158"/>
    <s v="76.4"/>
    <s v="4.2"/>
    <n v="1791"/>
    <n v="47130"/>
    <s v="0.7"/>
    <s v="0.15"/>
    <s v="0.64"/>
    <s v="0.09"/>
    <s v="0.1"/>
    <n v="22418"/>
    <s v="K - D diff."/>
    <n v="4166"/>
    <n v="3869"/>
    <s v="1.08"/>
    <s v="0.97"/>
    <s v="74.40%"/>
    <s v="12.40%"/>
    <n v="24712"/>
    <n v="14335"/>
    <n v="5934"/>
    <n v="1795"/>
    <n v="321"/>
    <n v="33"/>
    <n v="24818"/>
    <n v="744"/>
    <n v="1307"/>
    <n v="5724"/>
    <n v="378"/>
    <n v="156"/>
    <s v="1.05"/>
  </r>
  <r>
    <n v="17504"/>
    <x v="225"/>
    <s v="Kamil Pietkun"/>
    <x v="0"/>
    <x v="17"/>
    <s v="FLET"/>
    <s v="AVEZ, Anonymo, Sprout"/>
    <n v="12891"/>
    <n v="12282"/>
    <x v="159"/>
    <s v="82.6"/>
    <s v="4.7"/>
    <n v="649"/>
    <n v="17432"/>
    <s v="0.74"/>
    <s v="0.14"/>
    <s v="0.7"/>
    <s v="0.09"/>
    <s v="0.09"/>
    <n v="8505"/>
    <s v="K - D diff."/>
    <n v="2239"/>
    <n v="2167"/>
    <s v="1.03"/>
    <s v="1.1"/>
    <s v="72.40%"/>
    <s v="18.30%"/>
    <n v="8927"/>
    <n v="5242"/>
    <n v="2339"/>
    <n v="744"/>
    <n v="161"/>
    <n v="19"/>
    <n v="9774"/>
    <n v="202"/>
    <n v="704"/>
    <n v="2083"/>
    <n v="129"/>
    <n v="27"/>
    <s v="1.12"/>
  </r>
  <r>
    <n v="12018"/>
    <x v="226"/>
    <s v="RenÃ© Madsen"/>
    <x v="0"/>
    <x v="9"/>
    <s v="Heroic"/>
    <s v="Heroic, Copenhagen Flames"/>
    <n v="15953"/>
    <n v="14907"/>
    <x v="128"/>
    <s v="78.5"/>
    <s v="4.6"/>
    <n v="832"/>
    <n v="22223"/>
    <s v="0.72"/>
    <s v="0.14"/>
    <s v="0.67"/>
    <s v="0.11"/>
    <s v="0.12"/>
    <n v="10631"/>
    <s v="K - D diff."/>
    <n v="2338"/>
    <n v="2269"/>
    <s v="1.03"/>
    <s v="1.02"/>
    <s v="73.00%"/>
    <s v="14.60%"/>
    <n v="11592"/>
    <n v="6664"/>
    <n v="2845"/>
    <n v="916"/>
    <n v="179"/>
    <n v="27"/>
    <n v="12450"/>
    <n v="161"/>
    <n v="615"/>
    <n v="2577"/>
    <n v="167"/>
    <n v="34"/>
    <s v="1.11"/>
  </r>
  <r>
    <n v="8513"/>
    <x v="227"/>
    <s v="Jaccob Whiteaker"/>
    <x v="6"/>
    <x v="24"/>
    <m/>
    <s v="Complexity, Orgless"/>
    <n v="12452"/>
    <n v="11848"/>
    <x v="19"/>
    <s v="77.6"/>
    <s v="3.4"/>
    <n v="653"/>
    <n v="17182"/>
    <s v="0.72"/>
    <s v="0.13"/>
    <s v="0.69"/>
    <s v="0.1"/>
    <s v="0.11"/>
    <n v="8170"/>
    <s v="K - D diff."/>
    <n v="2071"/>
    <n v="2084"/>
    <s v="0.99"/>
    <s v="1.07"/>
    <s v="74.10%"/>
    <s v="17.00%"/>
    <n v="9012"/>
    <n v="5001"/>
    <n v="2258"/>
    <n v="737"/>
    <n v="146"/>
    <n v="28"/>
    <n v="8085"/>
    <n v="1511"/>
    <n v="563"/>
    <n v="2162"/>
    <n v="122"/>
    <n v="26"/>
    <s v="1.05"/>
  </r>
  <r>
    <n v="11954"/>
    <x v="228"/>
    <s v="Dion Derksen"/>
    <x v="5"/>
    <x v="41"/>
    <s v="ECSTATIC"/>
    <s v="ECSTATIC, Lyngby Vikings, Defusekids"/>
    <n v="13998"/>
    <n v="13241"/>
    <x v="87"/>
    <s v="79.4"/>
    <s v="5.4"/>
    <n v="731"/>
    <n v="19399"/>
    <s v="0.72"/>
    <s v="0.15"/>
    <s v="0.68"/>
    <s v="0.11"/>
    <s v="0.13"/>
    <n v="9218"/>
    <s v="K - D diff."/>
    <n v="2156"/>
    <n v="2189"/>
    <s v="0.98"/>
    <s v="1.03"/>
    <s v="73.40%"/>
    <s v="15.80%"/>
    <n v="10181"/>
    <n v="5673"/>
    <n v="2509"/>
    <n v="855"/>
    <n v="163"/>
    <n v="18"/>
    <n v="10972"/>
    <n v="88"/>
    <n v="607"/>
    <n v="2144"/>
    <n v="208"/>
    <n v="20"/>
    <s v="1.11"/>
  </r>
  <r>
    <n v="17147"/>
    <x v="229"/>
    <s v="Flatron Halimi"/>
    <x v="8"/>
    <x v="46"/>
    <s v="Bad News Eagles"/>
    <s v="Bad News Eagles, BLINK, Secret"/>
    <n v="11595"/>
    <n v="11175"/>
    <x v="160"/>
    <s v="83.1"/>
    <s v="5.4"/>
    <n v="575"/>
    <n v="15349"/>
    <s v="0.76"/>
    <s v="0.13"/>
    <s v="0.73"/>
    <s v="0.1"/>
    <s v="0.1"/>
    <n v="7622"/>
    <s v="K - D diff."/>
    <n v="1759"/>
    <n v="1770"/>
    <s v="0.99"/>
    <s v="1.05"/>
    <s v="71.00%"/>
    <s v="16.10%"/>
    <n v="7727"/>
    <n v="4667"/>
    <n v="2097"/>
    <n v="710"/>
    <n v="136"/>
    <n v="12"/>
    <n v="9041"/>
    <n v="176"/>
    <n v="336"/>
    <n v="1910"/>
    <n v="147"/>
    <n v="20"/>
    <s v="1.1"/>
  </r>
  <r>
    <n v="12731"/>
    <x v="230"/>
    <s v="Viktor Orudzhev"/>
    <x v="8"/>
    <x v="1"/>
    <s v="Natus Vincere"/>
    <s v="Spirit"/>
    <n v="20009"/>
    <n v="18104"/>
    <x v="141"/>
    <s v="76.6"/>
    <s v="4.1"/>
    <n v="1099"/>
    <n v="28808"/>
    <s v="0.69"/>
    <s v="0.13"/>
    <s v="0.63"/>
    <s v="0.1"/>
    <s v="0.11"/>
    <n v="13627"/>
    <s v="K - D diff."/>
    <n v="2444"/>
    <n v="2320"/>
    <s v="1.05"/>
    <s v="0.96"/>
    <s v="73.30%"/>
    <s v="11.90%"/>
    <n v="15181"/>
    <n v="8772"/>
    <n v="3551"/>
    <n v="1103"/>
    <n v="179"/>
    <n v="22"/>
    <n v="14096"/>
    <n v="741"/>
    <n v="1463"/>
    <n v="3308"/>
    <n v="197"/>
    <n v="259"/>
    <s v="1.1"/>
  </r>
  <r>
    <n v="9258"/>
    <x v="231"/>
    <s v="Hunter Mims"/>
    <x v="6"/>
    <x v="24"/>
    <m/>
    <s v="Rogue, Misfits, TSM"/>
    <n v="15002"/>
    <n v="13962"/>
    <x v="161"/>
    <s v="77.7"/>
    <s v="2.6"/>
    <n v="795"/>
    <n v="20701"/>
    <s v="0.72"/>
    <s v="0.13"/>
    <s v="0.67"/>
    <s v="0.1"/>
    <s v="0.12"/>
    <n v="10078"/>
    <s v="K - D diff."/>
    <n v="2213"/>
    <n v="2140"/>
    <s v="1.03"/>
    <s v="1.03"/>
    <s v="71.30%"/>
    <s v="15.10%"/>
    <n v="10623"/>
    <n v="6335"/>
    <n v="2739"/>
    <n v="843"/>
    <n v="145"/>
    <n v="16"/>
    <n v="10613"/>
    <n v="801"/>
    <n v="741"/>
    <n v="2714"/>
    <n v="134"/>
    <n v="33"/>
    <s v="1.05"/>
  </r>
  <r>
    <n v="8543"/>
    <x v="232"/>
    <s v="Sebastian Trela"/>
    <x v="8"/>
    <x v="17"/>
    <m/>
    <s v="Izako Boars, ESC"/>
    <n v="8076"/>
    <n v="7502"/>
    <x v="9"/>
    <s v="71.5"/>
    <s v="1.6"/>
    <n v="429"/>
    <n v="11195"/>
    <s v="0.72"/>
    <s v="0.09"/>
    <s v="0.67"/>
    <s v="0.08"/>
    <s v="0.1"/>
    <n v="5421"/>
    <s v="K - D diff."/>
    <n v="1319"/>
    <n v="880"/>
    <s v="1.5"/>
    <s v="1.12"/>
    <s v="76.70%"/>
    <s v="18.60%"/>
    <n v="5774"/>
    <n v="3391"/>
    <n v="1503"/>
    <n v="436"/>
    <n v="84"/>
    <n v="7"/>
    <n v="2545"/>
    <n v="3905"/>
    <n v="181"/>
    <n v="1393"/>
    <n v="51"/>
    <n v="10"/>
    <s v="1.05"/>
  </r>
  <r>
    <n v="4076"/>
    <x v="233"/>
    <s v="Jani Jussila"/>
    <x v="11"/>
    <x v="23"/>
    <s v="HAVU"/>
    <s v="HAVU, ENCE"/>
    <n v="17911"/>
    <n v="16694"/>
    <x v="57"/>
    <s v="78.5"/>
    <s v="2.7"/>
    <n v="943"/>
    <n v="25018"/>
    <s v="0.72"/>
    <s v="0.15"/>
    <s v="0.67"/>
    <s v="0.11"/>
    <s v="0.11"/>
    <n v="12006"/>
    <s v="K - D diff."/>
    <n v="2860"/>
    <n v="2739"/>
    <s v="1.04"/>
    <s v="1.06"/>
    <s v="74.70%"/>
    <s v="16.30%"/>
    <n v="13012"/>
    <n v="7556"/>
    <n v="3256"/>
    <n v="952"/>
    <n v="223"/>
    <n v="19"/>
    <n v="14074"/>
    <n v="39"/>
    <n v="1083"/>
    <n v="2570"/>
    <n v="164"/>
    <n v="14"/>
    <s v="1.11"/>
  </r>
  <r>
    <n v="3997"/>
    <x v="234"/>
    <s v="Christian Garcia Antoran"/>
    <x v="8"/>
    <x v="30"/>
    <m/>
    <s v="Movistar Riders, PENTA, MOUZ"/>
    <n v="18549"/>
    <n v="16810"/>
    <x v="162"/>
    <s v="75.8"/>
    <s v="4.5"/>
    <n v="1008"/>
    <n v="26413"/>
    <s v="0.7"/>
    <s v="0.13"/>
    <s v="0.64"/>
    <s v="0.09"/>
    <s v="0.11"/>
    <n v="12673"/>
    <s v="K - D diff."/>
    <n v="1933"/>
    <n v="1661"/>
    <s v="1.16"/>
    <s v="0.93"/>
    <s v="74.30%"/>
    <s v="10.80%"/>
    <n v="13740"/>
    <n v="8159"/>
    <n v="3368"/>
    <n v="966"/>
    <n v="156"/>
    <n v="24"/>
    <n v="13621"/>
    <n v="302"/>
    <n v="1086"/>
    <n v="3346"/>
    <n v="204"/>
    <n v="33"/>
    <s v="1.05"/>
  </r>
  <r>
    <n v="15072"/>
    <x v="235"/>
    <s v="Yesuntumur Gantulga"/>
    <x v="1"/>
    <x v="21"/>
    <s v="IHC"/>
    <s v="TIGER, Renewal, Mazaalai, IHC"/>
    <n v="7326"/>
    <n v="6646"/>
    <x v="63"/>
    <s v="74.6"/>
    <s v="4.8"/>
    <n v="398"/>
    <n v="10487"/>
    <s v="0.7"/>
    <s v="0.11"/>
    <s v="0.63"/>
    <s v="0.08"/>
    <s v="0.09"/>
    <n v="5012"/>
    <s v="K - D diff."/>
    <n v="1214"/>
    <n v="943"/>
    <s v="1.29"/>
    <s v="1.1"/>
    <s v="75.00%"/>
    <s v="16.90%"/>
    <n v="5475"/>
    <n v="3259"/>
    <n v="1276"/>
    <n v="401"/>
    <n v="68"/>
    <n v="8"/>
    <n v="2604"/>
    <n v="3064"/>
    <n v="357"/>
    <n v="1147"/>
    <n v="137"/>
    <n v="58"/>
    <s v="1.09"/>
  </r>
  <r>
    <n v="11748"/>
    <x v="236"/>
    <s v="Rafael Lima"/>
    <x v="3"/>
    <x v="3"/>
    <m/>
    <s v="W7M, Keyd"/>
    <n v="11650"/>
    <n v="10558"/>
    <x v="163"/>
    <s v="72.4"/>
    <s v="3.7"/>
    <n v="640"/>
    <n v="16832"/>
    <s v="0.69"/>
    <s v="0.11"/>
    <s v="0.63"/>
    <s v="0.07"/>
    <s v="0.08"/>
    <n v="7934"/>
    <s v="K - D diff."/>
    <n v="1948"/>
    <n v="1683"/>
    <s v="1.16"/>
    <s v="1.08"/>
    <s v="76.30%"/>
    <s v="17.10%"/>
    <n v="8898"/>
    <n v="5105"/>
    <n v="2087"/>
    <n v="606"/>
    <n v="127"/>
    <n v="9"/>
    <n v="3059"/>
    <n v="5846"/>
    <n v="589"/>
    <n v="2008"/>
    <n v="157"/>
    <n v="29"/>
    <s v="1.07"/>
  </r>
  <r>
    <n v="13578"/>
    <x v="237"/>
    <s v="Michael Wince"/>
    <x v="0"/>
    <x v="24"/>
    <s v="Complexity"/>
    <s v="Liquid, Triumph, Dignitas, Spacestation"/>
    <n v="16813"/>
    <n v="16097"/>
    <x v="164"/>
    <s v="78.1"/>
    <s v="3.5"/>
    <n v="892"/>
    <n v="23471"/>
    <s v="0.72"/>
    <s v="0.13"/>
    <s v="0.69"/>
    <s v="0.12"/>
    <s v="0.13"/>
    <n v="11013"/>
    <s v="K - D diff."/>
    <n v="2331"/>
    <n v="2465"/>
    <s v="0.95"/>
    <s v="0.99"/>
    <s v="73.20%"/>
    <s v="14.10%"/>
    <n v="12458"/>
    <n v="6811"/>
    <n v="2923"/>
    <n v="991"/>
    <n v="257"/>
    <n v="31"/>
    <n v="12834"/>
    <n v="130"/>
    <n v="739"/>
    <n v="2992"/>
    <n v="146"/>
    <n v="17"/>
    <s v="1.1"/>
  </r>
  <r>
    <n v="13188"/>
    <x v="238"/>
    <s v="Jordan Montemurro"/>
    <x v="1"/>
    <x v="24"/>
    <m/>
    <s v="Swole Patrol, Lazarus"/>
    <n v="11657"/>
    <n v="10854"/>
    <x v="96"/>
    <s v="79.2"/>
    <s v="4.8"/>
    <n v="626"/>
    <n v="16210"/>
    <s v="0.72"/>
    <s v="0.15"/>
    <s v="0.67"/>
    <s v="0.1"/>
    <s v="0.11"/>
    <n v="7836"/>
    <s v="K - D diff."/>
    <n v="1705"/>
    <n v="1715"/>
    <s v="0.99"/>
    <s v="1.02"/>
    <s v="75.40%"/>
    <s v="14.90%"/>
    <n v="8374"/>
    <n v="4949"/>
    <n v="2089"/>
    <n v="674"/>
    <n v="112"/>
    <n v="12"/>
    <n v="7896"/>
    <n v="583"/>
    <n v="960"/>
    <n v="2047"/>
    <n v="168"/>
    <n v="23"/>
    <s v="1.11"/>
  </r>
  <r>
    <n v="13239"/>
    <x v="239"/>
    <s v="Alexey Golubev"/>
    <x v="6"/>
    <x v="42"/>
    <s v="Outsiders"/>
    <s v="AVANGAR, Virtus.pro"/>
    <n v="23498"/>
    <n v="21535"/>
    <x v="165"/>
    <s v="77.4"/>
    <s v="4.8"/>
    <n v="1269"/>
    <n v="33537"/>
    <s v="0.7"/>
    <s v="0.13"/>
    <s v="0.64"/>
    <s v="0.09"/>
    <s v="0.1"/>
    <n v="15888"/>
    <s v="K - D diff."/>
    <n v="3552"/>
    <n v="3290"/>
    <s v="1.08"/>
    <s v="1.03"/>
    <s v="70.60%"/>
    <s v="14.10%"/>
    <n v="17649"/>
    <n v="10084"/>
    <n v="4290"/>
    <n v="1246"/>
    <n v="244"/>
    <n v="24"/>
    <n v="18090"/>
    <n v="322"/>
    <n v="1175"/>
    <n v="3607"/>
    <n v="278"/>
    <n v="88"/>
    <s v="1.11"/>
  </r>
  <r>
    <n v="11250"/>
    <x v="240"/>
    <s v="Vadim Karetin"/>
    <x v="8"/>
    <x v="39"/>
    <s v="EC Kyiv"/>
    <s v="HellRaisers, pro100"/>
    <n v="19554"/>
    <n v="17753"/>
    <x v="128"/>
    <n v="74"/>
    <s v="3.7"/>
    <n v="1069"/>
    <n v="28457"/>
    <s v="0.69"/>
    <s v="0.11"/>
    <s v="0.62"/>
    <s v="0.08"/>
    <s v="0.1"/>
    <n v="13288"/>
    <s v="K - D diff."/>
    <n v="2124"/>
    <n v="1924"/>
    <s v="1.1"/>
    <s v="0.93"/>
    <s v="71.70%"/>
    <s v="10.70%"/>
    <n v="15169"/>
    <n v="8548"/>
    <n v="3471"/>
    <n v="1031"/>
    <n v="219"/>
    <n v="19"/>
    <n v="15374"/>
    <n v="128"/>
    <n v="650"/>
    <n v="3202"/>
    <n v="213"/>
    <n v="53"/>
    <s v="1.07"/>
  </r>
  <r>
    <n v="10589"/>
    <x v="241"/>
    <s v="Roman Golubev"/>
    <x v="11"/>
    <x v="2"/>
    <s v="Moralezz"/>
    <s v="Spirit Academy, HOLLYWOOD, PLINK, 1337"/>
    <n v="9899"/>
    <n v="9295"/>
    <x v="52"/>
    <s v="81.1"/>
    <s v="3.7"/>
    <n v="516"/>
    <n v="13467"/>
    <s v="0.74"/>
    <s v="0.14"/>
    <s v="0.69"/>
    <s v="0.08"/>
    <s v="0.1"/>
    <n v="6659"/>
    <s v="K - D diff."/>
    <n v="1052"/>
    <n v="1053"/>
    <n v="1"/>
    <s v="0.93"/>
    <s v="72.60%"/>
    <s v="11.60%"/>
    <n v="6808"/>
    <n v="4185"/>
    <n v="1834"/>
    <n v="524"/>
    <n v="106"/>
    <n v="10"/>
    <n v="7534"/>
    <n v="57"/>
    <n v="367"/>
    <n v="1834"/>
    <n v="109"/>
    <n v="13"/>
    <s v="1.05"/>
  </r>
  <r>
    <n v="12937"/>
    <x v="242"/>
    <s v="Adam Andersson"/>
    <x v="6"/>
    <x v="24"/>
    <s v="ECSTATIC"/>
    <s v="ECSTATIC, Lyngby Vikings, Secret Club"/>
    <n v="9790"/>
    <n v="8809"/>
    <x v="6"/>
    <s v="71.3"/>
    <n v="3"/>
    <n v="529"/>
    <n v="14082"/>
    <s v="0.7"/>
    <s v="0.1"/>
    <s v="0.63"/>
    <s v="0.09"/>
    <s v="0.11"/>
    <n v="6755"/>
    <s v="K - D diff."/>
    <n v="1615"/>
    <n v="1224"/>
    <s v="1.32"/>
    <s v="1.1"/>
    <s v="73.00%"/>
    <s v="16.60%"/>
    <n v="7327"/>
    <n v="4418"/>
    <n v="1742"/>
    <n v="499"/>
    <n v="89"/>
    <n v="7"/>
    <n v="3317"/>
    <n v="4460"/>
    <n v="378"/>
    <n v="1559"/>
    <n v="90"/>
    <n v="20"/>
    <s v="1.08"/>
  </r>
  <r>
    <n v="10892"/>
    <x v="243"/>
    <s v="Edgar Maldonado"/>
    <x v="1"/>
    <x v="47"/>
    <m/>
    <s v="Extra Salt, eUnited, Swole Patrol"/>
    <n v="16750"/>
    <n v="15402"/>
    <x v="166"/>
    <n v="79"/>
    <s v="5.2"/>
    <n v="926"/>
    <n v="23830"/>
    <s v="0.7"/>
    <s v="0.15"/>
    <s v="0.65"/>
    <s v="0.11"/>
    <s v="0.12"/>
    <n v="11318"/>
    <s v="K - D diff."/>
    <n v="2422"/>
    <n v="2286"/>
    <s v="1.06"/>
    <s v="1.01"/>
    <s v="73.90%"/>
    <s v="13.80%"/>
    <n v="12512"/>
    <n v="7185"/>
    <n v="3027"/>
    <n v="923"/>
    <n v="173"/>
    <n v="10"/>
    <n v="12507"/>
    <n v="304"/>
    <n v="689"/>
    <n v="2994"/>
    <n v="246"/>
    <n v="81"/>
    <s v="1.12"/>
  </r>
  <r>
    <n v="7964"/>
    <x v="244"/>
    <s v="Casper MÃ¸ller"/>
    <x v="2"/>
    <x v="9"/>
    <s v="Heroic"/>
    <s v="Heroic, Rogue, SK"/>
    <n v="27065"/>
    <n v="24531"/>
    <x v="167"/>
    <s v="73.3"/>
    <s v="4.6"/>
    <n v="1475"/>
    <n v="38976"/>
    <s v="0.69"/>
    <s v="0.11"/>
    <s v="0.63"/>
    <s v="0.09"/>
    <s v="0.08"/>
    <n v="18532"/>
    <s v="K - D diff."/>
    <n v="4972"/>
    <n v="3775"/>
    <s v="1.32"/>
    <s v="1.14"/>
    <s v="75.30%"/>
    <s v="18.60%"/>
    <n v="20444"/>
    <n v="12006"/>
    <n v="4844"/>
    <n v="1390"/>
    <n v="268"/>
    <n v="24"/>
    <n v="6605"/>
    <n v="13070"/>
    <n v="2144"/>
    <n v="4790"/>
    <n v="367"/>
    <n v="172"/>
    <s v="1.04"/>
  </r>
  <r>
    <n v="13843"/>
    <x v="245"/>
    <s v="Philip Ewald"/>
    <x v="16"/>
    <x v="9"/>
    <s v="Tricked"/>
    <s v="Tricked, Astralis"/>
    <n v="8479"/>
    <n v="7731"/>
    <x v="20"/>
    <n v="71"/>
    <s v="2.8"/>
    <n v="454"/>
    <n v="12275"/>
    <s v="0.69"/>
    <s v="0.09"/>
    <s v="0.63"/>
    <s v="0.09"/>
    <s v="0.1"/>
    <n v="5748"/>
    <s v="K - D diff."/>
    <n v="1320"/>
    <n v="1005"/>
    <s v="1.31"/>
    <s v="1.07"/>
    <s v="70.10%"/>
    <s v="15.40%"/>
    <n v="6527"/>
    <n v="3674"/>
    <n v="1515"/>
    <n v="466"/>
    <n v="88"/>
    <n v="5"/>
    <n v="2884"/>
    <n v="3894"/>
    <n v="144"/>
    <n v="1499"/>
    <n v="66"/>
    <n v="24"/>
    <s v="1.07"/>
  </r>
  <r>
    <n v="10610"/>
    <x v="246"/>
    <s v="Ismail Ali"/>
    <x v="1"/>
    <x v="9"/>
    <s v="Heroic"/>
    <s v="Fragsters, Heroic, Copenhagen Flames, Tricked, OpTic"/>
    <n v="18323"/>
    <n v="16980"/>
    <x v="75"/>
    <s v="75.1"/>
    <s v="3.4"/>
    <n v="978"/>
    <n v="26051"/>
    <s v="0.7"/>
    <s v="0.11"/>
    <s v="0.65"/>
    <s v="0.1"/>
    <s v="0.1"/>
    <n v="12351"/>
    <s v="K - D diff."/>
    <n v="2432"/>
    <n v="2263"/>
    <s v="1.07"/>
    <s v="0.99"/>
    <s v="71.60%"/>
    <s v="13.00%"/>
    <n v="13700"/>
    <n v="7858"/>
    <n v="3274"/>
    <n v="987"/>
    <n v="204"/>
    <n v="28"/>
    <n v="13187"/>
    <n v="814"/>
    <n v="988"/>
    <n v="3113"/>
    <n v="215"/>
    <n v="54"/>
    <s v="1.08"/>
  </r>
  <r>
    <n v="8124"/>
    <x v="247"/>
    <s v="Vadim Vasilyev"/>
    <x v="5"/>
    <x v="2"/>
    <s v="INDE IRAE"/>
    <s v="INDE IRAE, Spirit, 1WIN"/>
    <n v="23631"/>
    <n v="21705"/>
    <x v="76"/>
    <s v="73.8"/>
    <s v="3.2"/>
    <n v="1279"/>
    <n v="33713"/>
    <s v="0.7"/>
    <s v="0.12"/>
    <s v="0.64"/>
    <s v="0.09"/>
    <s v="0.09"/>
    <n v="16050"/>
    <s v="K - D diff."/>
    <n v="3711"/>
    <n v="2752"/>
    <s v="1.35"/>
    <s v="1.08"/>
    <s v="74.30%"/>
    <s v="16.10%"/>
    <n v="17663"/>
    <n v="10292"/>
    <n v="4253"/>
    <n v="1219"/>
    <n v="258"/>
    <n v="28"/>
    <n v="5078"/>
    <n v="11946"/>
    <n v="1134"/>
    <n v="5142"/>
    <n v="290"/>
    <n v="78"/>
    <s v="1.04"/>
  </r>
  <r>
    <n v="11485"/>
    <x v="248"/>
    <s v="Liam Schembri"/>
    <x v="5"/>
    <x v="15"/>
    <s v="VERTEX"/>
    <s v="Grayhound, Chiefs, Renegades"/>
    <n v="17732"/>
    <n v="16298"/>
    <x v="168"/>
    <s v="77.1"/>
    <s v="3.7"/>
    <n v="1004"/>
    <n v="25565"/>
    <s v="0.69"/>
    <s v="0.15"/>
    <s v="0.64"/>
    <s v="0.09"/>
    <s v="0.08"/>
    <n v="11968"/>
    <s v="K - D diff."/>
    <n v="2470"/>
    <n v="2493"/>
    <s v="0.99"/>
    <s v="0.99"/>
    <s v="76.40%"/>
    <s v="12.90%"/>
    <n v="13597"/>
    <n v="7608"/>
    <n v="3183"/>
    <n v="970"/>
    <n v="187"/>
    <n v="20"/>
    <n v="12729"/>
    <n v="369"/>
    <n v="1400"/>
    <n v="2987"/>
    <n v="228"/>
    <n v="63"/>
    <s v="1.1"/>
  </r>
  <r>
    <n v="8394"/>
    <x v="249"/>
    <s v="Markus KjÃ¦rbye"/>
    <x v="1"/>
    <x v="9"/>
    <s v="Endpoint"/>
    <s v="North, Dignitas, Astralis"/>
    <n v="28608"/>
    <n v="26504"/>
    <x v="113"/>
    <s v="78.5"/>
    <s v="3.9"/>
    <n v="1530"/>
    <n v="40253"/>
    <s v="0.71"/>
    <s v="0.14"/>
    <s v="0.66"/>
    <s v="0.09"/>
    <s v="0.1"/>
    <n v="19286"/>
    <s v="K - D diff."/>
    <n v="3937"/>
    <n v="4085"/>
    <s v="0.96"/>
    <s v="0.99"/>
    <s v="73.80%"/>
    <s v="13.90%"/>
    <n v="20967"/>
    <n v="12196"/>
    <n v="5229"/>
    <n v="1544"/>
    <n v="293"/>
    <n v="24"/>
    <n v="22141"/>
    <n v="195"/>
    <n v="1006"/>
    <n v="4923"/>
    <n v="363"/>
    <n v="33"/>
    <s v="1.04"/>
  </r>
  <r>
    <n v="16647"/>
    <x v="250"/>
    <s v="Brendan Williams"/>
    <x v="0"/>
    <x v="24"/>
    <s v="Gaimin Gladiators"/>
    <s v="Triumph, Infamous"/>
    <n v="14742"/>
    <n v="13762"/>
    <x v="135"/>
    <s v="78.4"/>
    <s v="6.4"/>
    <n v="802"/>
    <n v="20805"/>
    <s v="0.71"/>
    <s v="0.15"/>
    <s v="0.66"/>
    <s v="0.12"/>
    <s v="0.14"/>
    <n v="9905"/>
    <s v="K - D diff."/>
    <n v="1760"/>
    <n v="1732"/>
    <s v="1.02"/>
    <s v="0.95"/>
    <s v="73.10%"/>
    <s v="12.20%"/>
    <n v="10900"/>
    <n v="6267"/>
    <n v="2651"/>
    <n v="799"/>
    <n v="164"/>
    <n v="24"/>
    <n v="10900"/>
    <n v="197"/>
    <n v="911"/>
    <n v="2523"/>
    <n v="239"/>
    <n v="34"/>
    <s v="1.1"/>
  </r>
  <r>
    <n v="8248"/>
    <x v="251"/>
    <s v="Joakim Myrbostad"/>
    <x v="3"/>
    <x v="40"/>
    <s v="Apeks"/>
    <s v="Apeks, Renegades, FaZe, 100 Thieves"/>
    <n v="25423"/>
    <n v="24235"/>
    <x v="38"/>
    <s v="80.2"/>
    <s v="3.7"/>
    <n v="1317"/>
    <n v="34768"/>
    <s v="0.73"/>
    <s v="0.14"/>
    <s v="0.7"/>
    <s v="0.11"/>
    <s v="0.11"/>
    <n v="16853"/>
    <s v="K - D diff."/>
    <n v="4024"/>
    <n v="3779"/>
    <s v="1.06"/>
    <s v="1.06"/>
    <s v="73.70%"/>
    <s v="16.80%"/>
    <n v="17915"/>
    <n v="10444"/>
    <n v="4631"/>
    <n v="1446"/>
    <n v="299"/>
    <n v="33"/>
    <n v="19134"/>
    <n v="187"/>
    <n v="1158"/>
    <n v="4483"/>
    <n v="292"/>
    <n v="237"/>
    <s v="1.04"/>
  </r>
  <r>
    <n v="3055"/>
    <x v="252"/>
    <s v="Robin RÃ¶nnquist"/>
    <x v="3"/>
    <x v="29"/>
    <s v="EYEBALLERS"/>
    <s v="fnatic"/>
    <n v="35063"/>
    <n v="32431"/>
    <x v="169"/>
    <s v="81.1"/>
    <s v="9.2"/>
    <n v="1893"/>
    <n v="49688"/>
    <s v="0.71"/>
    <s v="0.17"/>
    <s v="0.65"/>
    <s v="0.09"/>
    <s v="0.08"/>
    <n v="23622"/>
    <s v="K - D diff."/>
    <n v="4372"/>
    <n v="4035"/>
    <s v="1.08"/>
    <s v="0.97"/>
    <s v="75.30%"/>
    <s v="12.50%"/>
    <n v="26066"/>
    <n v="15014"/>
    <n v="6304"/>
    <n v="1887"/>
    <n v="383"/>
    <n v="34"/>
    <n v="23260"/>
    <n v="1373"/>
    <n v="2914"/>
    <n v="6307"/>
    <n v="1003"/>
    <n v="270"/>
    <s v="1.04"/>
  </r>
  <r>
    <n v="13229"/>
    <x v="253"/>
    <s v="Ryan Amann"/>
    <x v="7"/>
    <x v="24"/>
    <s v="ONET4P"/>
    <s v="Spacestation, The Quest, SoaR"/>
    <n v="7426"/>
    <n v="6938"/>
    <x v="170"/>
    <s v="77.4"/>
    <s v="4.6"/>
    <n v="410"/>
    <n v="10503"/>
    <s v="0.71"/>
    <s v="0.13"/>
    <s v="0.66"/>
    <s v="0.11"/>
    <s v="0.1"/>
    <n v="4989"/>
    <s v="K - D diff."/>
    <n v="962"/>
    <n v="897"/>
    <s v="1.07"/>
    <s v="0.98"/>
    <s v="73.50%"/>
    <s v="13.20%"/>
    <n v="5514"/>
    <n v="3158"/>
    <n v="1326"/>
    <n v="414"/>
    <n v="81"/>
    <n v="10"/>
    <n v="4615"/>
    <n v="785"/>
    <n v="548"/>
    <n v="1372"/>
    <n v="98"/>
    <n v="30"/>
    <s v="1.09"/>
  </r>
  <r>
    <n v="8764"/>
    <x v="254"/>
    <s v="Ryan Palmer"/>
    <x v="8"/>
    <x v="6"/>
    <m/>
    <s v="Tainted Minds, Chiefs, Winterfox"/>
    <n v="11142"/>
    <n v="10475"/>
    <x v="155"/>
    <n v="79"/>
    <s v="3.4"/>
    <n v="618"/>
    <n v="15666"/>
    <s v="0.71"/>
    <s v="0.16"/>
    <s v="0.67"/>
    <s v="0.11"/>
    <s v="0.1"/>
    <n v="7441"/>
    <s v="K - D diff."/>
    <n v="1564"/>
    <n v="1626"/>
    <s v="0.96"/>
    <s v="0.99"/>
    <s v="75.70%"/>
    <s v="14.10%"/>
    <n v="8225"/>
    <n v="4653"/>
    <n v="2034"/>
    <n v="618"/>
    <n v="115"/>
    <n v="21"/>
    <n v="8186"/>
    <n v="98"/>
    <n v="846"/>
    <n v="1883"/>
    <n v="117"/>
    <n v="32"/>
    <s v="1.04"/>
  </r>
  <r>
    <n v="15255"/>
    <x v="255"/>
    <s v="Christopher Swahn"/>
    <x v="1"/>
    <x v="24"/>
    <m/>
    <s v="iNTACT, Bad News Bears, Detonate, Bushido Boyz"/>
    <n v="7290"/>
    <n v="6722"/>
    <x v="171"/>
    <s v="72.5"/>
    <s v="3.5"/>
    <n v="397"/>
    <n v="10421"/>
    <s v="0.7"/>
    <s v="0.1"/>
    <s v="0.65"/>
    <s v="0.1"/>
    <s v="0.1"/>
    <n v="4937"/>
    <s v="K - D diff."/>
    <n v="1221"/>
    <n v="916"/>
    <s v="1.33"/>
    <s v="1.11"/>
    <s v="73.20%"/>
    <s v="18.00%"/>
    <n v="5484"/>
    <n v="3148"/>
    <n v="1311"/>
    <n v="402"/>
    <n v="66"/>
    <n v="10"/>
    <n v="1161"/>
    <n v="4695"/>
    <n v="184"/>
    <n v="1124"/>
    <n v="102"/>
    <n v="49"/>
    <s v="1.08"/>
  </r>
  <r>
    <n v="12699"/>
    <x v="256"/>
    <s v="Daniel PÅ‚omiÅ„ski"/>
    <x v="2"/>
    <x v="17"/>
    <m/>
    <s v="x-kom, Izako Boars, Illuminar, HONORIS"/>
    <n v="15139"/>
    <n v="13810"/>
    <x v="172"/>
    <s v="73.3"/>
    <s v="3.9"/>
    <n v="809"/>
    <n v="21729"/>
    <s v="0.7"/>
    <s v="0.11"/>
    <s v="0.64"/>
    <s v="0.08"/>
    <s v="0.09"/>
    <n v="10363"/>
    <s v="K - D diff."/>
    <n v="2654"/>
    <n v="2035"/>
    <s v="1.3"/>
    <s v="1.12"/>
    <s v="73.70%"/>
    <s v="18.10%"/>
    <n v="11366"/>
    <n v="6696"/>
    <n v="2735"/>
    <n v="766"/>
    <n v="155"/>
    <n v="11"/>
    <n v="2551"/>
    <n v="9550"/>
    <n v="371"/>
    <n v="2422"/>
    <n v="221"/>
    <n v="73"/>
    <s v="1.09"/>
  </r>
  <r>
    <n v="8604"/>
    <x v="257"/>
    <s v="ZhiHong Liu"/>
    <x v="3"/>
    <x v="10"/>
    <m/>
    <s v="ViCi"/>
    <n v="15892"/>
    <n v="14709"/>
    <x v="173"/>
    <s v="80.9"/>
    <s v="5.8"/>
    <n v="874"/>
    <n v="22423"/>
    <s v="0.71"/>
    <s v="0.16"/>
    <s v="0.66"/>
    <s v="0.08"/>
    <s v="0.08"/>
    <n v="10799"/>
    <s v="K - D diff."/>
    <n v="2329"/>
    <n v="2153"/>
    <s v="1.08"/>
    <s v="1.03"/>
    <s v="77.60%"/>
    <s v="14.70%"/>
    <n v="11624"/>
    <n v="6913"/>
    <n v="2890"/>
    <n v="805"/>
    <n v="173"/>
    <n v="18"/>
    <n v="10678"/>
    <n v="591"/>
    <n v="1946"/>
    <n v="2381"/>
    <n v="251"/>
    <n v="94"/>
    <s v="1.04"/>
  </r>
  <r>
    <n v="16612"/>
    <x v="258"/>
    <s v="David Danielyan"/>
    <x v="0"/>
    <x v="2"/>
    <s v="Outsiders"/>
    <s v="K23, Winstrike, Syman"/>
    <n v="20651"/>
    <n v="19814"/>
    <x v="104"/>
    <s v="79.7"/>
    <s v="4.2"/>
    <n v="1076"/>
    <n v="28750"/>
    <s v="0.72"/>
    <s v="0.13"/>
    <s v="0.69"/>
    <s v="0.08"/>
    <s v="0.07"/>
    <n v="13571"/>
    <s v="K - D diff."/>
    <n v="3372"/>
    <n v="3298"/>
    <s v="1.02"/>
    <s v="1.06"/>
    <s v="70.70%"/>
    <s v="16.40%"/>
    <n v="15179"/>
    <n v="8339"/>
    <n v="3725"/>
    <n v="1199"/>
    <n v="275"/>
    <n v="33"/>
    <n v="14899"/>
    <n v="1015"/>
    <n v="973"/>
    <n v="3520"/>
    <n v="181"/>
    <n v="98"/>
    <s v="1.09"/>
  </r>
  <r>
    <n v="13230"/>
    <x v="259"/>
    <s v="Ian Hardy"/>
    <x v="4"/>
    <x v="24"/>
    <s v="ATK"/>
    <s v="ATK, Cloud9"/>
    <n v="18189"/>
    <n v="17218"/>
    <x v="106"/>
    <s v="76.2"/>
    <s v="3.2"/>
    <n v="958"/>
    <n v="25283"/>
    <s v="0.72"/>
    <s v="0.12"/>
    <s v="0.68"/>
    <s v="0.11"/>
    <s v="0.12"/>
    <n v="12204"/>
    <s v="K - D diff."/>
    <n v="2754"/>
    <n v="2592"/>
    <s v="1.06"/>
    <s v="1.04"/>
    <s v="74.10%"/>
    <s v="15.70%"/>
    <n v="13079"/>
    <n v="7759"/>
    <n v="3174"/>
    <n v="1031"/>
    <n v="211"/>
    <n v="29"/>
    <n v="12955"/>
    <n v="1155"/>
    <n v="1023"/>
    <n v="2946"/>
    <n v="135"/>
    <n v="35"/>
    <s v="1.09"/>
  </r>
  <r>
    <n v="2644"/>
    <x v="260"/>
    <s v="Spencer Martin"/>
    <x v="15"/>
    <x v="24"/>
    <m/>
    <s v="Liquid, Rogue"/>
    <n v="16611"/>
    <n v="15079"/>
    <x v="174"/>
    <s v="71.6"/>
    <n v="5"/>
    <n v="937"/>
    <n v="24398"/>
    <s v="0.68"/>
    <s v="0.14"/>
    <s v="0.62"/>
    <s v="0.1"/>
    <s v="0.11"/>
    <n v="11321"/>
    <s v="K - D diff."/>
    <n v="1560"/>
    <n v="1391"/>
    <s v="1.12"/>
    <s v="0.89"/>
    <s v="76.90%"/>
    <s v="9.40%"/>
    <n v="13077"/>
    <n v="7327"/>
    <n v="2944"/>
    <n v="859"/>
    <n v="172"/>
    <n v="19"/>
    <n v="12322"/>
    <n v="242"/>
    <n v="565"/>
    <n v="2929"/>
    <n v="249"/>
    <n v="336"/>
    <s v="1.04"/>
  </r>
  <r>
    <n v="12564"/>
    <x v="261"/>
    <s v="Kritthee Sawatmuang"/>
    <x v="1"/>
    <x v="26"/>
    <m/>
    <s v="Signature, Beyond, Lucid Dream"/>
    <n v="7345"/>
    <n v="7036"/>
    <x v="175"/>
    <s v="78.5"/>
    <s v="3.3"/>
    <n v="398"/>
    <n v="10155"/>
    <s v="0.72"/>
    <s v="0.13"/>
    <s v="0.69"/>
    <s v="0.11"/>
    <s v="0.11"/>
    <n v="4847"/>
    <s v="K - D diff."/>
    <n v="1227"/>
    <n v="1160"/>
    <s v="1.06"/>
    <s v="1.08"/>
    <s v="74.60%"/>
    <s v="17.20%"/>
    <n v="5308"/>
    <n v="2975"/>
    <n v="1358"/>
    <n v="411"/>
    <n v="94"/>
    <n v="9"/>
    <n v="5479"/>
    <n v="81"/>
    <n v="514"/>
    <n v="1213"/>
    <n v="68"/>
    <n v="13"/>
    <s v="1.11"/>
  </r>
  <r>
    <n v="2553"/>
    <x v="262"/>
    <s v="Janusz Pogorzelski"/>
    <x v="11"/>
    <x v="17"/>
    <m/>
    <s v="Virtus.pro, Anonymo"/>
    <n v="39509"/>
    <n v="36701"/>
    <x v="63"/>
    <s v="74.8"/>
    <s v="4.4"/>
    <n v="2127"/>
    <n v="56083"/>
    <s v="0.7"/>
    <s v="0.13"/>
    <s v="0.65"/>
    <s v="0.08"/>
    <s v="0.08"/>
    <n v="26714"/>
    <s v="K - D diff."/>
    <n v="6308"/>
    <n v="5876"/>
    <s v="1.07"/>
    <s v="1.05"/>
    <s v="73.80%"/>
    <s v="16.30%"/>
    <n v="29369"/>
    <n v="17049"/>
    <n v="7065"/>
    <n v="2156"/>
    <n v="402"/>
    <n v="42"/>
    <n v="20396"/>
    <n v="8929"/>
    <n v="2183"/>
    <n v="6728"/>
    <n v="638"/>
    <n v="680"/>
    <s v="1.04"/>
  </r>
  <r>
    <n v="9174"/>
    <x v="263"/>
    <s v="Hae-Sung Kim"/>
    <x v="2"/>
    <x v="13"/>
    <m/>
    <s v="MVP PK, MVP Project, GOSU"/>
    <n v="9678"/>
    <n v="8833"/>
    <x v="176"/>
    <s v="75.2"/>
    <s v="4.5"/>
    <n v="540"/>
    <n v="13851"/>
    <s v="0.7"/>
    <s v="0.14"/>
    <s v="0.64"/>
    <s v="0.12"/>
    <s v="0.12"/>
    <n v="6660"/>
    <s v="K - D diff."/>
    <n v="1480"/>
    <n v="1057"/>
    <s v="1.4"/>
    <s v="1.07"/>
    <s v="76.60%"/>
    <s v="15.50%"/>
    <n v="7191"/>
    <n v="4344"/>
    <n v="1712"/>
    <n v="515"/>
    <n v="81"/>
    <n v="8"/>
    <n v="3834"/>
    <n v="3315"/>
    <n v="470"/>
    <n v="1906"/>
    <n v="155"/>
    <n v="25"/>
    <s v="1.04"/>
  </r>
  <r>
    <n v="9612"/>
    <x v="264"/>
    <s v="Lucas Andersen"/>
    <x v="1"/>
    <x v="9"/>
    <m/>
    <s v="Tricked, Fragsters, MAD Lions, Astralis"/>
    <n v="15534"/>
    <n v="14571"/>
    <x v="52"/>
    <s v="80.4"/>
    <s v="5.4"/>
    <n v="817"/>
    <n v="21619"/>
    <s v="0.72"/>
    <s v="0.14"/>
    <s v="0.67"/>
    <s v="0.09"/>
    <s v="0.1"/>
    <n v="10528"/>
    <s v="K - D diff."/>
    <n v="2330"/>
    <n v="2104"/>
    <s v="1.11"/>
    <s v="1.04"/>
    <s v="73.00%"/>
    <s v="15.20%"/>
    <n v="11091"/>
    <n v="6710"/>
    <n v="2822"/>
    <n v="823"/>
    <n v="154"/>
    <n v="19"/>
    <n v="11047"/>
    <n v="874"/>
    <n v="837"/>
    <n v="2489"/>
    <n v="210"/>
    <n v="107"/>
    <s v="1.04"/>
  </r>
  <r>
    <n v="9043"/>
    <x v="265"/>
    <s v="Bradley Fodor"/>
    <x v="3"/>
    <x v="27"/>
    <m/>
    <s v="Complexity, Envy"/>
    <n v="15394"/>
    <n v="14358"/>
    <x v="106"/>
    <s v="75.7"/>
    <n v="3"/>
    <n v="835"/>
    <n v="21741"/>
    <s v="0.71"/>
    <s v="0.13"/>
    <s v="0.66"/>
    <s v="0.1"/>
    <s v="0.12"/>
    <n v="10431"/>
    <s v="K - D diff."/>
    <n v="1773"/>
    <n v="1746"/>
    <s v="1.02"/>
    <s v="0.94"/>
    <s v="69.80%"/>
    <s v="11.30%"/>
    <n v="11310"/>
    <n v="6617"/>
    <n v="2854"/>
    <n v="787"/>
    <n v="157"/>
    <n v="16"/>
    <n v="10775"/>
    <n v="609"/>
    <n v="737"/>
    <n v="2943"/>
    <n v="141"/>
    <n v="219"/>
    <s v="1.04"/>
  </r>
  <r>
    <n v="10842"/>
    <x v="266"/>
    <s v="Dener Barchfield"/>
    <x v="8"/>
    <x v="3"/>
    <s v="Los Grandes"/>
    <s v="PaquetÃ¡, Wild, Virtue"/>
    <n v="11128"/>
    <n v="10262"/>
    <x v="177"/>
    <s v="75.1"/>
    <s v="4.3"/>
    <n v="618"/>
    <n v="15955"/>
    <s v="0.7"/>
    <s v="0.13"/>
    <s v="0.64"/>
    <s v="0.09"/>
    <s v="0.1"/>
    <n v="7624"/>
    <s v="K - D diff."/>
    <n v="1557"/>
    <n v="1353"/>
    <s v="1.15"/>
    <s v="1.01"/>
    <s v="73.90%"/>
    <s v="13.50%"/>
    <n v="8331"/>
    <n v="4947"/>
    <n v="1995"/>
    <n v="546"/>
    <n v="127"/>
    <n v="9"/>
    <n v="7137"/>
    <n v="1499"/>
    <n v="612"/>
    <n v="1717"/>
    <n v="182"/>
    <n v="29"/>
    <s v="1.08"/>
  </r>
  <r>
    <n v="10870"/>
    <x v="267"/>
    <s v="Bat-Enkh Batbayar"/>
    <x v="2"/>
    <x v="21"/>
    <s v="IHC"/>
    <s v="5POWER, TheMongolz, TIGER"/>
    <n v="15043"/>
    <n v="14018"/>
    <x v="114"/>
    <s v="77.6"/>
    <s v="4.7"/>
    <n v="813"/>
    <n v="21372"/>
    <s v="0.7"/>
    <s v="0.13"/>
    <s v="0.66"/>
    <s v="0.08"/>
    <s v="0.09"/>
    <n v="10215"/>
    <s v="K - D diff."/>
    <n v="1929"/>
    <n v="1794"/>
    <s v="1.08"/>
    <s v="0.98"/>
    <s v="74.30%"/>
    <s v="12.60%"/>
    <n v="11157"/>
    <n v="6539"/>
    <n v="2713"/>
    <n v="789"/>
    <n v="159"/>
    <n v="15"/>
    <n v="10285"/>
    <n v="819"/>
    <n v="845"/>
    <n v="2647"/>
    <n v="214"/>
    <n v="274"/>
    <s v="1.09"/>
  </r>
  <r>
    <n v="8957"/>
    <x v="268"/>
    <s v="KunHua Bai"/>
    <x v="10"/>
    <x v="10"/>
    <m/>
    <s v="Flash, VG.CyberZen, VG.Flash"/>
    <n v="12939"/>
    <n v="12240"/>
    <x v="178"/>
    <n v="78"/>
    <s v="3.5"/>
    <n v="708"/>
    <n v="17977"/>
    <s v="0.72"/>
    <s v="0.15"/>
    <s v="0.68"/>
    <s v="0.11"/>
    <s v="0.11"/>
    <n v="8707"/>
    <s v="K - D diff."/>
    <n v="1950"/>
    <n v="1928"/>
    <s v="1.01"/>
    <s v="1.03"/>
    <s v="74.80%"/>
    <s v="14.90%"/>
    <n v="9270"/>
    <n v="5490"/>
    <n v="2368"/>
    <n v="691"/>
    <n v="150"/>
    <n v="8"/>
    <n v="8779"/>
    <n v="860"/>
    <n v="796"/>
    <n v="2280"/>
    <n v="119"/>
    <n v="129"/>
    <s v="1.04"/>
  </r>
  <r>
    <n v="11942"/>
    <x v="269"/>
    <s v="Timur Tulepov"/>
    <x v="4"/>
    <x v="42"/>
    <s v="Virtus.pro"/>
    <s v="AVANGAR, Virtus.pro"/>
    <n v="22503"/>
    <n v="20537"/>
    <x v="179"/>
    <s v="73.5"/>
    <s v="3.5"/>
    <n v="1252"/>
    <n v="33082"/>
    <s v="0.68"/>
    <s v="0.12"/>
    <s v="0.62"/>
    <s v="0.08"/>
    <s v="0.09"/>
    <n v="15402"/>
    <s v="K - D diff."/>
    <n v="3303"/>
    <n v="3029"/>
    <s v="1.09"/>
    <s v="1.01"/>
    <s v="74.30%"/>
    <s v="13.90%"/>
    <n v="17680"/>
    <n v="9966"/>
    <n v="4031"/>
    <n v="1169"/>
    <n v="212"/>
    <n v="24"/>
    <n v="15539"/>
    <n v="2389"/>
    <n v="636"/>
    <n v="3695"/>
    <n v="259"/>
    <n v="52"/>
    <s v="1.09"/>
  </r>
  <r>
    <n v="12317"/>
    <x v="270"/>
    <s v="Fodor Levente"/>
    <x v="0"/>
    <x v="8"/>
    <s v="Budapest Five"/>
    <s v="Budapest Five, GameAgents"/>
    <n v="10884"/>
    <n v="10448"/>
    <x v="89"/>
    <s v="79.9"/>
    <s v="2.8"/>
    <n v="567"/>
    <n v="14903"/>
    <s v="0.73"/>
    <s v="0.13"/>
    <s v="0.7"/>
    <s v="0.09"/>
    <s v="0.1"/>
    <n v="7267"/>
    <s v="K - D diff."/>
    <n v="1546"/>
    <n v="1485"/>
    <s v="1.04"/>
    <s v="1.02"/>
    <s v="71.50%"/>
    <s v="15.40%"/>
    <n v="7636"/>
    <n v="4546"/>
    <n v="1977"/>
    <n v="602"/>
    <n v="132"/>
    <n v="10"/>
    <n v="6725"/>
    <n v="1731"/>
    <n v="464"/>
    <n v="1886"/>
    <n v="91"/>
    <n v="23"/>
    <s v="1.08"/>
  </r>
  <r>
    <n v="16726"/>
    <x v="271"/>
    <s v="Love Smidebrant"/>
    <x v="16"/>
    <x v="29"/>
    <m/>
    <s v="Young Ninjas, NIP"/>
    <n v="8450"/>
    <n v="7744"/>
    <x v="180"/>
    <n v="72"/>
    <s v="2.6"/>
    <n v="461"/>
    <n v="12400"/>
    <s v="0.68"/>
    <s v="0.1"/>
    <s v="0.62"/>
    <s v="0.09"/>
    <s v="0.08"/>
    <n v="5769"/>
    <s v="K - D diff."/>
    <n v="1213"/>
    <n v="1029"/>
    <s v="1.18"/>
    <s v="1.02"/>
    <s v="74.30%"/>
    <s v="14.60%"/>
    <n v="6631"/>
    <n v="3724"/>
    <n v="1505"/>
    <n v="454"/>
    <n v="76"/>
    <n v="10"/>
    <n v="2736"/>
    <n v="3909"/>
    <n v="181"/>
    <n v="1552"/>
    <n v="67"/>
    <n v="48"/>
    <s v="1.07"/>
  </r>
  <r>
    <n v="7443"/>
    <x v="272"/>
    <s v="Simon Eliasson"/>
    <x v="2"/>
    <x v="29"/>
    <s v="Finest"/>
    <s v="GODSENT, fnatic, NIP"/>
    <n v="32522"/>
    <n v="30773"/>
    <x v="1"/>
    <s v="76.7"/>
    <n v="5"/>
    <n v="1734"/>
    <n v="45940"/>
    <s v="0.71"/>
    <s v="0.14"/>
    <s v="0.67"/>
    <s v="0.09"/>
    <s v="0.09"/>
    <n v="21834"/>
    <s v="K - D diff."/>
    <n v="5174"/>
    <n v="5113"/>
    <s v="1.01"/>
    <s v="1.04"/>
    <s v="73.00%"/>
    <s v="16.10%"/>
    <n v="24106"/>
    <n v="13847"/>
    <n v="5769"/>
    <n v="1806"/>
    <n v="360"/>
    <n v="52"/>
    <n v="16619"/>
    <n v="8144"/>
    <n v="1155"/>
    <n v="6023"/>
    <n v="479"/>
    <n v="167"/>
    <s v="1.04"/>
  </r>
  <r>
    <n v="16487"/>
    <x v="273"/>
    <s v="Sean Knutsson"/>
    <x v="7"/>
    <x v="29"/>
    <s v="Young Ninjas"/>
    <s v="GamerLegion"/>
    <n v="11072"/>
    <n v="10401"/>
    <x v="181"/>
    <s v="73.3"/>
    <s v="3.4"/>
    <n v="579"/>
    <n v="15674"/>
    <s v="0.71"/>
    <s v="0.1"/>
    <s v="0.66"/>
    <s v="0.08"/>
    <s v="0.09"/>
    <n v="7495"/>
    <s v="K - D diff."/>
    <n v="1832"/>
    <n v="1524"/>
    <s v="1.2"/>
    <s v="1.09"/>
    <s v="71.60%"/>
    <s v="16.80%"/>
    <n v="8179"/>
    <n v="4783"/>
    <n v="2001"/>
    <n v="568"/>
    <n v="132"/>
    <n v="11"/>
    <n v="3661"/>
    <n v="5245"/>
    <n v="264"/>
    <n v="1785"/>
    <n v="121"/>
    <n v="35"/>
    <s v="1.06"/>
  </r>
  <r>
    <n v="18717"/>
    <x v="274"/>
    <s v="Lucas Neves"/>
    <x v="7"/>
    <x v="3"/>
    <s v="Sharks"/>
    <s v="Sharks, DETONA, Reapers"/>
    <n v="7598"/>
    <n v="7082"/>
    <x v="106"/>
    <s v="75.6"/>
    <s v="3.1"/>
    <n v="399"/>
    <n v="10815"/>
    <s v="0.7"/>
    <s v="0.11"/>
    <s v="0.65"/>
    <s v="0.1"/>
    <s v="0.1"/>
    <n v="5165"/>
    <s v="K - D diff."/>
    <n v="1135"/>
    <n v="1135"/>
    <n v="1"/>
    <s v="1.02"/>
    <s v="72.70%"/>
    <s v="14.90%"/>
    <n v="5650"/>
    <n v="3316"/>
    <n v="1343"/>
    <n v="433"/>
    <n v="68"/>
    <n v="5"/>
    <n v="5686"/>
    <n v="430"/>
    <n v="218"/>
    <n v="1172"/>
    <n v="88"/>
    <n v="36"/>
    <s v="1.08"/>
  </r>
  <r>
    <n v="8138"/>
    <x v="275"/>
    <s v="David Prins"/>
    <x v="2"/>
    <x v="35"/>
    <m/>
    <s v="3DMAX, Heretics"/>
    <n v="14255"/>
    <n v="13246"/>
    <x v="12"/>
    <s v="77.9"/>
    <s v="7.6"/>
    <n v="774"/>
    <n v="20539"/>
    <s v="0.69"/>
    <s v="0.14"/>
    <s v="0.64"/>
    <s v="0.07"/>
    <s v="0.08"/>
    <n v="9655"/>
    <s v="K - D diff."/>
    <n v="1928"/>
    <n v="1923"/>
    <n v="1"/>
    <s v="0.98"/>
    <s v="75.10%"/>
    <s v="14.10%"/>
    <n v="10884"/>
    <n v="6129"/>
    <n v="2611"/>
    <n v="772"/>
    <n v="127"/>
    <n v="16"/>
    <n v="9318"/>
    <n v="739"/>
    <n v="1122"/>
    <n v="2278"/>
    <n v="310"/>
    <n v="507"/>
    <s v="1.03"/>
  </r>
  <r>
    <n v="839"/>
    <x v="276"/>
    <s v="BingYuan Li"/>
    <x v="9"/>
    <x v="10"/>
    <s v="WDNMD"/>
    <s v="VG.CyberZen, CyberZen, ViCi"/>
    <n v="11088"/>
    <n v="10380"/>
    <x v="182"/>
    <s v="76.7"/>
    <s v="3.5"/>
    <n v="619"/>
    <n v="15737"/>
    <s v="0.7"/>
    <s v="0.15"/>
    <s v="0.66"/>
    <s v="0.11"/>
    <s v="0.11"/>
    <n v="7522"/>
    <s v="K - D diff."/>
    <n v="1359"/>
    <n v="1332"/>
    <s v="1.02"/>
    <s v="0.96"/>
    <s v="77.10%"/>
    <s v="12.10%"/>
    <n v="8215"/>
    <n v="4803"/>
    <n v="2013"/>
    <n v="578"/>
    <n v="115"/>
    <n v="13"/>
    <n v="7448"/>
    <n v="313"/>
    <n v="1102"/>
    <n v="2090"/>
    <n v="115"/>
    <n v="45"/>
    <s v="1.03"/>
  </r>
  <r>
    <n v="4576"/>
    <x v="277"/>
    <s v="MiloÅ¡ MarÄeta"/>
    <x v="5"/>
    <x v="37"/>
    <s v="KTRL"/>
    <s v="lvlUP, 4glory, Juggernauts, BLUEJAYS"/>
    <n v="8385"/>
    <n v="7808"/>
    <x v="107"/>
    <s v="72.6"/>
    <s v="2.9"/>
    <n v="449"/>
    <n v="11891"/>
    <s v="0.71"/>
    <s v="0.1"/>
    <s v="0.66"/>
    <s v="0.09"/>
    <s v="0.1"/>
    <n v="5715"/>
    <s v="K - D diff."/>
    <n v="1333"/>
    <n v="1047"/>
    <s v="1.27"/>
    <s v="1.08"/>
    <s v="71.60%"/>
    <s v="16.50%"/>
    <n v="6176"/>
    <n v="3662"/>
    <n v="1528"/>
    <n v="443"/>
    <n v="72"/>
    <n v="10"/>
    <n v="2086"/>
    <n v="4246"/>
    <n v="512"/>
    <n v="1468"/>
    <n v="72"/>
    <n v="33"/>
    <s v="1.07"/>
  </r>
  <r>
    <n v="10557"/>
    <x v="278"/>
    <s v="Paulo Felipe"/>
    <x v="3"/>
    <x v="3"/>
    <s v="Los Grandes"/>
    <s v="paiN, Wild, Case, BigGods"/>
    <n v="13563"/>
    <n v="12364"/>
    <x v="183"/>
    <s v="69.7"/>
    <s v="2.3"/>
    <n v="771"/>
    <n v="20177"/>
    <s v="0.67"/>
    <s v="0.11"/>
    <s v="0.61"/>
    <s v="0.08"/>
    <s v="0.09"/>
    <n v="9310"/>
    <s v="K - D diff."/>
    <n v="2343"/>
    <n v="1737"/>
    <s v="1.35"/>
    <s v="1.1"/>
    <s v="74.30%"/>
    <s v="16.40%"/>
    <n v="10867"/>
    <n v="6055"/>
    <n v="2423"/>
    <n v="682"/>
    <n v="134"/>
    <n v="16"/>
    <n v="2757"/>
    <n v="7755"/>
    <n v="510"/>
    <n v="2413"/>
    <n v="101"/>
    <n v="54"/>
    <s v="1.03"/>
  </r>
  <r>
    <n v="8523"/>
    <x v="279"/>
    <s v="Tarik Celik"/>
    <x v="5"/>
    <x v="24"/>
    <m/>
    <s v="CLG, Evil Geniuses, Cloud9, OpTic"/>
    <n v="26620"/>
    <n v="25304"/>
    <x v="184"/>
    <s v="76.8"/>
    <s v="2.9"/>
    <n v="1438"/>
    <n v="37326"/>
    <s v="0.71"/>
    <s v="0.14"/>
    <s v="0.68"/>
    <s v="0.11"/>
    <s v="0.1"/>
    <n v="17847"/>
    <s v="K - D diff."/>
    <n v="4197"/>
    <n v="3980"/>
    <s v="1.05"/>
    <s v="1.05"/>
    <s v="74.40%"/>
    <s v="15.90%"/>
    <n v="19479"/>
    <n v="11207"/>
    <n v="4876"/>
    <n v="1439"/>
    <n v="292"/>
    <n v="33"/>
    <n v="18462"/>
    <n v="2211"/>
    <n v="797"/>
    <n v="4839"/>
    <n v="241"/>
    <n v="126"/>
    <s v="1.03"/>
  </r>
  <r>
    <n v="9278"/>
    <x v="280"/>
    <s v="Fredrik Sterner"/>
    <x v="1"/>
    <x v="29"/>
    <s v="NIP"/>
    <s v="NIP, Epsilon"/>
    <n v="25076"/>
    <n v="23752"/>
    <x v="185"/>
    <s v="78.3"/>
    <s v="3.9"/>
    <n v="1355"/>
    <n v="35650"/>
    <s v="0.7"/>
    <s v="0.14"/>
    <s v="0.67"/>
    <s v="0.1"/>
    <s v="0.1"/>
    <n v="16867"/>
    <s v="K - D diff."/>
    <n v="3898"/>
    <n v="3763"/>
    <s v="1.04"/>
    <s v="1.04"/>
    <s v="73.00%"/>
    <s v="15.50%"/>
    <n v="18783"/>
    <n v="10715"/>
    <n v="4466"/>
    <n v="1344"/>
    <n v="313"/>
    <n v="29"/>
    <n v="18513"/>
    <n v="979"/>
    <n v="1004"/>
    <n v="4320"/>
    <n v="239"/>
    <n v="73"/>
    <s v="1.03"/>
  </r>
  <r>
    <n v="10705"/>
    <x v="281"/>
    <s v="Krit Chaiprasit"/>
    <x v="1"/>
    <x v="26"/>
    <s v="NKT"/>
    <s v="NKT, Alpha Red, Beyond, NSPR"/>
    <n v="9693"/>
    <n v="9024"/>
    <x v="186"/>
    <s v="75.5"/>
    <s v="2.8"/>
    <n v="531"/>
    <n v="13727"/>
    <s v="0.71"/>
    <s v="0.12"/>
    <s v="0.66"/>
    <s v="0.1"/>
    <s v="0.11"/>
    <n v="6642"/>
    <s v="K - D diff."/>
    <n v="1086"/>
    <n v="990"/>
    <s v="1.1"/>
    <s v="0.94"/>
    <s v="70.60%"/>
    <s v="10.90%"/>
    <n v="7085"/>
    <n v="4302"/>
    <n v="1733"/>
    <n v="516"/>
    <n v="78"/>
    <n v="13"/>
    <n v="7478"/>
    <n v="103"/>
    <n v="449"/>
    <n v="1558"/>
    <n v="71"/>
    <n v="66"/>
    <s v="1.07"/>
  </r>
  <r>
    <n v="14171"/>
    <x v="282"/>
    <s v="Dmitry Bolotov"/>
    <x v="8"/>
    <x v="1"/>
    <m/>
    <s v="Hard Legion, Windigo Academy"/>
    <n v="6850"/>
    <n v="6166"/>
    <x v="39"/>
    <s v="71.2"/>
    <s v="4.5"/>
    <n v="382"/>
    <n v="10184"/>
    <s v="0.67"/>
    <s v="0.1"/>
    <s v="0.61"/>
    <s v="0.07"/>
    <s v="0.09"/>
    <n v="4767"/>
    <s v="K - D diff."/>
    <n v="1105"/>
    <n v="774"/>
    <s v="1.43"/>
    <s v="1.08"/>
    <s v="73.40%"/>
    <s v="16.20%"/>
    <n v="5417"/>
    <n v="3154"/>
    <n v="1206"/>
    <n v="346"/>
    <n v="59"/>
    <n v="2"/>
    <n v="1733"/>
    <n v="3560"/>
    <n v="164"/>
    <n v="1273"/>
    <n v="118"/>
    <n v="33"/>
    <s v="1.07"/>
  </r>
  <r>
    <n v="8998"/>
    <x v="283"/>
    <s v="Tiago Moura"/>
    <x v="5"/>
    <x v="48"/>
    <s v="SAW"/>
    <s v="SAW, OFFSET"/>
    <n v="16258"/>
    <n v="15385"/>
    <x v="128"/>
    <s v="75.6"/>
    <s v="5.4"/>
    <n v="889"/>
    <n v="23444"/>
    <s v="0.69"/>
    <s v="0.13"/>
    <s v="0.66"/>
    <s v="0.09"/>
    <s v="0.11"/>
    <n v="10873"/>
    <s v="K - D diff."/>
    <n v="2147"/>
    <n v="2008"/>
    <s v="1.07"/>
    <s v="0.98"/>
    <s v="71.70%"/>
    <s v="12.80%"/>
    <n v="12571"/>
    <n v="6831"/>
    <n v="2943"/>
    <n v="875"/>
    <n v="204"/>
    <n v="20"/>
    <n v="11910"/>
    <n v="343"/>
    <n v="856"/>
    <n v="2886"/>
    <n v="237"/>
    <n v="84"/>
    <s v="1.03"/>
  </r>
  <r>
    <n v="14148"/>
    <x v="284"/>
    <s v="Rasmus Beck"/>
    <x v="6"/>
    <x v="9"/>
    <s v="Heroic"/>
    <s v="Heroic, Tricked, MAD Lions"/>
    <n v="14978"/>
    <n v="13998"/>
    <x v="18"/>
    <s v="75.8"/>
    <s v="3.9"/>
    <n v="825"/>
    <n v="21810"/>
    <s v="0.69"/>
    <s v="0.13"/>
    <s v="0.64"/>
    <s v="0.1"/>
    <s v="0.11"/>
    <n v="10109"/>
    <s v="K - D diff."/>
    <n v="2046"/>
    <n v="1897"/>
    <s v="1.08"/>
    <s v="0.99"/>
    <s v="72.70%"/>
    <s v="12.80%"/>
    <n v="11701"/>
    <n v="6437"/>
    <n v="2663"/>
    <n v="836"/>
    <n v="158"/>
    <n v="15"/>
    <n v="11236"/>
    <n v="326"/>
    <n v="865"/>
    <n v="2357"/>
    <n v="174"/>
    <n v="65"/>
    <s v="1.09"/>
  </r>
  <r>
    <n v="12092"/>
    <x v="285"/>
    <s v="Maximiliano Gonzalez"/>
    <x v="6"/>
    <x v="28"/>
    <s v="9z"/>
    <s v="9z, Isurus, Furious"/>
    <n v="10448"/>
    <n v="9800"/>
    <x v="124"/>
    <s v="79.1"/>
    <s v="4.3"/>
    <n v="561"/>
    <n v="14866"/>
    <s v="0.7"/>
    <s v="0.14"/>
    <s v="0.66"/>
    <s v="0.1"/>
    <s v="0.1"/>
    <n v="7086"/>
    <s v="K - D diff."/>
    <n v="1610"/>
    <n v="1522"/>
    <s v="1.06"/>
    <s v="1.04"/>
    <s v="73.70%"/>
    <s v="15.20%"/>
    <n v="7780"/>
    <n v="4514"/>
    <n v="1906"/>
    <n v="555"/>
    <n v="98"/>
    <n v="13"/>
    <n v="8002"/>
    <n v="175"/>
    <n v="581"/>
    <n v="1600"/>
    <n v="99"/>
    <n v="30"/>
    <s v="1.11"/>
  </r>
  <r>
    <n v="10761"/>
    <x v="286"/>
    <s v="Nikola Radushev"/>
    <x v="5"/>
    <x v="25"/>
    <m/>
    <s v="Outlaws, Bpro, ex-Epsilon"/>
    <n v="8697"/>
    <n v="8268"/>
    <x v="187"/>
    <s v="76.3"/>
    <s v="3.6"/>
    <n v="480"/>
    <n v="12325"/>
    <s v="0.71"/>
    <s v="0.14"/>
    <s v="0.67"/>
    <s v="0.1"/>
    <s v="0.11"/>
    <n v="5862"/>
    <s v="K - D diff."/>
    <n v="1052"/>
    <n v="974"/>
    <s v="1.08"/>
    <s v="0.96"/>
    <s v="75.60%"/>
    <s v="12.70%"/>
    <n v="6463"/>
    <n v="3740"/>
    <n v="1548"/>
    <n v="454"/>
    <n v="101"/>
    <n v="19"/>
    <n v="6093"/>
    <n v="210"/>
    <n v="496"/>
    <n v="1808"/>
    <n v="92"/>
    <n v="25"/>
    <s v="1.07"/>
  </r>
  <r>
    <n v="11231"/>
    <x v="287"/>
    <s v="Yassine Taoufik"/>
    <x v="8"/>
    <x v="27"/>
    <m/>
    <s v="Ghost, FRENCH CANADIANS, CLG, Lazarus, Orgless"/>
    <n v="11748"/>
    <n v="11373"/>
    <x v="156"/>
    <s v="80.7"/>
    <s v="5.2"/>
    <n v="623"/>
    <n v="16275"/>
    <s v="0.72"/>
    <s v="0.15"/>
    <s v="0.7"/>
    <s v="0.09"/>
    <s v="0.09"/>
    <n v="7817"/>
    <s v="K - D diff."/>
    <n v="2050"/>
    <n v="1937"/>
    <s v="1.06"/>
    <s v="1.1"/>
    <s v="72.30%"/>
    <s v="18.00%"/>
    <n v="8458"/>
    <n v="4895"/>
    <n v="2098"/>
    <n v="658"/>
    <n v="147"/>
    <n v="19"/>
    <n v="8043"/>
    <n v="552"/>
    <n v="967"/>
    <n v="2026"/>
    <n v="167"/>
    <n v="18"/>
    <s v="1.1"/>
  </r>
  <r>
    <n v="8771"/>
    <x v="288"/>
    <s v="Karlo Pivac"/>
    <x v="3"/>
    <x v="15"/>
    <m/>
    <s v="Renegades, ORDER"/>
    <n v="20989"/>
    <n v="20058"/>
    <x v="79"/>
    <s v="77.5"/>
    <s v="3.2"/>
    <n v="1153"/>
    <n v="29801"/>
    <s v="0.7"/>
    <s v="0.14"/>
    <s v="0.67"/>
    <s v="0.1"/>
    <s v="0.1"/>
    <n v="14006"/>
    <s v="K - D diff."/>
    <n v="3249"/>
    <n v="3541"/>
    <s v="0.92"/>
    <s v="1.01"/>
    <s v="76.50%"/>
    <s v="15.50%"/>
    <n v="15795"/>
    <n v="8793"/>
    <n v="3761"/>
    <n v="1163"/>
    <n v="264"/>
    <n v="25"/>
    <n v="15518"/>
    <n v="204"/>
    <n v="1591"/>
    <n v="3442"/>
    <n v="221"/>
    <n v="61"/>
    <s v="1.03"/>
  </r>
  <r>
    <n v="16948"/>
    <x v="289"/>
    <s v="Aleksandr Timkiv"/>
    <x v="1"/>
    <x v="2"/>
    <s v="1WIN"/>
    <s v="1WIN"/>
    <n v="9492"/>
    <n v="9060"/>
    <x v="29"/>
    <s v="78.8"/>
    <s v="4.3"/>
    <n v="508"/>
    <n v="13542"/>
    <s v="0.7"/>
    <s v="0.14"/>
    <s v="0.67"/>
    <s v="0.1"/>
    <s v="0.08"/>
    <n v="6354"/>
    <s v="K - D diff."/>
    <n v="1621"/>
    <n v="1733"/>
    <s v="0.94"/>
    <s v="1.05"/>
    <s v="72.20%"/>
    <s v="16.60%"/>
    <n v="7188"/>
    <n v="4022"/>
    <n v="1681"/>
    <n v="512"/>
    <n v="123"/>
    <n v="16"/>
    <n v="7288"/>
    <n v="42"/>
    <n v="417"/>
    <n v="1645"/>
    <n v="89"/>
    <n v="45"/>
    <s v="1.11"/>
  </r>
  <r>
    <n v="13497"/>
    <x v="245"/>
    <s v="Lucas Chastang"/>
    <x v="1"/>
    <x v="0"/>
    <s v="HEET"/>
    <s v="HEET, Heretics, DBL PONEY, G2, 3DMAX"/>
    <n v="22491"/>
    <n v="21014"/>
    <x v="188"/>
    <s v="76.8"/>
    <s v="6.4"/>
    <n v="1224"/>
    <n v="32709"/>
    <s v="0.69"/>
    <s v="0.14"/>
    <s v="0.64"/>
    <s v="0.1"/>
    <s v="0.1"/>
    <n v="15284"/>
    <s v="K - D diff."/>
    <n v="3167"/>
    <n v="2858"/>
    <s v="1.11"/>
    <s v="1.01"/>
    <s v="73.20%"/>
    <s v="13.60%"/>
    <n v="17425"/>
    <n v="9841"/>
    <n v="3970"/>
    <n v="1205"/>
    <n v="245"/>
    <n v="23"/>
    <n v="14530"/>
    <n v="2790"/>
    <n v="1111"/>
    <n v="3670"/>
    <n v="411"/>
    <n v="38"/>
    <s v="1.09"/>
  </r>
  <r>
    <n v="9521"/>
    <x v="290"/>
    <s v="Gan-Erdene Batbold"/>
    <x v="6"/>
    <x v="21"/>
    <s v="NKT"/>
    <s v="5POWER, TIGER, TheMongolz"/>
    <n v="15000"/>
    <n v="14372"/>
    <x v="189"/>
    <n v="80"/>
    <s v="3.6"/>
    <n v="801"/>
    <n v="21013"/>
    <s v="0.71"/>
    <s v="0.15"/>
    <s v="0.68"/>
    <s v="0.1"/>
    <s v="0.1"/>
    <n v="10039"/>
    <s v="K - D diff."/>
    <n v="2381"/>
    <n v="2396"/>
    <s v="0.99"/>
    <s v="1.04"/>
    <s v="73.60%"/>
    <s v="15.80%"/>
    <n v="10974"/>
    <n v="6297"/>
    <n v="2722"/>
    <n v="838"/>
    <n v="165"/>
    <n v="17"/>
    <n v="11252"/>
    <n v="340"/>
    <n v="684"/>
    <n v="2567"/>
    <n v="148"/>
    <n v="51"/>
    <s v="1.03"/>
  </r>
  <r>
    <n v="8371"/>
    <x v="291"/>
    <s v="Alejandro Masanet"/>
    <x v="5"/>
    <x v="30"/>
    <s v="Movistar Riders"/>
    <s v="Movistar Riders"/>
    <n v="24213"/>
    <n v="22720"/>
    <x v="190"/>
    <s v="76.5"/>
    <s v="4.5"/>
    <n v="1315"/>
    <n v="34818"/>
    <s v="0.7"/>
    <s v="0.14"/>
    <s v="0.65"/>
    <s v="0.09"/>
    <s v="0.11"/>
    <n v="16410"/>
    <s v="K - D diff."/>
    <n v="3505"/>
    <n v="3427"/>
    <s v="1.02"/>
    <s v="1.01"/>
    <s v="72.20%"/>
    <s v="14.30%"/>
    <n v="18408"/>
    <n v="10479"/>
    <n v="4352"/>
    <n v="1315"/>
    <n v="239"/>
    <n v="25"/>
    <n v="17048"/>
    <n v="1257"/>
    <n v="1328"/>
    <n v="4226"/>
    <n v="362"/>
    <n v="53"/>
    <s v="1.03"/>
  </r>
  <r>
    <n v="2555"/>
    <x v="292"/>
    <s v="Yaman Ergenekon"/>
    <x v="10"/>
    <x v="15"/>
    <m/>
    <s v="Renegades, Tainted Minds"/>
    <n v="9755"/>
    <n v="9105"/>
    <x v="191"/>
    <s v="74.5"/>
    <s v="4.9"/>
    <n v="547"/>
    <n v="14003"/>
    <s v="0.7"/>
    <s v="0.13"/>
    <s v="0.65"/>
    <s v="0.09"/>
    <s v="0.09"/>
    <n v="6656"/>
    <s v="K - D diff."/>
    <n v="1771"/>
    <n v="1377"/>
    <s v="1.29"/>
    <s v="1.14"/>
    <s v="78.40%"/>
    <s v="18.20%"/>
    <n v="7347"/>
    <n v="4288"/>
    <n v="1756"/>
    <n v="512"/>
    <n v="87"/>
    <n v="13"/>
    <n v="3399"/>
    <n v="3743"/>
    <n v="554"/>
    <n v="1808"/>
    <n v="213"/>
    <n v="60"/>
    <s v="1.03"/>
  </r>
  <r>
    <n v="19673"/>
    <x v="293"/>
    <s v="Robert Isyanov"/>
    <x v="13"/>
    <x v="2"/>
    <s v="Spirit"/>
    <s v="Spirit, Espada, Spirit Academy"/>
    <n v="9880"/>
    <n v="9564"/>
    <x v="192"/>
    <s v="79.1"/>
    <s v="3.8"/>
    <n v="516"/>
    <n v="13868"/>
    <s v="0.71"/>
    <s v="0.13"/>
    <s v="0.69"/>
    <s v="0.11"/>
    <s v="0.1"/>
    <n v="6551"/>
    <s v="K - D diff."/>
    <n v="1590"/>
    <n v="1629"/>
    <s v="0.98"/>
    <s v="1.04"/>
    <s v="74.70%"/>
    <s v="16.40%"/>
    <n v="7317"/>
    <n v="4068"/>
    <n v="1789"/>
    <n v="555"/>
    <n v="126"/>
    <n v="13"/>
    <n v="7360"/>
    <n v="436"/>
    <n v="492"/>
    <n v="1500"/>
    <n v="87"/>
    <n v="39"/>
    <s v="1.09"/>
  </r>
  <r>
    <n v="9279"/>
    <x v="294"/>
    <s v="Joakim Gustafsson"/>
    <x v="11"/>
    <x v="29"/>
    <m/>
    <s v="Chaos, Red Reserve, Japaleno, Apeks, Galaxy Racer"/>
    <n v="21475"/>
    <n v="19530"/>
    <x v="193"/>
    <s v="72.5"/>
    <s v="4.3"/>
    <n v="1203"/>
    <n v="32043"/>
    <s v="0.67"/>
    <s v="0.12"/>
    <s v="0.61"/>
    <s v="0.09"/>
    <s v="0.09"/>
    <n v="14869"/>
    <s v="K - D diff."/>
    <n v="3384"/>
    <n v="2520"/>
    <s v="1.34"/>
    <s v="1.06"/>
    <s v="73.40%"/>
    <s v="15.40%"/>
    <n v="17174"/>
    <n v="9754"/>
    <n v="3860"/>
    <n v="1042"/>
    <n v="190"/>
    <n v="23"/>
    <n v="6922"/>
    <n v="9827"/>
    <n v="608"/>
    <n v="3788"/>
    <n v="308"/>
    <n v="107"/>
    <s v="1.03"/>
  </r>
  <r>
    <n v="3847"/>
    <x v="295"/>
    <s v="Andreas Lindberg"/>
    <x v="11"/>
    <x v="29"/>
    <m/>
    <s v="GODSENT, fnatic, EURONICS"/>
    <n v="19778"/>
    <n v="18708"/>
    <x v="179"/>
    <s v="76.8"/>
    <s v="4.3"/>
    <n v="1050"/>
    <n v="27577"/>
    <s v="0.72"/>
    <s v="0.15"/>
    <s v="0.68"/>
    <s v="0.1"/>
    <s v="0.1"/>
    <n v="13463"/>
    <s v="K - D diff."/>
    <n v="2724"/>
    <n v="2477"/>
    <s v="1.1"/>
    <s v="1.01"/>
    <s v="73.00%"/>
    <s v="14.30%"/>
    <n v="14114"/>
    <n v="8651"/>
    <n v="3568"/>
    <n v="1042"/>
    <n v="179"/>
    <n v="23"/>
    <n v="13453"/>
    <n v="1722"/>
    <n v="787"/>
    <n v="3336"/>
    <n v="384"/>
    <n v="128"/>
    <s v="1.03"/>
  </r>
  <r>
    <n v="9358"/>
    <x v="296"/>
    <s v="Patrik StuchlÃ­k"/>
    <x v="8"/>
    <x v="18"/>
    <m/>
    <s v="eXtatus"/>
    <n v="9988"/>
    <n v="9406"/>
    <x v="194"/>
    <s v="72.4"/>
    <s v="2.7"/>
    <n v="549"/>
    <n v="14256"/>
    <s v="0.7"/>
    <s v="0.1"/>
    <s v="0.66"/>
    <s v="0.09"/>
    <s v="0.1"/>
    <n v="6792"/>
    <s v="K - D diff."/>
    <n v="1491"/>
    <n v="1324"/>
    <s v="1.13"/>
    <s v="1.03"/>
    <s v="76.90%"/>
    <s v="15.30%"/>
    <n v="7464"/>
    <n v="4355"/>
    <n v="1798"/>
    <n v="532"/>
    <n v="94"/>
    <n v="13"/>
    <n v="3446"/>
    <n v="4069"/>
    <n v="351"/>
    <n v="2026"/>
    <n v="85"/>
    <n v="26"/>
    <s v="1.03"/>
  </r>
  <r>
    <n v="9349"/>
    <x v="297"/>
    <s v="Ivan Semenets"/>
    <x v="5"/>
    <x v="1"/>
    <s v="GUESS"/>
    <s v="pro100, spray'n'pray"/>
    <n v="12635"/>
    <n v="12043"/>
    <x v="184"/>
    <s v="74.2"/>
    <s v="3.2"/>
    <n v="694"/>
    <n v="18045"/>
    <s v="0.7"/>
    <s v="0.11"/>
    <s v="0.67"/>
    <s v="0.1"/>
    <s v="0.1"/>
    <n v="8487"/>
    <s v="K - D diff."/>
    <n v="2101"/>
    <n v="1832"/>
    <s v="1.15"/>
    <s v="1.08"/>
    <s v="71.30%"/>
    <s v="16.90%"/>
    <n v="9558"/>
    <n v="5377"/>
    <n v="2243"/>
    <n v="716"/>
    <n v="131"/>
    <n v="20"/>
    <n v="4625"/>
    <n v="4915"/>
    <n v="654"/>
    <n v="2264"/>
    <n v="125"/>
    <n v="77"/>
    <s v="1.03"/>
  </r>
  <r>
    <n v="11777"/>
    <x v="298"/>
    <s v="Pavle BoÅ¡koviÄ‡"/>
    <x v="6"/>
    <x v="49"/>
    <s v="ENCE"/>
    <s v="ENCE, GODSENT, FunPlus Phoenix, SMASH"/>
    <n v="13472"/>
    <n v="13101"/>
    <x v="104"/>
    <s v="79.5"/>
    <s v="5.3"/>
    <n v="699"/>
    <n v="18623"/>
    <s v="0.72"/>
    <s v="0.14"/>
    <s v="0.7"/>
    <s v="0.09"/>
    <s v="0.1"/>
    <n v="8981"/>
    <s v="K - D diff."/>
    <n v="2333"/>
    <n v="2356"/>
    <s v="0.99"/>
    <s v="1.08"/>
    <s v="71.20%"/>
    <s v="17.50%"/>
    <n v="9642"/>
    <n v="5656"/>
    <n v="2359"/>
    <n v="777"/>
    <n v="178"/>
    <n v="11"/>
    <n v="9432"/>
    <n v="849"/>
    <n v="750"/>
    <n v="2233"/>
    <n v="184"/>
    <n v="71"/>
    <s v="1.08"/>
  </r>
  <r>
    <n v="5187"/>
    <x v="299"/>
    <s v="Ke Liu"/>
    <x v="10"/>
    <x v="10"/>
    <s v="Steel Helmet"/>
    <s v="TYLOO, OneThree"/>
    <n v="14956"/>
    <n v="14339"/>
    <x v="195"/>
    <s v="74.2"/>
    <s v="2.5"/>
    <n v="814"/>
    <n v="20980"/>
    <s v="0.71"/>
    <s v="0.12"/>
    <s v="0.68"/>
    <s v="0.1"/>
    <s v="0.1"/>
    <n v="10057"/>
    <s v="K - D diff."/>
    <n v="2528"/>
    <n v="2453"/>
    <s v="1.03"/>
    <s v="1.07"/>
    <s v="76.90%"/>
    <s v="16.60%"/>
    <n v="10923"/>
    <n v="6370"/>
    <n v="2682"/>
    <n v="813"/>
    <n v="178"/>
    <n v="14"/>
    <n v="7174"/>
    <n v="4145"/>
    <n v="850"/>
    <n v="2636"/>
    <n v="130"/>
    <n v="47"/>
    <s v="1.03"/>
  </r>
  <r>
    <n v="13018"/>
    <x v="300"/>
    <s v="Thomas Utting"/>
    <x v="1"/>
    <x v="5"/>
    <m/>
    <s v="Endpoint"/>
    <n v="17959"/>
    <n v="17065"/>
    <x v="196"/>
    <s v="81.1"/>
    <s v="5.4"/>
    <n v="948"/>
    <n v="25198"/>
    <s v="0.71"/>
    <s v="0.17"/>
    <s v="0.68"/>
    <s v="0.11"/>
    <s v="0.11"/>
    <n v="12199"/>
    <s v="K - D diff."/>
    <n v="2521"/>
    <n v="2220"/>
    <s v="1.14"/>
    <s v="1.02"/>
    <s v="74.90%"/>
    <s v="14.70%"/>
    <n v="12999"/>
    <n v="7811"/>
    <n v="3238"/>
    <n v="947"/>
    <n v="184"/>
    <n v="19"/>
    <n v="12825"/>
    <n v="494"/>
    <n v="1339"/>
    <n v="3047"/>
    <n v="232"/>
    <n v="76"/>
    <s v="1.12"/>
  </r>
  <r>
    <n v="11337"/>
    <x v="301"/>
    <s v="Rodrigo Figueiredo"/>
    <x v="4"/>
    <x v="3"/>
    <s v="Case"/>
    <s v="Sharks, Yeah, High Coast"/>
    <n v="12100"/>
    <n v="11539"/>
    <x v="197"/>
    <s v="75.1"/>
    <s v="2.9"/>
    <n v="649"/>
    <n v="17027"/>
    <s v="0.71"/>
    <s v="0.11"/>
    <s v="0.68"/>
    <s v="0.1"/>
    <s v="0.1"/>
    <n v="8150"/>
    <s v="K - D diff."/>
    <n v="2308"/>
    <n v="2014"/>
    <s v="1.15"/>
    <s v="1.15"/>
    <s v="73.80%"/>
    <s v="19.90%"/>
    <n v="8877"/>
    <n v="5114"/>
    <n v="2269"/>
    <n v="634"/>
    <n v="119"/>
    <n v="14"/>
    <n v="5242"/>
    <n v="3866"/>
    <n v="774"/>
    <n v="2055"/>
    <n v="107"/>
    <n v="102"/>
    <s v="1.09"/>
  </r>
  <r>
    <n v="10499"/>
    <x v="302"/>
    <s v="Jonathan MuÃ±oz"/>
    <x v="14"/>
    <x v="38"/>
    <s v="Leviatan"/>
    <s v="Gale Force, Miami Flamingos, Furious, Isurus"/>
    <n v="7625"/>
    <n v="7272"/>
    <x v="191"/>
    <n v="75"/>
    <s v="3.7"/>
    <n v="425"/>
    <n v="10919"/>
    <s v="0.7"/>
    <s v="0.11"/>
    <s v="0.67"/>
    <s v="0.09"/>
    <s v="0.09"/>
    <n v="5151"/>
    <s v="K - D diff."/>
    <n v="1416"/>
    <n v="1089"/>
    <s v="1.3"/>
    <s v="1.15"/>
    <s v="71.80%"/>
    <s v="18.90%"/>
    <n v="5768"/>
    <n v="3305"/>
    <n v="1336"/>
    <n v="406"/>
    <n v="90"/>
    <n v="14"/>
    <n v="2262"/>
    <n v="3566"/>
    <n v="308"/>
    <n v="1377"/>
    <n v="105"/>
    <n v="26"/>
    <s v="1.03"/>
  </r>
  <r>
    <n v="8183"/>
    <x v="303"/>
    <s v="HÃ¥vard Nygaard"/>
    <x v="2"/>
    <x v="40"/>
    <s v="FaZe"/>
    <s v="FaZe"/>
    <n v="30599"/>
    <n v="29728"/>
    <x v="91"/>
    <s v="79.9"/>
    <s v="3.6"/>
    <n v="1627"/>
    <n v="43068"/>
    <s v="0.71"/>
    <s v="0.15"/>
    <s v="0.69"/>
    <s v="0.1"/>
    <s v="0.09"/>
    <n v="20290"/>
    <s v="K - D diff."/>
    <n v="5345"/>
    <n v="5533"/>
    <s v="0.97"/>
    <s v="1.07"/>
    <s v="74.00%"/>
    <s v="17.60%"/>
    <n v="22778"/>
    <n v="12646"/>
    <n v="5453"/>
    <n v="1779"/>
    <n v="360"/>
    <n v="52"/>
    <n v="22782"/>
    <n v="213"/>
    <n v="1545"/>
    <n v="5748"/>
    <n v="268"/>
    <n v="94"/>
    <s v="1.03"/>
  </r>
  <r>
    <n v="12782"/>
    <x v="304"/>
    <s v="Marko ÄorÄ‘eviÄ‡"/>
    <x v="5"/>
    <x v="32"/>
    <m/>
    <s v="ALTERNATE aTTaX, Sprout, EURONICS"/>
    <n v="20337"/>
    <n v="19172"/>
    <x v="179"/>
    <s v="75.6"/>
    <s v="3.8"/>
    <n v="1102"/>
    <n v="29508"/>
    <s v="0.69"/>
    <s v="0.13"/>
    <s v="0.65"/>
    <s v="0.1"/>
    <s v="0.1"/>
    <n v="13764"/>
    <s v="K - D diff."/>
    <n v="2518"/>
    <n v="2249"/>
    <s v="1.12"/>
    <s v="0.97"/>
    <s v="72.10%"/>
    <s v="12.10%"/>
    <n v="15744"/>
    <n v="8774"/>
    <n v="3660"/>
    <n v="1096"/>
    <n v="215"/>
    <n v="19"/>
    <n v="15370"/>
    <n v="233"/>
    <n v="1216"/>
    <n v="3272"/>
    <n v="234"/>
    <n v="48"/>
    <s v="1.07"/>
  </r>
  <r>
    <n v="17353"/>
    <x v="305"/>
    <s v="Danny Strzelczyk"/>
    <x v="4"/>
    <x v="24"/>
    <s v="BHOP"/>
    <s v="Triumph"/>
    <n v="8583"/>
    <n v="8457"/>
    <x v="198"/>
    <s v="81.1"/>
    <n v="5"/>
    <n v="455"/>
    <n v="11795"/>
    <s v="0.73"/>
    <s v="0.14"/>
    <s v="0.72"/>
    <s v="0.1"/>
    <s v="0.08"/>
    <n v="5669"/>
    <s v="K - D diff."/>
    <n v="1515"/>
    <n v="1438"/>
    <s v="1.05"/>
    <s v="1.11"/>
    <s v="71.20%"/>
    <s v="18.40%"/>
    <n v="6126"/>
    <n v="3522"/>
    <n v="1517"/>
    <n v="506"/>
    <n v="111"/>
    <n v="13"/>
    <n v="4534"/>
    <n v="2054"/>
    <n v="420"/>
    <n v="1476"/>
    <n v="96"/>
    <n v="40"/>
    <s v="1.09"/>
  </r>
  <r>
    <n v="7775"/>
    <x v="306"/>
    <s v="Juho Lampinen"/>
    <x v="2"/>
    <x v="23"/>
    <s v="Budapest Five"/>
    <s v="ENCE, iGame.com"/>
    <n v="14727"/>
    <n v="14535"/>
    <x v="79"/>
    <s v="78.7"/>
    <s v="2.4"/>
    <n v="769"/>
    <n v="20213"/>
    <s v="0.73"/>
    <s v="0.14"/>
    <s v="0.72"/>
    <s v="0.1"/>
    <s v="0.09"/>
    <n v="9698"/>
    <s v="K - D diff."/>
    <n v="2612"/>
    <n v="2731"/>
    <s v="0.96"/>
    <s v="1.09"/>
    <s v="73.50%"/>
    <s v="18.70%"/>
    <n v="10515"/>
    <n v="5977"/>
    <n v="2650"/>
    <n v="857"/>
    <n v="193"/>
    <n v="21"/>
    <n v="9212"/>
    <n v="1381"/>
    <n v="965"/>
    <n v="2977"/>
    <n v="91"/>
    <n v="124"/>
    <s v="1.03"/>
  </r>
  <r>
    <n v="3732"/>
    <x v="307"/>
    <s v="Maciej Miklas"/>
    <x v="16"/>
    <x v="17"/>
    <s v="OG"/>
    <s v="lvlUP, RESISTANCE, ONYX, 4glory"/>
    <n v="11580"/>
    <n v="11225"/>
    <x v="199"/>
    <s v="77.9"/>
    <s v="5.1"/>
    <n v="608"/>
    <n v="16549"/>
    <s v="0.7"/>
    <s v="0.13"/>
    <s v="0.68"/>
    <s v="0.09"/>
    <s v="0.09"/>
    <n v="7687"/>
    <s v="K - D diff."/>
    <n v="1680"/>
    <n v="1820"/>
    <s v="0.92"/>
    <s v="0.99"/>
    <s v="70.10%"/>
    <s v="14.10%"/>
    <n v="8862"/>
    <n v="4814"/>
    <n v="2049"/>
    <n v="644"/>
    <n v="164"/>
    <n v="16"/>
    <n v="8612"/>
    <n v="366"/>
    <n v="378"/>
    <n v="2085"/>
    <n v="151"/>
    <n v="48"/>
    <s v="1.07"/>
  </r>
  <r>
    <n v="19044"/>
    <x v="308"/>
    <s v="Dimitrije VeljkoviÄ‡"/>
    <x v="3"/>
    <x v="37"/>
    <s v="ex-4glory"/>
    <s v="AGO"/>
    <n v="12061"/>
    <n v="11567"/>
    <x v="200"/>
    <s v="79.1"/>
    <s v="4.4"/>
    <n v="649"/>
    <n v="17082"/>
    <s v="0.71"/>
    <s v="0.15"/>
    <s v="0.68"/>
    <s v="0.11"/>
    <s v="0.12"/>
    <n v="8095"/>
    <s v="K - D diff."/>
    <n v="1617"/>
    <n v="1615"/>
    <n v="1"/>
    <s v="0.98"/>
    <s v="72.60%"/>
    <s v="13.90%"/>
    <n v="8987"/>
    <n v="5107"/>
    <n v="2164"/>
    <n v="685"/>
    <n v="126"/>
    <n v="13"/>
    <n v="9182"/>
    <n v="83"/>
    <n v="645"/>
    <n v="1935"/>
    <n v="147"/>
    <n v="89"/>
    <s v="1.03"/>
  </r>
  <r>
    <n v="8800"/>
    <x v="309"/>
    <s v="Stefan Seier"/>
    <x v="11"/>
    <x v="32"/>
    <s v="cowana"/>
    <s v="ALTERNATE aTTaX"/>
    <n v="24939"/>
    <n v="23516"/>
    <x v="137"/>
    <s v="75.7"/>
    <n v="4"/>
    <n v="1355"/>
    <n v="35985"/>
    <s v="0.69"/>
    <s v="0.14"/>
    <s v="0.65"/>
    <s v="0.1"/>
    <s v="0.12"/>
    <n v="16943"/>
    <s v="K - D diff."/>
    <n v="3555"/>
    <n v="3156"/>
    <s v="1.13"/>
    <s v="1.01"/>
    <s v="71.60%"/>
    <s v="13.90%"/>
    <n v="19042"/>
    <n v="10857"/>
    <n v="4480"/>
    <n v="1323"/>
    <n v="263"/>
    <n v="20"/>
    <n v="17713"/>
    <n v="1282"/>
    <n v="1071"/>
    <n v="4544"/>
    <n v="310"/>
    <n v="65"/>
    <s v="1.03"/>
  </r>
  <r>
    <n v="19021"/>
    <x v="310"/>
    <s v="Hugo GÃ¼nther"/>
    <x v="17"/>
    <x v="29"/>
    <s v="Apeks"/>
    <s v="Galaxy Racer, Apeks"/>
    <n v="7398"/>
    <n v="6961"/>
    <x v="195"/>
    <s v="74.6"/>
    <s v="4.2"/>
    <n v="405"/>
    <n v="10828"/>
    <s v="0.68"/>
    <s v="0.13"/>
    <s v="0.64"/>
    <s v="0.09"/>
    <s v="0.09"/>
    <n v="5019"/>
    <s v="K - D diff."/>
    <n v="1106"/>
    <n v="1214"/>
    <s v="0.91"/>
    <s v="0.99"/>
    <s v="71.80%"/>
    <s v="14.10%"/>
    <n v="5809"/>
    <n v="3223"/>
    <n v="1312"/>
    <n v="392"/>
    <n v="85"/>
    <n v="7"/>
    <n v="4435"/>
    <n v="1405"/>
    <n v="263"/>
    <n v="1198"/>
    <n v="89"/>
    <n v="40"/>
    <s v="1.07"/>
  </r>
  <r>
    <n v="15835"/>
    <x v="311"/>
    <s v="Ã–mer KarataÅŸ"/>
    <x v="4"/>
    <x v="7"/>
    <s v="Eternal Fire"/>
    <s v="Eternal Fire, Sangal, Royal Bandits"/>
    <n v="12578"/>
    <n v="12425"/>
    <x v="104"/>
    <s v="79.9"/>
    <s v="4.4"/>
    <n v="650"/>
    <n v="17397"/>
    <s v="0.72"/>
    <s v="0.13"/>
    <s v="0.71"/>
    <s v="0.1"/>
    <s v="0.09"/>
    <n v="8280"/>
    <s v="K - D diff."/>
    <n v="2698"/>
    <n v="2567"/>
    <s v="1.05"/>
    <s v="1.2"/>
    <s v="72.50%"/>
    <s v="22.00%"/>
    <n v="9117"/>
    <n v="5127"/>
    <n v="2220"/>
    <n v="739"/>
    <n v="176"/>
    <n v="18"/>
    <n v="7697"/>
    <n v="1952"/>
    <n v="774"/>
    <n v="1946"/>
    <n v="164"/>
    <n v="86"/>
    <s v="1.1"/>
  </r>
  <r>
    <n v="11576"/>
    <x v="312"/>
    <s v="Wei Wang"/>
    <x v="9"/>
    <x v="10"/>
    <s v="R-Stars"/>
    <s v="5POWER, Eclipse"/>
    <n v="9880"/>
    <n v="9388"/>
    <x v="18"/>
    <n v="76"/>
    <s v="3.5"/>
    <n v="549"/>
    <n v="14214"/>
    <s v="0.7"/>
    <s v="0.14"/>
    <s v="0.66"/>
    <s v="0.11"/>
    <s v="0.11"/>
    <n v="6683"/>
    <s v="K - D diff."/>
    <n v="1193"/>
    <n v="1134"/>
    <s v="1.05"/>
    <s v="0.95"/>
    <s v="73.20%"/>
    <s v="11.70%"/>
    <n v="7531"/>
    <n v="4269"/>
    <n v="1767"/>
    <n v="523"/>
    <n v="112"/>
    <n v="12"/>
    <n v="7524"/>
    <n v="108"/>
    <n v="442"/>
    <n v="1736"/>
    <n v="90"/>
    <n v="6"/>
    <s v="1.08"/>
  </r>
  <r>
    <n v="8095"/>
    <x v="313"/>
    <s v="Philip Aistrup"/>
    <x v="5"/>
    <x v="9"/>
    <s v="Tokyo Revengers"/>
    <s v="North, Dignitas, FaZe"/>
    <n v="28807"/>
    <n v="27637"/>
    <x v="13"/>
    <s v="75.6"/>
    <s v="4.3"/>
    <n v="1564"/>
    <n v="41206"/>
    <s v="0.7"/>
    <s v="0.14"/>
    <s v="0.67"/>
    <s v="0.1"/>
    <s v="0.1"/>
    <n v="19245"/>
    <s v="K - D diff."/>
    <n v="4244"/>
    <n v="4170"/>
    <s v="1.02"/>
    <s v="1.01"/>
    <s v="73.00%"/>
    <s v="14.60%"/>
    <n v="21961"/>
    <n v="12069"/>
    <n v="5206"/>
    <n v="1615"/>
    <n v="317"/>
    <n v="38"/>
    <n v="20670"/>
    <n v="1274"/>
    <n v="1439"/>
    <n v="5003"/>
    <n v="355"/>
    <n v="108"/>
    <s v="1.03"/>
  </r>
  <r>
    <n v="15565"/>
    <x v="314"/>
    <s v="Jarkko Rahja"/>
    <x v="0"/>
    <x v="23"/>
    <s v="HAVU"/>
    <s v="KOVA, hREDS"/>
    <n v="8415"/>
    <n v="8026"/>
    <x v="201"/>
    <s v="70.4"/>
    <s v="2.3"/>
    <n v="448"/>
    <n v="12107"/>
    <s v="0.7"/>
    <s v="0.09"/>
    <s v="0.66"/>
    <s v="0.09"/>
    <s v="0.09"/>
    <n v="5678"/>
    <s v="K - D diff."/>
    <n v="1527"/>
    <n v="1216"/>
    <s v="1.26"/>
    <s v="1.13"/>
    <s v="71.10%"/>
    <s v="18.60%"/>
    <n v="6429"/>
    <n v="3641"/>
    <n v="1449"/>
    <n v="484"/>
    <n v="96"/>
    <n v="8"/>
    <n v="2149"/>
    <n v="4521"/>
    <n v="226"/>
    <n v="1448"/>
    <n v="63"/>
    <n v="36"/>
    <s v="1.05"/>
  </r>
  <r>
    <n v="11737"/>
    <x v="315"/>
    <s v="Dylan Sabin-Arnce"/>
    <x v="5"/>
    <x v="24"/>
    <m/>
    <s v="Monstars, Denial"/>
    <n v="7573"/>
    <n v="7418"/>
    <x v="202"/>
    <s v="77.6"/>
    <s v="3.4"/>
    <n v="406"/>
    <n v="10568"/>
    <s v="0.72"/>
    <s v="0.13"/>
    <s v="0.7"/>
    <s v="0.1"/>
    <s v="0.11"/>
    <n v="5029"/>
    <s v="K - D diff."/>
    <n v="956"/>
    <n v="919"/>
    <s v="1.04"/>
    <s v="0.97"/>
    <s v="73.70%"/>
    <s v="13.80%"/>
    <n v="5539"/>
    <n v="3155"/>
    <n v="1329"/>
    <n v="431"/>
    <n v="103"/>
    <n v="11"/>
    <n v="5265"/>
    <n v="178"/>
    <n v="631"/>
    <n v="1419"/>
    <n v="87"/>
    <n v="13"/>
    <s v="1.06"/>
  </r>
  <r>
    <n v="1146"/>
    <x v="316"/>
    <s v="Dennis Edman"/>
    <x v="9"/>
    <x v="29"/>
    <m/>
    <s v="Apeks, fnatic, NIP, GamerLegion"/>
    <n v="29842"/>
    <n v="28702"/>
    <x v="203"/>
    <s v="76.5"/>
    <n v="4"/>
    <n v="1575"/>
    <n v="41834"/>
    <s v="0.71"/>
    <s v="0.12"/>
    <s v="0.69"/>
    <s v="0.09"/>
    <s v="0.1"/>
    <n v="20154"/>
    <s v="K - D diff."/>
    <n v="4356"/>
    <n v="3997"/>
    <s v="1.09"/>
    <s v="1.03"/>
    <s v="73.70%"/>
    <s v="15.00%"/>
    <n v="21680"/>
    <n v="12864"/>
    <n v="5312"/>
    <n v="1607"/>
    <n v="335"/>
    <n v="36"/>
    <n v="20505"/>
    <n v="2668"/>
    <n v="912"/>
    <n v="5385"/>
    <n v="339"/>
    <n v="82"/>
    <s v="1.03"/>
  </r>
  <r>
    <n v="9875"/>
    <x v="317"/>
    <s v="Victor Wong"/>
    <x v="8"/>
    <x v="24"/>
    <m/>
    <s v="eUnited, Singularity, Freedom 35"/>
    <n v="8248"/>
    <n v="7868"/>
    <x v="117"/>
    <s v="77.2"/>
    <s v="3.9"/>
    <n v="456"/>
    <n v="11711"/>
    <s v="0.7"/>
    <s v="0.14"/>
    <s v="0.67"/>
    <s v="0.11"/>
    <s v="0.11"/>
    <n v="5593"/>
    <s v="K - D diff."/>
    <n v="1209"/>
    <n v="1172"/>
    <s v="1.03"/>
    <s v="1.02"/>
    <s v="70.70%"/>
    <s v="13.90%"/>
    <n v="6118"/>
    <n v="3593"/>
    <n v="1444"/>
    <n v="463"/>
    <n v="87"/>
    <n v="6"/>
    <n v="5296"/>
    <n v="849"/>
    <n v="605"/>
    <n v="1376"/>
    <n v="106"/>
    <n v="40"/>
    <s v="1.03"/>
  </r>
  <r>
    <n v="8503"/>
    <x v="318"/>
    <s v="Erik Flom"/>
    <x v="11"/>
    <x v="24"/>
    <s v="Mythic"/>
    <s v="Mythic"/>
    <n v="12430"/>
    <n v="11781"/>
    <x v="204"/>
    <n v="74"/>
    <s v="3.6"/>
    <n v="674"/>
    <n v="17775"/>
    <s v="0.7"/>
    <s v="0.12"/>
    <s v="0.66"/>
    <s v="0.1"/>
    <s v="0.1"/>
    <n v="8451"/>
    <s v="K - D diff."/>
    <n v="1929"/>
    <n v="1696"/>
    <s v="1.14"/>
    <s v="1.05"/>
    <s v="72.90%"/>
    <s v="16.30%"/>
    <n v="9324"/>
    <n v="5411"/>
    <n v="2256"/>
    <n v="647"/>
    <n v="121"/>
    <n v="16"/>
    <n v="3698"/>
    <n v="5521"/>
    <n v="570"/>
    <n v="2427"/>
    <n v="164"/>
    <n v="82"/>
    <s v="1.03"/>
  </r>
  <r>
    <n v="13982"/>
    <x v="319"/>
    <s v="Igor Bezotecheskiy"/>
    <x v="4"/>
    <x v="2"/>
    <s v="Entropiq"/>
    <s v="Entropiq, DreamEaters, Hard Legion"/>
    <n v="22323"/>
    <n v="21240"/>
    <x v="205"/>
    <s v="76.4"/>
    <s v="3.4"/>
    <n v="1211"/>
    <n v="32174"/>
    <s v="0.69"/>
    <s v="0.13"/>
    <s v="0.66"/>
    <s v="0.09"/>
    <s v="0.09"/>
    <n v="15071"/>
    <s v="K - D diff."/>
    <n v="3308"/>
    <n v="3025"/>
    <s v="1.09"/>
    <s v="1.02"/>
    <s v="74.70%"/>
    <s v="14.90%"/>
    <n v="17103"/>
    <n v="9577"/>
    <n v="4023"/>
    <n v="1217"/>
    <n v="221"/>
    <n v="33"/>
    <n v="17361"/>
    <n v="111"/>
    <n v="920"/>
    <n v="3616"/>
    <n v="297"/>
    <n v="83"/>
    <s v="1.08"/>
  </r>
  <r>
    <n v="15501"/>
    <x v="320"/>
    <s v="Jonathan Bodenmalm"/>
    <x v="1"/>
    <x v="29"/>
    <s v="ATK"/>
    <s v="ATK, Lilmix"/>
    <n v="9950"/>
    <n v="9399"/>
    <x v="206"/>
    <s v="73.6"/>
    <s v="4.8"/>
    <n v="542"/>
    <n v="14478"/>
    <s v="0.69"/>
    <s v="0.11"/>
    <s v="0.65"/>
    <s v="0.09"/>
    <s v="0.08"/>
    <n v="6750"/>
    <s v="K - D diff."/>
    <n v="1892"/>
    <n v="1548"/>
    <s v="1.22"/>
    <s v="1.14"/>
    <s v="72.90%"/>
    <s v="19.20%"/>
    <n v="7728"/>
    <n v="4315"/>
    <n v="1798"/>
    <n v="520"/>
    <n v="106"/>
    <n v="11"/>
    <n v="3034"/>
    <n v="4937"/>
    <n v="314"/>
    <n v="1494"/>
    <n v="131"/>
    <n v="69"/>
    <s v="1.08"/>
  </r>
  <r>
    <n v="317"/>
    <x v="321"/>
    <s v="JarosÅ‚aw JarzÄ…bkowski"/>
    <x v="12"/>
    <x v="17"/>
    <m/>
    <s v="Virtus.pro, ESC"/>
    <n v="29501"/>
    <n v="28482"/>
    <x v="143"/>
    <s v="72.5"/>
    <s v="4.2"/>
    <n v="1592"/>
    <n v="41228"/>
    <s v="0.72"/>
    <s v="0.13"/>
    <s v="0.69"/>
    <s v="0.08"/>
    <s v="0.08"/>
    <n v="19703"/>
    <s v="K - D diff."/>
    <n v="5056"/>
    <n v="4818"/>
    <s v="1.05"/>
    <s v="1.09"/>
    <s v="75.10%"/>
    <s v="17.90%"/>
    <n v="21525"/>
    <n v="12292"/>
    <n v="5442"/>
    <n v="1640"/>
    <n v="301"/>
    <n v="28"/>
    <n v="14682"/>
    <n v="7622"/>
    <n v="943"/>
    <n v="5317"/>
    <n v="534"/>
    <n v="429"/>
    <s v="1.02"/>
  </r>
  <r>
    <n v="19236"/>
    <x v="322"/>
    <s v="Aleksandr Gurkin"/>
    <x v="7"/>
    <x v="2"/>
    <s v="forZe"/>
    <s v="forZe, ex-ETHEREAL"/>
    <n v="10006"/>
    <n v="9327"/>
    <x v="203"/>
    <s v="73.6"/>
    <s v="4.7"/>
    <n v="546"/>
    <n v="14716"/>
    <s v="0.68"/>
    <s v="0.12"/>
    <s v="0.63"/>
    <s v="0.09"/>
    <s v="0.09"/>
    <n v="6844"/>
    <s v="K - D diff."/>
    <n v="1332"/>
    <n v="1385"/>
    <s v="0.96"/>
    <s v="0.96"/>
    <s v="73.90%"/>
    <s v="12.80%"/>
    <n v="7872"/>
    <n v="4405"/>
    <n v="1823"/>
    <n v="521"/>
    <n v="83"/>
    <n v="12"/>
    <n v="7744"/>
    <n v="206"/>
    <n v="250"/>
    <n v="1668"/>
    <n v="150"/>
    <n v="21"/>
    <s v="1.07"/>
  </r>
  <r>
    <n v="13396"/>
    <x v="323"/>
    <s v="Aaro Peltokangas"/>
    <x v="6"/>
    <x v="23"/>
    <m/>
    <s v="HAVU"/>
    <n v="10871"/>
    <n v="10469"/>
    <x v="185"/>
    <s v="77.2"/>
    <s v="3.7"/>
    <n v="575"/>
    <n v="15453"/>
    <s v="0.7"/>
    <s v="0.13"/>
    <s v="0.68"/>
    <s v="0.09"/>
    <s v="0.1"/>
    <n v="7287"/>
    <s v="K - D diff."/>
    <n v="1600"/>
    <n v="1621"/>
    <s v="0.99"/>
    <s v="1.01"/>
    <s v="73.40%"/>
    <s v="14.70%"/>
    <n v="8166"/>
    <n v="4578"/>
    <n v="1991"/>
    <n v="571"/>
    <n v="137"/>
    <n v="10"/>
    <n v="7592"/>
    <n v="556"/>
    <n v="642"/>
    <n v="1937"/>
    <n v="110"/>
    <n v="55"/>
    <s v="1.07"/>
  </r>
  <r>
    <n v="8255"/>
    <x v="324"/>
    <s v="Roman Dergach"/>
    <x v="2"/>
    <x v="33"/>
    <m/>
    <s v="Nemiga, K29, Rebels, Empire"/>
    <n v="9080"/>
    <n v="8760"/>
    <x v="207"/>
    <s v="74.2"/>
    <n v="2"/>
    <n v="491"/>
    <n v="12779"/>
    <s v="0.71"/>
    <s v="0.11"/>
    <s v="0.69"/>
    <s v="0.08"/>
    <s v="0.08"/>
    <n v="6112"/>
    <s v="K - D diff."/>
    <n v="1736"/>
    <n v="1383"/>
    <s v="1.26"/>
    <s v="1.17"/>
    <s v="70.60%"/>
    <s v="20.20%"/>
    <n v="6667"/>
    <n v="3869"/>
    <n v="1654"/>
    <n v="472"/>
    <n v="101"/>
    <n v="16"/>
    <n v="2153"/>
    <n v="4835"/>
    <n v="340"/>
    <n v="1655"/>
    <n v="86"/>
    <n v="17"/>
    <s v="1.02"/>
  </r>
  <r>
    <n v="14445"/>
    <x v="325"/>
    <s v="Kaique Guidotti"/>
    <x v="2"/>
    <x v="3"/>
    <m/>
    <s v="Bravos, C4, RED Canids"/>
    <n v="8814"/>
    <n v="8399"/>
    <x v="208"/>
    <s v="75.9"/>
    <s v="4.4"/>
    <n v="483"/>
    <n v="12692"/>
    <s v="0.69"/>
    <s v="0.14"/>
    <s v="0.66"/>
    <s v="0.09"/>
    <s v="0.11"/>
    <n v="5992"/>
    <s v="K - D diff."/>
    <n v="1035"/>
    <n v="961"/>
    <s v="1.08"/>
    <s v="0.95"/>
    <s v="74.40%"/>
    <s v="11.80%"/>
    <n v="6700"/>
    <n v="3892"/>
    <n v="1500"/>
    <n v="487"/>
    <n v="104"/>
    <n v="9"/>
    <n v="6007"/>
    <n v="752"/>
    <n v="405"/>
    <n v="1582"/>
    <n v="74"/>
    <n v="8"/>
    <s v="1.07"/>
  </r>
  <r>
    <n v="17508"/>
    <x v="326"/>
    <s v="Aleksandr Matsievich"/>
    <x v="3"/>
    <x v="2"/>
    <s v="1WIN"/>
    <s v="1WIN, Trident, Cyber Legacy"/>
    <n v="9603"/>
    <n v="9410"/>
    <x v="209"/>
    <n v="80"/>
    <s v="4.9"/>
    <n v="503"/>
    <n v="13395"/>
    <s v="0.72"/>
    <s v="0.13"/>
    <s v="0.7"/>
    <s v="0.1"/>
    <s v="0.1"/>
    <n v="6362"/>
    <s v="K - D diff."/>
    <n v="1571"/>
    <n v="1650"/>
    <s v="0.95"/>
    <s v="1.05"/>
    <s v="71.30%"/>
    <s v="16.40%"/>
    <n v="7033"/>
    <n v="3950"/>
    <n v="1716"/>
    <n v="570"/>
    <n v="119"/>
    <n v="7"/>
    <n v="6703"/>
    <n v="724"/>
    <n v="357"/>
    <n v="1703"/>
    <n v="117"/>
    <n v="24"/>
    <s v="1.08"/>
  </r>
  <r>
    <n v="16599"/>
    <x v="327"/>
    <s v="Michael Schmid"/>
    <x v="6"/>
    <x v="24"/>
    <s v="ATK"/>
    <s v="ATK, Bad News Bears"/>
    <n v="11457"/>
    <n v="11080"/>
    <x v="145"/>
    <s v="78.6"/>
    <s v="5.4"/>
    <n v="619"/>
    <n v="16163"/>
    <s v="0.71"/>
    <s v="0.15"/>
    <s v="0.69"/>
    <s v="0.1"/>
    <s v="0.11"/>
    <n v="7682"/>
    <s v="K - D diff."/>
    <n v="1668"/>
    <n v="1777"/>
    <s v="0.94"/>
    <n v="1"/>
    <s v="73.60%"/>
    <s v="14.60%"/>
    <n v="8481"/>
    <n v="4836"/>
    <n v="2068"/>
    <n v="643"/>
    <n v="119"/>
    <n v="16"/>
    <n v="8315"/>
    <n v="292"/>
    <n v="519"/>
    <n v="1982"/>
    <n v="214"/>
    <n v="180"/>
    <s v="1.08"/>
  </r>
  <r>
    <n v="7594"/>
    <x v="328"/>
    <s v="Egor Vasilyev"/>
    <x v="8"/>
    <x v="2"/>
    <s v="1WIN"/>
    <s v="Natus Vincere"/>
    <n v="29923"/>
    <n v="28568"/>
    <x v="189"/>
    <n v="75"/>
    <s v="3.9"/>
    <n v="1627"/>
    <n v="42977"/>
    <s v="0.7"/>
    <s v="0.14"/>
    <s v="0.66"/>
    <s v="0.09"/>
    <s v="0.09"/>
    <n v="20241"/>
    <s v="K - D diff."/>
    <n v="3966"/>
    <n v="4020"/>
    <s v="0.99"/>
    <s v="0.97"/>
    <s v="73.30%"/>
    <s v="13.00%"/>
    <n v="22736"/>
    <n v="12967"/>
    <n v="5306"/>
    <n v="1590"/>
    <n v="343"/>
    <n v="35"/>
    <n v="21090"/>
    <n v="1754"/>
    <n v="1628"/>
    <n v="5124"/>
    <n v="290"/>
    <n v="90"/>
    <s v="1.02"/>
  </r>
  <r>
    <n v="9271"/>
    <x v="329"/>
    <s v="Olli PitkÃ¤nen"/>
    <x v="5"/>
    <x v="23"/>
    <s v="HAVU"/>
    <s v="HAVU"/>
    <n v="20929"/>
    <n v="20095"/>
    <x v="38"/>
    <s v="76.4"/>
    <s v="4.7"/>
    <n v="1121"/>
    <n v="30114"/>
    <s v="0.69"/>
    <s v="0.14"/>
    <s v="0.67"/>
    <s v="0.09"/>
    <s v="0.09"/>
    <n v="14037"/>
    <s v="K - D diff."/>
    <n v="3469"/>
    <n v="3448"/>
    <s v="1.01"/>
    <s v="1.05"/>
    <s v="74.70%"/>
    <s v="16.40%"/>
    <n v="16077"/>
    <n v="8857"/>
    <n v="3742"/>
    <n v="1183"/>
    <n v="236"/>
    <n v="19"/>
    <n v="11504"/>
    <n v="4069"/>
    <n v="1551"/>
    <n v="3308"/>
    <n v="325"/>
    <n v="220"/>
    <s v="1.02"/>
  </r>
  <r>
    <n v="17793"/>
    <x v="330"/>
    <s v="Algat Abdul"/>
    <x v="8"/>
    <x v="42"/>
    <s v="Unique"/>
    <s v="Unique, 100PG, Se7en"/>
    <n v="8764"/>
    <n v="8133"/>
    <x v="62"/>
    <s v="72.5"/>
    <s v="3.3"/>
    <n v="478"/>
    <n v="12883"/>
    <s v="0.68"/>
    <s v="0.1"/>
    <s v="0.63"/>
    <s v="0.08"/>
    <s v="0.09"/>
    <n v="6052"/>
    <s v="K - D diff."/>
    <n v="1593"/>
    <n v="1167"/>
    <s v="1.37"/>
    <s v="1.13"/>
    <s v="74.20%"/>
    <s v="18.50%"/>
    <n v="6831"/>
    <n v="3944"/>
    <n v="1597"/>
    <n v="425"/>
    <n v="79"/>
    <n v="7"/>
    <n v="2009"/>
    <n v="5245"/>
    <n v="213"/>
    <n v="1233"/>
    <n v="75"/>
    <n v="13"/>
    <s v="1.07"/>
  </r>
  <r>
    <n v="10264"/>
    <x v="14"/>
    <s v="Nikolaj Kristensen"/>
    <x v="1"/>
    <x v="9"/>
    <s v="OG"/>
    <s v="Heroic, OpTic, OG"/>
    <n v="22111"/>
    <n v="21033"/>
    <x v="16"/>
    <s v="75.1"/>
    <s v="4.3"/>
    <n v="1211"/>
    <n v="32024"/>
    <s v="0.69"/>
    <s v="0.13"/>
    <s v="0.66"/>
    <s v="0.1"/>
    <s v="0.11"/>
    <n v="15019"/>
    <s v="K - D diff."/>
    <n v="3058"/>
    <n v="3136"/>
    <s v="0.98"/>
    <s v="0.98"/>
    <s v="72.30%"/>
    <s v="13.30%"/>
    <n v="17005"/>
    <n v="9672"/>
    <n v="3889"/>
    <n v="1195"/>
    <n v="239"/>
    <n v="24"/>
    <n v="16462"/>
    <n v="329"/>
    <n v="1178"/>
    <n v="3798"/>
    <n v="277"/>
    <n v="113"/>
    <s v="1.02"/>
  </r>
  <r>
    <n v="9616"/>
    <x v="331"/>
    <s v="FranÃ§ois Delaunay"/>
    <x v="3"/>
    <x v="0"/>
    <s v="LDLC"/>
    <s v="LDLC, G2, Misfits"/>
    <n v="18691"/>
    <n v="17492"/>
    <x v="210"/>
    <s v="74.6"/>
    <s v="4.6"/>
    <n v="1030"/>
    <n v="27668"/>
    <s v="0.68"/>
    <s v="0.13"/>
    <s v="0.63"/>
    <s v="0.09"/>
    <s v="0.09"/>
    <n v="12796"/>
    <s v="K - D diff."/>
    <n v="2542"/>
    <n v="2429"/>
    <s v="1.05"/>
    <s v="0.98"/>
    <s v="71.50%"/>
    <s v="12.80%"/>
    <n v="14872"/>
    <n v="8302"/>
    <n v="3318"/>
    <n v="969"/>
    <n v="189"/>
    <n v="18"/>
    <n v="9930"/>
    <n v="2939"/>
    <n v="2687"/>
    <n v="2813"/>
    <n v="223"/>
    <n v="176"/>
    <s v="1.02"/>
  </r>
  <r>
    <n v="10992"/>
    <x v="332"/>
    <s v="Jacob Lund"/>
    <x v="8"/>
    <x v="9"/>
    <s v="ex-Maknitude"/>
    <s v="Fragsters"/>
    <n v="9094"/>
    <n v="8592"/>
    <x v="211"/>
    <s v="70.8"/>
    <s v="3.1"/>
    <n v="507"/>
    <n v="13234"/>
    <s v="0.69"/>
    <s v="0.09"/>
    <s v="0.65"/>
    <s v="0.09"/>
    <s v="0.08"/>
    <n v="6202"/>
    <s v="K - D diff."/>
    <n v="1848"/>
    <n v="1376"/>
    <s v="1.34"/>
    <s v="1.19"/>
    <s v="75.60%"/>
    <s v="20.80%"/>
    <n v="7032"/>
    <n v="3997"/>
    <n v="1630"/>
    <n v="472"/>
    <n v="94"/>
    <n v="9"/>
    <n v="1259"/>
    <n v="5965"/>
    <n v="379"/>
    <n v="1375"/>
    <n v="120"/>
    <n v="13"/>
    <s v="1.06"/>
  </r>
  <r>
    <n v="8994"/>
    <x v="333"/>
    <s v="Kevin Tarn"/>
    <x v="8"/>
    <x v="22"/>
    <s v="cowana"/>
    <s v="Nordavind, PENTA"/>
    <n v="20297"/>
    <n v="19875"/>
    <x v="75"/>
    <s v="78.5"/>
    <s v="4.9"/>
    <n v="1068"/>
    <n v="28553"/>
    <s v="0.71"/>
    <s v="0.15"/>
    <s v="0.7"/>
    <s v="0.1"/>
    <s v="0.11"/>
    <n v="13462"/>
    <s v="K - D diff."/>
    <n v="2800"/>
    <n v="3048"/>
    <s v="0.92"/>
    <s v="0.98"/>
    <s v="74.80%"/>
    <s v="14.40%"/>
    <n v="15091"/>
    <n v="8348"/>
    <n v="3682"/>
    <n v="1166"/>
    <n v="243"/>
    <n v="23"/>
    <n v="14653"/>
    <n v="491"/>
    <n v="1671"/>
    <n v="3163"/>
    <n v="295"/>
    <n v="71"/>
    <s v="1.02"/>
  </r>
  <r>
    <n v="8346"/>
    <x v="334"/>
    <s v="Josh Marzano"/>
    <x v="15"/>
    <x v="24"/>
    <m/>
    <s v="Liquid, CLG, Envy"/>
    <n v="14626"/>
    <n v="13801"/>
    <x v="212"/>
    <s v="70.1"/>
    <s v="2.9"/>
    <n v="823"/>
    <n v="21321"/>
    <s v="0.69"/>
    <s v="0.1"/>
    <s v="0.65"/>
    <s v="0.1"/>
    <s v="0.09"/>
    <n v="9980"/>
    <s v="K - D diff."/>
    <n v="2613"/>
    <n v="1953"/>
    <s v="1.34"/>
    <s v="1.13"/>
    <s v="74.30%"/>
    <s v="17.90%"/>
    <n v="11341"/>
    <n v="6437"/>
    <n v="2625"/>
    <n v="757"/>
    <n v="147"/>
    <n v="14"/>
    <n v="1539"/>
    <n v="9275"/>
    <n v="1024"/>
    <n v="2645"/>
    <n v="146"/>
    <n v="19"/>
    <s v="1.02"/>
  </r>
  <r>
    <n v="557"/>
    <x v="335"/>
    <s v="Lincoln Lau"/>
    <x v="15"/>
    <x v="3"/>
    <s v="Imperial"/>
    <s v="Imperial, Luminosity, SK, Immortals, RED Canids, NÃ£o Tem Como"/>
    <n v="12310"/>
    <n v="11644"/>
    <x v="185"/>
    <s v="78.4"/>
    <s v="5.9"/>
    <n v="689"/>
    <n v="17735"/>
    <s v="0.69"/>
    <s v="0.16"/>
    <s v="0.66"/>
    <s v="0.08"/>
    <s v="0.08"/>
    <n v="8445"/>
    <s v="K - D diff."/>
    <n v="1722"/>
    <n v="1652"/>
    <s v="1.04"/>
    <n v="1"/>
    <s v="74.90%"/>
    <s v="13.40%"/>
    <n v="9290"/>
    <n v="5496"/>
    <n v="2179"/>
    <n v="638"/>
    <n v="118"/>
    <n v="14"/>
    <n v="8855"/>
    <n v="302"/>
    <n v="730"/>
    <n v="2121"/>
    <n v="239"/>
    <n v="84"/>
    <s v="1.02"/>
  </r>
  <r>
    <n v="7168"/>
    <x v="336"/>
    <s v="Nathan Schmitt"/>
    <x v="3"/>
    <x v="0"/>
    <s v="MOUZ"/>
    <s v="Envy, G2, Vitality, OG, VeryGames"/>
    <n v="37156"/>
    <n v="35837"/>
    <x v="213"/>
    <s v="76.9"/>
    <s v="3.4"/>
    <n v="2051"/>
    <n v="53635"/>
    <s v="0.69"/>
    <s v="0.15"/>
    <s v="0.67"/>
    <s v="0.1"/>
    <s v="0.08"/>
    <n v="24791"/>
    <s v="K - D diff."/>
    <n v="5699"/>
    <n v="6017"/>
    <s v="0.95"/>
    <s v="1.01"/>
    <s v="74.60%"/>
    <s v="14.60%"/>
    <n v="28844"/>
    <n v="15565"/>
    <n v="6718"/>
    <n v="2012"/>
    <n v="441"/>
    <n v="55"/>
    <n v="26354"/>
    <n v="1429"/>
    <n v="1717"/>
    <n v="6915"/>
    <n v="333"/>
    <n v="454"/>
    <s v="1.02"/>
  </r>
  <r>
    <n v="10698"/>
    <x v="337"/>
    <s v="ÃdÃ¡m Domoszlay"/>
    <x v="4"/>
    <x v="8"/>
    <s v="cowana"/>
    <s v="GameAgents, Budapest Five, EURONICS"/>
    <n v="10309"/>
    <n v="10009"/>
    <x v="167"/>
    <s v="73.3"/>
    <s v="2.1"/>
    <n v="558"/>
    <n v="14585"/>
    <s v="0.71"/>
    <s v="0.11"/>
    <s v="0.69"/>
    <s v="0.1"/>
    <s v="0.12"/>
    <n v="6933"/>
    <s v="K - D diff."/>
    <n v="1744"/>
    <n v="1525"/>
    <s v="1.14"/>
    <s v="1.09"/>
    <s v="73.50%"/>
    <s v="18.50%"/>
    <n v="7652"/>
    <n v="4414"/>
    <n v="1815"/>
    <n v="563"/>
    <n v="129"/>
    <n v="12"/>
    <n v="2297"/>
    <n v="5702"/>
    <n v="513"/>
    <n v="1717"/>
    <n v="82"/>
    <n v="24"/>
    <s v="1.05"/>
  </r>
  <r>
    <n v="9961"/>
    <x v="338"/>
    <s v="Martin MeliÅ¡ek"/>
    <x v="6"/>
    <x v="20"/>
    <m/>
    <s v="eXtatus, eSuba"/>
    <n v="9507"/>
    <n v="9169"/>
    <x v="78"/>
    <s v="77.3"/>
    <s v="1.9"/>
    <n v="522"/>
    <n v="13451"/>
    <s v="0.71"/>
    <s v="0.14"/>
    <s v="0.68"/>
    <s v="0.11"/>
    <s v="0.11"/>
    <n v="6421"/>
    <s v="K - D diff."/>
    <n v="1322"/>
    <n v="1388"/>
    <s v="0.95"/>
    <s v="0.99"/>
    <s v="72.20%"/>
    <s v="13.80%"/>
    <n v="7030"/>
    <n v="4088"/>
    <n v="1702"/>
    <n v="513"/>
    <n v="114"/>
    <n v="4"/>
    <n v="7317"/>
    <n v="7"/>
    <n v="544"/>
    <n v="1591"/>
    <n v="60"/>
    <n v="9"/>
    <s v="1.02"/>
  </r>
  <r>
    <n v="9008"/>
    <x v="339"/>
    <s v="Vasiliy Trusov"/>
    <x v="14"/>
    <x v="2"/>
    <s v="VRTX"/>
    <s v="Unique, Quantum Bellator Fire, Space Jam"/>
    <n v="8262"/>
    <n v="7809"/>
    <x v="25"/>
    <s v="71.8"/>
    <s v="2.8"/>
    <n v="465"/>
    <n v="12150"/>
    <s v="0.68"/>
    <s v="0.11"/>
    <s v="0.64"/>
    <s v="0.08"/>
    <s v="0.09"/>
    <n v="5628"/>
    <s v="K - D diff."/>
    <n v="1422"/>
    <n v="1108"/>
    <s v="1.28"/>
    <s v="1.1"/>
    <s v="74.50%"/>
    <s v="17.90%"/>
    <n v="6522"/>
    <n v="3630"/>
    <n v="1471"/>
    <n v="430"/>
    <n v="87"/>
    <n v="10"/>
    <n v="1655"/>
    <n v="4582"/>
    <n v="182"/>
    <n v="1730"/>
    <n v="101"/>
    <n v="31"/>
    <s v="1.02"/>
  </r>
  <r>
    <n v="9483"/>
    <x v="340"/>
    <s v="Lucas Bullo"/>
    <x v="8"/>
    <x v="3"/>
    <m/>
    <s v="Luminosity, PaquetÃ¡, INTZ, Wild"/>
    <n v="19838"/>
    <n v="19377"/>
    <x v="52"/>
    <s v="78.5"/>
    <s v="3.2"/>
    <n v="1065"/>
    <n v="27675"/>
    <s v="0.72"/>
    <s v="0.14"/>
    <s v="0.7"/>
    <s v="0.11"/>
    <s v="0.1"/>
    <n v="13240"/>
    <s v="K - D diff."/>
    <n v="3555"/>
    <n v="3680"/>
    <s v="0.97"/>
    <s v="1.09"/>
    <s v="73.00%"/>
    <s v="18.00%"/>
    <n v="14435"/>
    <n v="8263"/>
    <n v="3599"/>
    <n v="1146"/>
    <n v="221"/>
    <n v="11"/>
    <n v="15540"/>
    <n v="105"/>
    <n v="735"/>
    <n v="3304"/>
    <n v="148"/>
    <n v="61"/>
    <s v="1.02"/>
  </r>
  <r>
    <n v="17372"/>
    <x v="341"/>
    <s v="Justin Coakley"/>
    <x v="7"/>
    <x v="27"/>
    <s v="Complexity"/>
    <s v="Complexity, Extra Salt"/>
    <n v="11999"/>
    <n v="11510"/>
    <x v="91"/>
    <s v="76.3"/>
    <s v="3.9"/>
    <n v="651"/>
    <n v="16966"/>
    <s v="0.71"/>
    <s v="0.13"/>
    <s v="0.68"/>
    <s v="0.11"/>
    <s v="0.1"/>
    <n v="8147"/>
    <s v="K - D diff."/>
    <n v="1825"/>
    <n v="1819"/>
    <n v="1"/>
    <s v="1.03"/>
    <s v="74.10%"/>
    <s v="15.20%"/>
    <n v="8819"/>
    <n v="5203"/>
    <n v="2171"/>
    <n v="652"/>
    <n v="107"/>
    <n v="14"/>
    <n v="9181"/>
    <n v="238"/>
    <n v="648"/>
    <n v="1806"/>
    <n v="130"/>
    <n v="22"/>
    <s v="1.08"/>
  </r>
  <r>
    <n v="2529"/>
    <x v="342"/>
    <s v="Pedro Campos"/>
    <x v="15"/>
    <x v="3"/>
    <s v="TeamOne"/>
    <s v="TeamOne"/>
    <n v="19000"/>
    <n v="17886"/>
    <x v="10"/>
    <s v="72.4"/>
    <s v="5.3"/>
    <n v="1064"/>
    <n v="27603"/>
    <s v="0.69"/>
    <s v="0.11"/>
    <s v="0.65"/>
    <s v="0.09"/>
    <s v="0.08"/>
    <n v="13043"/>
    <s v="K - D diff."/>
    <n v="3367"/>
    <n v="2551"/>
    <s v="1.32"/>
    <s v="1.12"/>
    <s v="74.40%"/>
    <s v="17.50%"/>
    <n v="14560"/>
    <n v="8459"/>
    <n v="3421"/>
    <n v="967"/>
    <n v="182"/>
    <n v="14"/>
    <n v="4040"/>
    <n v="10792"/>
    <n v="735"/>
    <n v="3036"/>
    <n v="375"/>
    <n v="65"/>
    <s v="1.07"/>
  </r>
  <r>
    <n v="9256"/>
    <x v="343"/>
    <s v="Joakim Gidetun"/>
    <x v="5"/>
    <x v="29"/>
    <m/>
    <s v="GODSENT, Epsilon, Galaxy Racer, Red Reserve"/>
    <n v="22193"/>
    <n v="21099"/>
    <x v="98"/>
    <s v="76.1"/>
    <s v="3.6"/>
    <n v="1207"/>
    <n v="32000"/>
    <s v="0.69"/>
    <s v="0.13"/>
    <s v="0.66"/>
    <s v="0.09"/>
    <s v="0.1"/>
    <n v="15109"/>
    <s v="K - D diff."/>
    <n v="2964"/>
    <n v="2973"/>
    <n v="1"/>
    <s v="0.97"/>
    <s v="73.10%"/>
    <s v="13.20%"/>
    <n v="16891"/>
    <n v="9676"/>
    <n v="4049"/>
    <n v="1143"/>
    <n v="215"/>
    <n v="26"/>
    <n v="14277"/>
    <n v="2647"/>
    <n v="867"/>
    <n v="4100"/>
    <n v="293"/>
    <n v="53"/>
    <s v="1.02"/>
  </r>
  <r>
    <n v="7413"/>
    <x v="344"/>
    <s v="Nicolaj Jensen"/>
    <x v="14"/>
    <x v="9"/>
    <m/>
    <s v="Dignitas, CPH Wolves, Western Wolves"/>
    <n v="6738"/>
    <n v="6191"/>
    <x v="109"/>
    <s v="80.6"/>
    <s v="4.9"/>
    <n v="399"/>
    <n v="10074"/>
    <s v="0.67"/>
    <s v="0.12"/>
    <s v="0.61"/>
    <s v="0.08"/>
    <s v="0.14"/>
    <n v="4644"/>
    <s v="K - D diff."/>
    <n v="1165"/>
    <n v="898"/>
    <s v="1.3"/>
    <s v="1.1"/>
    <s v="76.40%"/>
    <s v="16.80%"/>
    <n v="5430"/>
    <n v="3033"/>
    <n v="1220"/>
    <n v="334"/>
    <n v="53"/>
    <n v="4"/>
    <n v="1314"/>
    <n v="3589"/>
    <n v="119"/>
    <n v="1561"/>
    <n v="143"/>
    <n v="12"/>
    <s v="1.02"/>
  </r>
  <r>
    <n v="8323"/>
    <x v="345"/>
    <s v="MikoÅ‚aj Karolewski"/>
    <x v="5"/>
    <x v="17"/>
    <m/>
    <s v="Kinguin, Illuminar"/>
    <n v="31019"/>
    <n v="29280"/>
    <x v="117"/>
    <s v="74.2"/>
    <s v="3.2"/>
    <n v="1698"/>
    <n v="45118"/>
    <s v="0.69"/>
    <s v="0.13"/>
    <s v="0.65"/>
    <s v="0.09"/>
    <s v="0.1"/>
    <n v="21223"/>
    <s v="K - D diff."/>
    <n v="3844"/>
    <n v="3828"/>
    <n v="1"/>
    <s v="0.95"/>
    <s v="71.80%"/>
    <s v="11.90%"/>
    <n v="23895"/>
    <n v="13742"/>
    <n v="5534"/>
    <n v="1636"/>
    <n v="272"/>
    <n v="39"/>
    <n v="22881"/>
    <n v="1106"/>
    <n v="1287"/>
    <n v="5523"/>
    <n v="238"/>
    <n v="64"/>
    <s v="1.02"/>
  </r>
  <r>
    <n v="2131"/>
    <x v="346"/>
    <s v="Vladyslav Nechyporchuk"/>
    <x v="11"/>
    <x v="1"/>
    <s v="Cossacks"/>
    <s v="HellRaisers, FlipSid3, Winstrike"/>
    <n v="26411"/>
    <n v="24962"/>
    <x v="214"/>
    <s v="74.6"/>
    <s v="5.3"/>
    <n v="1458"/>
    <n v="38317"/>
    <s v="0.69"/>
    <s v="0.13"/>
    <s v="0.65"/>
    <s v="0.09"/>
    <s v="0.1"/>
    <n v="18062"/>
    <s v="K - D diff."/>
    <n v="3102"/>
    <n v="2907"/>
    <s v="1.07"/>
    <s v="0.95"/>
    <s v="74.00%"/>
    <s v="11.90%"/>
    <n v="20255"/>
    <n v="11700"/>
    <n v="4692"/>
    <n v="1398"/>
    <n v="246"/>
    <n v="26"/>
    <n v="20357"/>
    <n v="152"/>
    <n v="1203"/>
    <n v="4242"/>
    <n v="424"/>
    <n v="63"/>
    <s v="1.02"/>
  </r>
  <r>
    <n v="9289"/>
    <x v="347"/>
    <s v="Phoomphat Phodjanat"/>
    <x v="1"/>
    <x v="26"/>
    <s v="LZ"/>
    <s v="Signature, Beyond, Lucid Dream"/>
    <n v="10674"/>
    <n v="10394"/>
    <x v="215"/>
    <s v="79.2"/>
    <s v="3.3"/>
    <n v="584"/>
    <n v="15180"/>
    <s v="0.7"/>
    <s v="0.16"/>
    <s v="0.68"/>
    <s v="0.09"/>
    <s v="0.09"/>
    <n v="7111"/>
    <s v="K - D diff."/>
    <n v="1651"/>
    <n v="1819"/>
    <s v="0.91"/>
    <s v="1.01"/>
    <s v="73.70%"/>
    <s v="15.50%"/>
    <n v="8069"/>
    <n v="4432"/>
    <n v="1932"/>
    <n v="620"/>
    <n v="117"/>
    <n v="10"/>
    <n v="7580"/>
    <n v="503"/>
    <n v="651"/>
    <n v="1839"/>
    <n v="95"/>
    <n v="31"/>
    <s v="1.02"/>
  </r>
  <r>
    <n v="7834"/>
    <x v="348"/>
    <s v="Viktor Dyankov"/>
    <x v="3"/>
    <x v="25"/>
    <s v="BeyondPossible"/>
    <s v="Windigo, E-frag.net, Fiend"/>
    <n v="33908"/>
    <n v="32682"/>
    <x v="159"/>
    <s v="76.7"/>
    <s v="4.5"/>
    <n v="1865"/>
    <n v="48655"/>
    <s v="0.7"/>
    <s v="0.16"/>
    <s v="0.67"/>
    <s v="0.12"/>
    <s v="0.11"/>
    <n v="22857"/>
    <s v="K - D diff."/>
    <n v="5578"/>
    <n v="5623"/>
    <s v="0.99"/>
    <s v="1.05"/>
    <s v="73.70%"/>
    <s v="15.70%"/>
    <n v="25798"/>
    <n v="14522"/>
    <n v="6102"/>
    <n v="1808"/>
    <n v="379"/>
    <n v="46"/>
    <n v="26515"/>
    <n v="112"/>
    <n v="1113"/>
    <n v="5717"/>
    <n v="472"/>
    <n v="24"/>
    <s v="1.02"/>
  </r>
  <r>
    <n v="18838"/>
    <x v="349"/>
    <s v="Jadan Postma"/>
    <x v="7"/>
    <x v="27"/>
    <s v="EG.CD"/>
    <s v="RBG, Carpe Diem"/>
    <n v="9441"/>
    <n v="9135"/>
    <x v="182"/>
    <s v="77.4"/>
    <s v="4.8"/>
    <n v="503"/>
    <n v="13330"/>
    <s v="0.71"/>
    <s v="0.14"/>
    <s v="0.69"/>
    <s v="0.13"/>
    <s v="0.13"/>
    <n v="6400"/>
    <s v="K - D diff."/>
    <n v="1513"/>
    <n v="1460"/>
    <s v="1.04"/>
    <s v="1.05"/>
    <s v="71.60%"/>
    <s v="16.20%"/>
    <n v="6930"/>
    <n v="4122"/>
    <n v="1641"/>
    <n v="523"/>
    <n v="102"/>
    <n v="12"/>
    <n v="7217"/>
    <n v="81"/>
    <n v="588"/>
    <n v="1439"/>
    <n v="113"/>
    <n v="37"/>
    <s v="1.09"/>
  </r>
  <r>
    <n v="8770"/>
    <x v="350"/>
    <s v="Mohammed Tizani"/>
    <x v="11"/>
    <x v="15"/>
    <m/>
    <s v="Immunity, Chiefs, Ground Zero, AVANT"/>
    <n v="11650"/>
    <n v="11240"/>
    <x v="198"/>
    <s v="75.2"/>
    <s v="5.1"/>
    <n v="639"/>
    <n v="16594"/>
    <s v="0.7"/>
    <s v="0.12"/>
    <s v="0.68"/>
    <s v="0.09"/>
    <s v="0.09"/>
    <n v="7887"/>
    <s v="K - D diff."/>
    <n v="1515"/>
    <n v="1508"/>
    <n v="1"/>
    <s v="0.97"/>
    <s v="75.20%"/>
    <s v="13.60%"/>
    <n v="8707"/>
    <n v="5053"/>
    <n v="2069"/>
    <n v="617"/>
    <n v="133"/>
    <n v="15"/>
    <n v="6034"/>
    <n v="2516"/>
    <n v="842"/>
    <n v="2028"/>
    <n v="186"/>
    <n v="61"/>
    <s v="1.02"/>
  </r>
  <r>
    <n v="13228"/>
    <x v="351"/>
    <s v="Logan Long"/>
    <x v="4"/>
    <x v="24"/>
    <s v="ONET4P"/>
    <s v="The Quest, Triumph, SoaR, Dignitas"/>
    <n v="7407"/>
    <n v="6823"/>
    <x v="59"/>
    <s v="67.6"/>
    <s v="2.8"/>
    <n v="438"/>
    <n v="11278"/>
    <s v="0.66"/>
    <s v="0.09"/>
    <s v="0.6"/>
    <s v="0.09"/>
    <s v="0.1"/>
    <n v="5139"/>
    <s v="K - D diff."/>
    <n v="1165"/>
    <n v="896"/>
    <s v="1.3"/>
    <s v="1.05"/>
    <s v="73.70%"/>
    <s v="14.90%"/>
    <n v="6139"/>
    <n v="3402"/>
    <n v="1288"/>
    <n v="376"/>
    <n v="64"/>
    <n v="9"/>
    <n v="1985"/>
    <n v="3683"/>
    <n v="379"/>
    <n v="1257"/>
    <n v="94"/>
    <n v="18"/>
    <s v="1.05"/>
  </r>
  <r>
    <n v="13589"/>
    <x v="352"/>
    <s v="Gabe Greiner"/>
    <x v="4"/>
    <x v="24"/>
    <s v="Bad News Bears"/>
    <s v="Bad News Bears, Triumph, The Quest"/>
    <n v="14027"/>
    <n v="13016"/>
    <x v="104"/>
    <s v="71.4"/>
    <s v="4.4"/>
    <n v="814"/>
    <n v="21161"/>
    <s v="0.66"/>
    <s v="0.12"/>
    <s v="0.62"/>
    <s v="0.1"/>
    <s v="0.11"/>
    <n v="9657"/>
    <s v="K - D diff."/>
    <n v="1438"/>
    <n v="1341"/>
    <s v="1.07"/>
    <s v="0.9"/>
    <s v="74.30%"/>
    <s v="9.60%"/>
    <n v="11504"/>
    <n v="6278"/>
    <n v="2529"/>
    <n v="718"/>
    <n v="123"/>
    <n v="9"/>
    <n v="10142"/>
    <n v="400"/>
    <n v="700"/>
    <n v="2552"/>
    <n v="216"/>
    <n v="70"/>
    <s v="1.06"/>
  </r>
  <r>
    <n v="12027"/>
    <x v="353"/>
    <s v="Vladislav Kravchenko"/>
    <x v="6"/>
    <x v="2"/>
    <s v="Entropiq"/>
    <s v="Entropiq, DreamEaters, Hard Legion"/>
    <n v="21753"/>
    <n v="21142"/>
    <x v="64"/>
    <n v="77"/>
    <s v="4.8"/>
    <n v="1179"/>
    <n v="31354"/>
    <s v="0.69"/>
    <s v="0.14"/>
    <s v="0.67"/>
    <s v="0.09"/>
    <s v="0.1"/>
    <n v="14534"/>
    <s v="K - D diff."/>
    <n v="3357"/>
    <n v="3649"/>
    <s v="0.92"/>
    <s v="1.01"/>
    <s v="73.40%"/>
    <s v="15.10%"/>
    <n v="16820"/>
    <n v="9119"/>
    <n v="3935"/>
    <n v="1185"/>
    <n v="266"/>
    <n v="29"/>
    <n v="14463"/>
    <n v="1333"/>
    <n v="2124"/>
    <n v="3516"/>
    <n v="285"/>
    <n v="88"/>
    <s v="1.07"/>
  </r>
  <r>
    <n v="8345"/>
    <x v="354"/>
    <s v="Ivan Obrezhan"/>
    <x v="8"/>
    <x v="2"/>
    <s v="MayBe"/>
    <s v="PiTER, Gambit, EPG"/>
    <n v="10281"/>
    <n v="10192"/>
    <x v="178"/>
    <s v="75.9"/>
    <s v="2.6"/>
    <n v="538"/>
    <n v="14117"/>
    <s v="0.73"/>
    <s v="0.14"/>
    <s v="0.72"/>
    <s v="0.1"/>
    <s v="0.11"/>
    <n v="6834"/>
    <s v="K - D diff."/>
    <n v="1391"/>
    <n v="1295"/>
    <s v="1.07"/>
    <s v="1.01"/>
    <s v="71.50%"/>
    <s v="14.30%"/>
    <n v="7283"/>
    <n v="4255"/>
    <n v="1850"/>
    <n v="609"/>
    <n v="103"/>
    <n v="17"/>
    <n v="7841"/>
    <n v="75"/>
    <n v="339"/>
    <n v="1914"/>
    <n v="78"/>
    <n v="49"/>
    <s v="1.02"/>
  </r>
  <r>
    <n v="13273"/>
    <x v="355"/>
    <s v="Brandon Winn"/>
    <x v="2"/>
    <x v="24"/>
    <m/>
    <s v="Rise Nation, eUnited"/>
    <n v="7922"/>
    <n v="7352"/>
    <x v="86"/>
    <s v="68.5"/>
    <s v="2.3"/>
    <n v="456"/>
    <n v="11866"/>
    <s v="0.67"/>
    <s v="0.1"/>
    <s v="0.62"/>
    <s v="0.09"/>
    <s v="0.1"/>
    <n v="5487"/>
    <s v="K - D diff."/>
    <n v="1353"/>
    <n v="1031"/>
    <s v="1.31"/>
    <s v="1.09"/>
    <s v="74.80%"/>
    <s v="16.10%"/>
    <n v="6379"/>
    <n v="3604"/>
    <n v="1406"/>
    <n v="406"/>
    <n v="67"/>
    <n v="4"/>
    <n v="1508"/>
    <n v="4241"/>
    <n v="498"/>
    <n v="1601"/>
    <n v="80"/>
    <n v="7"/>
    <s v="1.06"/>
  </r>
  <r>
    <n v="11276"/>
    <x v="356"/>
    <s v="Kuba Markowski"/>
    <x v="6"/>
    <x v="17"/>
    <s v="FLET"/>
    <s v="AVEZ, Wisla Krakow"/>
    <n v="12341"/>
    <n v="11539"/>
    <x v="47"/>
    <s v="71.7"/>
    <s v="3.2"/>
    <n v="682"/>
    <n v="18314"/>
    <s v="0.67"/>
    <s v="0.11"/>
    <s v="0.63"/>
    <s v="0.08"/>
    <s v="0.08"/>
    <n v="8511"/>
    <s v="K - D diff."/>
    <n v="1954"/>
    <n v="1519"/>
    <s v="1.29"/>
    <s v="1.06"/>
    <s v="72.30%"/>
    <s v="15.50%"/>
    <n v="9803"/>
    <n v="5531"/>
    <n v="2266"/>
    <n v="589"/>
    <n v="114"/>
    <n v="11"/>
    <n v="3439"/>
    <n v="6309"/>
    <n v="488"/>
    <n v="1964"/>
    <n v="136"/>
    <n v="38"/>
    <s v="1.06"/>
  </r>
  <r>
    <n v="13780"/>
    <x v="357"/>
    <s v="Dmitry Matvienko"/>
    <x v="5"/>
    <x v="42"/>
    <m/>
    <s v="AVANGAR, pro100"/>
    <n v="10747"/>
    <n v="10300"/>
    <x v="27"/>
    <s v="75.9"/>
    <s v="3.5"/>
    <n v="585"/>
    <n v="15322"/>
    <s v="0.7"/>
    <s v="0.12"/>
    <s v="0.67"/>
    <s v="0.08"/>
    <s v="0.09"/>
    <n v="7352"/>
    <s v="K - D diff."/>
    <n v="1432"/>
    <n v="1379"/>
    <s v="1.04"/>
    <s v="0.98"/>
    <s v="75.50%"/>
    <s v="13.50%"/>
    <n v="7970"/>
    <n v="4774"/>
    <n v="1875"/>
    <n v="600"/>
    <n v="92"/>
    <n v="11"/>
    <n v="8188"/>
    <n v="102"/>
    <n v="616"/>
    <n v="1733"/>
    <n v="110"/>
    <n v="23"/>
    <s v="1.06"/>
  </r>
  <r>
    <n v="15428"/>
    <x v="358"/>
    <s v="Krzysiek Gorski"/>
    <x v="0"/>
    <x v="17"/>
    <m/>
    <s v="Wisla Krakow, PACT, x-kom"/>
    <n v="21149"/>
    <n v="20816"/>
    <x v="216"/>
    <s v="78.6"/>
    <s v="4.8"/>
    <n v="1110"/>
    <n v="30021"/>
    <s v="0.7"/>
    <s v="0.15"/>
    <s v="0.69"/>
    <s v="0.1"/>
    <s v="0.11"/>
    <n v="14098"/>
    <s v="K - D diff."/>
    <n v="3181"/>
    <n v="3490"/>
    <s v="0.91"/>
    <n v="1"/>
    <s v="71.10%"/>
    <s v="15.00%"/>
    <n v="15923"/>
    <n v="8888"/>
    <n v="3691"/>
    <n v="1223"/>
    <n v="270"/>
    <n v="26"/>
    <n v="15308"/>
    <n v="333"/>
    <n v="1303"/>
    <n v="3953"/>
    <n v="282"/>
    <n v="45"/>
    <s v="1.08"/>
  </r>
  <r>
    <n v="7749"/>
    <x v="359"/>
    <s v="Richard StrnÃ¡tko"/>
    <x v="5"/>
    <x v="20"/>
    <m/>
    <s v="eXtatus"/>
    <n v="13135"/>
    <n v="12900"/>
    <x v="217"/>
    <s v="77.1"/>
    <s v="3.2"/>
    <n v="709"/>
    <n v="18569"/>
    <s v="0.71"/>
    <s v="0.14"/>
    <s v="0.69"/>
    <s v="0.1"/>
    <s v="0.1"/>
    <n v="8763"/>
    <s v="K - D diff."/>
    <n v="1895"/>
    <n v="1953"/>
    <s v="0.97"/>
    <n v="1"/>
    <s v="74.60%"/>
    <s v="14.50%"/>
    <n v="9806"/>
    <n v="5504"/>
    <n v="2342"/>
    <n v="743"/>
    <n v="159"/>
    <n v="15"/>
    <n v="8880"/>
    <n v="939"/>
    <n v="559"/>
    <n v="2542"/>
    <n v="155"/>
    <n v="75"/>
    <s v="1.02"/>
  </r>
  <r>
    <n v="3410"/>
    <x v="360"/>
    <s v="Vladimir Neskey"/>
    <x v="11"/>
    <x v="33"/>
    <m/>
    <s v="Nemiga"/>
    <n v="12328"/>
    <n v="11700"/>
    <x v="218"/>
    <n v="74"/>
    <s v="2.7"/>
    <n v="667"/>
    <n v="17746"/>
    <s v="0.69"/>
    <s v="0.11"/>
    <s v="0.66"/>
    <s v="0.09"/>
    <s v="0.1"/>
    <n v="8516"/>
    <s v="K - D diff."/>
    <n v="1900"/>
    <n v="1582"/>
    <s v="1.2"/>
    <s v="1.05"/>
    <s v="71.90%"/>
    <s v="15.40%"/>
    <n v="9230"/>
    <n v="5594"/>
    <n v="2174"/>
    <n v="624"/>
    <n v="107"/>
    <n v="17"/>
    <n v="6643"/>
    <n v="2847"/>
    <n v="622"/>
    <n v="2122"/>
    <n v="98"/>
    <n v="16"/>
    <s v="1.02"/>
  </r>
  <r>
    <n v="7253"/>
    <x v="361"/>
    <s v="Joshua Nissan"/>
    <x v="15"/>
    <x v="27"/>
    <m/>
    <s v="Chaos, Ghost, Torqued"/>
    <n v="11498"/>
    <n v="11237"/>
    <x v="190"/>
    <n v="80"/>
    <s v="4.8"/>
    <n v="616"/>
    <n v="16284"/>
    <s v="0.71"/>
    <s v="0.15"/>
    <s v="0.69"/>
    <s v="0.09"/>
    <s v="0.08"/>
    <n v="7680"/>
    <s v="K - D diff."/>
    <n v="2042"/>
    <n v="2030"/>
    <s v="1.01"/>
    <s v="1.09"/>
    <s v="74.50%"/>
    <s v="17.90%"/>
    <n v="8604"/>
    <n v="4782"/>
    <n v="2137"/>
    <n v="631"/>
    <n v="108"/>
    <n v="22"/>
    <n v="6911"/>
    <n v="1359"/>
    <n v="876"/>
    <n v="2025"/>
    <n v="171"/>
    <n v="180"/>
    <s v="1.02"/>
  </r>
  <r>
    <n v="10560"/>
    <x v="362"/>
    <s v="Gustavo Knittel"/>
    <x v="14"/>
    <x v="3"/>
    <m/>
    <s v="Luminosity, INTZ, MIBR"/>
    <n v="16256"/>
    <n v="15220"/>
    <x v="219"/>
    <s v="71.6"/>
    <n v="3"/>
    <n v="930"/>
    <n v="24064"/>
    <s v="0.68"/>
    <s v="0.11"/>
    <s v="0.63"/>
    <s v="0.09"/>
    <s v="0.09"/>
    <n v="11243"/>
    <s v="K - D diff."/>
    <n v="2888"/>
    <n v="2403"/>
    <s v="1.2"/>
    <s v="1.1"/>
    <s v="72.20%"/>
    <s v="17.00%"/>
    <n v="12821"/>
    <n v="7369"/>
    <n v="2901"/>
    <n v="825"/>
    <n v="130"/>
    <n v="18"/>
    <n v="4976"/>
    <n v="7335"/>
    <n v="989"/>
    <n v="2769"/>
    <n v="186"/>
    <n v="46"/>
    <s v="1.02"/>
  </r>
  <r>
    <n v="4954"/>
    <x v="363"/>
    <s v="Andreas HÃ¸jsleth"/>
    <x v="5"/>
    <x v="9"/>
    <s v="Astralis"/>
    <s v="Astralis, TSM"/>
    <n v="34025"/>
    <n v="31738"/>
    <x v="57"/>
    <s v="74.8"/>
    <s v="6.1"/>
    <n v="1984"/>
    <n v="51687"/>
    <s v="0.66"/>
    <s v="0.16"/>
    <s v="0.61"/>
    <s v="0.08"/>
    <s v="0.09"/>
    <n v="23320"/>
    <s v="K - D diff."/>
    <n v="3808"/>
    <n v="3529"/>
    <s v="1.08"/>
    <s v="0.92"/>
    <s v="77.00%"/>
    <s v="10.30%"/>
    <n v="28367"/>
    <n v="15176"/>
    <n v="6084"/>
    <n v="1669"/>
    <n v="354"/>
    <n v="37"/>
    <n v="26230"/>
    <n v="314"/>
    <n v="1586"/>
    <n v="5077"/>
    <n v="745"/>
    <n v="124"/>
    <s v="1.02"/>
  </r>
  <r>
    <n v="5287"/>
    <x v="364"/>
    <s v="Jesper Plougmann"/>
    <x v="3"/>
    <x v="9"/>
    <s v="Savage"/>
    <s v="Nordavind, Dignitas"/>
    <n v="26979"/>
    <n v="25643"/>
    <x v="113"/>
    <s v="76.8"/>
    <s v="4.4"/>
    <n v="1494"/>
    <n v="39305"/>
    <s v="0.69"/>
    <s v="0.14"/>
    <s v="0.65"/>
    <s v="0.09"/>
    <s v="0.1"/>
    <n v="18462"/>
    <s v="K - D diff."/>
    <n v="3543"/>
    <n v="3302"/>
    <s v="1.07"/>
    <s v="0.98"/>
    <s v="74.90%"/>
    <s v="13.20%"/>
    <n v="20843"/>
    <n v="11970"/>
    <n v="4814"/>
    <n v="1383"/>
    <n v="267"/>
    <n v="28"/>
    <n v="20105"/>
    <n v="309"/>
    <n v="1579"/>
    <n v="4619"/>
    <n v="357"/>
    <n v="46"/>
    <s v="1.02"/>
  </r>
  <r>
    <n v="11258"/>
    <x v="365"/>
    <s v="Magnus FrÃ¸slev"/>
    <x v="8"/>
    <x v="9"/>
    <m/>
    <s v="AGF, Fragsters"/>
    <n v="11143"/>
    <n v="10673"/>
    <x v="220"/>
    <s v="78.1"/>
    <s v="4.7"/>
    <n v="611"/>
    <n v="15973"/>
    <s v="0.7"/>
    <s v="0.14"/>
    <s v="0.67"/>
    <s v="0.1"/>
    <s v="0.12"/>
    <n v="7597"/>
    <s v="K - D diff."/>
    <n v="1402"/>
    <n v="1304"/>
    <s v="1.08"/>
    <s v="0.97"/>
    <s v="73.00%"/>
    <s v="12.90%"/>
    <n v="8376"/>
    <n v="4865"/>
    <n v="2047"/>
    <n v="565"/>
    <n v="111"/>
    <n v="9"/>
    <n v="8311"/>
    <n v="249"/>
    <n v="591"/>
    <n v="1875"/>
    <n v="137"/>
    <n v="32"/>
    <s v="1.08"/>
  </r>
  <r>
    <n v="4216"/>
    <x v="366"/>
    <s v="Nestor TaniÄ‡"/>
    <x v="11"/>
    <x v="37"/>
    <s v="TYLOO"/>
    <s v="Valiance, Binary Dragons, iNation, CR4ZY"/>
    <n v="19347"/>
    <n v="18183"/>
    <x v="185"/>
    <s v="72.8"/>
    <s v="3.6"/>
    <n v="1111"/>
    <n v="28880"/>
    <s v="0.67"/>
    <s v="0.13"/>
    <s v="0.63"/>
    <s v="0.1"/>
    <s v="0.1"/>
    <n v="13310"/>
    <s v="K - D diff."/>
    <n v="2815"/>
    <n v="2777"/>
    <s v="1.01"/>
    <s v="0.99"/>
    <s v="75.50%"/>
    <s v="13.60%"/>
    <n v="15570"/>
    <n v="8719"/>
    <n v="3395"/>
    <n v="974"/>
    <n v="206"/>
    <n v="16"/>
    <n v="13391"/>
    <n v="1539"/>
    <n v="852"/>
    <n v="3304"/>
    <n v="225"/>
    <n v="69"/>
    <s v="1.02"/>
  </r>
  <r>
    <n v="7322"/>
    <x v="367"/>
    <s v="Dan Madesclaire"/>
    <x v="11"/>
    <x v="0"/>
    <s v="Vitality"/>
    <s v="Vitality, Envy, G2, Titan"/>
    <n v="37364"/>
    <n v="36746"/>
    <x v="221"/>
    <s v="78.9"/>
    <s v="5.1"/>
    <n v="2002"/>
    <n v="52515"/>
    <s v="0.71"/>
    <s v="0.16"/>
    <s v="0.7"/>
    <s v="0.1"/>
    <s v="0.09"/>
    <n v="24945"/>
    <s v="K - D diff."/>
    <n v="6157"/>
    <n v="6582"/>
    <s v="0.94"/>
    <s v="1.04"/>
    <s v="75.60%"/>
    <s v="16.60%"/>
    <n v="27570"/>
    <n v="15684"/>
    <n v="6668"/>
    <n v="2114"/>
    <n v="435"/>
    <n v="44"/>
    <n v="28265"/>
    <n v="537"/>
    <n v="1750"/>
    <n v="6200"/>
    <n v="551"/>
    <n v="109"/>
    <s v="1.02"/>
  </r>
  <r>
    <n v="629"/>
    <x v="368"/>
    <s v="Ricardo Pacheco"/>
    <x v="18"/>
    <x v="48"/>
    <s v="Fourteen"/>
    <s v="Giants, k1ck, Kinguin, OFFSET"/>
    <n v="19461"/>
    <n v="18938"/>
    <x v="34"/>
    <s v="75.5"/>
    <s v="3.2"/>
    <n v="1058"/>
    <n v="27636"/>
    <s v="0.7"/>
    <s v="0.13"/>
    <s v="0.69"/>
    <s v="0.1"/>
    <s v="0.09"/>
    <n v="13085"/>
    <s v="K - D diff."/>
    <n v="3965"/>
    <n v="3470"/>
    <s v="1.14"/>
    <s v="1.17"/>
    <s v="72.50%"/>
    <s v="21.10%"/>
    <n v="14551"/>
    <n v="8281"/>
    <n v="3501"/>
    <n v="1074"/>
    <n v="211"/>
    <n v="18"/>
    <n v="7300"/>
    <n v="7778"/>
    <n v="682"/>
    <n v="3509"/>
    <n v="201"/>
    <n v="28"/>
    <s v="1.02"/>
  </r>
  <r>
    <n v="2299"/>
    <x v="369"/>
    <s v="Anel CekoviÄ‡"/>
    <x v="3"/>
    <x v="50"/>
    <s v="0to100"/>
    <s v="Binary Dragons, Valiance"/>
    <n v="11861"/>
    <n v="11265"/>
    <x v="36"/>
    <s v="75.1"/>
    <s v="4.3"/>
    <n v="664"/>
    <n v="17181"/>
    <s v="0.69"/>
    <s v="0.13"/>
    <s v="0.66"/>
    <s v="0.09"/>
    <s v="0.09"/>
    <n v="8123"/>
    <s v="K - D diff."/>
    <n v="1576"/>
    <n v="1444"/>
    <s v="1.09"/>
    <s v="0.99"/>
    <s v="74.10%"/>
    <s v="12.70%"/>
    <n v="9058"/>
    <n v="5230"/>
    <n v="2188"/>
    <n v="592"/>
    <n v="98"/>
    <n v="15"/>
    <n v="7874"/>
    <n v="757"/>
    <n v="1039"/>
    <n v="1991"/>
    <n v="190"/>
    <n v="25"/>
    <s v="1.02"/>
  </r>
  <r>
    <n v="203"/>
    <x v="370"/>
    <s v="Jordan Gilbert"/>
    <x v="9"/>
    <x v="24"/>
    <m/>
    <s v="Cloud9, Complexity"/>
    <n v="14720"/>
    <n v="14236"/>
    <x v="222"/>
    <s v="74.9"/>
    <n v="5"/>
    <n v="813"/>
    <n v="21021"/>
    <s v="0.7"/>
    <s v="0.15"/>
    <s v="0.68"/>
    <s v="0.1"/>
    <s v="0.1"/>
    <n v="9942"/>
    <s v="K - D diff."/>
    <n v="2024"/>
    <n v="2050"/>
    <s v="0.99"/>
    <s v="0.99"/>
    <s v="76.20%"/>
    <s v="13.70%"/>
    <n v="11079"/>
    <n v="6359"/>
    <n v="2595"/>
    <n v="827"/>
    <n v="147"/>
    <n v="14"/>
    <n v="10979"/>
    <n v="286"/>
    <n v="662"/>
    <n v="2520"/>
    <n v="242"/>
    <n v="44"/>
    <s v="1.02"/>
  </r>
  <r>
    <n v="14218"/>
    <x v="371"/>
    <s v="Nicolas Gonzalez Zamora"/>
    <x v="7"/>
    <x v="29"/>
    <s v="NIP"/>
    <s v="NIP, x6tence Galaxy, Singularity"/>
    <n v="18805"/>
    <n v="17985"/>
    <x v="57"/>
    <s v="76.5"/>
    <s v="4.9"/>
    <n v="1027"/>
    <n v="27188"/>
    <s v="0.69"/>
    <s v="0.14"/>
    <s v="0.66"/>
    <s v="0.1"/>
    <s v="0.11"/>
    <n v="12826"/>
    <s v="K - D diff."/>
    <n v="2624"/>
    <n v="2646"/>
    <s v="0.99"/>
    <s v="0.99"/>
    <s v="71.50%"/>
    <s v="13.50%"/>
    <n v="14362"/>
    <n v="8246"/>
    <n v="3389"/>
    <n v="996"/>
    <n v="182"/>
    <n v="13"/>
    <n v="13951"/>
    <n v="229"/>
    <n v="1264"/>
    <n v="3051"/>
    <n v="317"/>
    <n v="57"/>
    <s v="1.08"/>
  </r>
  <r>
    <n v="13464"/>
    <x v="372"/>
    <s v="Martin Kuyumdjiev"/>
    <x v="8"/>
    <x v="25"/>
    <s v="WinX"/>
    <s v="FATE, Finest"/>
    <n v="13540"/>
    <n v="13128"/>
    <x v="64"/>
    <s v="78.9"/>
    <s v="6.6"/>
    <n v="731"/>
    <n v="19382"/>
    <s v="0.7"/>
    <s v="0.15"/>
    <s v="0.68"/>
    <s v="0.1"/>
    <s v="0.1"/>
    <n v="9141"/>
    <s v="K - D diff."/>
    <n v="1930"/>
    <n v="1846"/>
    <s v="1.05"/>
    <s v="1.01"/>
    <s v="71.60%"/>
    <s v="14.30%"/>
    <n v="10241"/>
    <n v="5802"/>
    <n v="2457"/>
    <n v="720"/>
    <n v="146"/>
    <n v="16"/>
    <n v="10318"/>
    <n v="104"/>
    <n v="672"/>
    <n v="2119"/>
    <n v="333"/>
    <n v="59"/>
    <s v="1.08"/>
  </r>
  <r>
    <n v="2398"/>
    <x v="373"/>
    <s v="Alexander Carlsson"/>
    <x v="11"/>
    <x v="29"/>
    <m/>
    <s v="Orbit, LGB"/>
    <n v="7087"/>
    <n v="6759"/>
    <x v="210"/>
    <s v="79.8"/>
    <n v="4"/>
    <n v="382"/>
    <n v="10157"/>
    <s v="0.7"/>
    <s v="0.16"/>
    <s v="0.67"/>
    <s v="0.1"/>
    <s v="0.13"/>
    <n v="4845"/>
    <s v="K - D diff."/>
    <n v="816"/>
    <n v="728"/>
    <s v="1.12"/>
    <s v="0.95"/>
    <s v="74.60%"/>
    <s v="12.00%"/>
    <n v="5312"/>
    <n v="3125"/>
    <n v="1290"/>
    <n v="363"/>
    <n v="59"/>
    <n v="8"/>
    <n v="5397"/>
    <n v="176"/>
    <n v="202"/>
    <n v="1175"/>
    <n v="123"/>
    <n v="16"/>
    <s v="1.02"/>
  </r>
  <r>
    <n v="8951"/>
    <x v="374"/>
    <s v="Baskoro Dwi Putra"/>
    <x v="11"/>
    <x v="12"/>
    <m/>
    <s v="Recca, nxl"/>
    <n v="7419"/>
    <n v="7300"/>
    <x v="22"/>
    <s v="78.1"/>
    <n v="3"/>
    <n v="412"/>
    <n v="10376"/>
    <s v="0.72"/>
    <s v="0.15"/>
    <s v="0.7"/>
    <s v="0.11"/>
    <s v="0.11"/>
    <n v="4939"/>
    <s v="K - D diff."/>
    <n v="1212"/>
    <n v="1236"/>
    <s v="0.98"/>
    <s v="1.05"/>
    <s v="74.20%"/>
    <s v="16.70%"/>
    <n v="5437"/>
    <n v="3049"/>
    <n v="1386"/>
    <n v="426"/>
    <n v="71"/>
    <n v="7"/>
    <n v="5311"/>
    <n v="437"/>
    <n v="436"/>
    <n v="1173"/>
    <n v="65"/>
    <n v="3"/>
    <s v="1.02"/>
  </r>
  <r>
    <n v="17113"/>
    <x v="375"/>
    <s v="Hubert ÅšwiatÅ‚y"/>
    <x v="7"/>
    <x v="17"/>
    <s v="MOUZ NXT"/>
    <s v="MOUZ NXT, Izako Boars"/>
    <n v="10070"/>
    <n v="9815"/>
    <x v="221"/>
    <s v="76.8"/>
    <s v="3.9"/>
    <n v="545"/>
    <n v="14588"/>
    <s v="0.69"/>
    <s v="0.13"/>
    <s v="0.67"/>
    <s v="0.09"/>
    <s v="0.09"/>
    <n v="6757"/>
    <s v="K - D diff."/>
    <n v="1380"/>
    <n v="1357"/>
    <s v="1.02"/>
    <s v="0.98"/>
    <s v="73.30%"/>
    <s v="13.40%"/>
    <n v="7831"/>
    <n v="4298"/>
    <n v="1753"/>
    <n v="569"/>
    <n v="126"/>
    <n v="11"/>
    <n v="7553"/>
    <n v="268"/>
    <n v="314"/>
    <n v="1832"/>
    <n v="98"/>
    <n v="45"/>
    <s v="1.06"/>
  </r>
  <r>
    <n v="7935"/>
    <x v="376"/>
    <s v="Daniel Gustaferri"/>
    <x v="5"/>
    <x v="24"/>
    <m/>
    <s v="Splyce, Echo Fox, Complexity, ELEVATE"/>
    <n v="12336"/>
    <n v="12141"/>
    <x v="223"/>
    <s v="76.4"/>
    <n v="3"/>
    <n v="660"/>
    <n v="17324"/>
    <s v="0.71"/>
    <s v="0.13"/>
    <s v="0.7"/>
    <s v="0.1"/>
    <s v="0.11"/>
    <n v="8244"/>
    <s v="K - D diff."/>
    <n v="1858"/>
    <n v="1796"/>
    <s v="1.03"/>
    <s v="1.03"/>
    <s v="69.90%"/>
    <s v="15.40%"/>
    <n v="9080"/>
    <n v="5181"/>
    <n v="2223"/>
    <n v="676"/>
    <n v="152"/>
    <n v="12"/>
    <n v="9185"/>
    <n v="343"/>
    <n v="374"/>
    <n v="2239"/>
    <n v="166"/>
    <n v="50"/>
    <s v="1.02"/>
  </r>
  <r>
    <n v="13182"/>
    <x v="377"/>
    <s v="Jack Holiman"/>
    <x v="4"/>
    <x v="24"/>
    <m/>
    <s v="The Quest, Triumph, SoaR"/>
    <n v="8078"/>
    <n v="7894"/>
    <x v="224"/>
    <s v="75.4"/>
    <n v="3"/>
    <n v="449"/>
    <n v="11596"/>
    <s v="0.7"/>
    <s v="0.13"/>
    <s v="0.68"/>
    <s v="0.11"/>
    <s v="0.11"/>
    <n v="5403"/>
    <s v="K - D diff."/>
    <n v="1221"/>
    <n v="1289"/>
    <s v="0.95"/>
    <s v="1.01"/>
    <s v="71.00%"/>
    <s v="14.60%"/>
    <n v="6193"/>
    <n v="3383"/>
    <n v="1481"/>
    <n v="433"/>
    <n v="96"/>
    <n v="10"/>
    <n v="6019"/>
    <n v="144"/>
    <n v="435"/>
    <n v="1423"/>
    <n v="68"/>
    <n v="12"/>
    <s v="1.07"/>
  </r>
  <r>
    <n v="10818"/>
    <x v="378"/>
    <s v="Victor Torraca"/>
    <x v="1"/>
    <x v="3"/>
    <s v="TeamOne"/>
    <s v="TeamOne, PaquetÃ¡, Yeah"/>
    <n v="15793"/>
    <n v="15282"/>
    <x v="186"/>
    <s v="78.2"/>
    <s v="4.7"/>
    <n v="872"/>
    <n v="22741"/>
    <s v="0.69"/>
    <s v="0.15"/>
    <s v="0.67"/>
    <s v="0.1"/>
    <s v="0.09"/>
    <n v="10658"/>
    <s v="K - D diff."/>
    <n v="2317"/>
    <n v="2265"/>
    <s v="1.02"/>
    <s v="1.01"/>
    <s v="74.50%"/>
    <s v="14.50%"/>
    <n v="12083"/>
    <n v="6748"/>
    <n v="2871"/>
    <n v="871"/>
    <n v="150"/>
    <n v="18"/>
    <n v="11294"/>
    <n v="734"/>
    <n v="1013"/>
    <n v="2554"/>
    <n v="186"/>
    <n v="50"/>
    <s v="1.08"/>
  </r>
  <r>
    <n v="11844"/>
    <x v="379"/>
    <s v="Sam Jones"/>
    <x v="9"/>
    <x v="15"/>
    <m/>
    <s v="Chiefs, Athletico, Dark Sided"/>
    <n v="7976"/>
    <n v="7619"/>
    <x v="225"/>
    <n v="79"/>
    <s v="5.3"/>
    <n v="461"/>
    <n v="11606"/>
    <s v="0.69"/>
    <s v="0.16"/>
    <s v="0.66"/>
    <s v="0.08"/>
    <s v="0.08"/>
    <n v="5468"/>
    <s v="K - D diff."/>
    <n v="1041"/>
    <n v="943"/>
    <s v="1.1"/>
    <s v="0.98"/>
    <s v="74.30%"/>
    <s v="12.60%"/>
    <n v="6138"/>
    <n v="3555"/>
    <n v="1420"/>
    <n v="399"/>
    <n v="86"/>
    <n v="8"/>
    <n v="5813"/>
    <n v="43"/>
    <n v="508"/>
    <n v="1455"/>
    <n v="146"/>
    <n v="23"/>
    <s v="1.09"/>
  </r>
  <r>
    <n v="14394"/>
    <x v="380"/>
    <s v="Matheus Anhaia"/>
    <x v="6"/>
    <x v="3"/>
    <s v="MIBR"/>
    <s v="MIBR, DETONA, Bravos, C4"/>
    <n v="13764"/>
    <n v="13382"/>
    <x v="139"/>
    <s v="76.9"/>
    <s v="2.8"/>
    <n v="750"/>
    <n v="19746"/>
    <s v="0.7"/>
    <s v="0.14"/>
    <s v="0.68"/>
    <s v="0.1"/>
    <s v="0.11"/>
    <n v="9307"/>
    <s v="K - D diff."/>
    <n v="2160"/>
    <n v="2230"/>
    <s v="0.97"/>
    <s v="1.03"/>
    <s v="74.00%"/>
    <s v="15.50%"/>
    <n v="10439"/>
    <n v="5966"/>
    <n v="2414"/>
    <n v="753"/>
    <n v="159"/>
    <n v="15"/>
    <n v="10712"/>
    <n v="32"/>
    <n v="789"/>
    <n v="2139"/>
    <n v="116"/>
    <n v="20"/>
    <s v="1.08"/>
  </r>
  <r>
    <n v="8891"/>
    <x v="381"/>
    <s v="Magnus Olsen"/>
    <x v="6"/>
    <x v="9"/>
    <s v="ex-AGF"/>
    <s v="Copenhagen Flames, x6tence"/>
    <n v="13169"/>
    <n v="12634"/>
    <x v="205"/>
    <n v="76"/>
    <s v="5.1"/>
    <n v="720"/>
    <n v="19311"/>
    <s v="0.68"/>
    <s v="0.14"/>
    <s v="0.65"/>
    <s v="0.1"/>
    <s v="0.11"/>
    <n v="9005"/>
    <s v="K - D diff."/>
    <n v="1664"/>
    <n v="1619"/>
    <s v="1.03"/>
    <s v="0.96"/>
    <s v="72.10%"/>
    <s v="12.10%"/>
    <n v="10306"/>
    <n v="5882"/>
    <n v="2272"/>
    <n v="681"/>
    <n v="150"/>
    <n v="20"/>
    <n v="10012"/>
    <n v="286"/>
    <n v="402"/>
    <n v="2269"/>
    <n v="215"/>
    <n v="39"/>
    <s v="1.01"/>
  </r>
  <r>
    <n v="2730"/>
    <x v="382"/>
    <s v="Chris de Jong"/>
    <x v="15"/>
    <x v="41"/>
    <m/>
    <s v="MOUZ"/>
    <n v="31011"/>
    <n v="29926"/>
    <x v="196"/>
    <s v="70.1"/>
    <s v="3.3"/>
    <n v="1727"/>
    <n v="45400"/>
    <s v="0.68"/>
    <s v="0.11"/>
    <s v="0.66"/>
    <s v="0.1"/>
    <s v="0.08"/>
    <n v="20889"/>
    <s v="K - D diff."/>
    <n v="5696"/>
    <n v="5087"/>
    <s v="1.12"/>
    <s v="1.11"/>
    <s v="73.20%"/>
    <s v="17.70%"/>
    <n v="24511"/>
    <n v="13268"/>
    <n v="5599"/>
    <n v="1637"/>
    <n v="342"/>
    <n v="43"/>
    <n v="11822"/>
    <n v="11455"/>
    <n v="1588"/>
    <n v="5737"/>
    <n v="331"/>
    <n v="113"/>
    <s v="1.01"/>
  </r>
  <r>
    <n v="11230"/>
    <x v="383"/>
    <s v="Alex Protopapas"/>
    <x v="6"/>
    <x v="24"/>
    <m/>
    <s v="CLG Academy, Vision, BlackOut"/>
    <n v="7153"/>
    <n v="7068"/>
    <x v="226"/>
    <s v="74.9"/>
    <s v="3.2"/>
    <n v="383"/>
    <n v="10053"/>
    <s v="0.71"/>
    <s v="0.11"/>
    <s v="0.7"/>
    <s v="0.1"/>
    <s v="0.13"/>
    <n v="4789"/>
    <s v="K - D diff."/>
    <n v="850"/>
    <n v="822"/>
    <s v="1.03"/>
    <s v="0.95"/>
    <s v="75.10%"/>
    <s v="13.00%"/>
    <n v="5264"/>
    <n v="3033"/>
    <n v="1247"/>
    <n v="418"/>
    <n v="83"/>
    <n v="8"/>
    <n v="4758"/>
    <n v="157"/>
    <n v="467"/>
    <n v="1593"/>
    <n v="67"/>
    <n v="122"/>
    <s v="1.05"/>
  </r>
  <r>
    <n v="11213"/>
    <x v="384"/>
    <s v="Felipe Delboni"/>
    <x v="1"/>
    <x v="3"/>
    <s v="Corinthians"/>
    <s v="Imperial, Case, Yeah"/>
    <n v="9708"/>
    <n v="9374"/>
    <x v="227"/>
    <s v="74.8"/>
    <s v="3.7"/>
    <n v="544"/>
    <n v="14126"/>
    <s v="0.69"/>
    <s v="0.13"/>
    <s v="0.66"/>
    <s v="0.1"/>
    <s v="0.11"/>
    <n v="6612"/>
    <s v="K - D diff."/>
    <n v="1102"/>
    <n v="1101"/>
    <n v="1"/>
    <s v="0.93"/>
    <s v="74.20%"/>
    <s v="11.60%"/>
    <n v="7514"/>
    <n v="4299"/>
    <n v="1672"/>
    <n v="511"/>
    <n v="118"/>
    <n v="12"/>
    <n v="7005"/>
    <n v="305"/>
    <n v="455"/>
    <n v="1832"/>
    <n v="123"/>
    <n v="23"/>
    <s v="1.05"/>
  </r>
  <r>
    <n v="12269"/>
    <x v="385"/>
    <s v="Rassim Valijev"/>
    <x v="2"/>
    <x v="22"/>
    <s v="Nemiga"/>
    <s v="Nemiga"/>
    <n v="21484"/>
    <n v="20479"/>
    <x v="228"/>
    <s v="74.8"/>
    <s v="5.6"/>
    <n v="1178"/>
    <n v="31522"/>
    <s v="0.68"/>
    <s v="0.13"/>
    <s v="0.65"/>
    <s v="0.1"/>
    <s v="0.09"/>
    <n v="14727"/>
    <s v="K - D diff."/>
    <n v="3144"/>
    <n v="3175"/>
    <s v="0.99"/>
    <n v="1"/>
    <s v="71.10%"/>
    <s v="13.90%"/>
    <n v="16795"/>
    <n v="9568"/>
    <n v="3819"/>
    <n v="1104"/>
    <n v="214"/>
    <n v="22"/>
    <n v="14087"/>
    <n v="2437"/>
    <n v="1229"/>
    <n v="3341"/>
    <n v="325"/>
    <n v="133"/>
    <s v="1.07"/>
  </r>
  <r>
    <n v="17402"/>
    <x v="386"/>
    <s v="Harry Hayes"/>
    <x v="4"/>
    <x v="15"/>
    <m/>
    <s v="Paradox, SYF"/>
    <n v="6857"/>
    <n v="6734"/>
    <x v="213"/>
    <s v="76.8"/>
    <s v="4.1"/>
    <n v="379"/>
    <n v="9815"/>
    <s v="0.7"/>
    <s v="0.14"/>
    <s v="0.69"/>
    <s v="0.09"/>
    <s v="0.09"/>
    <n v="4581"/>
    <s v="K - D diff."/>
    <n v="960"/>
    <n v="1032"/>
    <s v="0.93"/>
    <s v="0.98"/>
    <s v="73.60%"/>
    <s v="14.20%"/>
    <n v="5234"/>
    <n v="2873"/>
    <n v="1235"/>
    <n v="388"/>
    <n v="75"/>
    <n v="10"/>
    <n v="4345"/>
    <n v="66"/>
    <n v="1258"/>
    <n v="1091"/>
    <n v="80"/>
    <n v="31"/>
    <s v="1.06"/>
  </r>
  <r>
    <n v="8611"/>
    <x v="387"/>
    <s v="Patrick Hansen"/>
    <x v="5"/>
    <x v="9"/>
    <s v="NIP"/>
    <s v="Heroic, Tricked"/>
    <n v="23769"/>
    <n v="22950"/>
    <x v="17"/>
    <s v="76.3"/>
    <s v="5.1"/>
    <n v="1325"/>
    <n v="34703"/>
    <s v="0.68"/>
    <s v="0.15"/>
    <s v="0.66"/>
    <s v="0.1"/>
    <s v="0.1"/>
    <n v="16107"/>
    <s v="K - D diff."/>
    <n v="3798"/>
    <n v="3577"/>
    <s v="1.06"/>
    <s v="1.04"/>
    <s v="73.30%"/>
    <s v="15.70%"/>
    <n v="18596"/>
    <n v="10348"/>
    <n v="4166"/>
    <n v="1308"/>
    <n v="261"/>
    <n v="24"/>
    <n v="15404"/>
    <n v="2683"/>
    <n v="1267"/>
    <n v="3941"/>
    <n v="391"/>
    <n v="129"/>
    <s v="1.01"/>
  </r>
  <r>
    <n v="20090"/>
    <x v="388"/>
    <s v="Rasmus Nordfoss"/>
    <x v="13"/>
    <x v="9"/>
    <s v="Copenhagen Flames"/>
    <s v="Copenhagen Flames"/>
    <n v="7590"/>
    <n v="7290"/>
    <x v="51"/>
    <s v="75.5"/>
    <n v="3"/>
    <n v="415"/>
    <n v="10947"/>
    <s v="0.69"/>
    <s v="0.12"/>
    <s v="0.67"/>
    <s v="0.1"/>
    <s v="0.11"/>
    <n v="5192"/>
    <s v="K - D diff."/>
    <n v="1095"/>
    <n v="1074"/>
    <s v="1.02"/>
    <n v="1"/>
    <s v="72.10%"/>
    <s v="13.80%"/>
    <n v="5755"/>
    <n v="3361"/>
    <n v="1352"/>
    <n v="397"/>
    <n v="76"/>
    <n v="6"/>
    <n v="5944"/>
    <n v="110"/>
    <n v="202"/>
    <n v="1283"/>
    <n v="61"/>
    <n v="27"/>
    <s v="1.07"/>
  </r>
  <r>
    <n v="16859"/>
    <x v="389"/>
    <s v="Kristjan Jakobson"/>
    <x v="1"/>
    <x v="22"/>
    <s v="Finest"/>
    <s v="Finest, Movistar Riders"/>
    <n v="11901"/>
    <n v="11490"/>
    <x v="213"/>
    <n v="75"/>
    <s v="3.6"/>
    <n v="657"/>
    <n v="17509"/>
    <s v="0.68"/>
    <s v="0.12"/>
    <s v="0.66"/>
    <s v="0.08"/>
    <s v="0.09"/>
    <n v="8061"/>
    <s v="K - D diff."/>
    <n v="1769"/>
    <n v="1781"/>
    <s v="0.99"/>
    <n v="1"/>
    <s v="71.70%"/>
    <s v="14.10%"/>
    <n v="9448"/>
    <n v="5175"/>
    <n v="2106"/>
    <n v="624"/>
    <n v="138"/>
    <n v="18"/>
    <n v="8639"/>
    <n v="259"/>
    <n v="607"/>
    <n v="2222"/>
    <n v="151"/>
    <n v="63"/>
    <s v="1.06"/>
  </r>
  <r>
    <n v="8570"/>
    <x v="390"/>
    <s v="Dominik Swiderski"/>
    <x v="2"/>
    <x v="17"/>
    <s v="UNGENTIUM"/>
    <s v="AGO"/>
    <n v="31122"/>
    <n v="30364"/>
    <x v="229"/>
    <s v="78.3"/>
    <s v="3.4"/>
    <n v="1690"/>
    <n v="44986"/>
    <s v="0.69"/>
    <s v="0.15"/>
    <s v="0.67"/>
    <s v="0.1"/>
    <s v="0.11"/>
    <n v="20895"/>
    <s v="K - D diff."/>
    <n v="4076"/>
    <n v="4254"/>
    <s v="0.96"/>
    <s v="0.96"/>
    <s v="73.50%"/>
    <s v="13.00%"/>
    <n v="24091"/>
    <n v="13188"/>
    <n v="5593"/>
    <n v="1749"/>
    <n v="327"/>
    <n v="38"/>
    <n v="23846"/>
    <n v="501"/>
    <n v="1043"/>
    <n v="5352"/>
    <n v="363"/>
    <n v="92"/>
    <s v="1.01"/>
  </r>
  <r>
    <n v="8350"/>
    <x v="391"/>
    <s v="Derek Branchen"/>
    <x v="11"/>
    <x v="24"/>
    <m/>
    <s v="Winterfox, Complexity, SKDC"/>
    <n v="7826"/>
    <n v="7727"/>
    <x v="88"/>
    <s v="75.6"/>
    <s v="2.9"/>
    <n v="430"/>
    <n v="10986"/>
    <s v="0.71"/>
    <s v="0.13"/>
    <s v="0.7"/>
    <s v="0.09"/>
    <s v="0.1"/>
    <n v="5233"/>
    <s v="K - D diff."/>
    <n v="1082"/>
    <n v="1213"/>
    <s v="0.89"/>
    <s v="0.98"/>
    <s v="69.50%"/>
    <s v="14.50%"/>
    <n v="5753"/>
    <n v="3278"/>
    <n v="1421"/>
    <n v="444"/>
    <n v="82"/>
    <n v="8"/>
    <n v="5631"/>
    <n v="320"/>
    <n v="253"/>
    <n v="1542"/>
    <n v="72"/>
    <n v="20"/>
    <s v="1.01"/>
  </r>
  <r>
    <n v="9811"/>
    <x v="392"/>
    <s v="Niclas Plessen"/>
    <x v="1"/>
    <x v="29"/>
    <s v="Finest"/>
    <s v="Galaxy Racer, Chaos, Japaleno, Red Reserve, fnatic Academy"/>
    <n v="24862"/>
    <n v="24630"/>
    <x v="189"/>
    <s v="80.3"/>
    <s v="5.7"/>
    <n v="1310"/>
    <n v="35095"/>
    <s v="0.71"/>
    <s v="0.15"/>
    <s v="0.7"/>
    <s v="0.1"/>
    <s v="0.09"/>
    <n v="16590"/>
    <s v="K - D diff."/>
    <n v="4195"/>
    <n v="4187"/>
    <n v="1"/>
    <s v="1.07"/>
    <s v="71.70%"/>
    <s v="16.90%"/>
    <n v="18505"/>
    <n v="10393"/>
    <n v="4478"/>
    <n v="1393"/>
    <n v="296"/>
    <n v="30"/>
    <n v="16674"/>
    <n v="1495"/>
    <n v="1786"/>
    <n v="4512"/>
    <n v="352"/>
    <n v="89"/>
    <s v="1.01"/>
  </r>
  <r>
    <n v="12810"/>
    <x v="393"/>
    <s v="Max Kvapil"/>
    <x v="0"/>
    <x v="18"/>
    <s v="SINNERS"/>
    <s v="SINNERS"/>
    <n v="13403"/>
    <n v="12922"/>
    <x v="230"/>
    <s v="72.9"/>
    <s v="3.5"/>
    <n v="740"/>
    <n v="19869"/>
    <s v="0.67"/>
    <s v="0.11"/>
    <s v="0.65"/>
    <s v="0.08"/>
    <s v="0.09"/>
    <n v="9074"/>
    <s v="K - D diff."/>
    <n v="1744"/>
    <n v="1820"/>
    <s v="0.96"/>
    <s v="0.95"/>
    <s v="72.80%"/>
    <s v="12.30%"/>
    <n v="10795"/>
    <n v="5814"/>
    <n v="2378"/>
    <n v="714"/>
    <n v="149"/>
    <n v="19"/>
    <n v="9683"/>
    <n v="701"/>
    <n v="500"/>
    <n v="2387"/>
    <n v="121"/>
    <n v="52"/>
    <s v="1.04"/>
  </r>
  <r>
    <n v="12086"/>
    <x v="394"/>
    <s v="Hugh Anderson"/>
    <x v="4"/>
    <x v="15"/>
    <s v="Aftershock"/>
    <s v="Chiefs, Legacy, Genuine, Funky Monkeys"/>
    <n v="13552"/>
    <n v="13061"/>
    <x v="141"/>
    <s v="74.6"/>
    <s v="4.8"/>
    <n v="765"/>
    <n v="19858"/>
    <s v="0.68"/>
    <s v="0.13"/>
    <s v="0.66"/>
    <s v="0.1"/>
    <s v="0.11"/>
    <n v="9228"/>
    <s v="K - D diff."/>
    <n v="1856"/>
    <n v="1986"/>
    <s v="0.93"/>
    <s v="0.97"/>
    <s v="70.60%"/>
    <s v="13.00%"/>
    <n v="10630"/>
    <n v="5964"/>
    <n v="2381"/>
    <n v="725"/>
    <n v="139"/>
    <n v="19"/>
    <n v="9609"/>
    <n v="545"/>
    <n v="793"/>
    <n v="2422"/>
    <n v="192"/>
    <n v="34"/>
    <s v="1.06"/>
  </r>
  <r>
    <n v="9896"/>
    <x v="395"/>
    <s v="Johannes Borup"/>
    <x v="4"/>
    <x v="9"/>
    <m/>
    <s v="Tricked, Heroic, MAD Lions"/>
    <n v="25570"/>
    <n v="25109"/>
    <x v="231"/>
    <s v="73.2"/>
    <s v="4.6"/>
    <n v="1411"/>
    <n v="37302"/>
    <s v="0.69"/>
    <s v="0.11"/>
    <s v="0.67"/>
    <s v="0.1"/>
    <s v="0.1"/>
    <n v="17053"/>
    <s v="K - D diff."/>
    <n v="3830"/>
    <n v="4156"/>
    <s v="0.92"/>
    <s v="0.99"/>
    <s v="73.30%"/>
    <s v="14.50%"/>
    <n v="20249"/>
    <n v="10732"/>
    <n v="4495"/>
    <n v="1492"/>
    <n v="298"/>
    <n v="36"/>
    <n v="19009"/>
    <n v="341"/>
    <n v="1538"/>
    <n v="4280"/>
    <n v="371"/>
    <n v="93"/>
    <s v="1.01"/>
  </r>
  <r>
    <n v="9766"/>
    <x v="396"/>
    <s v="Hampus Poser"/>
    <x v="6"/>
    <x v="29"/>
    <s v="NIP"/>
    <s v="NIP, GamerLegion, Red Reserve, GODSENT"/>
    <n v="25535"/>
    <n v="25276"/>
    <x v="22"/>
    <s v="79.9"/>
    <s v="4.3"/>
    <n v="1367"/>
    <n v="36338"/>
    <s v="0.7"/>
    <s v="0.15"/>
    <s v="0.7"/>
    <s v="0.08"/>
    <s v="0.08"/>
    <n v="17025"/>
    <s v="K - D diff."/>
    <n v="4268"/>
    <n v="4587"/>
    <s v="0.93"/>
    <s v="1.04"/>
    <s v="74.10%"/>
    <s v="16.90%"/>
    <n v="19313"/>
    <n v="10665"/>
    <n v="4587"/>
    <n v="1435"/>
    <n v="299"/>
    <n v="39"/>
    <n v="17463"/>
    <n v="1682"/>
    <n v="1374"/>
    <n v="4633"/>
    <n v="331"/>
    <n v="90"/>
    <s v="1.01"/>
  </r>
  <r>
    <n v="10840"/>
    <x v="397"/>
    <s v="Alef Pereira"/>
    <x v="3"/>
    <x v="3"/>
    <s v="Los Grandes"/>
    <s v="paiN, Wild, Yeah, BigGods"/>
    <n v="13179"/>
    <n v="12188"/>
    <x v="120"/>
    <s v="69.9"/>
    <s v="3.2"/>
    <n v="773"/>
    <n v="20279"/>
    <s v="0.65"/>
    <s v="0.11"/>
    <s v="0.6"/>
    <s v="0.08"/>
    <s v="0.09"/>
    <n v="9185"/>
    <s v="K - D diff."/>
    <n v="1418"/>
    <n v="1163"/>
    <s v="1.22"/>
    <s v="0.92"/>
    <s v="74.80%"/>
    <s v="9.90%"/>
    <n v="11094"/>
    <n v="6063"/>
    <n v="2386"/>
    <n v="610"/>
    <n v="116"/>
    <n v="10"/>
    <n v="10120"/>
    <n v="87"/>
    <n v="705"/>
    <n v="2117"/>
    <n v="148"/>
    <n v="29"/>
    <s v="1.05"/>
  </r>
  <r>
    <n v="1045"/>
    <x v="398"/>
    <s v="Mikail Bill"/>
    <x v="9"/>
    <x v="29"/>
    <m/>
    <s v="NoChance, GODSENT"/>
    <n v="18850"/>
    <n v="17905"/>
    <x v="55"/>
    <s v="73.3"/>
    <s v="4.8"/>
    <n v="1067"/>
    <n v="28134"/>
    <s v="0.67"/>
    <s v="0.14"/>
    <s v="0.64"/>
    <s v="0.09"/>
    <s v="0.09"/>
    <n v="12880"/>
    <s v="K - D diff."/>
    <n v="2821"/>
    <n v="2433"/>
    <s v="1.16"/>
    <s v="1.02"/>
    <s v="73.70%"/>
    <s v="14.40%"/>
    <n v="15254"/>
    <n v="8314"/>
    <n v="3399"/>
    <n v="969"/>
    <n v="184"/>
    <n v="14"/>
    <n v="7782"/>
    <n v="6195"/>
    <n v="736"/>
    <n v="3623"/>
    <n v="313"/>
    <n v="223"/>
    <s v="1.01"/>
  </r>
  <r>
    <n v="9261"/>
    <x v="399"/>
    <s v="Jonas Olofsson"/>
    <x v="11"/>
    <x v="29"/>
    <m/>
    <s v="NIP, Dignitas, fnatic, GODSENT"/>
    <n v="24036"/>
    <n v="23262"/>
    <x v="88"/>
    <s v="76.5"/>
    <s v="3.9"/>
    <n v="1302"/>
    <n v="34804"/>
    <s v="0.69"/>
    <s v="0.14"/>
    <s v="0.67"/>
    <s v="0.09"/>
    <s v="0.09"/>
    <n v="16343"/>
    <s v="K - D diff."/>
    <n v="3430"/>
    <n v="3067"/>
    <s v="1.12"/>
    <s v="1.01"/>
    <s v="71.40%"/>
    <s v="13.70%"/>
    <n v="18461"/>
    <n v="10497"/>
    <n v="4294"/>
    <n v="1279"/>
    <n v="251"/>
    <n v="22"/>
    <n v="16608"/>
    <n v="1422"/>
    <n v="904"/>
    <n v="4797"/>
    <n v="273"/>
    <n v="100"/>
    <s v="1.01"/>
  </r>
  <r>
    <n v="10470"/>
    <x v="400"/>
    <s v="Mitch Semago"/>
    <x v="8"/>
    <x v="24"/>
    <m/>
    <s v="Selfless, Bad News Bears, Dignitas, Riot Squad"/>
    <n v="14179"/>
    <n v="13547"/>
    <x v="232"/>
    <s v="76.8"/>
    <n v="4"/>
    <n v="807"/>
    <n v="20719"/>
    <s v="0.68"/>
    <s v="0.14"/>
    <s v="0.65"/>
    <s v="0.1"/>
    <s v="0.11"/>
    <n v="9748"/>
    <s v="K - D diff."/>
    <n v="2066"/>
    <n v="1954"/>
    <s v="1.06"/>
    <s v="1.01"/>
    <s v="71.10%"/>
    <s v="13.60%"/>
    <n v="10971"/>
    <n v="6361"/>
    <n v="2495"/>
    <n v="744"/>
    <n v="144"/>
    <n v="4"/>
    <n v="9347"/>
    <n v="1218"/>
    <n v="841"/>
    <n v="2541"/>
    <n v="199"/>
    <n v="61"/>
    <s v="1.01"/>
  </r>
  <r>
    <n v="12004"/>
    <x v="401"/>
    <s v="Timur Sabirov"/>
    <x v="7"/>
    <x v="2"/>
    <s v="K23"/>
    <s v="K23, Trident, Cyber Legacy, Singularity, EXTREMUM"/>
    <n v="7015"/>
    <n v="6742"/>
    <x v="233"/>
    <n v="75"/>
    <s v="4.7"/>
    <n v="387"/>
    <n v="10293"/>
    <s v="0.68"/>
    <s v="0.11"/>
    <s v="0.66"/>
    <s v="0.09"/>
    <s v="0.1"/>
    <n v="4790"/>
    <s v="K - D diff."/>
    <n v="831"/>
    <n v="829"/>
    <n v="1"/>
    <s v="0.94"/>
    <s v="68.40%"/>
    <s v="11.10%"/>
    <n v="5503"/>
    <n v="3092"/>
    <n v="1265"/>
    <n v="348"/>
    <n v="76"/>
    <n v="9"/>
    <n v="5231"/>
    <n v="123"/>
    <n v="383"/>
    <n v="1208"/>
    <n v="60"/>
    <n v="23"/>
    <s v="1.04"/>
  </r>
  <r>
    <n v="4373"/>
    <x v="402"/>
    <s v="Rajohn Linato"/>
    <x v="3"/>
    <x v="30"/>
    <m/>
    <s v="Movistar Riders, OFFSET"/>
    <n v="9017"/>
    <n v="8646"/>
    <x v="234"/>
    <s v="68.7"/>
    <s v="2.8"/>
    <n v="500"/>
    <n v="13298"/>
    <s v="0.68"/>
    <s v="0.09"/>
    <s v="0.65"/>
    <s v="0.1"/>
    <s v="0.1"/>
    <n v="6177"/>
    <s v="K - D diff."/>
    <n v="1530"/>
    <n v="1214"/>
    <s v="1.26"/>
    <s v="1.09"/>
    <s v="72.20%"/>
    <s v="16.70%"/>
    <n v="7121"/>
    <n v="4014"/>
    <n v="1616"/>
    <n v="431"/>
    <n v="102"/>
    <n v="14"/>
    <n v="1874"/>
    <n v="5193"/>
    <n v="474"/>
    <n v="1390"/>
    <n v="86"/>
    <n v="17"/>
    <s v="1.01"/>
  </r>
  <r>
    <n v="14684"/>
    <x v="403"/>
    <s v="Grzegorz JÄ™dras"/>
    <x v="6"/>
    <x v="17"/>
    <m/>
    <s v="Wisla Krakow, x-kom"/>
    <n v="15232"/>
    <n v="14642"/>
    <x v="235"/>
    <n v="77"/>
    <n v="6"/>
    <n v="819"/>
    <n v="22194"/>
    <s v="0.69"/>
    <s v="0.15"/>
    <s v="0.66"/>
    <s v="0.1"/>
    <s v="0.1"/>
    <n v="10418"/>
    <s v="K - D diff."/>
    <n v="1996"/>
    <n v="1933"/>
    <s v="1.03"/>
    <s v="0.97"/>
    <s v="71.70%"/>
    <s v="12.80%"/>
    <n v="11776"/>
    <n v="6741"/>
    <n v="2707"/>
    <n v="818"/>
    <n v="137"/>
    <n v="15"/>
    <n v="11629"/>
    <n v="173"/>
    <n v="772"/>
    <n v="2397"/>
    <n v="283"/>
    <n v="41"/>
    <s v="1.08"/>
  </r>
  <r>
    <n v="14929"/>
    <x v="404"/>
    <s v="Jon de Castro"/>
    <x v="4"/>
    <x v="32"/>
    <s v="MOUZ"/>
    <s v="MOUZ, MOUZ NXT, expert, Unicorns of Love, PANTHERS"/>
    <n v="9406"/>
    <n v="9192"/>
    <x v="74"/>
    <s v="75.9"/>
    <s v="3.2"/>
    <n v="521"/>
    <n v="13676"/>
    <s v="0.69"/>
    <s v="0.13"/>
    <s v="0.67"/>
    <s v="0.1"/>
    <s v="0.1"/>
    <n v="6327"/>
    <s v="K - D diff."/>
    <n v="1376"/>
    <n v="1486"/>
    <s v="0.93"/>
    <s v="0.99"/>
    <s v="68.40%"/>
    <s v="13.70%"/>
    <n v="7349"/>
    <n v="4013"/>
    <n v="1682"/>
    <n v="510"/>
    <n v="111"/>
    <n v="11"/>
    <n v="7061"/>
    <n v="335"/>
    <n v="207"/>
    <n v="1740"/>
    <n v="74"/>
    <n v="11"/>
    <s v="1.06"/>
  </r>
  <r>
    <n v="12094"/>
    <x v="405"/>
    <s v="Gabriel Sinopoli"/>
    <x v="5"/>
    <x v="38"/>
    <s v="Leviatan"/>
    <s v="Leviatan, Isurus"/>
    <n v="10684"/>
    <n v="10684"/>
    <x v="213"/>
    <s v="76.7"/>
    <s v="3.8"/>
    <n v="579"/>
    <n v="15075"/>
    <s v="0.71"/>
    <s v="0.13"/>
    <s v="0.71"/>
    <s v="0.11"/>
    <s v="0.1"/>
    <n v="7093"/>
    <s v="K - D diff."/>
    <n v="1747"/>
    <n v="1793"/>
    <s v="0.97"/>
    <s v="1.05"/>
    <s v="72.80%"/>
    <s v="16.20%"/>
    <n v="7982"/>
    <n v="4448"/>
    <n v="1863"/>
    <n v="631"/>
    <n v="138"/>
    <n v="13"/>
    <n v="8025"/>
    <n v="125"/>
    <n v="541"/>
    <n v="1883"/>
    <n v="110"/>
    <n v="16"/>
    <s v="1.07"/>
  </r>
  <r>
    <n v="19114"/>
    <x v="406"/>
    <s v="Kacper Walukiewicz"/>
    <x v="4"/>
    <x v="17"/>
    <s v="FLET"/>
    <s v="AVEZ, Anonymo"/>
    <n v="10912"/>
    <n v="10619"/>
    <x v="236"/>
    <s v="73.7"/>
    <s v="4.5"/>
    <n v="593"/>
    <n v="15953"/>
    <s v="0.68"/>
    <s v="0.12"/>
    <s v="0.67"/>
    <s v="0.1"/>
    <s v="0.11"/>
    <n v="7390"/>
    <s v="K - D diff."/>
    <n v="1438"/>
    <n v="1519"/>
    <s v="0.95"/>
    <s v="0.96"/>
    <s v="71.20%"/>
    <s v="12.80%"/>
    <n v="8563"/>
    <n v="4750"/>
    <n v="1926"/>
    <n v="563"/>
    <n v="134"/>
    <n v="17"/>
    <n v="8040"/>
    <n v="270"/>
    <n v="487"/>
    <n v="1954"/>
    <n v="157"/>
    <n v="37"/>
    <s v="1.05"/>
  </r>
  <r>
    <n v="9680"/>
    <x v="407"/>
    <s v="Andy Zhang"/>
    <x v="8"/>
    <x v="15"/>
    <m/>
    <s v="Ground Zero, Paradox, SYF"/>
    <n v="8741"/>
    <n v="8534"/>
    <x v="237"/>
    <s v="73.2"/>
    <n v="4"/>
    <n v="495"/>
    <n v="12785"/>
    <s v="0.68"/>
    <s v="0.12"/>
    <s v="0.67"/>
    <s v="0.09"/>
    <s v="0.09"/>
    <n v="5874"/>
    <s v="K - D diff."/>
    <n v="1571"/>
    <n v="1310"/>
    <s v="1.2"/>
    <s v="1.11"/>
    <s v="72.50%"/>
    <s v="18.30%"/>
    <n v="6911"/>
    <n v="3716"/>
    <n v="1582"/>
    <n v="458"/>
    <n v="103"/>
    <n v="15"/>
    <n v="2520"/>
    <n v="4060"/>
    <n v="390"/>
    <n v="1650"/>
    <n v="114"/>
    <n v="20"/>
    <s v="1.01"/>
  </r>
  <r>
    <n v="15419"/>
    <x v="408"/>
    <s v="Lifan Ran"/>
    <x v="4"/>
    <x v="10"/>
    <m/>
    <s v="Invictus, 5POWER, CyberZen"/>
    <n v="10605"/>
    <n v="10125"/>
    <x v="79"/>
    <s v="71.9"/>
    <s v="2.7"/>
    <n v="597"/>
    <n v="15834"/>
    <s v="0.67"/>
    <s v="0.12"/>
    <s v="0.64"/>
    <s v="0.1"/>
    <s v="0.11"/>
    <n v="7280"/>
    <s v="K - D diff."/>
    <n v="1702"/>
    <n v="1464"/>
    <s v="1.16"/>
    <s v="1.05"/>
    <s v="70.60%"/>
    <s v="15.00%"/>
    <n v="8554"/>
    <n v="4767"/>
    <n v="1840"/>
    <n v="553"/>
    <n v="101"/>
    <n v="19"/>
    <n v="5060"/>
    <n v="2964"/>
    <n v="561"/>
    <n v="1922"/>
    <n v="105"/>
    <n v="26"/>
    <s v="1.06"/>
  </r>
  <r>
    <n v="5386"/>
    <x v="409"/>
    <s v="PaweÅ‚ BieliÅ„ski"/>
    <x v="3"/>
    <x v="17"/>
    <s v="UNGENTIUM"/>
    <s v="Virtus.pro, AVEZ"/>
    <n v="34583"/>
    <n v="33286"/>
    <x v="38"/>
    <s v="76.1"/>
    <s v="3.6"/>
    <n v="1887"/>
    <n v="49607"/>
    <s v="0.7"/>
    <s v="0.14"/>
    <s v="0.67"/>
    <s v="0.09"/>
    <s v="0.1"/>
    <n v="23725"/>
    <s v="K - D diff."/>
    <n v="4451"/>
    <n v="3989"/>
    <s v="1.12"/>
    <s v="0.98"/>
    <s v="74.30%"/>
    <s v="13.00%"/>
    <n v="25882"/>
    <n v="15411"/>
    <n v="6187"/>
    <n v="1777"/>
    <n v="324"/>
    <n v="26"/>
    <n v="26889"/>
    <n v="165"/>
    <n v="1236"/>
    <n v="5877"/>
    <n v="434"/>
    <n v="44"/>
    <s v="1.01"/>
  </r>
  <r>
    <n v="9416"/>
    <x v="410"/>
    <s v="Francisco Ramos"/>
    <x v="5"/>
    <x v="48"/>
    <s v="Fourteen"/>
    <s v="OFFSET, eXploit, Giants, AlienTech"/>
    <n v="7278"/>
    <n v="6855"/>
    <x v="7"/>
    <s v="69.9"/>
    <s v="2.9"/>
    <n v="418"/>
    <n v="10936"/>
    <s v="0.67"/>
    <s v="0.11"/>
    <s v="0.63"/>
    <s v="0.09"/>
    <s v="0.09"/>
    <n v="5038"/>
    <s v="K - D diff."/>
    <n v="1170"/>
    <n v="869"/>
    <s v="1.35"/>
    <s v="1.07"/>
    <s v="74.70%"/>
    <s v="16.10%"/>
    <n v="5898"/>
    <n v="3309"/>
    <n v="1295"/>
    <n v="362"/>
    <n v="67"/>
    <n v="5"/>
    <n v="2306"/>
    <n v="3391"/>
    <n v="256"/>
    <n v="1272"/>
    <n v="62"/>
    <n v="19"/>
    <s v="1.01"/>
  </r>
  <r>
    <n v="3183"/>
    <x v="411"/>
    <s v="Emiliyan Dimitrov"/>
    <x v="15"/>
    <x v="25"/>
    <s v="FATE"/>
    <s v="E-frag.net, MK, GPlay"/>
    <n v="16849"/>
    <n v="16756"/>
    <x v="149"/>
    <n v="81"/>
    <s v="4.7"/>
    <n v="899"/>
    <n v="23232"/>
    <s v="0.73"/>
    <s v="0.18"/>
    <s v="0.72"/>
    <s v="0.1"/>
    <s v="0.08"/>
    <n v="11300"/>
    <s v="K - D diff."/>
    <n v="2845"/>
    <n v="2903"/>
    <s v="0.98"/>
    <s v="1.07"/>
    <s v="77.70%"/>
    <s v="17.70%"/>
    <n v="11932"/>
    <n v="7121"/>
    <n v="3040"/>
    <n v="936"/>
    <n v="191"/>
    <n v="12"/>
    <n v="12202"/>
    <n v="168"/>
    <n v="1356"/>
    <n v="2848"/>
    <n v="260"/>
    <n v="23"/>
    <s v="1.01"/>
  </r>
  <r>
    <n v="9911"/>
    <x v="412"/>
    <s v="Rasmus Johansson"/>
    <x v="1"/>
    <x v="29"/>
    <s v="Finest"/>
    <s v="Finest, Apeks"/>
    <n v="13418"/>
    <n v="12838"/>
    <x v="200"/>
    <s v="75.7"/>
    <s v="4.5"/>
    <n v="746"/>
    <n v="19847"/>
    <s v="0.68"/>
    <s v="0.14"/>
    <s v="0.65"/>
    <s v="0.09"/>
    <s v="0.1"/>
    <n v="9209"/>
    <s v="K - D diff."/>
    <n v="1709"/>
    <n v="1726"/>
    <s v="0.99"/>
    <s v="0.95"/>
    <s v="74.50%"/>
    <s v="12.70%"/>
    <n v="10638"/>
    <n v="5999"/>
    <n v="2372"/>
    <n v="689"/>
    <n v="137"/>
    <n v="12"/>
    <n v="9286"/>
    <n v="699"/>
    <n v="999"/>
    <n v="2238"/>
    <n v="198"/>
    <n v="54"/>
    <s v="1.01"/>
  </r>
  <r>
    <n v="11205"/>
    <x v="413"/>
    <s v="Renato GonÃ§alves"/>
    <x v="8"/>
    <x v="48"/>
    <s v="FTW"/>
    <s v="SAW, OFFSET"/>
    <n v="13896"/>
    <n v="13273"/>
    <x v="20"/>
    <s v="73.8"/>
    <s v="5.8"/>
    <n v="783"/>
    <n v="20600"/>
    <s v="0.67"/>
    <s v="0.13"/>
    <s v="0.64"/>
    <s v="0.09"/>
    <s v="0.09"/>
    <n v="9557"/>
    <s v="K - D diff."/>
    <n v="2627"/>
    <n v="2107"/>
    <s v="1.25"/>
    <s v="1.13"/>
    <s v="72.70%"/>
    <s v="18.20%"/>
    <n v="11043"/>
    <n v="6240"/>
    <n v="2441"/>
    <n v="744"/>
    <n v="118"/>
    <n v="14"/>
    <n v="5770"/>
    <n v="4686"/>
    <n v="840"/>
    <n v="2372"/>
    <n v="238"/>
    <n v="53"/>
    <s v="1.08"/>
  </r>
  <r>
    <n v="11701"/>
    <x v="414"/>
    <s v="Sabit Coktasar"/>
    <x v="8"/>
    <x v="32"/>
    <s v="Nordavind"/>
    <s v="ALTERNATE aTTaX, EURONICS, Sprout, Nordavind"/>
    <n v="15351"/>
    <n v="14425"/>
    <x v="224"/>
    <s v="73.5"/>
    <s v="5.7"/>
    <n v="866"/>
    <n v="23162"/>
    <s v="0.66"/>
    <s v="0.13"/>
    <s v="0.62"/>
    <s v="0.09"/>
    <s v="0.09"/>
    <n v="10700"/>
    <s v="K - D diff."/>
    <n v="1826"/>
    <n v="1667"/>
    <s v="1.1"/>
    <s v="0.94"/>
    <s v="70.30%"/>
    <s v="10.60%"/>
    <n v="12462"/>
    <n v="7087"/>
    <n v="2754"/>
    <n v="699"/>
    <n v="141"/>
    <n v="19"/>
    <n v="11159"/>
    <n v="602"/>
    <n v="1002"/>
    <n v="2354"/>
    <n v="214"/>
    <n v="70"/>
    <s v="1.06"/>
  </r>
  <r>
    <n v="17510"/>
    <x v="415"/>
    <s v="David Jolin"/>
    <x v="4"/>
    <x v="27"/>
    <s v="Strife"/>
    <s v="Strife, OCG, Swedish Canadians"/>
    <n v="7287"/>
    <n v="7168"/>
    <x v="72"/>
    <s v="78.3"/>
    <s v="4.2"/>
    <n v="394"/>
    <n v="10297"/>
    <s v="0.71"/>
    <s v="0.13"/>
    <s v="0.7"/>
    <s v="0.09"/>
    <s v="0.09"/>
    <n v="4913"/>
    <s v="K - D diff."/>
    <n v="1143"/>
    <n v="1112"/>
    <s v="1.03"/>
    <s v="1.04"/>
    <s v="68.50%"/>
    <s v="15.60%"/>
    <n v="5384"/>
    <n v="3095"/>
    <n v="1341"/>
    <n v="403"/>
    <n v="69"/>
    <n v="5"/>
    <n v="5234"/>
    <n v="160"/>
    <n v="527"/>
    <n v="1185"/>
    <n v="63"/>
    <n v="146"/>
    <s v="1.07"/>
  </r>
  <r>
    <n v="7"/>
    <x v="416"/>
    <s v="Michael JÃ¸rgensen"/>
    <x v="10"/>
    <x v="9"/>
    <m/>
    <s v="SK, fnatic, Heroic, Tricked"/>
    <n v="16356"/>
    <n v="15609"/>
    <x v="238"/>
    <s v="69.4"/>
    <s v="2.4"/>
    <n v="938"/>
    <n v="24254"/>
    <s v="0.67"/>
    <s v="0.11"/>
    <s v="0.64"/>
    <s v="0.09"/>
    <s v="0.08"/>
    <n v="11183"/>
    <s v="K - D diff."/>
    <n v="2869"/>
    <n v="2320"/>
    <s v="1.24"/>
    <s v="1.1"/>
    <s v="77.60%"/>
    <s v="17.80%"/>
    <n v="13071"/>
    <n v="7197"/>
    <n v="2987"/>
    <n v="852"/>
    <n v="139"/>
    <n v="8"/>
    <n v="3259"/>
    <n v="9150"/>
    <n v="659"/>
    <n v="3027"/>
    <n v="242"/>
    <n v="29"/>
    <s v="1.01"/>
  </r>
  <r>
    <n v="15096"/>
    <x v="417"/>
    <s v="Denis Gutaj"/>
    <x v="4"/>
    <x v="29"/>
    <s v="Savage"/>
    <s v="Savage, Red Reserve, SMASH"/>
    <n v="9112"/>
    <n v="8874"/>
    <x v="239"/>
    <s v="73.8"/>
    <s v="2.9"/>
    <n v="490"/>
    <n v="13084"/>
    <s v="0.7"/>
    <s v="0.11"/>
    <s v="0.68"/>
    <s v="0.1"/>
    <s v="0.11"/>
    <n v="6202"/>
    <s v="K - D diff."/>
    <n v="1228"/>
    <n v="1295"/>
    <s v="0.95"/>
    <s v="0.97"/>
    <s v="72.40%"/>
    <s v="13.40%"/>
    <n v="6882"/>
    <n v="3973"/>
    <n v="1645"/>
    <n v="495"/>
    <n v="81"/>
    <n v="8"/>
    <n v="6985"/>
    <n v="141"/>
    <n v="339"/>
    <n v="1592"/>
    <n v="68"/>
    <n v="15"/>
    <s v="1.04"/>
  </r>
  <r>
    <n v="11064"/>
    <x v="418"/>
    <s v="Will Loafman"/>
    <x v="5"/>
    <x v="24"/>
    <m/>
    <s v="eUnited, Rise Nation, New Identity"/>
    <n v="12753"/>
    <n v="12761"/>
    <x v="169"/>
    <s v="80.9"/>
    <s v="3.5"/>
    <n v="690"/>
    <n v="17971"/>
    <s v="0.71"/>
    <s v="0.16"/>
    <s v="0.71"/>
    <s v="0.1"/>
    <s v="0.09"/>
    <n v="8488"/>
    <s v="K - D diff."/>
    <n v="2103"/>
    <n v="2238"/>
    <s v="0.94"/>
    <s v="1.04"/>
    <s v="75.90%"/>
    <s v="17.00%"/>
    <n v="9483"/>
    <n v="5304"/>
    <n v="2280"/>
    <n v="742"/>
    <n v="147"/>
    <n v="15"/>
    <n v="9181"/>
    <n v="264"/>
    <n v="1124"/>
    <n v="2054"/>
    <n v="120"/>
    <n v="30"/>
    <s v="1.08"/>
  </r>
  <r>
    <n v="10186"/>
    <x v="419"/>
    <s v="YangYang Zheng"/>
    <x v="6"/>
    <x v="10"/>
    <s v="After"/>
    <s v="Eclipse, Born Of Fire, Flash, AllGamers"/>
    <n v="8333"/>
    <n v="8231"/>
    <x v="20"/>
    <n v="78"/>
    <s v="2.7"/>
    <n v="462"/>
    <n v="11695"/>
    <s v="0.71"/>
    <s v="0.14"/>
    <s v="0.7"/>
    <s v="0.09"/>
    <s v="0.09"/>
    <n v="5627"/>
    <s v="K - D diff."/>
    <n v="1358"/>
    <n v="1270"/>
    <s v="1.07"/>
    <s v="1.07"/>
    <s v="74.70%"/>
    <s v="16.90%"/>
    <n v="6068"/>
    <n v="3556"/>
    <n v="1536"/>
    <n v="444"/>
    <n v="82"/>
    <n v="9"/>
    <n v="5189"/>
    <n v="1087"/>
    <n v="533"/>
    <n v="1437"/>
    <n v="71"/>
    <n v="33"/>
    <s v="1.01"/>
  </r>
  <r>
    <n v="2007"/>
    <x v="420"/>
    <s v="Mike Aliferis"/>
    <x v="12"/>
    <x v="15"/>
    <s v="Encore"/>
    <s v="AVANT, Tainted Minds, Looking For Org, Chiefs"/>
    <n v="16627"/>
    <n v="16413"/>
    <x v="104"/>
    <s v="77.1"/>
    <s v="4.9"/>
    <n v="931"/>
    <n v="23802"/>
    <s v="0.7"/>
    <s v="0.15"/>
    <s v="0.69"/>
    <s v="0.1"/>
    <s v="0.09"/>
    <n v="11195"/>
    <s v="K - D diff."/>
    <n v="2524"/>
    <n v="2631"/>
    <s v="0.96"/>
    <s v="1.01"/>
    <s v="73.00%"/>
    <s v="14.60%"/>
    <n v="12607"/>
    <n v="7101"/>
    <n v="2981"/>
    <n v="908"/>
    <n v="185"/>
    <n v="20"/>
    <n v="11712"/>
    <n v="578"/>
    <n v="1109"/>
    <n v="2834"/>
    <n v="306"/>
    <n v="60"/>
    <s v="1.01"/>
  </r>
  <r>
    <n v="8242"/>
    <x v="421"/>
    <s v="PaweÅ‚ JaÅ„czak"/>
    <x v="2"/>
    <x v="17"/>
    <m/>
    <s v="PRIDE, Illuminar, Kinguin"/>
    <n v="28133"/>
    <n v="27400"/>
    <x v="88"/>
    <n v="74"/>
    <s v="2.8"/>
    <n v="1520"/>
    <n v="40860"/>
    <s v="0.69"/>
    <s v="0.12"/>
    <s v="0.67"/>
    <s v="0.1"/>
    <s v="0.11"/>
    <n v="19130"/>
    <s v="K - D diff."/>
    <n v="3423"/>
    <n v="3498"/>
    <s v="0.98"/>
    <s v="0.94"/>
    <s v="73.20%"/>
    <s v="12.10%"/>
    <n v="21730"/>
    <n v="12288"/>
    <n v="5021"/>
    <n v="1512"/>
    <n v="278"/>
    <n v="31"/>
    <n v="21543"/>
    <n v="142"/>
    <n v="1295"/>
    <n v="4887"/>
    <n v="261"/>
    <n v="82"/>
    <s v="1.01"/>
  </r>
  <r>
    <n v="16820"/>
    <x v="422"/>
    <s v="Kamil Szkaradek"/>
    <x v="16"/>
    <x v="17"/>
    <s v="MOUZ NXT"/>
    <s v="MOUZ NXT, Izako Boars"/>
    <n v="9756"/>
    <n v="9698"/>
    <x v="133"/>
    <s v="77.8"/>
    <s v="4.6"/>
    <n v="518"/>
    <n v="13917"/>
    <s v="0.7"/>
    <s v="0.13"/>
    <s v="0.7"/>
    <s v="0.1"/>
    <s v="0.09"/>
    <n v="6526"/>
    <s v="K - D diff."/>
    <n v="1617"/>
    <n v="1679"/>
    <s v="0.96"/>
    <s v="1.05"/>
    <s v="74.60%"/>
    <s v="16.60%"/>
    <n v="7391"/>
    <n v="4098"/>
    <n v="1769"/>
    <n v="532"/>
    <n v="111"/>
    <n v="16"/>
    <n v="7548"/>
    <n v="104"/>
    <n v="392"/>
    <n v="1613"/>
    <n v="93"/>
    <n v="50"/>
    <s v="1.06"/>
  </r>
  <r>
    <n v="8797"/>
    <x v="423"/>
    <s v="Jake Yip"/>
    <x v="1"/>
    <x v="24"/>
    <m/>
    <s v="Cloud9, Liquid"/>
    <n v="27664"/>
    <n v="27288"/>
    <x v="16"/>
    <s v="77.6"/>
    <s v="5.1"/>
    <n v="1525"/>
    <n v="39802"/>
    <s v="0.7"/>
    <s v="0.14"/>
    <s v="0.69"/>
    <s v="0.1"/>
    <s v="0.08"/>
    <n v="18614"/>
    <s v="K - D diff."/>
    <n v="5206"/>
    <n v="5272"/>
    <s v="0.99"/>
    <s v="1.1"/>
    <s v="75.00%"/>
    <s v="18.20%"/>
    <n v="21188"/>
    <n v="11785"/>
    <n v="5005"/>
    <n v="1451"/>
    <n v="349"/>
    <n v="24"/>
    <n v="16840"/>
    <n v="3643"/>
    <n v="1891"/>
    <n v="4802"/>
    <n v="345"/>
    <n v="196"/>
    <s v="1.01"/>
  </r>
  <r>
    <n v="9410"/>
    <x v="424"/>
    <s v="Nikolaj Rysakov"/>
    <x v="3"/>
    <x v="36"/>
    <m/>
    <s v="HellRaisers, Playing Ducks"/>
    <n v="16112"/>
    <n v="15955"/>
    <x v="240"/>
    <s v="76.6"/>
    <s v="3.8"/>
    <n v="855"/>
    <n v="22891"/>
    <s v="0.7"/>
    <s v="0.12"/>
    <s v="0.7"/>
    <s v="0.09"/>
    <s v="0.09"/>
    <n v="10860"/>
    <s v="K - D diff."/>
    <n v="2554"/>
    <n v="2734"/>
    <s v="0.93"/>
    <s v="1.03"/>
    <s v="70.80%"/>
    <s v="15.90%"/>
    <n v="12031"/>
    <n v="6917"/>
    <n v="2851"/>
    <n v="892"/>
    <n v="183"/>
    <n v="17"/>
    <n v="10221"/>
    <n v="2073"/>
    <n v="816"/>
    <n v="2795"/>
    <n v="152"/>
    <n v="100"/>
    <s v="1.01"/>
  </r>
  <r>
    <n v="11538"/>
    <x v="425"/>
    <s v="Chris Moseley"/>
    <x v="8"/>
    <x v="15"/>
    <m/>
    <s v="Genuine, Taboo, Chiefs"/>
    <n v="7054"/>
    <n v="6771"/>
    <x v="202"/>
    <s v="72.3"/>
    <s v="3.8"/>
    <n v="400"/>
    <n v="10511"/>
    <s v="0.67"/>
    <s v="0.12"/>
    <s v="0.64"/>
    <s v="0.1"/>
    <s v="0.13"/>
    <n v="4838"/>
    <s v="K - D diff."/>
    <n v="681"/>
    <n v="652"/>
    <s v="1.04"/>
    <s v="0.89"/>
    <s v="69.80%"/>
    <s v="9.20%"/>
    <n v="5673"/>
    <n v="3145"/>
    <n v="1253"/>
    <n v="365"/>
    <n v="67"/>
    <n v="8"/>
    <n v="5151"/>
    <n v="25"/>
    <n v="343"/>
    <n v="1454"/>
    <n v="87"/>
    <n v="11"/>
    <s v="1.04"/>
  </r>
  <r>
    <n v="7982"/>
    <x v="426"/>
    <s v="Antoine Pirard"/>
    <x v="2"/>
    <x v="35"/>
    <s v="FiveG"/>
    <s v="LDLC, LDLC White"/>
    <n v="15196"/>
    <n v="14676"/>
    <x v="24"/>
    <s v="68.8"/>
    <s v="2.2"/>
    <n v="850"/>
    <n v="22377"/>
    <s v="0.68"/>
    <s v="0.1"/>
    <s v="0.66"/>
    <s v="0.09"/>
    <s v="0.1"/>
    <n v="10426"/>
    <s v="K - D diff."/>
    <n v="2480"/>
    <n v="1873"/>
    <s v="1.32"/>
    <s v="1.08"/>
    <s v="73.50%"/>
    <s v="16.30%"/>
    <n v="11951"/>
    <n v="6828"/>
    <n v="2622"/>
    <n v="802"/>
    <n v="159"/>
    <n v="15"/>
    <n v="3874"/>
    <n v="7273"/>
    <n v="641"/>
    <n v="3230"/>
    <n v="135"/>
    <n v="65"/>
    <s v="1.01"/>
  </r>
  <r>
    <n v="12876"/>
    <x v="427"/>
    <s v="Ollie Tierney"/>
    <x v="8"/>
    <x v="15"/>
    <m/>
    <s v="Grayhound, Dark Sided"/>
    <n v="10534"/>
    <n v="10188"/>
    <x v="103"/>
    <s v="73.5"/>
    <s v="4.5"/>
    <n v="624"/>
    <n v="15708"/>
    <s v="0.67"/>
    <s v="0.15"/>
    <s v="0.65"/>
    <s v="0.11"/>
    <s v="0.09"/>
    <n v="7147"/>
    <s v="K - D diff."/>
    <n v="1567"/>
    <n v="1606"/>
    <s v="0.98"/>
    <n v="1"/>
    <s v="76.30%"/>
    <s v="13.30%"/>
    <n v="8561"/>
    <n v="4551"/>
    <n v="1932"/>
    <n v="546"/>
    <n v="109"/>
    <n v="9"/>
    <n v="7484"/>
    <n v="49"/>
    <n v="931"/>
    <n v="1899"/>
    <n v="164"/>
    <n v="16"/>
    <s v="1.08"/>
  </r>
  <r>
    <n v="8786"/>
    <x v="428"/>
    <s v="Dmitriy Chervak"/>
    <x v="3"/>
    <x v="1"/>
    <s v="Run or Die"/>
    <s v="Vega Squadron, HellRaisers"/>
    <n v="16101"/>
    <n v="15547"/>
    <x v="101"/>
    <s v="71.6"/>
    <s v="3.3"/>
    <n v="892"/>
    <n v="23804"/>
    <s v="0.68"/>
    <s v="0.11"/>
    <s v="0.65"/>
    <s v="0.08"/>
    <s v="0.07"/>
    <n v="11015"/>
    <s v="K - D diff."/>
    <n v="2992"/>
    <n v="2625"/>
    <s v="1.14"/>
    <s v="1.11"/>
    <s v="72.60%"/>
    <s v="18.20%"/>
    <n v="12789"/>
    <n v="7131"/>
    <n v="2872"/>
    <n v="837"/>
    <n v="161"/>
    <n v="14"/>
    <n v="3890"/>
    <n v="8352"/>
    <n v="815"/>
    <n v="2845"/>
    <n v="166"/>
    <n v="72"/>
    <s v="1.01"/>
  </r>
  <r>
    <n v="7980"/>
    <x v="429"/>
    <s v="Ã‡aÄŸatay Sedef"/>
    <x v="11"/>
    <x v="7"/>
    <m/>
    <s v="Space Soldiers"/>
    <n v="8068"/>
    <n v="7748"/>
    <x v="85"/>
    <s v="68.7"/>
    <s v="2.5"/>
    <n v="468"/>
    <n v="12127"/>
    <s v="0.67"/>
    <s v="0.11"/>
    <s v="0.64"/>
    <s v="0.08"/>
    <s v="0.08"/>
    <n v="5555"/>
    <s v="K - D diff."/>
    <n v="1436"/>
    <n v="1231"/>
    <s v="1.17"/>
    <s v="1.09"/>
    <s v="75.60%"/>
    <s v="16.70%"/>
    <n v="6572"/>
    <n v="3661"/>
    <n v="1391"/>
    <n v="403"/>
    <n v="86"/>
    <n v="14"/>
    <n v="1996"/>
    <n v="3956"/>
    <n v="496"/>
    <n v="1549"/>
    <n v="70"/>
    <n v="6"/>
    <s v="1.01"/>
  </r>
  <r>
    <n v="4959"/>
    <x v="430"/>
    <s v="Fabien Fiey"/>
    <x v="3"/>
    <x v="0"/>
    <m/>
    <s v="Envy, Heretics, FaZe"/>
    <n v="26259"/>
    <n v="24967"/>
    <x v="51"/>
    <n v="74"/>
    <s v="5.2"/>
    <n v="1495"/>
    <n v="39250"/>
    <s v="0.67"/>
    <s v="0.15"/>
    <s v="0.64"/>
    <s v="0.08"/>
    <s v="0.09"/>
    <n v="18153"/>
    <s v="K - D diff."/>
    <n v="3389"/>
    <n v="3214"/>
    <s v="1.05"/>
    <s v="0.96"/>
    <s v="73.70%"/>
    <s v="12.20%"/>
    <n v="21097"/>
    <n v="11895"/>
    <n v="4755"/>
    <n v="1232"/>
    <n v="244"/>
    <n v="27"/>
    <n v="18894"/>
    <n v="728"/>
    <n v="956"/>
    <n v="4936"/>
    <n v="510"/>
    <n v="269"/>
    <s v="1.01"/>
  </r>
  <r>
    <n v="13155"/>
    <x v="431"/>
    <s v="Anton Titov"/>
    <x v="5"/>
    <x v="2"/>
    <s v="FreeTON"/>
    <s v="DreamEaters, Nemiga"/>
    <n v="13678"/>
    <n v="13110"/>
    <x v="14"/>
    <s v="69.9"/>
    <s v="2.9"/>
    <n v="767"/>
    <n v="20579"/>
    <s v="0.66"/>
    <s v="0.11"/>
    <s v="0.64"/>
    <s v="0.09"/>
    <s v="0.09"/>
    <n v="9399"/>
    <s v="K - D diff."/>
    <n v="2080"/>
    <n v="1696"/>
    <s v="1.23"/>
    <s v="1.03"/>
    <s v="72.10%"/>
    <s v="14.40%"/>
    <n v="11180"/>
    <n v="6136"/>
    <n v="2408"/>
    <n v="713"/>
    <n v="123"/>
    <n v="19"/>
    <n v="4808"/>
    <n v="5901"/>
    <n v="655"/>
    <n v="2197"/>
    <n v="135"/>
    <n v="28"/>
    <s v="1.05"/>
  </r>
  <r>
    <n v="8522"/>
    <x v="432"/>
    <s v="Jacob Medina"/>
    <x v="2"/>
    <x v="24"/>
    <m/>
    <s v="NRG, Liquid, Envy"/>
    <n v="18921"/>
    <n v="18300"/>
    <x v="241"/>
    <s v="73.5"/>
    <s v="3.5"/>
    <n v="1083"/>
    <n v="28153"/>
    <s v="0.67"/>
    <s v="0.13"/>
    <s v="0.65"/>
    <s v="0.1"/>
    <s v="0.11"/>
    <n v="12947"/>
    <s v="K - D diff."/>
    <n v="2381"/>
    <n v="2328"/>
    <s v="1.02"/>
    <s v="0.95"/>
    <s v="73.40%"/>
    <s v="12.00%"/>
    <n v="15206"/>
    <n v="8446"/>
    <n v="3296"/>
    <n v="975"/>
    <n v="206"/>
    <n v="24"/>
    <n v="13588"/>
    <n v="345"/>
    <n v="1334"/>
    <n v="3423"/>
    <n v="194"/>
    <n v="52"/>
    <s v="1.01"/>
  </r>
  <r>
    <n v="8744"/>
    <x v="433"/>
    <s v="Chris Rowlands"/>
    <x v="9"/>
    <x v="15"/>
    <m/>
    <s v="ORDER, Kings, Winterfox, Immunity"/>
    <n v="12837"/>
    <n v="12350"/>
    <x v="114"/>
    <s v="73.6"/>
    <s v="4.8"/>
    <n v="751"/>
    <n v="18931"/>
    <s v="0.68"/>
    <s v="0.14"/>
    <s v="0.65"/>
    <s v="0.1"/>
    <s v="0.09"/>
    <n v="8799"/>
    <s v="K - D diff."/>
    <n v="1548"/>
    <n v="1650"/>
    <s v="0.94"/>
    <s v="0.93"/>
    <s v="78.40%"/>
    <s v="11.60%"/>
    <n v="10132"/>
    <n v="5668"/>
    <n v="2357"/>
    <n v="654"/>
    <n v="112"/>
    <n v="8"/>
    <n v="9356"/>
    <n v="107"/>
    <n v="1035"/>
    <n v="2079"/>
    <n v="247"/>
    <n v="34"/>
    <s v="1.01"/>
  </r>
  <r>
    <n v="9069"/>
    <x v="434"/>
    <s v="Noah Francis"/>
    <x v="1"/>
    <x v="24"/>
    <m/>
    <s v="Renegades, Envy, Selfless"/>
    <n v="15336"/>
    <n v="15026"/>
    <x v="80"/>
    <s v="70.2"/>
    <s v="3.2"/>
    <n v="865"/>
    <n v="22686"/>
    <s v="0.68"/>
    <s v="0.09"/>
    <s v="0.66"/>
    <s v="0.1"/>
    <s v="0.09"/>
    <n v="10342"/>
    <s v="K - D diff."/>
    <n v="2683"/>
    <n v="2403"/>
    <s v="1.12"/>
    <s v="1.08"/>
    <s v="73.50%"/>
    <s v="17.50%"/>
    <n v="12344"/>
    <n v="6570"/>
    <n v="2770"/>
    <n v="800"/>
    <n v="184"/>
    <n v="18"/>
    <n v="4529"/>
    <n v="7276"/>
    <n v="684"/>
    <n v="2673"/>
    <n v="156"/>
    <n v="45"/>
    <s v="1.01"/>
  </r>
  <r>
    <n v="16946"/>
    <x v="435"/>
    <s v="Vadim Tsyrov"/>
    <x v="3"/>
    <x v="2"/>
    <s v="xDDDD"/>
    <s v="1WIN, Unique"/>
    <n v="9422"/>
    <n v="9008"/>
    <x v="27"/>
    <s v="77.7"/>
    <s v="3.5"/>
    <n v="519"/>
    <n v="13706"/>
    <s v="0.69"/>
    <s v="0.14"/>
    <s v="0.66"/>
    <s v="0.08"/>
    <s v="0.09"/>
    <n v="6584"/>
    <s v="K - D diff."/>
    <n v="1215"/>
    <n v="1055"/>
    <s v="1.15"/>
    <s v="0.98"/>
    <s v="71.40%"/>
    <s v="12.30%"/>
    <n v="7122"/>
    <n v="4369"/>
    <n v="1695"/>
    <n v="426"/>
    <n v="85"/>
    <n v="9"/>
    <n v="7151"/>
    <n v="196"/>
    <n v="611"/>
    <n v="1360"/>
    <n v="107"/>
    <n v="14"/>
    <s v="1.07"/>
  </r>
  <r>
    <n v="12521"/>
    <x v="436"/>
    <s v="Andrei Piovezan"/>
    <x v="5"/>
    <x v="3"/>
    <s v="FURIA"/>
    <s v="FURIA"/>
    <n v="18525"/>
    <n v="18493"/>
    <x v="153"/>
    <s v="78.1"/>
    <s v="3.8"/>
    <n v="1008"/>
    <n v="26196"/>
    <s v="0.71"/>
    <s v="0.14"/>
    <s v="0.71"/>
    <s v="0.1"/>
    <s v="0.07"/>
    <n v="12438"/>
    <s v="K - D diff."/>
    <n v="4580"/>
    <n v="4507"/>
    <s v="1.02"/>
    <s v="1.25"/>
    <s v="73.70%"/>
    <s v="23.90%"/>
    <n v="13758"/>
    <n v="7860"/>
    <n v="3315"/>
    <n v="1040"/>
    <n v="200"/>
    <n v="23"/>
    <n v="8744"/>
    <n v="5652"/>
    <n v="1303"/>
    <n v="2440"/>
    <n v="209"/>
    <n v="238"/>
    <s v="1.09"/>
  </r>
  <r>
    <n v="2826"/>
    <x v="437"/>
    <s v="Jacek Jeziak"/>
    <x v="3"/>
    <x v="17"/>
    <m/>
    <s v="PACT, PRIDE, Kinguin"/>
    <n v="34615"/>
    <n v="34010"/>
    <x v="12"/>
    <s v="73.9"/>
    <s v="4.9"/>
    <n v="1871"/>
    <n v="49905"/>
    <s v="0.69"/>
    <s v="0.12"/>
    <s v="0.68"/>
    <s v="0.08"/>
    <s v="0.07"/>
    <n v="23430"/>
    <s v="K - D diff."/>
    <n v="6675"/>
    <n v="6246"/>
    <s v="1.07"/>
    <s v="1.13"/>
    <s v="72.60%"/>
    <s v="19.20%"/>
    <n v="26475"/>
    <n v="14883"/>
    <n v="6356"/>
    <n v="1796"/>
    <n v="363"/>
    <n v="32"/>
    <n v="12491"/>
    <n v="14033"/>
    <n v="1414"/>
    <n v="6010"/>
    <n v="598"/>
    <n v="131"/>
    <n v="1"/>
  </r>
  <r>
    <n v="8727"/>
    <x v="438"/>
    <s v="Nikita Matveyev"/>
    <x v="2"/>
    <x v="2"/>
    <m/>
    <s v="Quantum Bellator Fire, PiTER, AVE, EPG"/>
    <n v="16371"/>
    <n v="16030"/>
    <x v="25"/>
    <s v="72.5"/>
    <s v="3.2"/>
    <n v="899"/>
    <n v="23842"/>
    <s v="0.69"/>
    <s v="0.12"/>
    <s v="0.67"/>
    <s v="0.09"/>
    <s v="0.08"/>
    <n v="11101"/>
    <s v="K - D diff."/>
    <n v="2854"/>
    <n v="2546"/>
    <s v="1.12"/>
    <s v="1.09"/>
    <s v="72.50%"/>
    <s v="17.50%"/>
    <n v="12741"/>
    <n v="7085"/>
    <n v="2972"/>
    <n v="856"/>
    <n v="172"/>
    <n v="16"/>
    <n v="4556"/>
    <n v="8300"/>
    <n v="464"/>
    <n v="2883"/>
    <n v="170"/>
    <n v="29"/>
    <n v="1"/>
  </r>
  <r>
    <n v="16723"/>
    <x v="439"/>
    <s v="Casper Jensen"/>
    <x v="1"/>
    <x v="9"/>
    <s v="MASONIC"/>
    <s v="MASONIC, Lyngby Vikings, AGF"/>
    <n v="8983"/>
    <n v="9034"/>
    <x v="242"/>
    <s v="75.8"/>
    <s v="4.5"/>
    <n v="477"/>
    <n v="12780"/>
    <s v="0.7"/>
    <s v="0.13"/>
    <s v="0.71"/>
    <s v="0.11"/>
    <s v="0.12"/>
    <n v="5965"/>
    <s v="K - D diff."/>
    <n v="1409"/>
    <n v="1475"/>
    <s v="0.96"/>
    <s v="1.03"/>
    <s v="71.30%"/>
    <s v="16.00%"/>
    <n v="6815"/>
    <n v="3712"/>
    <n v="1619"/>
    <n v="514"/>
    <n v="109"/>
    <n v="11"/>
    <n v="7153"/>
    <n v="136"/>
    <n v="268"/>
    <n v="1313"/>
    <n v="111"/>
    <n v="43"/>
    <s v="1.05"/>
  </r>
  <r>
    <n v="11307"/>
    <x v="440"/>
    <s v="Eimantas Lazickas"/>
    <x v="8"/>
    <x v="36"/>
    <m/>
    <s v="Playing Ducks, Imperial, 1337HUANIA"/>
    <n v="7289"/>
    <n v="7198"/>
    <x v="46"/>
    <s v="75.9"/>
    <s v="2.1"/>
    <n v="401"/>
    <n v="10552"/>
    <s v="0.69"/>
    <s v="0.13"/>
    <s v="0.68"/>
    <s v="0.09"/>
    <s v="0.09"/>
    <n v="4915"/>
    <s v="K - D diff."/>
    <n v="957"/>
    <n v="962"/>
    <s v="0.99"/>
    <s v="0.97"/>
    <s v="75.10%"/>
    <s v="13.40%"/>
    <n v="5637"/>
    <n v="3120"/>
    <n v="1307"/>
    <n v="403"/>
    <n v="79"/>
    <n v="6"/>
    <n v="5280"/>
    <n v="163"/>
    <n v="562"/>
    <n v="1227"/>
    <n v="56"/>
    <n v="11"/>
    <s v="1.04"/>
  </r>
  <r>
    <n v="8413"/>
    <x v="441"/>
    <s v="Patrik Å½Ãºdel"/>
    <x v="6"/>
    <x v="20"/>
    <s v="SINNERS"/>
    <s v="GamerLegion, HellRaisers"/>
    <n v="19118"/>
    <n v="18363"/>
    <x v="27"/>
    <n v="72"/>
    <s v="2.5"/>
    <n v="1072"/>
    <n v="28513"/>
    <s v="0.67"/>
    <s v="0.12"/>
    <s v="0.64"/>
    <s v="0.09"/>
    <s v="0.11"/>
    <n v="13202"/>
    <s v="K - D diff."/>
    <n v="2448"/>
    <n v="2283"/>
    <s v="1.07"/>
    <s v="0.96"/>
    <s v="71.90%"/>
    <s v="12.10%"/>
    <n v="15311"/>
    <n v="8655"/>
    <n v="3386"/>
    <n v="982"/>
    <n v="160"/>
    <n v="19"/>
    <n v="15157"/>
    <n v="102"/>
    <n v="566"/>
    <n v="3129"/>
    <n v="166"/>
    <n v="49"/>
    <n v="1"/>
  </r>
  <r>
    <n v="7383"/>
    <x v="442"/>
    <s v="Caio Fonseca"/>
    <x v="14"/>
    <x v="3"/>
    <s v="Corinthians"/>
    <s v="Imperial, Yeah, Keyd"/>
    <n v="13308"/>
    <n v="12620"/>
    <x v="144"/>
    <s v="69.5"/>
    <s v="3.8"/>
    <n v="780"/>
    <n v="20206"/>
    <s v="0.66"/>
    <s v="0.12"/>
    <s v="0.62"/>
    <s v="0.09"/>
    <s v="0.09"/>
    <n v="9254"/>
    <s v="K - D diff."/>
    <n v="2398"/>
    <n v="1798"/>
    <s v="1.33"/>
    <s v="1.11"/>
    <s v="73.90%"/>
    <s v="17.40%"/>
    <n v="10952"/>
    <n v="6105"/>
    <n v="2389"/>
    <n v="635"/>
    <n v="114"/>
    <n v="11"/>
    <n v="2972"/>
    <n v="7363"/>
    <n v="575"/>
    <n v="2187"/>
    <n v="176"/>
    <n v="71"/>
    <n v="1"/>
  </r>
  <r>
    <n v="3669"/>
    <x v="443"/>
    <s v="PaweÅ‚ Mocek"/>
    <x v="3"/>
    <x v="17"/>
    <s v="Anonymo"/>
    <s v="Anonymo, Illuminar, CSGL"/>
    <n v="32510"/>
    <n v="31989"/>
    <x v="114"/>
    <s v="77.1"/>
    <s v="5.1"/>
    <n v="1781"/>
    <n v="46956"/>
    <s v="0.69"/>
    <s v="0.15"/>
    <s v="0.68"/>
    <s v="0.09"/>
    <s v="0.09"/>
    <n v="22063"/>
    <s v="K - D diff."/>
    <n v="4286"/>
    <n v="4249"/>
    <s v="1.01"/>
    <s v="0.97"/>
    <s v="73.80%"/>
    <s v="13.30%"/>
    <n v="24893"/>
    <n v="14090"/>
    <n v="5872"/>
    <n v="1766"/>
    <n v="310"/>
    <n v="25"/>
    <n v="24182"/>
    <n v="774"/>
    <n v="1270"/>
    <n v="5790"/>
    <n v="483"/>
    <n v="50"/>
    <n v="1"/>
  </r>
  <r>
    <n v="8517"/>
    <x v="444"/>
    <s v="Skyler Weaver"/>
    <x v="2"/>
    <x v="24"/>
    <m/>
    <s v="eUnited, Enemy, Selfless, New Identity"/>
    <n v="14589"/>
    <n v="14428"/>
    <x v="87"/>
    <s v="73.9"/>
    <s v="5.6"/>
    <n v="832"/>
    <n v="21258"/>
    <s v="0.69"/>
    <s v="0.12"/>
    <s v="0.68"/>
    <s v="0.1"/>
    <s v="0.1"/>
    <n v="9884"/>
    <s v="K - D diff."/>
    <n v="1840"/>
    <n v="1853"/>
    <s v="0.99"/>
    <s v="0.95"/>
    <s v="73.50%"/>
    <s v="12.60%"/>
    <n v="11374"/>
    <n v="6355"/>
    <n v="2567"/>
    <n v="774"/>
    <n v="164"/>
    <n v="24"/>
    <n v="7762"/>
    <n v="2250"/>
    <n v="1396"/>
    <n v="2945"/>
    <n v="206"/>
    <n v="51"/>
    <n v="1"/>
  </r>
  <r>
    <n v="10590"/>
    <x v="445"/>
    <s v="Evgeny Mitsik"/>
    <x v="2"/>
    <x v="2"/>
    <s v="ASAP"/>
    <s v="Unique, Spirit Academy, EPG"/>
    <n v="13225"/>
    <n v="13084"/>
    <x v="202"/>
    <s v="75.7"/>
    <s v="2.4"/>
    <n v="729"/>
    <n v="19059"/>
    <s v="0.69"/>
    <s v="0.12"/>
    <s v="0.69"/>
    <s v="0.09"/>
    <s v="0.09"/>
    <n v="8982"/>
    <s v="K - D diff."/>
    <n v="1735"/>
    <n v="1795"/>
    <s v="0.97"/>
    <s v="0.96"/>
    <s v="69.00%"/>
    <s v="13.00%"/>
    <n v="10077"/>
    <n v="5769"/>
    <n v="2358"/>
    <n v="694"/>
    <n v="147"/>
    <n v="14"/>
    <n v="9374"/>
    <n v="474"/>
    <n v="1024"/>
    <n v="2261"/>
    <n v="101"/>
    <n v="12"/>
    <n v="1"/>
  </r>
  <r>
    <n v="1883"/>
    <x v="446"/>
    <s v="Nicolai Jensen"/>
    <x v="3"/>
    <x v="9"/>
    <m/>
    <s v="North Academy, Tricked, Rogue, No Problem!"/>
    <n v="10395"/>
    <n v="10029"/>
    <x v="243"/>
    <s v="74.4"/>
    <s v="4.1"/>
    <n v="589"/>
    <n v="15307"/>
    <s v="0.68"/>
    <s v="0.14"/>
    <s v="0.66"/>
    <s v="0.09"/>
    <s v="0.1"/>
    <n v="7188"/>
    <s v="K - D diff."/>
    <n v="1352"/>
    <n v="1374"/>
    <s v="0.98"/>
    <s v="0.96"/>
    <s v="75.00%"/>
    <s v="12.60%"/>
    <n v="8119"/>
    <n v="4701"/>
    <n v="1868"/>
    <n v="522"/>
    <n v="93"/>
    <n v="4"/>
    <n v="8082"/>
    <n v="62"/>
    <n v="369"/>
    <n v="1733"/>
    <n v="133"/>
    <n v="38"/>
    <n v="1"/>
  </r>
  <r>
    <n v="11238"/>
    <x v="447"/>
    <s v="Chad Miller"/>
    <x v="6"/>
    <x v="24"/>
    <m/>
    <s v="Spacestation, BlackOut, The Pioneers"/>
    <n v="8738"/>
    <n v="8790"/>
    <x v="244"/>
    <s v="72.3"/>
    <s v="1.8"/>
    <n v="473"/>
    <n v="12356"/>
    <s v="0.71"/>
    <s v="0.09"/>
    <s v="0.71"/>
    <s v="0.1"/>
    <s v="0.1"/>
    <n v="5863"/>
    <s v="K - D diff."/>
    <n v="1737"/>
    <n v="1547"/>
    <s v="1.12"/>
    <s v="1.16"/>
    <s v="70.30%"/>
    <s v="20.40%"/>
    <n v="6493"/>
    <n v="3718"/>
    <n v="1532"/>
    <n v="505"/>
    <n v="99"/>
    <n v="9"/>
    <n v="2379"/>
    <n v="4372"/>
    <n v="365"/>
    <n v="1578"/>
    <n v="55"/>
    <n v="12"/>
    <s v="1.04"/>
  </r>
  <r>
    <n v="8724"/>
    <x v="448"/>
    <s v="Aleksey Zimin"/>
    <x v="11"/>
    <x v="2"/>
    <m/>
    <s v="Spirit Academy, HOLLYWOOD, PLINK"/>
    <n v="11017"/>
    <n v="10794"/>
    <x v="245"/>
    <s v="71.6"/>
    <s v="2.2"/>
    <n v="623"/>
    <n v="16179"/>
    <s v="0.68"/>
    <s v="0.09"/>
    <s v="0.67"/>
    <s v="0.08"/>
    <s v="0.07"/>
    <n v="7466"/>
    <s v="K - D diff."/>
    <n v="2247"/>
    <n v="1858"/>
    <s v="1.21"/>
    <s v="1.17"/>
    <s v="73.30%"/>
    <s v="20.70%"/>
    <n v="8713"/>
    <n v="4715"/>
    <n v="2072"/>
    <n v="569"/>
    <n v="99"/>
    <n v="11"/>
    <n v="1576"/>
    <n v="7031"/>
    <n v="601"/>
    <n v="1708"/>
    <n v="90"/>
    <n v="23"/>
    <n v="1"/>
  </r>
  <r>
    <n v="11329"/>
    <x v="449"/>
    <s v="Leonardo Oliveira"/>
    <x v="4"/>
    <x v="3"/>
    <s v="00NATION"/>
    <s v="Sharks, 00NATION"/>
    <n v="10622"/>
    <n v="10591"/>
    <x v="38"/>
    <s v="76.5"/>
    <s v="4.4"/>
    <n v="597"/>
    <n v="15378"/>
    <s v="0.69"/>
    <s v="0.13"/>
    <s v="0.69"/>
    <s v="0.11"/>
    <s v="0.1"/>
    <n v="7158"/>
    <s v="K - D diff."/>
    <n v="1828"/>
    <n v="1969"/>
    <s v="0.93"/>
    <s v="1.05"/>
    <s v="72.80%"/>
    <s v="17.20%"/>
    <n v="8220"/>
    <n v="4575"/>
    <n v="1848"/>
    <n v="603"/>
    <n v="118"/>
    <n v="14"/>
    <n v="7972"/>
    <n v="166"/>
    <n v="554"/>
    <n v="1700"/>
    <n v="155"/>
    <n v="106"/>
    <s v="1.07"/>
  </r>
  <r>
    <n v="483"/>
    <x v="450"/>
    <s v="Ioann Sukhariev"/>
    <x v="12"/>
    <x v="1"/>
    <s v="Cossacks"/>
    <s v="Natus Vincere"/>
    <n v="26743"/>
    <n v="26057"/>
    <x v="130"/>
    <n v="72"/>
    <s v="2.9"/>
    <n v="1477"/>
    <n v="38889"/>
    <s v="0.69"/>
    <s v="0.13"/>
    <s v="0.67"/>
    <s v="0.09"/>
    <s v="0.09"/>
    <n v="18270"/>
    <s v="K - D diff."/>
    <n v="3760"/>
    <n v="3927"/>
    <s v="0.96"/>
    <s v="0.98"/>
    <s v="74.80%"/>
    <s v="13.80%"/>
    <n v="20619"/>
    <n v="11724"/>
    <n v="4956"/>
    <n v="1334"/>
    <n v="238"/>
    <n v="18"/>
    <n v="19786"/>
    <n v="627"/>
    <n v="1557"/>
    <n v="4391"/>
    <n v="231"/>
    <n v="178"/>
    <n v="1"/>
  </r>
  <r>
    <n v="9245"/>
    <x v="451"/>
    <s v="Tsog Mashbat"/>
    <x v="3"/>
    <x v="21"/>
    <s v="TheMongolz"/>
    <s v="TheMongolz, Mazaalai"/>
    <n v="8757"/>
    <n v="8659"/>
    <x v="240"/>
    <s v="77.1"/>
    <s v="3.3"/>
    <n v="488"/>
    <n v="12467"/>
    <s v="0.7"/>
    <s v="0.14"/>
    <s v="0.69"/>
    <s v="0.1"/>
    <s v="0.11"/>
    <n v="5981"/>
    <s v="K - D diff."/>
    <n v="1109"/>
    <n v="1080"/>
    <s v="1.03"/>
    <s v="0.97"/>
    <s v="75.00%"/>
    <s v="13.20%"/>
    <n v="6486"/>
    <n v="3862"/>
    <n v="1551"/>
    <n v="487"/>
    <n v="73"/>
    <n v="8"/>
    <n v="6618"/>
    <n v="61"/>
    <n v="387"/>
    <n v="1602"/>
    <n v="86"/>
    <n v="26"/>
    <n v="1"/>
  </r>
  <r>
    <n v="8347"/>
    <x v="452"/>
    <s v="James Cobb"/>
    <x v="10"/>
    <x v="24"/>
    <m/>
    <s v="CLG, Mythic"/>
    <n v="13273"/>
    <n v="13354"/>
    <x v="161"/>
    <s v="78.3"/>
    <s v="4.1"/>
    <n v="736"/>
    <n v="19138"/>
    <s v="0.69"/>
    <s v="0.15"/>
    <s v="0.7"/>
    <s v="0.09"/>
    <s v="0.08"/>
    <n v="8849"/>
    <s v="K - D diff."/>
    <n v="2127"/>
    <n v="2285"/>
    <s v="0.93"/>
    <s v="1.02"/>
    <s v="71.50%"/>
    <s v="15.90%"/>
    <n v="10289"/>
    <n v="5567"/>
    <n v="2354"/>
    <n v="752"/>
    <n v="154"/>
    <n v="22"/>
    <n v="9603"/>
    <n v="434"/>
    <n v="522"/>
    <n v="2405"/>
    <n v="200"/>
    <n v="123"/>
    <n v="1"/>
  </r>
  <r>
    <n v="11574"/>
    <x v="453"/>
    <s v="Peng Song"/>
    <x v="15"/>
    <x v="10"/>
    <s v="Steel Helmet"/>
    <s v="5POWER, Invictus, UYA"/>
    <n v="15686"/>
    <n v="15651"/>
    <x v="214"/>
    <n v="80"/>
    <s v="5.2"/>
    <n v="847"/>
    <n v="22333"/>
    <s v="0.7"/>
    <s v="0.16"/>
    <s v="0.7"/>
    <s v="0.11"/>
    <s v="0.1"/>
    <n v="10605"/>
    <s v="K - D diff."/>
    <n v="2494"/>
    <n v="2351"/>
    <s v="1.06"/>
    <s v="1.05"/>
    <s v="73.50%"/>
    <s v="15.90%"/>
    <n v="11728"/>
    <n v="6742"/>
    <n v="2844"/>
    <n v="837"/>
    <n v="165"/>
    <n v="17"/>
    <n v="10721"/>
    <n v="722"/>
    <n v="1182"/>
    <n v="2793"/>
    <n v="245"/>
    <n v="50"/>
    <s v="1.08"/>
  </r>
  <r>
    <n v="147"/>
    <x v="454"/>
    <s v="Christophe Xia"/>
    <x v="9"/>
    <x v="0"/>
    <s v="Ambush"/>
    <s v="LDLC, Envy"/>
    <n v="18867"/>
    <n v="17915"/>
    <x v="246"/>
    <s v="69.9"/>
    <s v="2.7"/>
    <n v="1087"/>
    <n v="28664"/>
    <s v="0.66"/>
    <s v="0.11"/>
    <s v="0.62"/>
    <s v="0.09"/>
    <s v="0.1"/>
    <n v="13166"/>
    <s v="K - D diff."/>
    <n v="2502"/>
    <n v="2160"/>
    <s v="1.16"/>
    <s v="0.98"/>
    <s v="72.20%"/>
    <s v="12.60%"/>
    <n v="15498"/>
    <n v="8715"/>
    <n v="3361"/>
    <n v="940"/>
    <n v="140"/>
    <n v="10"/>
    <n v="8126"/>
    <n v="6032"/>
    <n v="854"/>
    <n v="3695"/>
    <n v="171"/>
    <n v="47"/>
    <n v="1"/>
  </r>
  <r>
    <n v="11515"/>
    <x v="455"/>
    <s v="Leonard Volodarchuk"/>
    <x v="8"/>
    <x v="1"/>
    <s v="GUESS"/>
    <s v="pro100"/>
    <n v="10785"/>
    <n v="10728"/>
    <x v="233"/>
    <s v="76.6"/>
    <s v="2.6"/>
    <n v="598"/>
    <n v="15627"/>
    <s v="0.69"/>
    <s v="0.13"/>
    <s v="0.69"/>
    <s v="0.1"/>
    <s v="0.11"/>
    <n v="7316"/>
    <s v="K - D diff."/>
    <n v="1522"/>
    <n v="1482"/>
    <s v="1.03"/>
    <n v="1"/>
    <s v="71.00%"/>
    <s v="14.00%"/>
    <n v="8311"/>
    <n v="4710"/>
    <n v="1905"/>
    <n v="557"/>
    <n v="126"/>
    <n v="18"/>
    <n v="7491"/>
    <n v="618"/>
    <n v="509"/>
    <n v="2103"/>
    <n v="63"/>
    <n v="34"/>
    <s v="1.05"/>
  </r>
  <r>
    <n v="14205"/>
    <x v="456"/>
    <s v="Roberts ÄŒigauskis"/>
    <x v="7"/>
    <x v="39"/>
    <s v="Neon Rangers"/>
    <s v="Unique, Space Jam, ex-ETHEREAL"/>
    <n v="9436"/>
    <n v="9215"/>
    <x v="161"/>
    <s v="74.4"/>
    <n v="3"/>
    <n v="527"/>
    <n v="13874"/>
    <s v="0.68"/>
    <s v="0.12"/>
    <s v="0.66"/>
    <s v="0.09"/>
    <s v="0.1"/>
    <n v="6474"/>
    <s v="K - D diff."/>
    <n v="1102"/>
    <n v="1235"/>
    <s v="0.89"/>
    <s v="0.92"/>
    <s v="72.00%"/>
    <s v="11.70%"/>
    <n v="7400"/>
    <n v="4208"/>
    <n v="1674"/>
    <n v="494"/>
    <n v="92"/>
    <n v="6"/>
    <n v="6743"/>
    <n v="325"/>
    <n v="602"/>
    <n v="1624"/>
    <n v="91"/>
    <n v="74"/>
    <s v="1.04"/>
  </r>
  <r>
    <n v="13240"/>
    <x v="457"/>
    <s v="Viktor Boldyrev"/>
    <x v="4"/>
    <x v="42"/>
    <m/>
    <s v="Entropiq, Winstrike"/>
    <n v="16518"/>
    <n v="16449"/>
    <x v="218"/>
    <s v="74.1"/>
    <s v="2.7"/>
    <n v="902"/>
    <n v="24117"/>
    <s v="0.68"/>
    <s v="0.13"/>
    <s v="0.68"/>
    <s v="0.09"/>
    <s v="0.09"/>
    <n v="11134"/>
    <s v="K - D diff."/>
    <n v="2600"/>
    <n v="2896"/>
    <s v="0.9"/>
    <s v="1.01"/>
    <s v="71.50%"/>
    <s v="14.70%"/>
    <n v="12983"/>
    <n v="7105"/>
    <n v="2904"/>
    <n v="915"/>
    <n v="190"/>
    <n v="20"/>
    <n v="11530"/>
    <n v="1025"/>
    <n v="1165"/>
    <n v="2650"/>
    <n v="143"/>
    <n v="55"/>
    <s v="1.04"/>
  </r>
  <r>
    <n v="10764"/>
    <x v="458"/>
    <s v="Thotsaphon Suphatthanaphalaphon"/>
    <x v="3"/>
    <x v="26"/>
    <m/>
    <s v="Lucid Dream, Beyond"/>
    <n v="7029"/>
    <n v="6866"/>
    <x v="74"/>
    <s v="75.6"/>
    <s v="4.3"/>
    <n v="404"/>
    <n v="10342"/>
    <s v="0.68"/>
    <s v="0.15"/>
    <s v="0.66"/>
    <s v="0.1"/>
    <s v="0.1"/>
    <n v="4827"/>
    <s v="K - D diff."/>
    <n v="915"/>
    <n v="1021"/>
    <s v="0.9"/>
    <s v="0.94"/>
    <s v="75.40%"/>
    <s v="12.50%"/>
    <n v="5515"/>
    <n v="3155"/>
    <n v="1208"/>
    <n v="406"/>
    <n v="50"/>
    <n v="8"/>
    <n v="4976"/>
    <n v="64"/>
    <n v="798"/>
    <n v="1115"/>
    <n v="81"/>
    <n v="11"/>
    <s v="1.06"/>
  </r>
  <r>
    <n v="10570"/>
    <x v="459"/>
    <s v="Denis Fischer"/>
    <x v="8"/>
    <x v="3"/>
    <m/>
    <s v="Imperial, Case, BigGods"/>
    <n v="12004"/>
    <n v="11856"/>
    <x v="96"/>
    <s v="75.6"/>
    <s v="3.8"/>
    <n v="676"/>
    <n v="17504"/>
    <s v="0.69"/>
    <s v="0.13"/>
    <s v="0.68"/>
    <s v="0.1"/>
    <s v="0.09"/>
    <n v="8152"/>
    <s v="K - D diff."/>
    <n v="2100"/>
    <n v="2069"/>
    <s v="1.01"/>
    <s v="1.07"/>
    <s v="73.80%"/>
    <s v="17.10%"/>
    <n v="9352"/>
    <n v="5217"/>
    <n v="2166"/>
    <n v="629"/>
    <n v="132"/>
    <n v="8"/>
    <n v="8221"/>
    <n v="843"/>
    <n v="817"/>
    <n v="1938"/>
    <n v="127"/>
    <n v="105"/>
    <n v="1"/>
  </r>
  <r>
    <n v="9339"/>
    <x v="460"/>
    <s v="Anthony Lim"/>
    <x v="5"/>
    <x v="14"/>
    <m/>
    <s v="BOOT-d[S], BTRG, NKT, dream[S]cape"/>
    <n v="12159"/>
    <n v="12028"/>
    <x v="103"/>
    <s v="76.8"/>
    <s v="4.2"/>
    <n v="684"/>
    <n v="17721"/>
    <s v="0.69"/>
    <s v="0.15"/>
    <s v="0.68"/>
    <s v="0.1"/>
    <s v="0.11"/>
    <n v="8269"/>
    <s v="K - D diff."/>
    <n v="1764"/>
    <n v="1736"/>
    <s v="1.02"/>
    <n v="1"/>
    <s v="73.30%"/>
    <s v="14.00%"/>
    <n v="9452"/>
    <n v="5338"/>
    <n v="2123"/>
    <n v="667"/>
    <n v="131"/>
    <n v="10"/>
    <n v="8835"/>
    <n v="299"/>
    <n v="640"/>
    <n v="2226"/>
    <n v="146"/>
    <n v="50"/>
    <n v="1"/>
  </r>
  <r>
    <n v="11654"/>
    <x v="461"/>
    <s v="Almaz Asadullin"/>
    <x v="6"/>
    <x v="2"/>
    <s v="Trident"/>
    <s v="forZe"/>
    <n v="23593"/>
    <n v="23026"/>
    <x v="54"/>
    <s v="74.2"/>
    <s v="4.2"/>
    <n v="1310"/>
    <n v="35199"/>
    <s v="0.67"/>
    <s v="0.13"/>
    <s v="0.65"/>
    <s v="0.1"/>
    <s v="0.09"/>
    <n v="16140"/>
    <s v="K - D diff."/>
    <n v="3151"/>
    <n v="3334"/>
    <s v="0.95"/>
    <s v="0.96"/>
    <s v="71.70%"/>
    <s v="12.20%"/>
    <n v="19059"/>
    <n v="10457"/>
    <n v="4203"/>
    <n v="1214"/>
    <n v="242"/>
    <n v="24"/>
    <n v="16381"/>
    <n v="1575"/>
    <n v="1128"/>
    <n v="4185"/>
    <n v="315"/>
    <n v="87"/>
    <s v="1.06"/>
  </r>
  <r>
    <n v="19738"/>
    <x v="462"/>
    <s v="Thomas Pavoni"/>
    <x v="8"/>
    <x v="0"/>
    <s v="HEET"/>
    <s v="HEET, DBL PONEY"/>
    <n v="9138"/>
    <n v="9139"/>
    <x v="247"/>
    <s v="74.8"/>
    <s v="5.9"/>
    <n v="503"/>
    <n v="13359"/>
    <s v="0.68"/>
    <s v="0.13"/>
    <s v="0.68"/>
    <s v="0.1"/>
    <s v="0.1"/>
    <n v="6125"/>
    <s v="K - D diff."/>
    <n v="1446"/>
    <n v="1615"/>
    <s v="0.9"/>
    <s v="1.01"/>
    <s v="72.50%"/>
    <s v="14.90%"/>
    <n v="7234"/>
    <n v="3878"/>
    <n v="1608"/>
    <n v="523"/>
    <n v="105"/>
    <n v="11"/>
    <n v="6719"/>
    <n v="101"/>
    <n v="427"/>
    <n v="1753"/>
    <n v="146"/>
    <n v="25"/>
    <s v="1.05"/>
  </r>
  <r>
    <n v="5792"/>
    <x v="463"/>
    <s v="Joao Ferreira"/>
    <x v="11"/>
    <x v="48"/>
    <m/>
    <s v="AlienTech, k1ck, Giants"/>
    <n v="7851"/>
    <n v="7867"/>
    <x v="248"/>
    <s v="81.9"/>
    <s v="3.4"/>
    <n v="429"/>
    <n v="11159"/>
    <s v="0.7"/>
    <s v="0.16"/>
    <s v="0.7"/>
    <s v="0.1"/>
    <s v="0.11"/>
    <n v="5256"/>
    <s v="K - D diff."/>
    <n v="1162"/>
    <n v="1187"/>
    <s v="0.98"/>
    <s v="1.01"/>
    <s v="73.10%"/>
    <s v="15.50%"/>
    <n v="5903"/>
    <n v="3288"/>
    <n v="1441"/>
    <n v="449"/>
    <n v="69"/>
    <n v="9"/>
    <n v="5830"/>
    <n v="217"/>
    <n v="308"/>
    <n v="1409"/>
    <n v="77"/>
    <n v="16"/>
    <n v="1"/>
  </r>
  <r>
    <n v="10443"/>
    <x v="464"/>
    <s v="Sebastian Aagaard"/>
    <x v="6"/>
    <x v="9"/>
    <m/>
    <s v="Copenhagen Flames"/>
    <n v="10081"/>
    <n v="9816"/>
    <x v="133"/>
    <s v="70.1"/>
    <s v="3.5"/>
    <n v="582"/>
    <n v="15218"/>
    <s v="0.66"/>
    <s v="0.1"/>
    <s v="0.65"/>
    <s v="0.09"/>
    <s v="0.1"/>
    <n v="6901"/>
    <s v="K - D diff."/>
    <n v="1126"/>
    <n v="1165"/>
    <s v="0.97"/>
    <s v="0.91"/>
    <s v="74.10%"/>
    <s v="10.90%"/>
    <n v="8317"/>
    <n v="4487"/>
    <n v="1779"/>
    <n v="520"/>
    <n v="99"/>
    <n v="16"/>
    <n v="7285"/>
    <n v="335"/>
    <n v="556"/>
    <n v="1779"/>
    <n v="115"/>
    <n v="27"/>
    <n v="1"/>
  </r>
  <r>
    <n v="10663"/>
    <x v="465"/>
    <s v="Warittorn Kalanukarn"/>
    <x v="0"/>
    <x v="26"/>
    <m/>
    <s v="Signature, ZIGMA, Beyond, MiTH"/>
    <n v="8834"/>
    <n v="8801"/>
    <x v="74"/>
    <s v="78.6"/>
    <s v="3.2"/>
    <n v="492"/>
    <n v="12610"/>
    <s v="0.7"/>
    <s v="0.14"/>
    <s v="0.7"/>
    <s v="0.09"/>
    <s v="0.09"/>
    <n v="5999"/>
    <s v="K - D diff."/>
    <n v="1246"/>
    <n v="1422"/>
    <s v="0.88"/>
    <s v="0.97"/>
    <s v="73.60%"/>
    <s v="14.30%"/>
    <n v="6611"/>
    <n v="3834"/>
    <n v="1613"/>
    <n v="447"/>
    <n v="92"/>
    <n v="13"/>
    <n v="6463"/>
    <n v="180"/>
    <n v="490"/>
    <n v="1571"/>
    <n v="87"/>
    <n v="58"/>
    <s v="1.06"/>
  </r>
  <r>
    <n v="4637"/>
    <x v="466"/>
    <s v="Min-Seok Park"/>
    <x v="10"/>
    <x v="13"/>
    <m/>
    <s v="MVP PK"/>
    <n v="8381"/>
    <n v="8327"/>
    <x v="169"/>
    <s v="77.8"/>
    <s v="4.9"/>
    <n v="482"/>
    <n v="12229"/>
    <s v="0.69"/>
    <s v="0.17"/>
    <s v="0.68"/>
    <s v="0.13"/>
    <s v="0.11"/>
    <n v="5672"/>
    <s v="K - D diff."/>
    <n v="1512"/>
    <n v="1519"/>
    <n v="1"/>
    <s v="1.08"/>
    <s v="77.10%"/>
    <s v="17.60%"/>
    <n v="6557"/>
    <n v="3641"/>
    <n v="1453"/>
    <n v="491"/>
    <n v="74"/>
    <n v="13"/>
    <n v="5704"/>
    <n v="499"/>
    <n v="687"/>
    <n v="1350"/>
    <n v="131"/>
    <n v="27"/>
    <n v="1"/>
  </r>
  <r>
    <n v="11922"/>
    <x v="467"/>
    <s v="Alexandre Santos"/>
    <x v="8"/>
    <x v="3"/>
    <m/>
    <s v="Liberty, Redemption POA, Isurus, C4"/>
    <n v="7659"/>
    <n v="7550"/>
    <x v="40"/>
    <s v="77.3"/>
    <s v="5.5"/>
    <n v="423"/>
    <n v="11227"/>
    <s v="0.68"/>
    <s v="0.14"/>
    <s v="0.67"/>
    <s v="0.11"/>
    <s v="0.1"/>
    <n v="5212"/>
    <s v="K - D diff."/>
    <n v="1127"/>
    <n v="1063"/>
    <s v="1.06"/>
    <s v="1.01"/>
    <s v="76.10%"/>
    <s v="14.90%"/>
    <n v="6015"/>
    <n v="3346"/>
    <n v="1378"/>
    <n v="401"/>
    <n v="81"/>
    <n v="6"/>
    <n v="5504"/>
    <n v="354"/>
    <n v="418"/>
    <n v="1257"/>
    <n v="133"/>
    <n v="20"/>
    <s v="1.07"/>
  </r>
  <r>
    <n v="9254"/>
    <x v="468"/>
    <s v="Alejandro FernÃ¡ndez-Quejo Cano"/>
    <x v="8"/>
    <x v="30"/>
    <s v="Movistar Riders"/>
    <s v="Movistar Riders"/>
    <n v="20909"/>
    <n v="20945"/>
    <x v="38"/>
    <s v="75.7"/>
    <s v="4.8"/>
    <n v="1158"/>
    <n v="30745"/>
    <s v="0.68"/>
    <s v="0.13"/>
    <s v="0.68"/>
    <s v="0.09"/>
    <s v="0.07"/>
    <n v="13971"/>
    <s v="K - D diff."/>
    <n v="3550"/>
    <n v="4060"/>
    <s v="0.87"/>
    <s v="1.02"/>
    <s v="71.50%"/>
    <s v="16.20%"/>
    <n v="16774"/>
    <n v="8796"/>
    <n v="3713"/>
    <n v="1190"/>
    <n v="243"/>
    <n v="29"/>
    <n v="14769"/>
    <n v="532"/>
    <n v="2188"/>
    <n v="3151"/>
    <n v="207"/>
    <n v="132"/>
    <n v="1"/>
  </r>
  <r>
    <n v="16415"/>
    <x v="469"/>
    <s v="Anton TÅ¡ernobai"/>
    <x v="7"/>
    <x v="22"/>
    <s v="Tokyo Revengers"/>
    <s v="Gambit Youngsters, Nordavind"/>
    <n v="9501"/>
    <n v="9428"/>
    <x v="249"/>
    <s v="72.9"/>
    <s v="5.4"/>
    <n v="533"/>
    <n v="14303"/>
    <s v="0.66"/>
    <s v="0.12"/>
    <s v="0.66"/>
    <s v="0.1"/>
    <s v="0.1"/>
    <n v="6379"/>
    <s v="K - D diff."/>
    <n v="1492"/>
    <n v="1658"/>
    <s v="0.9"/>
    <n v="1"/>
    <s v="74.10%"/>
    <s v="14.70%"/>
    <n v="7924"/>
    <n v="4059"/>
    <n v="1665"/>
    <n v="519"/>
    <n v="125"/>
    <n v="11"/>
    <n v="6892"/>
    <n v="350"/>
    <n v="607"/>
    <n v="1502"/>
    <n v="131"/>
    <n v="48"/>
    <s v="1.05"/>
  </r>
  <r>
    <n v="10397"/>
    <x v="470"/>
    <s v="Jorgen Robertsen"/>
    <x v="2"/>
    <x v="40"/>
    <m/>
    <s v="Nordavind"/>
    <n v="11785"/>
    <n v="11718"/>
    <x v="240"/>
    <n v="74"/>
    <s v="3.6"/>
    <n v="653"/>
    <n v="17335"/>
    <s v="0.68"/>
    <s v="0.13"/>
    <s v="0.68"/>
    <s v="0.11"/>
    <s v="0.11"/>
    <n v="7946"/>
    <s v="K - D diff."/>
    <n v="1800"/>
    <n v="1951"/>
    <s v="0.92"/>
    <n v="1"/>
    <s v="72.80%"/>
    <s v="14.80%"/>
    <n v="9389"/>
    <n v="5042"/>
    <n v="2143"/>
    <n v="603"/>
    <n v="142"/>
    <n v="16"/>
    <n v="8101"/>
    <n v="753"/>
    <n v="791"/>
    <n v="1996"/>
    <n v="146"/>
    <n v="29"/>
    <n v="1"/>
  </r>
  <r>
    <n v="973"/>
    <x v="471"/>
    <s v="Grzegorz DziamaÅ‚ek"/>
    <x v="9"/>
    <x v="17"/>
    <m/>
    <s v="Wisla Krakow, Kinguin, AGO"/>
    <n v="36985"/>
    <n v="36135"/>
    <x v="206"/>
    <s v="72.5"/>
    <s v="3.4"/>
    <n v="2058"/>
    <n v="54420"/>
    <s v="0.68"/>
    <s v="0.12"/>
    <s v="0.66"/>
    <s v="0.07"/>
    <s v="0.07"/>
    <n v="25423"/>
    <s v="K - D diff."/>
    <n v="6407"/>
    <n v="5753"/>
    <s v="1.11"/>
    <s v="1.08"/>
    <s v="74.20%"/>
    <s v="17.10%"/>
    <n v="28997"/>
    <n v="16587"/>
    <n v="6530"/>
    <n v="1924"/>
    <n v="358"/>
    <n v="24"/>
    <n v="13721"/>
    <n v="14286"/>
    <n v="1747"/>
    <n v="6492"/>
    <n v="525"/>
    <n v="291"/>
    <n v="1"/>
  </r>
  <r>
    <n v="7433"/>
    <x v="472"/>
    <s v="Eric Hoag"/>
    <x v="15"/>
    <x v="24"/>
    <s v="Liquid"/>
    <s v="Liquid, Mythic"/>
    <n v="12259"/>
    <n v="11879"/>
    <x v="208"/>
    <s v="76.5"/>
    <s v="5.7"/>
    <n v="697"/>
    <n v="18241"/>
    <s v="0.67"/>
    <s v="0.15"/>
    <s v="0.65"/>
    <s v="0.1"/>
    <s v="0.12"/>
    <n v="8474"/>
    <s v="K - D diff."/>
    <n v="1655"/>
    <n v="1449"/>
    <s v="1.14"/>
    <s v="0.99"/>
    <s v="75.40%"/>
    <s v="13.40%"/>
    <n v="9767"/>
    <n v="5589"/>
    <n v="2139"/>
    <n v="619"/>
    <n v="117"/>
    <n v="10"/>
    <n v="6304"/>
    <n v="3011"/>
    <n v="457"/>
    <n v="2204"/>
    <n v="261"/>
    <n v="34"/>
    <n v="1"/>
  </r>
  <r>
    <n v="7248"/>
    <x v="473"/>
    <s v="Sami Laasanen"/>
    <x v="2"/>
    <x v="23"/>
    <s v="HAVU"/>
    <s v="HAVU, ENCE, iGame.com, RCTIC"/>
    <n v="22799"/>
    <n v="22439"/>
    <x v="120"/>
    <s v="78.7"/>
    <n v="6"/>
    <n v="1275"/>
    <n v="33704"/>
    <s v="0.68"/>
    <s v="0.16"/>
    <s v="0.67"/>
    <s v="0.09"/>
    <s v="0.09"/>
    <n v="15545"/>
    <s v="K - D diff."/>
    <n v="3305"/>
    <n v="3328"/>
    <s v="0.99"/>
    <s v="0.99"/>
    <s v="72.60%"/>
    <s v="13.70%"/>
    <n v="18159"/>
    <n v="10024"/>
    <n v="4082"/>
    <n v="1172"/>
    <n v="240"/>
    <n v="27"/>
    <n v="15494"/>
    <n v="651"/>
    <n v="2069"/>
    <n v="4098"/>
    <n v="440"/>
    <n v="85"/>
    <n v="1"/>
  </r>
  <r>
    <n v="14954"/>
    <x v="474"/>
    <s v="Cooper Farrell"/>
    <x v="0"/>
    <x v="15"/>
    <m/>
    <s v="Ground Zero, Dark Sided"/>
    <n v="7854"/>
    <n v="7727"/>
    <x v="89"/>
    <s v="74.1"/>
    <s v="2.8"/>
    <n v="437"/>
    <n v="11368"/>
    <s v="0.69"/>
    <s v="0.13"/>
    <s v="0.68"/>
    <s v="0.1"/>
    <s v="0.11"/>
    <n v="5389"/>
    <s v="K - D diff."/>
    <n v="837"/>
    <n v="829"/>
    <s v="1.01"/>
    <s v="0.91"/>
    <s v="72.20%"/>
    <s v="10.80%"/>
    <n v="5979"/>
    <n v="3494"/>
    <n v="1410"/>
    <n v="404"/>
    <n v="77"/>
    <n v="4"/>
    <n v="5845"/>
    <n v="156"/>
    <n v="339"/>
    <n v="1400"/>
    <n v="74"/>
    <n v="45"/>
    <s v="1.03"/>
  </r>
  <r>
    <n v="7527"/>
    <x v="475"/>
    <s v="Jacob MourujÃ¤rvi"/>
    <x v="3"/>
    <x v="29"/>
    <m/>
    <s v="NIP, Vexed"/>
    <n v="13677"/>
    <n v="13682"/>
    <x v="91"/>
    <s v="70.3"/>
    <s v="4.1"/>
    <n v="756"/>
    <n v="19801"/>
    <s v="0.69"/>
    <s v="0.13"/>
    <s v="0.69"/>
    <s v="0.1"/>
    <s v="0.1"/>
    <n v="9175"/>
    <s v="K - D diff."/>
    <n v="1888"/>
    <n v="1900"/>
    <s v="0.99"/>
    <s v="0.98"/>
    <s v="73.00%"/>
    <s v="14.10%"/>
    <n v="10626"/>
    <n v="5784"/>
    <n v="2488"/>
    <n v="737"/>
    <n v="147"/>
    <n v="19"/>
    <n v="9396"/>
    <n v="972"/>
    <n v="486"/>
    <n v="2615"/>
    <n v="164"/>
    <n v="64"/>
    <n v="1"/>
  </r>
  <r>
    <n v="545"/>
    <x v="476"/>
    <s v="Andreas Fridh"/>
    <x v="10"/>
    <x v="29"/>
    <s v="Astralis Talent"/>
    <s v="Heroic, SK"/>
    <n v="20585"/>
    <n v="20184"/>
    <x v="18"/>
    <s v="74.6"/>
    <s v="3.6"/>
    <n v="1170"/>
    <n v="30550"/>
    <s v="0.67"/>
    <s v="0.13"/>
    <s v="0.66"/>
    <s v="0.08"/>
    <s v="0.08"/>
    <n v="14035"/>
    <s v="K - D diff."/>
    <n v="3049"/>
    <n v="3120"/>
    <s v="0.98"/>
    <n v="1"/>
    <s v="73.40%"/>
    <s v="14.30%"/>
    <n v="16515"/>
    <n v="9047"/>
    <n v="3700"/>
    <n v="1054"/>
    <n v="217"/>
    <n v="17"/>
    <n v="15077"/>
    <n v="356"/>
    <n v="1300"/>
    <n v="3507"/>
    <n v="308"/>
    <n v="64"/>
    <n v="1"/>
  </r>
  <r>
    <n v="13186"/>
    <x v="477"/>
    <s v="Cameron Kern"/>
    <x v="1"/>
    <x v="24"/>
    <m/>
    <s v="Singularity, Gorilla Gang, Chaos"/>
    <n v="9454"/>
    <n v="9285"/>
    <x v="52"/>
    <s v="75.3"/>
    <s v="5.4"/>
    <n v="544"/>
    <n v="13974"/>
    <s v="0.68"/>
    <s v="0.15"/>
    <s v="0.66"/>
    <s v="0.12"/>
    <s v="0.12"/>
    <n v="6470"/>
    <s v="K - D diff."/>
    <n v="1227"/>
    <n v="1285"/>
    <s v="0.95"/>
    <s v="0.95"/>
    <s v="76.00%"/>
    <s v="12.70%"/>
    <n v="7504"/>
    <n v="4191"/>
    <n v="1690"/>
    <n v="488"/>
    <n v="86"/>
    <n v="15"/>
    <n v="6597"/>
    <n v="206"/>
    <n v="723"/>
    <n v="1685"/>
    <n v="157"/>
    <n v="107"/>
    <s v="1.06"/>
  </r>
  <r>
    <n v="7369"/>
    <x v="478"/>
    <s v="Piotr Ä†wikliÅ„ski"/>
    <x v="9"/>
    <x v="17"/>
    <m/>
    <s v="AGG, Vexed, SEAL, eBettle"/>
    <n v="6788"/>
    <n v="6691"/>
    <x v="101"/>
    <n v="71"/>
    <s v="2.1"/>
    <n v="379"/>
    <n v="9993"/>
    <s v="0.68"/>
    <s v="0.12"/>
    <s v="0.67"/>
    <s v="0.1"/>
    <s v="0.1"/>
    <n v="4623"/>
    <s v="K - D diff."/>
    <n v="1193"/>
    <n v="989"/>
    <s v="1.21"/>
    <s v="1.1"/>
    <s v="74.40%"/>
    <s v="17.50%"/>
    <n v="5370"/>
    <n v="2985"/>
    <n v="1200"/>
    <n v="366"/>
    <n v="64"/>
    <n v="8"/>
    <n v="2930"/>
    <n v="2378"/>
    <n v="232"/>
    <n v="1161"/>
    <n v="61"/>
    <n v="28"/>
    <n v="1"/>
  </r>
  <r>
    <n v="7687"/>
    <x v="479"/>
    <s v="Nick Cannella"/>
    <x v="5"/>
    <x v="24"/>
    <s v="Liquid"/>
    <s v="Liquid"/>
    <n v="24560"/>
    <n v="24088"/>
    <x v="232"/>
    <s v="71.5"/>
    <s v="4.9"/>
    <n v="1401"/>
    <n v="36557"/>
    <s v="0.67"/>
    <s v="0.14"/>
    <s v="0.66"/>
    <s v="0.11"/>
    <s v="0.1"/>
    <n v="16723"/>
    <s v="K - D diff."/>
    <n v="3743"/>
    <n v="3758"/>
    <n v="1"/>
    <s v="1.01"/>
    <s v="75.10%"/>
    <s v="14.50%"/>
    <n v="19834"/>
    <n v="10725"/>
    <n v="4456"/>
    <n v="1289"/>
    <n v="228"/>
    <n v="25"/>
    <n v="15315"/>
    <n v="2886"/>
    <n v="1640"/>
    <n v="4256"/>
    <n v="385"/>
    <n v="108"/>
    <n v="1"/>
  </r>
  <r>
    <n v="11926"/>
    <x v="480"/>
    <s v="Aleksandr Rubets"/>
    <x v="6"/>
    <x v="33"/>
    <s v="xDDDD"/>
    <s v="Nemiga"/>
    <n v="19676"/>
    <n v="19236"/>
    <x v="235"/>
    <s v="72.6"/>
    <s v="2.8"/>
    <n v="1096"/>
    <n v="29290"/>
    <s v="0.67"/>
    <s v="0.11"/>
    <s v="0.66"/>
    <s v="0.09"/>
    <s v="0.09"/>
    <n v="13506"/>
    <s v="K - D diff."/>
    <n v="2672"/>
    <n v="2676"/>
    <n v="1"/>
    <s v="0.97"/>
    <s v="72.10%"/>
    <s v="13.00%"/>
    <n v="15784"/>
    <n v="8776"/>
    <n v="3517"/>
    <n v="1003"/>
    <n v="193"/>
    <n v="17"/>
    <n v="14219"/>
    <n v="386"/>
    <n v="1537"/>
    <n v="3355"/>
    <n v="169"/>
    <n v="54"/>
    <s v="1.04"/>
  </r>
  <r>
    <n v="10163"/>
    <x v="481"/>
    <s v="Peter Nguyen"/>
    <x v="8"/>
    <x v="15"/>
    <m/>
    <s v="Chiefs"/>
    <n v="6620"/>
    <n v="6458"/>
    <x v="114"/>
    <s v="72.4"/>
    <s v="4.4"/>
    <n v="389"/>
    <n v="9930"/>
    <s v="0.67"/>
    <s v="0.14"/>
    <s v="0.65"/>
    <s v="0.09"/>
    <s v="0.08"/>
    <n v="4527"/>
    <s v="K - D diff."/>
    <n v="763"/>
    <n v="826"/>
    <s v="0.92"/>
    <s v="0.91"/>
    <s v="71.70%"/>
    <s v="10.40%"/>
    <n v="5403"/>
    <n v="2910"/>
    <n v="1214"/>
    <n v="334"/>
    <n v="65"/>
    <n v="4"/>
    <n v="4512"/>
    <n v="91"/>
    <n v="592"/>
    <n v="1324"/>
    <n v="96"/>
    <n v="17"/>
    <n v="1"/>
  </r>
  <r>
    <n v="6904"/>
    <x v="482"/>
    <s v="Martin Styk"/>
    <x v="5"/>
    <x v="20"/>
    <s v="Apeks"/>
    <s v="HellRaisers, MOUZ, GODSENT"/>
    <n v="27642"/>
    <n v="27189"/>
    <x v="250"/>
    <s v="74.4"/>
    <n v="5"/>
    <n v="1569"/>
    <n v="41373"/>
    <s v="0.67"/>
    <s v="0.13"/>
    <s v="0.66"/>
    <s v="0.09"/>
    <s v="0.08"/>
    <n v="18847"/>
    <s v="K - D diff."/>
    <n v="3562"/>
    <n v="3820"/>
    <s v="0.93"/>
    <s v="0.94"/>
    <s v="73.20%"/>
    <s v="12.20%"/>
    <n v="22526"/>
    <n v="12210"/>
    <n v="4857"/>
    <n v="1458"/>
    <n v="283"/>
    <n v="39"/>
    <n v="19482"/>
    <n v="1192"/>
    <n v="1435"/>
    <n v="4947"/>
    <n v="473"/>
    <n v="178"/>
    <n v="1"/>
  </r>
  <r>
    <n v="9298"/>
    <x v="483"/>
    <s v="Erik Hansen Dyrnes"/>
    <x v="8"/>
    <x v="40"/>
    <m/>
    <s v="Apeks, ATK, Vexed"/>
    <n v="8886"/>
    <n v="8837"/>
    <x v="223"/>
    <s v="75.4"/>
    <s v="3.4"/>
    <n v="479"/>
    <n v="12857"/>
    <s v="0.69"/>
    <s v="0.12"/>
    <s v="0.69"/>
    <s v="0.09"/>
    <s v="0.1"/>
    <n v="6035"/>
    <s v="K - D diff."/>
    <n v="1130"/>
    <n v="1173"/>
    <s v="0.96"/>
    <s v="0.95"/>
    <s v="72.40%"/>
    <s v="12.90%"/>
    <n v="6822"/>
    <n v="3850"/>
    <n v="1621"/>
    <n v="468"/>
    <n v="90"/>
    <n v="6"/>
    <n v="6569"/>
    <n v="416"/>
    <n v="386"/>
    <n v="1421"/>
    <n v="86"/>
    <n v="20"/>
    <n v="1"/>
  </r>
  <r>
    <n v="2161"/>
    <x v="484"/>
    <s v="NicolÃ¡s DÃ¡vila"/>
    <x v="11"/>
    <x v="38"/>
    <s v="Isurus"/>
    <s v="Isurus"/>
    <n v="13891"/>
    <n v="13644"/>
    <x v="12"/>
    <s v="74.2"/>
    <s v="4.6"/>
    <n v="789"/>
    <n v="20642"/>
    <s v="0.67"/>
    <s v="0.13"/>
    <s v="0.66"/>
    <s v="0.09"/>
    <s v="0.09"/>
    <n v="9484"/>
    <s v="K - D diff."/>
    <n v="2545"/>
    <n v="2321"/>
    <s v="1.1"/>
    <s v="1.1"/>
    <s v="74.30%"/>
    <s v="17.40%"/>
    <n v="11158"/>
    <n v="6102"/>
    <n v="2510"/>
    <n v="728"/>
    <n v="135"/>
    <n v="9"/>
    <n v="5726"/>
    <n v="5066"/>
    <n v="724"/>
    <n v="2223"/>
    <n v="161"/>
    <n v="33"/>
    <s v="1.06"/>
  </r>
  <r>
    <n v="9260"/>
    <x v="485"/>
    <s v="Daniel Kim"/>
    <x v="5"/>
    <x v="24"/>
    <m/>
    <s v="Rogue, Cloud9"/>
    <n v="8668"/>
    <n v="8540"/>
    <x v="16"/>
    <s v="75.9"/>
    <s v="3.1"/>
    <n v="493"/>
    <n v="12707"/>
    <s v="0.68"/>
    <s v="0.14"/>
    <s v="0.67"/>
    <s v="0.12"/>
    <s v="0.11"/>
    <n v="5944"/>
    <s v="K - D diff."/>
    <n v="1155"/>
    <n v="1173"/>
    <s v="0.98"/>
    <s v="0.97"/>
    <s v="73.20%"/>
    <s v="13.40%"/>
    <n v="6763"/>
    <n v="3861"/>
    <n v="1549"/>
    <n v="437"/>
    <n v="89"/>
    <n v="8"/>
    <n v="6387"/>
    <n v="88"/>
    <n v="583"/>
    <n v="1509"/>
    <n v="96"/>
    <n v="19"/>
    <n v="1"/>
  </r>
  <r>
    <n v="10463"/>
    <x v="486"/>
    <s v="Linus Andersson"/>
    <x v="6"/>
    <x v="29"/>
    <m/>
    <s v="x6tence Galaxy, Red Reserve, fnatic Academy, Chaos"/>
    <n v="13293"/>
    <n v="13254"/>
    <x v="251"/>
    <s v="74.1"/>
    <s v="3.7"/>
    <n v="738"/>
    <n v="19661"/>
    <s v="0.68"/>
    <s v="0.12"/>
    <s v="0.67"/>
    <s v="0.1"/>
    <s v="0.11"/>
    <n v="8975"/>
    <s v="K - D diff."/>
    <n v="1721"/>
    <n v="1976"/>
    <s v="0.87"/>
    <s v="0.94"/>
    <s v="71.90%"/>
    <s v="12.40%"/>
    <n v="10686"/>
    <n v="5746"/>
    <n v="2319"/>
    <n v="746"/>
    <n v="149"/>
    <n v="15"/>
    <n v="9494"/>
    <n v="144"/>
    <n v="1141"/>
    <n v="2353"/>
    <n v="168"/>
    <n v="20"/>
    <n v="1"/>
  </r>
  <r>
    <n v="9818"/>
    <x v="487"/>
    <s v="Samu Leirilaakso"/>
    <x v="1"/>
    <x v="23"/>
    <s v="KOVA"/>
    <s v="KOVA"/>
    <n v="10468"/>
    <n v="10254"/>
    <x v="87"/>
    <s v="76.5"/>
    <s v="4.8"/>
    <n v="575"/>
    <n v="15393"/>
    <s v="0.68"/>
    <s v="0.13"/>
    <s v="0.67"/>
    <s v="0.09"/>
    <s v="0.1"/>
    <n v="7242"/>
    <s v="K - D diff."/>
    <n v="1540"/>
    <n v="1458"/>
    <s v="1.06"/>
    <s v="1.01"/>
    <s v="72.90%"/>
    <s v="14.90%"/>
    <n v="8151"/>
    <n v="4782"/>
    <n v="1814"/>
    <n v="534"/>
    <n v="104"/>
    <n v="8"/>
    <n v="8072"/>
    <n v="165"/>
    <n v="456"/>
    <n v="1673"/>
    <n v="103"/>
    <n v="24"/>
    <n v="1"/>
  </r>
  <r>
    <n v="630"/>
    <x v="488"/>
    <s v="Christopher Fernandes"/>
    <x v="11"/>
    <x v="48"/>
    <s v="SAW"/>
    <s v="SAW, k1ck, Giants"/>
    <n v="22278"/>
    <n v="22069"/>
    <x v="141"/>
    <n v="78"/>
    <s v="5.8"/>
    <n v="1235"/>
    <n v="32303"/>
    <s v="0.69"/>
    <s v="0.15"/>
    <s v="0.68"/>
    <s v="0.1"/>
    <s v="0.1"/>
    <n v="15208"/>
    <s v="K - D diff."/>
    <n v="3382"/>
    <n v="3326"/>
    <s v="1.02"/>
    <s v="1.02"/>
    <s v="72.90%"/>
    <s v="15.30%"/>
    <n v="17095"/>
    <n v="9787"/>
    <n v="4043"/>
    <n v="1146"/>
    <n v="207"/>
    <n v="25"/>
    <n v="17101"/>
    <n v="113"/>
    <n v="995"/>
    <n v="3747"/>
    <n v="314"/>
    <n v="38"/>
    <n v="1"/>
  </r>
  <r>
    <n v="9257"/>
    <x v="489"/>
    <s v="Fredrik BuÃ¶"/>
    <x v="3"/>
    <x v="29"/>
    <m/>
    <s v="Epsilon, GODSENT, Red Reserve"/>
    <n v="20728"/>
    <n v="20548"/>
    <x v="113"/>
    <n v="77"/>
    <s v="4.2"/>
    <n v="1135"/>
    <n v="30119"/>
    <s v="0.69"/>
    <s v="0.14"/>
    <s v="0.68"/>
    <s v="0.09"/>
    <s v="0.09"/>
    <n v="14171"/>
    <s v="K - D diff."/>
    <n v="3160"/>
    <n v="3144"/>
    <s v="1.01"/>
    <s v="1.02"/>
    <s v="72.90%"/>
    <s v="14.70%"/>
    <n v="15948"/>
    <n v="9094"/>
    <n v="3848"/>
    <n v="1006"/>
    <n v="196"/>
    <n v="27"/>
    <n v="15233"/>
    <n v="561"/>
    <n v="1134"/>
    <n v="3537"/>
    <n v="218"/>
    <n v="87"/>
    <s v="0.99"/>
  </r>
  <r>
    <n v="1915"/>
    <x v="490"/>
    <s v="Kory Friesen"/>
    <x v="10"/>
    <x v="27"/>
    <s v="Gaimin Gladiators"/>
    <s v="Splyce, TSM, Complexity"/>
    <n v="15472"/>
    <n v="15505"/>
    <x v="43"/>
    <s v="73.6"/>
    <s v="3.1"/>
    <n v="848"/>
    <n v="21936"/>
    <s v="0.71"/>
    <s v="0.14"/>
    <s v="0.71"/>
    <s v="0.1"/>
    <s v="0.1"/>
    <n v="10488"/>
    <s v="K - D diff."/>
    <n v="2409"/>
    <n v="2211"/>
    <s v="1.09"/>
    <s v="1.05"/>
    <s v="71.60%"/>
    <s v="15.80%"/>
    <n v="11448"/>
    <n v="6664"/>
    <n v="2849"/>
    <n v="818"/>
    <n v="148"/>
    <n v="9"/>
    <n v="6452"/>
    <n v="4597"/>
    <n v="799"/>
    <n v="3415"/>
    <n v="204"/>
    <n v="38"/>
    <s v="0.99"/>
  </r>
  <r>
    <n v="7873"/>
    <x v="491"/>
    <s v="Rory Jackson"/>
    <x v="14"/>
    <x v="5"/>
    <m/>
    <s v="Complexity"/>
    <n v="14252"/>
    <n v="14484"/>
    <x v="97"/>
    <s v="80.6"/>
    <s v="4.9"/>
    <n v="768"/>
    <n v="20106"/>
    <s v="0.71"/>
    <s v="0.16"/>
    <s v="0.72"/>
    <s v="0.11"/>
    <s v="0.1"/>
    <n v="9565"/>
    <s v="K - D diff."/>
    <n v="2501"/>
    <n v="2493"/>
    <n v="1"/>
    <s v="1.08"/>
    <s v="71.10%"/>
    <s v="17.90%"/>
    <n v="10541"/>
    <n v="6003"/>
    <n v="2633"/>
    <n v="753"/>
    <n v="156"/>
    <n v="20"/>
    <n v="8804"/>
    <n v="1444"/>
    <n v="1339"/>
    <n v="2456"/>
    <n v="186"/>
    <n v="52"/>
    <s v="0.99"/>
  </r>
  <r>
    <n v="16769"/>
    <x v="492"/>
    <s v="Antonio Oliveira"/>
    <x v="2"/>
    <x v="3"/>
    <s v="B4"/>
    <s v="B4, W7M, Sharks, FURIA Academy"/>
    <n v="10196"/>
    <n v="10040"/>
    <x v="16"/>
    <s v="73.7"/>
    <s v="5.7"/>
    <n v="581"/>
    <n v="15398"/>
    <s v="0.66"/>
    <s v="0.14"/>
    <s v="0.65"/>
    <s v="0.11"/>
    <s v="0.09"/>
    <n v="6980"/>
    <s v="K - D diff."/>
    <n v="1521"/>
    <n v="1635"/>
    <s v="0.93"/>
    <s v="0.98"/>
    <s v="71.10%"/>
    <s v="13.40%"/>
    <n v="8418"/>
    <n v="4578"/>
    <n v="1717"/>
    <n v="565"/>
    <n v="111"/>
    <n v="9"/>
    <n v="7243"/>
    <n v="153"/>
    <n v="820"/>
    <n v="1802"/>
    <n v="166"/>
    <n v="43"/>
    <s v="1.07"/>
  </r>
  <r>
    <n v="7808"/>
    <x v="493"/>
    <s v="Ryan Abadir"/>
    <x v="11"/>
    <x v="24"/>
    <s v="Mythic"/>
    <s v="Swole Patrol, Cloud9, Echo Fox"/>
    <n v="16041"/>
    <n v="16075"/>
    <x v="90"/>
    <s v="77.9"/>
    <s v="4.5"/>
    <n v="901"/>
    <n v="23127"/>
    <s v="0.69"/>
    <s v="0.15"/>
    <s v="0.7"/>
    <s v="0.11"/>
    <s v="0.1"/>
    <n v="10874"/>
    <s v="K - D diff."/>
    <n v="2494"/>
    <n v="2758"/>
    <s v="0.9"/>
    <s v="1.01"/>
    <s v="75.20%"/>
    <s v="15.50%"/>
    <n v="12253"/>
    <n v="6953"/>
    <n v="2888"/>
    <n v="844"/>
    <n v="173"/>
    <n v="16"/>
    <n v="11682"/>
    <n v="87"/>
    <n v="1173"/>
    <n v="2859"/>
    <n v="212"/>
    <n v="61"/>
    <s v="0.99"/>
  </r>
  <r>
    <n v="13157"/>
    <x v="494"/>
    <s v="Andrey Mekhryakov"/>
    <x v="1"/>
    <x v="2"/>
    <s v="forZe"/>
    <s v="forZe"/>
    <n v="29312"/>
    <n v="29038"/>
    <x v="190"/>
    <s v="76.6"/>
    <s v="4.4"/>
    <n v="1598"/>
    <n v="43012"/>
    <s v="0.68"/>
    <s v="0.14"/>
    <s v="0.68"/>
    <s v="0.1"/>
    <s v="0.09"/>
    <n v="20081"/>
    <s v="K - D diff."/>
    <n v="4508"/>
    <n v="4337"/>
    <s v="1.04"/>
    <s v="1.02"/>
    <s v="73.10%"/>
    <s v="14.60%"/>
    <n v="22931"/>
    <n v="13033"/>
    <n v="5234"/>
    <n v="1480"/>
    <n v="299"/>
    <n v="35"/>
    <n v="21174"/>
    <n v="496"/>
    <n v="2723"/>
    <n v="4648"/>
    <n v="273"/>
    <n v="71"/>
    <s v="1.07"/>
  </r>
  <r>
    <n v="18317"/>
    <x v="495"/>
    <s v="Boris Vorobiev"/>
    <x v="16"/>
    <x v="2"/>
    <s v="Spirit"/>
    <s v="Spirit"/>
    <n v="10965"/>
    <n v="10680"/>
    <x v="252"/>
    <s v="70.3"/>
    <s v="3.7"/>
    <n v="638"/>
    <n v="16888"/>
    <s v="0.65"/>
    <s v="0.11"/>
    <s v="0.63"/>
    <s v="0.1"/>
    <s v="0.1"/>
    <n v="7544"/>
    <s v="K - D diff."/>
    <n v="1561"/>
    <n v="1575"/>
    <s v="0.99"/>
    <s v="0.97"/>
    <s v="74.60%"/>
    <s v="12.90%"/>
    <n v="9344"/>
    <n v="4957"/>
    <n v="1888"/>
    <n v="577"/>
    <n v="109"/>
    <n v="13"/>
    <n v="8137"/>
    <n v="352"/>
    <n v="426"/>
    <n v="1897"/>
    <n v="121"/>
    <n v="66"/>
    <s v="1.05"/>
  </r>
  <r>
    <n v="12083"/>
    <x v="496"/>
    <s v="Andrew Adams"/>
    <x v="6"/>
    <x v="15"/>
    <s v="rewound"/>
    <s v="Breakaway, Funky Monkeys, Dark Sided"/>
    <n v="7636"/>
    <n v="7533"/>
    <x v="253"/>
    <n v="71"/>
    <s v="2.9"/>
    <n v="435"/>
    <n v="11265"/>
    <s v="0.68"/>
    <s v="0.11"/>
    <s v="0.67"/>
    <s v="0.09"/>
    <s v="0.1"/>
    <n v="5215"/>
    <s v="K - D diff."/>
    <n v="1305"/>
    <n v="1112"/>
    <s v="1.17"/>
    <s v="1.08"/>
    <s v="72.70%"/>
    <s v="17.40%"/>
    <n v="6050"/>
    <n v="3350"/>
    <n v="1379"/>
    <n v="418"/>
    <n v="66"/>
    <n v="2"/>
    <n v="2527"/>
    <n v="3134"/>
    <n v="317"/>
    <n v="1576"/>
    <n v="85"/>
    <n v="11"/>
    <s v="1.03"/>
  </r>
  <r>
    <n v="7700"/>
    <x v="497"/>
    <s v="Robin SjÃ¶gren"/>
    <x v="2"/>
    <x v="29"/>
    <m/>
    <s v="Endpoint, DenDD"/>
    <n v="27595"/>
    <n v="27649"/>
    <x v="220"/>
    <s v="80.1"/>
    <s v="8.6"/>
    <n v="1508"/>
    <n v="40171"/>
    <s v="0.69"/>
    <s v="0.17"/>
    <s v="0.69"/>
    <s v="0.11"/>
    <s v="0.1"/>
    <n v="18738"/>
    <s v="K - D diff."/>
    <n v="3904"/>
    <n v="4242"/>
    <s v="0.92"/>
    <s v="0.98"/>
    <s v="72.70%"/>
    <s v="13.80%"/>
    <n v="21433"/>
    <n v="12079"/>
    <n v="4832"/>
    <n v="1488"/>
    <n v="309"/>
    <n v="30"/>
    <n v="19884"/>
    <n v="522"/>
    <n v="1899"/>
    <n v="4617"/>
    <n v="664"/>
    <n v="102"/>
    <s v="0.99"/>
  </r>
  <r>
    <n v="12710"/>
    <x v="498"/>
    <s v="Anthony Guimond"/>
    <x v="0"/>
    <x v="27"/>
    <m/>
    <s v="Rogue, FRENCH CANADIANS, LiViD, Spacestation"/>
    <n v="8389"/>
    <n v="8436"/>
    <x v="254"/>
    <s v="75.4"/>
    <s v="3.5"/>
    <n v="464"/>
    <n v="12098"/>
    <s v="0.69"/>
    <s v="0.14"/>
    <s v="0.7"/>
    <s v="0.11"/>
    <s v="0.11"/>
    <n v="5676"/>
    <s v="K - D diff."/>
    <n v="1188"/>
    <n v="1355"/>
    <s v="0.88"/>
    <s v="0.97"/>
    <s v="71.40%"/>
    <s v="14.10%"/>
    <n v="6422"/>
    <n v="3613"/>
    <n v="1527"/>
    <n v="432"/>
    <n v="94"/>
    <n v="10"/>
    <n v="5997"/>
    <n v="375"/>
    <n v="398"/>
    <n v="1551"/>
    <n v="66"/>
    <n v="18"/>
    <s v="1.05"/>
  </r>
  <r>
    <n v="8184"/>
    <x v="291"/>
    <s v="Alex McMeekin"/>
    <x v="5"/>
    <x v="5"/>
    <s v="fnatic"/>
    <s v="LDLC, Vitality, fnatic"/>
    <n v="21407"/>
    <n v="21779"/>
    <x v="255"/>
    <s v="76.3"/>
    <s v="3.5"/>
    <n v="1162"/>
    <n v="30750"/>
    <s v="0.7"/>
    <s v="0.13"/>
    <s v="0.71"/>
    <s v="0.1"/>
    <s v="0.09"/>
    <n v="14301"/>
    <s v="K - D diff."/>
    <n v="3278"/>
    <n v="3941"/>
    <s v="0.83"/>
    <s v="0.99"/>
    <s v="73.10%"/>
    <s v="15.10%"/>
    <n v="16449"/>
    <n v="8992"/>
    <n v="3803"/>
    <n v="1234"/>
    <n v="254"/>
    <n v="18"/>
    <n v="15139"/>
    <n v="620"/>
    <n v="1637"/>
    <n v="3789"/>
    <n v="216"/>
    <n v="54"/>
    <s v="0.99"/>
  </r>
  <r>
    <n v="338"/>
    <x v="499"/>
    <s v="Yegor Markelov"/>
    <x v="12"/>
    <x v="1"/>
    <m/>
    <s v="FlipSid3, HellRaisers"/>
    <n v="19780"/>
    <n v="19292"/>
    <x v="57"/>
    <s v="74.3"/>
    <n v="5"/>
    <n v="1143"/>
    <n v="29624"/>
    <s v="0.67"/>
    <s v="0.15"/>
    <s v="0.65"/>
    <s v="0.08"/>
    <s v="0.09"/>
    <n v="13622"/>
    <s v="K - D diff."/>
    <n v="2299"/>
    <n v="2181"/>
    <s v="1.05"/>
    <s v="0.93"/>
    <s v="74.20%"/>
    <s v="11.50%"/>
    <n v="16002"/>
    <n v="8902"/>
    <n v="3532"/>
    <n v="1000"/>
    <n v="172"/>
    <n v="16"/>
    <n v="13350"/>
    <n v="1913"/>
    <n v="724"/>
    <n v="3380"/>
    <n v="363"/>
    <n v="61"/>
    <s v="0.99"/>
  </r>
  <r>
    <n v="7296"/>
    <x v="500"/>
    <s v="Reece Marrs"/>
    <x v="3"/>
    <x v="5"/>
    <s v="Max&amp;BigGarlicDips"/>
    <s v="Endpoint, FMESPORTS"/>
    <n v="7860"/>
    <n v="7786"/>
    <x v="170"/>
    <s v="74.7"/>
    <s v="3.8"/>
    <n v="436"/>
    <n v="11572"/>
    <s v="0.68"/>
    <s v="0.15"/>
    <s v="0.67"/>
    <s v="0.11"/>
    <s v="0.12"/>
    <n v="5377"/>
    <s v="K - D diff."/>
    <n v="1063"/>
    <n v="995"/>
    <s v="1.07"/>
    <s v="0.98"/>
    <s v="70.50%"/>
    <s v="13.20%"/>
    <n v="6195"/>
    <n v="3482"/>
    <n v="1401"/>
    <n v="409"/>
    <n v="79"/>
    <n v="6"/>
    <n v="5040"/>
    <n v="795"/>
    <n v="456"/>
    <n v="1451"/>
    <n v="103"/>
    <n v="23"/>
    <s v="0.99"/>
  </r>
  <r>
    <n v="15204"/>
    <x v="501"/>
    <s v="Arek Nawojski"/>
    <x v="4"/>
    <x v="17"/>
    <s v="Anonymo"/>
    <s v="Anonymo, Virtus.pro, PACT, Illuminar"/>
    <n v="15239"/>
    <n v="15404"/>
    <x v="97"/>
    <n v="77"/>
    <s v="3.7"/>
    <n v="801"/>
    <n v="21935"/>
    <s v="0.69"/>
    <s v="0.13"/>
    <s v="0.7"/>
    <s v="0.1"/>
    <s v="0.1"/>
    <n v="10292"/>
    <s v="K - D diff."/>
    <n v="2250"/>
    <n v="2516"/>
    <s v="0.89"/>
    <s v="0.99"/>
    <s v="71.10%"/>
    <s v="14.80%"/>
    <n v="11643"/>
    <n v="6571"/>
    <n v="2707"/>
    <n v="824"/>
    <n v="168"/>
    <n v="22"/>
    <n v="11595"/>
    <n v="151"/>
    <n v="728"/>
    <n v="2612"/>
    <n v="154"/>
    <n v="37"/>
    <s v="1.04"/>
  </r>
  <r>
    <n v="12101"/>
    <x v="502"/>
    <s v="Jason Tran"/>
    <x v="16"/>
    <x v="24"/>
    <m/>
    <s v="Ghost, Bee's Money Crew, Recon 5"/>
    <n v="9091"/>
    <n v="9114"/>
    <x v="230"/>
    <s v="74.8"/>
    <s v="3.1"/>
    <n v="498"/>
    <n v="13218"/>
    <s v="0.69"/>
    <s v="0.13"/>
    <s v="0.69"/>
    <s v="0.11"/>
    <s v="0.1"/>
    <n v="6161"/>
    <s v="K - D diff."/>
    <n v="1265"/>
    <n v="1345"/>
    <s v="0.94"/>
    <s v="0.98"/>
    <s v="73.50%"/>
    <s v="13.60%"/>
    <n v="7057"/>
    <n v="3931"/>
    <n v="1647"/>
    <n v="473"/>
    <n v="103"/>
    <n v="7"/>
    <n v="6353"/>
    <n v="209"/>
    <n v="717"/>
    <n v="1660"/>
    <n v="85"/>
    <n v="99"/>
    <s v="1.04"/>
  </r>
  <r>
    <n v="5373"/>
    <x v="503"/>
    <s v="Jerry RÃ¥berg"/>
    <x v="11"/>
    <x v="29"/>
    <s v="Lemondogs"/>
    <s v="Lemondogs, Epsilon, AliGon"/>
    <n v="7960"/>
    <n v="7968"/>
    <x v="225"/>
    <s v="76.7"/>
    <s v="5.8"/>
    <n v="438"/>
    <n v="11568"/>
    <s v="0.69"/>
    <s v="0.15"/>
    <s v="0.69"/>
    <s v="0.08"/>
    <s v="0.08"/>
    <n v="5372"/>
    <s v="K - D diff."/>
    <n v="1017"/>
    <n v="1145"/>
    <s v="0.89"/>
    <s v="0.94"/>
    <s v="75.50%"/>
    <s v="13.10%"/>
    <n v="6196"/>
    <n v="3398"/>
    <n v="1469"/>
    <n v="415"/>
    <n v="86"/>
    <n v="4"/>
    <n v="5423"/>
    <n v="226"/>
    <n v="538"/>
    <n v="1531"/>
    <n v="170"/>
    <n v="77"/>
    <s v="0.99"/>
  </r>
  <r>
    <n v="9103"/>
    <x v="504"/>
    <s v="Daniel Urbani"/>
    <x v="3"/>
    <x v="15"/>
    <m/>
    <s v="Paradox, Corvidae"/>
    <n v="11278"/>
    <n v="11140"/>
    <x v="103"/>
    <s v="73.3"/>
    <s v="4.3"/>
    <n v="647"/>
    <n v="16903"/>
    <s v="0.67"/>
    <s v="0.13"/>
    <s v="0.66"/>
    <s v="0.09"/>
    <s v="0.1"/>
    <n v="7721"/>
    <s v="K - D diff."/>
    <n v="1242"/>
    <n v="1270"/>
    <s v="0.98"/>
    <s v="0.91"/>
    <s v="70.90%"/>
    <s v="10.40%"/>
    <n v="9182"/>
    <n v="5016"/>
    <n v="1999"/>
    <n v="571"/>
    <n v="124"/>
    <n v="11"/>
    <n v="8085"/>
    <n v="166"/>
    <n v="895"/>
    <n v="1966"/>
    <n v="170"/>
    <n v="24"/>
    <s v="0.99"/>
  </r>
  <r>
    <n v="8396"/>
    <x v="505"/>
    <s v="Benjamin SÃ¶derena"/>
    <x v="5"/>
    <x v="29"/>
    <s v="Deportivo"/>
    <s v="Singularity, DenDD"/>
    <n v="16055"/>
    <n v="15918"/>
    <x v="58"/>
    <s v="75.4"/>
    <s v="5.3"/>
    <n v="878"/>
    <n v="23318"/>
    <s v="0.69"/>
    <s v="0.14"/>
    <s v="0.68"/>
    <s v="0.1"/>
    <s v="0.1"/>
    <n v="10999"/>
    <s v="K - D diff."/>
    <n v="2352"/>
    <n v="2005"/>
    <s v="1.17"/>
    <s v="1.03"/>
    <s v="74.70%"/>
    <s v="15.20%"/>
    <n v="12319"/>
    <n v="7080"/>
    <n v="2953"/>
    <n v="811"/>
    <n v="144"/>
    <n v="11"/>
    <n v="6621"/>
    <n v="5144"/>
    <n v="729"/>
    <n v="3233"/>
    <n v="340"/>
    <n v="10"/>
    <s v="0.99"/>
  </r>
  <r>
    <n v="19823"/>
    <x v="506"/>
    <s v="SuleÄ±men Orazaly"/>
    <x v="5"/>
    <x v="42"/>
    <s v="Unique"/>
    <s v="Unique, 100PG"/>
    <n v="7230"/>
    <n v="7347"/>
    <x v="131"/>
    <s v="77.5"/>
    <s v="3.9"/>
    <n v="381"/>
    <n v="10223"/>
    <s v="0.71"/>
    <s v="0.12"/>
    <s v="0.72"/>
    <s v="0.11"/>
    <s v="0.1"/>
    <n v="4851"/>
    <s v="K - D diff."/>
    <n v="1282"/>
    <n v="1468"/>
    <s v="0.87"/>
    <s v="1.05"/>
    <s v="69.00%"/>
    <s v="17.50%"/>
    <n v="5372"/>
    <n v="3027"/>
    <n v="1356"/>
    <n v="389"/>
    <n v="71"/>
    <n v="8"/>
    <n v="5458"/>
    <n v="138"/>
    <n v="383"/>
    <n v="1191"/>
    <n v="59"/>
    <n v="21"/>
    <s v="1.05"/>
  </r>
  <r>
    <n v="9221"/>
    <x v="507"/>
    <s v="Roberto Themtham"/>
    <x v="14"/>
    <x v="38"/>
    <s v="Leviatan"/>
    <s v="Leviatan, Isurus"/>
    <n v="10944"/>
    <n v="10827"/>
    <x v="256"/>
    <s v="75.5"/>
    <s v="4.5"/>
    <n v="619"/>
    <n v="16203"/>
    <s v="0.68"/>
    <s v="0.14"/>
    <s v="0.67"/>
    <s v="0.1"/>
    <s v="0.1"/>
    <n v="7500"/>
    <s v="K - D diff."/>
    <n v="1539"/>
    <n v="1502"/>
    <s v="1.02"/>
    <s v="0.99"/>
    <s v="73.80%"/>
    <s v="13.60%"/>
    <n v="8703"/>
    <n v="4870"/>
    <n v="1938"/>
    <n v="579"/>
    <n v="104"/>
    <n v="9"/>
    <n v="7428"/>
    <n v="556"/>
    <n v="923"/>
    <n v="1903"/>
    <n v="143"/>
    <n v="17"/>
    <s v="0.99"/>
  </r>
  <r>
    <n v="4726"/>
    <x v="508"/>
    <s v="Costin VrÃ®nceanu"/>
    <x v="3"/>
    <x v="16"/>
    <m/>
    <s v="Nexus"/>
    <n v="8103"/>
    <n v="7920"/>
    <x v="257"/>
    <s v="73.7"/>
    <s v="2.9"/>
    <n v="472"/>
    <n v="12125"/>
    <s v="0.67"/>
    <s v="0.14"/>
    <s v="0.65"/>
    <s v="0.09"/>
    <s v="0.11"/>
    <n v="5590"/>
    <s v="K - D diff."/>
    <n v="1133"/>
    <n v="1043"/>
    <s v="1.09"/>
    <s v="0.99"/>
    <s v="74.80%"/>
    <s v="13.20%"/>
    <n v="6535"/>
    <n v="3622"/>
    <n v="1505"/>
    <n v="383"/>
    <n v="78"/>
    <n v="2"/>
    <n v="4508"/>
    <n v="1494"/>
    <n v="451"/>
    <n v="1551"/>
    <n v="103"/>
    <n v="14"/>
    <s v="0.99"/>
  </r>
  <r>
    <n v="44"/>
    <x v="509"/>
    <s v="AndrÃ© MÃ¶ller"/>
    <x v="15"/>
    <x v="29"/>
    <m/>
    <s v="Epsilon, x6tence Galaxy, Singularity"/>
    <n v="15776"/>
    <n v="15796"/>
    <x v="258"/>
    <s v="74.8"/>
    <s v="3.9"/>
    <n v="876"/>
    <n v="23180"/>
    <s v="0.68"/>
    <s v="0.13"/>
    <s v="0.68"/>
    <s v="0.09"/>
    <s v="0.09"/>
    <n v="10702"/>
    <s v="K - D diff."/>
    <n v="2510"/>
    <n v="2507"/>
    <n v="1"/>
    <s v="1.03"/>
    <s v="72.80%"/>
    <s v="15.60%"/>
    <n v="12478"/>
    <n v="6854"/>
    <n v="2826"/>
    <n v="840"/>
    <n v="165"/>
    <n v="17"/>
    <n v="8303"/>
    <n v="2784"/>
    <n v="1510"/>
    <n v="2938"/>
    <n v="198"/>
    <n v="66"/>
    <s v="0.99"/>
  </r>
  <r>
    <n v="12822"/>
    <x v="510"/>
    <s v="Vinicius Figueiredo"/>
    <x v="6"/>
    <x v="3"/>
    <s v="Imperial"/>
    <s v="FURIA"/>
    <n v="17335"/>
    <n v="17355"/>
    <x v="64"/>
    <s v="73.6"/>
    <s v="4.2"/>
    <n v="1000"/>
    <n v="26088"/>
    <s v="0.66"/>
    <s v="0.13"/>
    <s v="0.67"/>
    <s v="0.1"/>
    <s v="0.09"/>
    <n v="11683"/>
    <s v="K - D diff."/>
    <n v="2426"/>
    <n v="2608"/>
    <s v="0.93"/>
    <s v="0.97"/>
    <s v="74.50%"/>
    <s v="12.80%"/>
    <n v="14405"/>
    <n v="7448"/>
    <n v="3044"/>
    <n v="982"/>
    <n v="192"/>
    <n v="17"/>
    <n v="13254"/>
    <n v="248"/>
    <n v="810"/>
    <n v="2726"/>
    <n v="211"/>
    <n v="145"/>
    <s v="1.04"/>
  </r>
  <r>
    <n v="19190"/>
    <x v="511"/>
    <s v="Benson Niuila"/>
    <x v="6"/>
    <x v="15"/>
    <m/>
    <s v="Looking For Org, Dire Wolves"/>
    <n v="6567"/>
    <n v="6403"/>
    <x v="241"/>
    <s v="73.9"/>
    <s v="5.9"/>
    <n v="395"/>
    <n v="9991"/>
    <s v="0.66"/>
    <s v="0.15"/>
    <s v="0.64"/>
    <s v="0.12"/>
    <s v="0.1"/>
    <n v="4549"/>
    <s v="K - D diff."/>
    <n v="923"/>
    <n v="930"/>
    <s v="0.99"/>
    <s v="0.97"/>
    <s v="72.20%"/>
    <s v="12.80%"/>
    <n v="5442"/>
    <n v="2990"/>
    <n v="1175"/>
    <n v="316"/>
    <n v="61"/>
    <n v="7"/>
    <n v="4708"/>
    <n v="240"/>
    <n v="516"/>
    <n v="953"/>
    <n v="148"/>
    <n v="33"/>
    <s v="1.07"/>
  </r>
  <r>
    <n v="8324"/>
    <x v="512"/>
    <s v="Piotr Taterka"/>
    <x v="3"/>
    <x v="17"/>
    <s v="Illuminar"/>
    <s v="PRIDE, Virtus.pro"/>
    <n v="20053"/>
    <n v="20255"/>
    <x v="19"/>
    <n v="77"/>
    <s v="3.3"/>
    <n v="1087"/>
    <n v="28887"/>
    <s v="0.69"/>
    <s v="0.13"/>
    <s v="0.7"/>
    <s v="0.09"/>
    <s v="0.09"/>
    <n v="13583"/>
    <s v="K - D diff."/>
    <n v="3044"/>
    <n v="3255"/>
    <s v="0.94"/>
    <s v="1.01"/>
    <s v="72.00%"/>
    <s v="15.20%"/>
    <n v="15304"/>
    <n v="8679"/>
    <n v="3586"/>
    <n v="1089"/>
    <n v="210"/>
    <n v="19"/>
    <n v="14370"/>
    <n v="521"/>
    <n v="1144"/>
    <n v="3680"/>
    <n v="270"/>
    <n v="88"/>
    <s v="0.99"/>
  </r>
  <r>
    <n v="12781"/>
    <x v="513"/>
    <s v="Nils Gruhne"/>
    <x v="6"/>
    <x v="32"/>
    <s v="BIG Academy"/>
    <s v="BIG, ALTERNATE aTTaX, Sprout"/>
    <n v="23197"/>
    <n v="23538"/>
    <x v="249"/>
    <s v="74.9"/>
    <s v="4.6"/>
    <n v="1275"/>
    <n v="33907"/>
    <s v="0.68"/>
    <s v="0.12"/>
    <s v="0.69"/>
    <s v="0.1"/>
    <s v="0.09"/>
    <n v="15639"/>
    <s v="K - D diff."/>
    <n v="3624"/>
    <n v="4031"/>
    <s v="0.9"/>
    <n v="1"/>
    <s v="74.10%"/>
    <s v="15.20%"/>
    <n v="18268"/>
    <n v="10036"/>
    <n v="4001"/>
    <n v="1278"/>
    <n v="295"/>
    <n v="29"/>
    <n v="16115"/>
    <n v="1385"/>
    <n v="1033"/>
    <n v="4327"/>
    <n v="273"/>
    <n v="117"/>
    <s v="1.04"/>
  </r>
  <r>
    <n v="9903"/>
    <x v="514"/>
    <s v="Anton Pedersen"/>
    <x v="4"/>
    <x v="9"/>
    <s v="MASONIC"/>
    <s v="MASONIC, Singularity, OPAA"/>
    <n v="8207"/>
    <n v="8167"/>
    <x v="27"/>
    <n v="74"/>
    <n v="5"/>
    <n v="462"/>
    <n v="12321"/>
    <s v="0.67"/>
    <s v="0.14"/>
    <s v="0.66"/>
    <s v="0.11"/>
    <s v="0.11"/>
    <n v="5585"/>
    <s v="K - D diff."/>
    <n v="1037"/>
    <n v="1152"/>
    <s v="0.9"/>
    <s v="0.93"/>
    <s v="70.40%"/>
    <s v="12.00%"/>
    <n v="6736"/>
    <n v="3605"/>
    <n v="1439"/>
    <n v="446"/>
    <n v="89"/>
    <n v="6"/>
    <n v="5683"/>
    <n v="136"/>
    <n v="795"/>
    <n v="1484"/>
    <n v="96"/>
    <n v="33"/>
    <s v="0.99"/>
  </r>
  <r>
    <n v="17553"/>
    <x v="515"/>
    <s v="Matheus Panisset"/>
    <x v="4"/>
    <x v="3"/>
    <s v="TeamOne"/>
    <s v="TeamOne, RED Canids"/>
    <n v="11119"/>
    <n v="11328"/>
    <x v="217"/>
    <s v="76.9"/>
    <s v="6.3"/>
    <n v="616"/>
    <n v="16090"/>
    <s v="0.69"/>
    <s v="0.14"/>
    <s v="0.7"/>
    <s v="0.1"/>
    <s v="0.09"/>
    <n v="7452"/>
    <s v="K - D diff."/>
    <n v="1566"/>
    <n v="1717"/>
    <s v="0.91"/>
    <s v="0.98"/>
    <s v="71.80%"/>
    <s v="14.00%"/>
    <n v="8638"/>
    <n v="4698"/>
    <n v="1994"/>
    <n v="620"/>
    <n v="127"/>
    <n v="13"/>
    <n v="8235"/>
    <n v="267"/>
    <n v="505"/>
    <n v="1901"/>
    <n v="196"/>
    <n v="40"/>
    <s v="1.04"/>
  </r>
  <r>
    <n v="16495"/>
    <x v="516"/>
    <s v="KornÃ©l SzedlÃ¡r"/>
    <x v="1"/>
    <x v="8"/>
    <s v="Sangal"/>
    <s v="Sangal, Budapest Five, Salamander"/>
    <n v="9068"/>
    <n v="9143"/>
    <x v="203"/>
    <s v="77.3"/>
    <s v="4.4"/>
    <n v="489"/>
    <n v="13011"/>
    <s v="0.7"/>
    <s v="0.14"/>
    <s v="0.7"/>
    <s v="0.11"/>
    <s v="0.12"/>
    <n v="6166"/>
    <s v="K - D diff."/>
    <n v="1594"/>
    <n v="1607"/>
    <s v="0.99"/>
    <s v="1.07"/>
    <s v="68.30%"/>
    <s v="17.00%"/>
    <n v="6845"/>
    <n v="3940"/>
    <n v="1664"/>
    <n v="459"/>
    <n v="92"/>
    <n v="11"/>
    <n v="6517"/>
    <n v="435"/>
    <n v="385"/>
    <n v="1628"/>
    <n v="108"/>
    <n v="30"/>
    <s v="1.06"/>
  </r>
  <r>
    <n v="19232"/>
    <x v="517"/>
    <s v="Nikita Panyushkin"/>
    <x v="6"/>
    <x v="2"/>
    <m/>
    <s v="HellRaisers, bankaPEPSI"/>
    <n v="10080"/>
    <n v="10371"/>
    <x v="126"/>
    <s v="79.2"/>
    <s v="4.4"/>
    <n v="523"/>
    <n v="14183"/>
    <s v="0.71"/>
    <s v="0.14"/>
    <s v="0.73"/>
    <s v="0.1"/>
    <s v="0.1"/>
    <n v="6731"/>
    <s v="K - D diff."/>
    <n v="1765"/>
    <n v="1889"/>
    <s v="0.93"/>
    <s v="1.07"/>
    <s v="71.20%"/>
    <s v="18.00%"/>
    <n v="7452"/>
    <n v="4219"/>
    <n v="1802"/>
    <n v="590"/>
    <n v="113"/>
    <n v="7"/>
    <n v="7797"/>
    <n v="93"/>
    <n v="343"/>
    <n v="1735"/>
    <n v="112"/>
    <n v="33"/>
    <s v="1.05"/>
  </r>
  <r>
    <n v="339"/>
    <x v="518"/>
    <s v="Kirill Karasiow"/>
    <x v="15"/>
    <x v="1"/>
    <m/>
    <s v="HellRaisers"/>
    <n v="31392"/>
    <n v="32077"/>
    <x v="51"/>
    <s v="80.1"/>
    <n v="5"/>
    <n v="1728"/>
    <n v="45027"/>
    <s v="0.7"/>
    <s v="0.17"/>
    <s v="0.71"/>
    <s v="0.1"/>
    <s v="0.07"/>
    <n v="20977"/>
    <s v="K - D diff."/>
    <n v="6016"/>
    <n v="6382"/>
    <s v="0.94"/>
    <s v="1.1"/>
    <s v="72.80%"/>
    <s v="19.00%"/>
    <n v="24050"/>
    <n v="13183"/>
    <n v="5668"/>
    <n v="1738"/>
    <n v="336"/>
    <n v="52"/>
    <n v="23022"/>
    <n v="702"/>
    <n v="1724"/>
    <n v="5467"/>
    <n v="437"/>
    <n v="62"/>
    <s v="0.99"/>
  </r>
  <r>
    <n v="10372"/>
    <x v="519"/>
    <s v="Jake McDonald"/>
    <x v="4"/>
    <x v="24"/>
    <m/>
    <s v="Selfless, Vision"/>
    <n v="10006"/>
    <n v="10311"/>
    <x v="259"/>
    <s v="76.1"/>
    <s v="2.4"/>
    <n v="549"/>
    <n v="14235"/>
    <s v="0.7"/>
    <s v="0.12"/>
    <s v="0.72"/>
    <s v="0.11"/>
    <s v="0.11"/>
    <n v="6668"/>
    <s v="K - D diff."/>
    <n v="1561"/>
    <n v="1756"/>
    <s v="0.89"/>
    <s v="1.01"/>
    <s v="72.30%"/>
    <s v="16.10%"/>
    <n v="7567"/>
    <n v="4184"/>
    <n v="1777"/>
    <n v="575"/>
    <n v="117"/>
    <n v="15"/>
    <n v="7189"/>
    <n v="271"/>
    <n v="625"/>
    <n v="1836"/>
    <n v="74"/>
    <n v="31"/>
    <s v="0.99"/>
  </r>
  <r>
    <n v="8726"/>
    <x v="520"/>
    <s v="Dmitriy Alekseyev"/>
    <x v="3"/>
    <x v="2"/>
    <s v="KJlACCHblE"/>
    <s v="forZe, PiTER"/>
    <n v="31491"/>
    <n v="32214"/>
    <x v="156"/>
    <s v="77.6"/>
    <s v="3.2"/>
    <n v="1693"/>
    <n v="45193"/>
    <s v="0.7"/>
    <s v="0.14"/>
    <s v="0.71"/>
    <s v="0.1"/>
    <s v="0.09"/>
    <n v="21030"/>
    <s v="K - D diff."/>
    <n v="5106"/>
    <n v="5822"/>
    <s v="0.88"/>
    <s v="1.02"/>
    <s v="72.80%"/>
    <s v="16.00%"/>
    <n v="24163"/>
    <n v="13156"/>
    <n v="5718"/>
    <n v="1763"/>
    <n v="363"/>
    <n v="30"/>
    <n v="22076"/>
    <n v="288"/>
    <n v="3176"/>
    <n v="5370"/>
    <n v="319"/>
    <n v="339"/>
    <s v="0.99"/>
  </r>
  <r>
    <n v="8125"/>
    <x v="521"/>
    <s v="Dmitriy Bandurka"/>
    <x v="2"/>
    <x v="2"/>
    <m/>
    <s v="Spirit, Espada"/>
    <n v="23864"/>
    <n v="24414"/>
    <x v="126"/>
    <s v="77.3"/>
    <n v="4"/>
    <n v="1315"/>
    <n v="34605"/>
    <s v="0.69"/>
    <s v="0.14"/>
    <s v="0.71"/>
    <s v="0.11"/>
    <s v="0.1"/>
    <n v="15984"/>
    <s v="K - D diff."/>
    <n v="4185"/>
    <n v="4566"/>
    <s v="0.92"/>
    <s v="1.05"/>
    <s v="71.80%"/>
    <s v="16.90%"/>
    <n v="18621"/>
    <n v="10133"/>
    <n v="4180"/>
    <n v="1343"/>
    <n v="298"/>
    <n v="30"/>
    <n v="18597"/>
    <n v="225"/>
    <n v="776"/>
    <n v="3982"/>
    <n v="269"/>
    <n v="54"/>
    <s v="0.99"/>
  </r>
  <r>
    <n v="9130"/>
    <x v="522"/>
    <s v="Taylor Johnson"/>
    <x v="1"/>
    <x v="24"/>
    <m/>
    <s v="Splyce, Envy"/>
    <n v="8164"/>
    <n v="8332"/>
    <x v="247"/>
    <s v="75.2"/>
    <s v="3.9"/>
    <n v="454"/>
    <n v="11841"/>
    <s v="0.69"/>
    <s v="0.13"/>
    <s v="0.7"/>
    <s v="0.12"/>
    <s v="0.11"/>
    <n v="5472"/>
    <s v="K - D diff."/>
    <n v="1188"/>
    <n v="1484"/>
    <s v="0.8"/>
    <s v="0.96"/>
    <s v="71.10%"/>
    <s v="14.50%"/>
    <n v="6369"/>
    <n v="3454"/>
    <n v="1458"/>
    <n v="461"/>
    <n v="84"/>
    <n v="15"/>
    <n v="6059"/>
    <n v="84"/>
    <n v="346"/>
    <n v="1573"/>
    <n v="80"/>
    <n v="32"/>
    <s v="0.99"/>
  </r>
  <r>
    <n v="19733"/>
    <x v="523"/>
    <s v="Sergiy Demchenko"/>
    <x v="0"/>
    <x v="1"/>
    <s v="B8"/>
    <s v="B8, CR4ZY, Akuma, Project X"/>
    <n v="7138"/>
    <n v="7124"/>
    <x v="260"/>
    <s v="76.9"/>
    <s v="5.6"/>
    <n v="400"/>
    <n v="10507"/>
    <s v="0.68"/>
    <s v="0.14"/>
    <s v="0.68"/>
    <s v="0.1"/>
    <s v="0.09"/>
    <n v="4894"/>
    <s v="K - D diff."/>
    <n v="1262"/>
    <n v="1230"/>
    <s v="1.03"/>
    <s v="1.07"/>
    <s v="72.60%"/>
    <s v="17.20%"/>
    <n v="5613"/>
    <n v="3179"/>
    <n v="1269"/>
    <n v="370"/>
    <n v="69"/>
    <n v="7"/>
    <n v="5104"/>
    <n v="479"/>
    <n v="300"/>
    <n v="1144"/>
    <n v="99"/>
    <n v="54"/>
    <s v="1.07"/>
  </r>
  <r>
    <n v="2241"/>
    <x v="524"/>
    <s v="Ricardo Oliveira"/>
    <x v="14"/>
    <x v="48"/>
    <s v="SAW"/>
    <s v="SAW, k1ck, Giants"/>
    <n v="20149"/>
    <n v="20180"/>
    <x v="92"/>
    <s v="74.3"/>
    <s v="3.6"/>
    <n v="1129"/>
    <n v="29540"/>
    <s v="0.68"/>
    <s v="0.13"/>
    <s v="0.68"/>
    <s v="0.1"/>
    <s v="0.11"/>
    <n v="13745"/>
    <s v="K - D diff."/>
    <n v="2813"/>
    <n v="2563"/>
    <s v="1.1"/>
    <n v="1"/>
    <s v="74.20%"/>
    <s v="14.10%"/>
    <n v="15795"/>
    <n v="8857"/>
    <n v="3619"/>
    <n v="1055"/>
    <n v="194"/>
    <n v="20"/>
    <n v="15379"/>
    <n v="435"/>
    <n v="878"/>
    <n v="3245"/>
    <n v="181"/>
    <n v="79"/>
    <s v="0.99"/>
  </r>
  <r>
    <n v="735"/>
    <x v="525"/>
    <s v="Mihail Stolyarov"/>
    <x v="12"/>
    <x v="2"/>
    <m/>
    <s v="Gambit, HellRaisers"/>
    <n v="25227"/>
    <n v="24934"/>
    <x v="164"/>
    <s v="73.9"/>
    <s v="5.5"/>
    <n v="1431"/>
    <n v="37517"/>
    <s v="0.67"/>
    <s v="0.15"/>
    <s v="0.66"/>
    <s v="0.08"/>
    <s v="0.08"/>
    <n v="17280"/>
    <s v="K - D diff."/>
    <n v="3038"/>
    <n v="3334"/>
    <s v="0.91"/>
    <s v="0.92"/>
    <s v="75.90%"/>
    <s v="12.00%"/>
    <n v="20237"/>
    <n v="11221"/>
    <n v="4513"/>
    <n v="1310"/>
    <n v="219"/>
    <n v="17"/>
    <n v="17977"/>
    <n v="646"/>
    <n v="1717"/>
    <n v="4404"/>
    <n v="406"/>
    <n v="102"/>
    <s v="0.99"/>
  </r>
  <r>
    <n v="12089"/>
    <x v="526"/>
    <s v="Anthony Malaspina"/>
    <x v="6"/>
    <x v="24"/>
    <m/>
    <s v="Chaos, eUnited, Gorilla Gang"/>
    <n v="10461"/>
    <n v="10381"/>
    <x v="82"/>
    <n v="74"/>
    <s v="4.6"/>
    <n v="609"/>
    <n v="15688"/>
    <s v="0.67"/>
    <s v="0.13"/>
    <s v="0.66"/>
    <s v="0.1"/>
    <s v="0.09"/>
    <n v="7175"/>
    <s v="K - D diff."/>
    <n v="1741"/>
    <n v="1661"/>
    <s v="1.05"/>
    <s v="1.05"/>
    <s v="74.90%"/>
    <s v="15.60%"/>
    <n v="8513"/>
    <n v="4662"/>
    <n v="1865"/>
    <n v="532"/>
    <n v="107"/>
    <n v="9"/>
    <n v="5631"/>
    <n v="1891"/>
    <n v="811"/>
    <n v="1902"/>
    <n v="168"/>
    <n v="84"/>
    <s v="1.06"/>
  </r>
  <r>
    <n v="9291"/>
    <x v="527"/>
    <s v="Kristaps Bricis"/>
    <x v="1"/>
    <x v="39"/>
    <s v="Wolsung"/>
    <s v="Wolsung, EPG"/>
    <n v="7065"/>
    <n v="7067"/>
    <x v="27"/>
    <s v="74.1"/>
    <s v="3.2"/>
    <n v="399"/>
    <n v="10544"/>
    <s v="0.67"/>
    <s v="0.14"/>
    <s v="0.67"/>
    <s v="0.1"/>
    <s v="0.12"/>
    <n v="4819"/>
    <s v="K - D diff."/>
    <n v="799"/>
    <n v="811"/>
    <s v="0.99"/>
    <s v="0.92"/>
    <s v="75.10%"/>
    <s v="11.30%"/>
    <n v="5725"/>
    <n v="3131"/>
    <n v="1214"/>
    <n v="396"/>
    <n v="72"/>
    <n v="6"/>
    <n v="5342"/>
    <n v="80"/>
    <n v="314"/>
    <n v="1274"/>
    <n v="61"/>
    <n v="13"/>
    <s v="0.99"/>
  </r>
  <r>
    <n v="10052"/>
    <x v="528"/>
    <s v="Bektiyar Bahytov"/>
    <x v="14"/>
    <x v="42"/>
    <s v="Golden Knights"/>
    <s v="AVANGAR, Tengri, Gambit"/>
    <n v="10410"/>
    <n v="10620"/>
    <x v="222"/>
    <s v="77.9"/>
    <s v="4.9"/>
    <n v="574"/>
    <n v="15207"/>
    <s v="0.68"/>
    <s v="0.15"/>
    <s v="0.7"/>
    <s v="0.09"/>
    <s v="0.08"/>
    <n v="6993"/>
    <s v="K - D diff."/>
    <n v="1682"/>
    <n v="1764"/>
    <s v="0.95"/>
    <s v="1.03"/>
    <s v="74.10%"/>
    <s v="15.50%"/>
    <n v="8214"/>
    <n v="4443"/>
    <n v="1835"/>
    <n v="575"/>
    <n v="128"/>
    <n v="12"/>
    <n v="7718"/>
    <n v="90"/>
    <n v="660"/>
    <n v="1804"/>
    <n v="119"/>
    <n v="37"/>
    <s v="0.99"/>
  </r>
  <r>
    <n v="13093"/>
    <x v="529"/>
    <s v="RaÃºl JordÃ¡n Nieto"/>
    <x v="5"/>
    <x v="30"/>
    <s v="Movistar Riders"/>
    <s v="Movistar Riders"/>
    <n v="9366"/>
    <n v="9282"/>
    <x v="72"/>
    <s v="73.9"/>
    <s v="3.6"/>
    <n v="533"/>
    <n v="14222"/>
    <s v="0.66"/>
    <s v="0.13"/>
    <s v="0.65"/>
    <s v="0.09"/>
    <s v="0.1"/>
    <n v="6423"/>
    <s v="K - D diff."/>
    <n v="1027"/>
    <n v="1068"/>
    <s v="0.96"/>
    <s v="0.9"/>
    <s v="70.80%"/>
    <s v="10.20%"/>
    <n v="7799"/>
    <n v="4181"/>
    <n v="1659"/>
    <n v="477"/>
    <n v="94"/>
    <n v="12"/>
    <n v="6986"/>
    <n v="127"/>
    <n v="557"/>
    <n v="1605"/>
    <n v="92"/>
    <n v="32"/>
    <s v="1.03"/>
  </r>
  <r>
    <n v="8875"/>
    <x v="530"/>
    <s v="Nicklas Gade"/>
    <x v="2"/>
    <x v="9"/>
    <s v="BIG"/>
    <s v="North, North Academy, OpTic"/>
    <n v="16756"/>
    <n v="16884"/>
    <x v="129"/>
    <s v="72.5"/>
    <s v="3.6"/>
    <n v="964"/>
    <n v="25326"/>
    <s v="0.66"/>
    <s v="0.12"/>
    <s v="0.67"/>
    <s v="0.1"/>
    <s v="0.1"/>
    <n v="11274"/>
    <s v="K - D diff."/>
    <n v="2370"/>
    <n v="2666"/>
    <s v="0.89"/>
    <s v="0.96"/>
    <s v="73.20%"/>
    <s v="13.50%"/>
    <n v="14052"/>
    <n v="7151"/>
    <n v="2994"/>
    <n v="922"/>
    <n v="185"/>
    <n v="22"/>
    <n v="12899"/>
    <n v="96"/>
    <n v="888"/>
    <n v="2648"/>
    <n v="193"/>
    <n v="63"/>
    <s v="0.99"/>
  </r>
  <r>
    <n v="12102"/>
    <x v="531"/>
    <s v="Jonathan Dallal"/>
    <x v="11"/>
    <x v="27"/>
    <s v="EG.PA"/>
    <s v="Party Astronauts, New England Whalers"/>
    <n v="14838"/>
    <n v="14900"/>
    <x v="179"/>
    <s v="74.7"/>
    <n v="4"/>
    <n v="844"/>
    <n v="21818"/>
    <s v="0.68"/>
    <s v="0.14"/>
    <s v="0.68"/>
    <s v="0.11"/>
    <s v="0.11"/>
    <n v="10153"/>
    <s v="K - D diff."/>
    <n v="1916"/>
    <n v="1934"/>
    <s v="0.99"/>
    <s v="0.96"/>
    <s v="73.20%"/>
    <s v="12.60%"/>
    <n v="11665"/>
    <n v="6606"/>
    <n v="2593"/>
    <n v="788"/>
    <n v="148"/>
    <n v="18"/>
    <n v="10815"/>
    <n v="260"/>
    <n v="865"/>
    <n v="2643"/>
    <n v="177"/>
    <n v="139"/>
    <s v="1.04"/>
  </r>
  <r>
    <n v="7529"/>
    <x v="532"/>
    <s v="Saku Jokinen"/>
    <x v="5"/>
    <x v="23"/>
    <m/>
    <s v="iGame.com, RCTIC, LGR"/>
    <n v="9723"/>
    <n v="9954"/>
    <x v="261"/>
    <s v="75.4"/>
    <s v="4.6"/>
    <n v="540"/>
    <n v="14097"/>
    <s v="0.69"/>
    <s v="0.15"/>
    <s v="0.71"/>
    <s v="0.11"/>
    <s v="0.1"/>
    <n v="6493"/>
    <s v="K - D diff."/>
    <n v="1492"/>
    <n v="1586"/>
    <s v="0.94"/>
    <s v="1.01"/>
    <s v="74.80%"/>
    <s v="15.60%"/>
    <n v="7604"/>
    <n v="4065"/>
    <n v="1749"/>
    <n v="573"/>
    <n v="94"/>
    <n v="12"/>
    <n v="7165"/>
    <n v="121"/>
    <n v="418"/>
    <n v="1840"/>
    <n v="140"/>
    <n v="47"/>
    <s v="0.99"/>
  </r>
  <r>
    <n v="7965"/>
    <x v="533"/>
    <s v="Sebastian Larsen"/>
    <x v="8"/>
    <x v="9"/>
    <s v="Tricked"/>
    <s v="Tricked, Movistar Riders"/>
    <n v="10597"/>
    <n v="10456"/>
    <x v="262"/>
    <n v="70"/>
    <s v="4.2"/>
    <n v="607"/>
    <n v="16049"/>
    <s v="0.66"/>
    <s v="0.1"/>
    <s v="0.65"/>
    <s v="0.09"/>
    <s v="0.07"/>
    <n v="7364"/>
    <s v="K - D diff."/>
    <n v="1905"/>
    <n v="1487"/>
    <s v="1.28"/>
    <s v="1.11"/>
    <s v="71.80%"/>
    <s v="17.50%"/>
    <n v="8685"/>
    <n v="4903"/>
    <n v="1836"/>
    <n v="494"/>
    <n v="115"/>
    <n v="16"/>
    <n v="2537"/>
    <n v="5796"/>
    <n v="328"/>
    <n v="1785"/>
    <n v="143"/>
    <n v="34"/>
    <s v="0.99"/>
  </r>
  <r>
    <n v="2799"/>
    <x v="534"/>
    <s v="Kamen Kostadinov"/>
    <x v="14"/>
    <x v="25"/>
    <s v="SKADE"/>
    <s v="Windigo, E-frag.net, Fiend"/>
    <n v="38738"/>
    <n v="38199"/>
    <x v="196"/>
    <s v="74.2"/>
    <s v="5.1"/>
    <n v="2219"/>
    <n v="58263"/>
    <s v="0.66"/>
    <s v="0.15"/>
    <s v="0.66"/>
    <s v="0.1"/>
    <s v="0.1"/>
    <n v="26821"/>
    <s v="K - D diff."/>
    <n v="5839"/>
    <n v="5883"/>
    <s v="0.99"/>
    <n v="1"/>
    <s v="75.20%"/>
    <s v="14.00%"/>
    <n v="31442"/>
    <n v="17614"/>
    <n v="6930"/>
    <n v="1901"/>
    <n v="334"/>
    <n v="42"/>
    <n v="23031"/>
    <n v="6762"/>
    <n v="1758"/>
    <n v="6438"/>
    <n v="673"/>
    <n v="170"/>
    <s v="0.99"/>
  </r>
  <r>
    <n v="8871"/>
    <x v="535"/>
    <s v="Lucas Pilheden"/>
    <x v="4"/>
    <x v="9"/>
    <m/>
    <s v="Tricked, AGF, Singularity"/>
    <n v="15622"/>
    <n v="15631"/>
    <x v="74"/>
    <s v="72.4"/>
    <n v="3"/>
    <n v="893"/>
    <n v="23437"/>
    <s v="0.67"/>
    <s v="0.13"/>
    <s v="0.67"/>
    <s v="0.12"/>
    <s v="0.12"/>
    <n v="10697"/>
    <s v="K - D diff."/>
    <n v="2058"/>
    <n v="2119"/>
    <s v="0.97"/>
    <s v="0.96"/>
    <s v="73.00%"/>
    <s v="12.60%"/>
    <n v="12740"/>
    <n v="6969"/>
    <n v="2740"/>
    <n v="808"/>
    <n v="152"/>
    <n v="28"/>
    <n v="11597"/>
    <n v="84"/>
    <n v="903"/>
    <n v="2814"/>
    <n v="155"/>
    <n v="117"/>
    <s v="0.99"/>
  </r>
  <r>
    <n v="17956"/>
    <x v="536"/>
    <s v="Jakob Nygaard"/>
    <x v="16"/>
    <x v="9"/>
    <s v="Heroic"/>
    <s v="Copenhagen Flames, Singularity"/>
    <n v="13844"/>
    <n v="13776"/>
    <x v="263"/>
    <s v="71.5"/>
    <s v="4.4"/>
    <n v="775"/>
    <n v="20783"/>
    <s v="0.67"/>
    <s v="0.11"/>
    <s v="0.66"/>
    <s v="0.1"/>
    <s v="0.1"/>
    <n v="9497"/>
    <s v="K - D diff."/>
    <n v="1933"/>
    <n v="2004"/>
    <s v="0.96"/>
    <s v="0.97"/>
    <s v="73.30%"/>
    <s v="13.30%"/>
    <n v="11286"/>
    <n v="6161"/>
    <n v="2480"/>
    <n v="714"/>
    <n v="129"/>
    <n v="13"/>
    <n v="10378"/>
    <n v="287"/>
    <n v="708"/>
    <n v="2304"/>
    <n v="162"/>
    <n v="53"/>
    <s v="1.03"/>
  </r>
  <r>
    <n v="8082"/>
    <x v="537"/>
    <s v="Aaron Ward"/>
    <x v="11"/>
    <x v="15"/>
    <m/>
    <s v="Renegades, 100 Thieves, EXTREMUM"/>
    <n v="19524"/>
    <n v="19699"/>
    <x v="88"/>
    <s v="74.4"/>
    <s v="3.9"/>
    <n v="1093"/>
    <n v="28528"/>
    <s v="0.68"/>
    <s v="0.14"/>
    <s v="0.69"/>
    <s v="0.11"/>
    <s v="0.11"/>
    <n v="13330"/>
    <s v="K - D diff."/>
    <n v="2571"/>
    <n v="2508"/>
    <s v="1.03"/>
    <s v="0.97"/>
    <s v="72.00%"/>
    <s v="12.50%"/>
    <n v="15198"/>
    <n v="8637"/>
    <n v="3423"/>
    <n v="1054"/>
    <n v="201"/>
    <n v="15"/>
    <n v="14216"/>
    <n v="230"/>
    <n v="1736"/>
    <n v="3132"/>
    <n v="196"/>
    <n v="43"/>
    <s v="0.99"/>
  </r>
  <r>
    <n v="12593"/>
    <x v="538"/>
    <s v="Jireh Youakim"/>
    <x v="4"/>
    <x v="15"/>
    <m/>
    <s v="ORDER, Breakaway"/>
    <n v="13525"/>
    <n v="13541"/>
    <x v="264"/>
    <s v="72.9"/>
    <s v="4.6"/>
    <n v="785"/>
    <n v="20383"/>
    <s v="0.66"/>
    <s v="0.13"/>
    <s v="0.66"/>
    <s v="0.1"/>
    <s v="0.08"/>
    <n v="9221"/>
    <s v="K - D diff."/>
    <n v="2052"/>
    <n v="2261"/>
    <s v="0.91"/>
    <s v="0.99"/>
    <s v="76.00%"/>
    <s v="14.30%"/>
    <n v="11162"/>
    <n v="5957"/>
    <n v="2388"/>
    <n v="731"/>
    <n v="126"/>
    <n v="19"/>
    <n v="9485"/>
    <n v="1002"/>
    <n v="786"/>
    <n v="2026"/>
    <n v="177"/>
    <n v="89"/>
    <s v="1.04"/>
  </r>
  <r>
    <n v="13989"/>
    <x v="539"/>
    <s v="Leon Felipe"/>
    <x v="3"/>
    <x v="3"/>
    <m/>
    <s v="W7M"/>
    <n v="7922"/>
    <n v="8076"/>
    <x v="265"/>
    <s v="80.4"/>
    <s v="5.9"/>
    <n v="447"/>
    <n v="11613"/>
    <s v="0.68"/>
    <s v="0.18"/>
    <s v="0.7"/>
    <s v="0.1"/>
    <s v="0.09"/>
    <n v="5354"/>
    <s v="K - D diff."/>
    <n v="1209"/>
    <n v="1371"/>
    <s v="0.88"/>
    <s v="0.99"/>
    <s v="76.70%"/>
    <s v="15.60%"/>
    <n v="6259"/>
    <n v="3448"/>
    <n v="1351"/>
    <n v="455"/>
    <n v="93"/>
    <n v="7"/>
    <n v="5520"/>
    <n v="211"/>
    <n v="686"/>
    <n v="1368"/>
    <n v="143"/>
    <n v="18"/>
    <s v="1.08"/>
  </r>
  <r>
    <n v="8374"/>
    <x v="540"/>
    <s v="Alexandre Pianaro"/>
    <x v="8"/>
    <x v="0"/>
    <s v="HEET"/>
    <s v="G2, DBL PONEY, LDLC"/>
    <n v="23955"/>
    <n v="24183"/>
    <x v="70"/>
    <s v="76.2"/>
    <s v="4.6"/>
    <n v="1341"/>
    <n v="35573"/>
    <s v="0.67"/>
    <s v="0.15"/>
    <s v="0.68"/>
    <s v="0.11"/>
    <s v="0.09"/>
    <n v="16249"/>
    <s v="K - D diff."/>
    <n v="3878"/>
    <n v="4011"/>
    <s v="0.97"/>
    <s v="1.02"/>
    <s v="73.30%"/>
    <s v="15.40%"/>
    <n v="19324"/>
    <n v="10425"/>
    <n v="4265"/>
    <n v="1271"/>
    <n v="262"/>
    <n v="26"/>
    <n v="17736"/>
    <n v="578"/>
    <n v="1285"/>
    <n v="4032"/>
    <n v="296"/>
    <n v="101"/>
    <s v="0.99"/>
  </r>
  <r>
    <n v="9482"/>
    <x v="541"/>
    <s v="Gabriel Schenato"/>
    <x v="5"/>
    <x v="3"/>
    <s v="paiN"/>
    <s v="paiN, Luminosity"/>
    <n v="17653"/>
    <n v="17794"/>
    <x v="220"/>
    <s v="74.9"/>
    <s v="3.9"/>
    <n v="993"/>
    <n v="26075"/>
    <s v="0.68"/>
    <s v="0.13"/>
    <s v="0.68"/>
    <s v="0.1"/>
    <s v="0.1"/>
    <n v="12078"/>
    <s v="K - D diff."/>
    <n v="2961"/>
    <n v="2998"/>
    <s v="0.99"/>
    <s v="1.04"/>
    <s v="73.50%"/>
    <s v="16.10%"/>
    <n v="13997"/>
    <n v="7872"/>
    <n v="3069"/>
    <n v="929"/>
    <n v="184"/>
    <n v="24"/>
    <n v="12889"/>
    <n v="353"/>
    <n v="1246"/>
    <n v="2956"/>
    <n v="217"/>
    <n v="49"/>
    <s v="0.98"/>
  </r>
  <r>
    <n v="10436"/>
    <x v="542"/>
    <s v="Cristian NiÈ›Äƒ"/>
    <x v="1"/>
    <x v="16"/>
    <s v="KTRL"/>
    <s v="Nexus, XPC"/>
    <n v="10081"/>
    <n v="10170"/>
    <x v="157"/>
    <s v="74.4"/>
    <s v="3.1"/>
    <n v="577"/>
    <n v="14992"/>
    <s v="0.67"/>
    <s v="0.14"/>
    <s v="0.68"/>
    <s v="0.1"/>
    <s v="0.1"/>
    <n v="6855"/>
    <s v="K - D diff."/>
    <n v="1197"/>
    <n v="1431"/>
    <s v="0.84"/>
    <s v="0.91"/>
    <s v="73.40%"/>
    <s v="11.30%"/>
    <n v="8137"/>
    <n v="4421"/>
    <n v="1769"/>
    <n v="545"/>
    <n v="113"/>
    <n v="7"/>
    <n v="7001"/>
    <n v="198"/>
    <n v="901"/>
    <n v="1878"/>
    <n v="110"/>
    <n v="18"/>
    <s v="0.98"/>
  </r>
  <r>
    <n v="19705"/>
    <x v="543"/>
    <s v="Connor Sullivan"/>
    <x v="7"/>
    <x v="24"/>
    <s v="EG.CD"/>
    <s v="RBG, Carpe Diem, Kinship"/>
    <n v="8082"/>
    <n v="8123"/>
    <x v="126"/>
    <s v="72.8"/>
    <n v="5"/>
    <n v="454"/>
    <n v="12086"/>
    <s v="0.67"/>
    <s v="0.13"/>
    <s v="0.67"/>
    <s v="0.1"/>
    <s v="0.11"/>
    <n v="5488"/>
    <s v="K - D diff."/>
    <n v="1007"/>
    <n v="1069"/>
    <s v="0.94"/>
    <s v="0.94"/>
    <s v="70.40%"/>
    <s v="11.60%"/>
    <n v="6598"/>
    <n v="3498"/>
    <n v="1484"/>
    <n v="416"/>
    <n v="82"/>
    <n v="8"/>
    <n v="6099"/>
    <n v="62"/>
    <n v="464"/>
    <n v="1344"/>
    <n v="118"/>
    <n v="26"/>
    <s v="1.02"/>
  </r>
  <r>
    <n v="284"/>
    <x v="544"/>
    <s v="Audric Jug"/>
    <x v="14"/>
    <x v="0"/>
    <s v="G2"/>
    <s v="G2, EnVyUs Academy, 3DMAX"/>
    <n v="19495"/>
    <n v="19674"/>
    <x v="266"/>
    <s v="73.8"/>
    <s v="3.3"/>
    <n v="1096"/>
    <n v="29144"/>
    <s v="0.67"/>
    <s v="0.13"/>
    <s v="0.68"/>
    <s v="0.1"/>
    <s v="0.1"/>
    <n v="13213"/>
    <s v="K - D diff."/>
    <n v="3142"/>
    <n v="3362"/>
    <s v="0.93"/>
    <s v="1.01"/>
    <s v="72.90%"/>
    <s v="15.10%"/>
    <n v="15931"/>
    <n v="8461"/>
    <n v="3466"/>
    <n v="1063"/>
    <n v="202"/>
    <n v="21"/>
    <n v="14367"/>
    <n v="256"/>
    <n v="1305"/>
    <n v="3349"/>
    <n v="186"/>
    <n v="91"/>
    <s v="0.98"/>
  </r>
  <r>
    <n v="8508"/>
    <x v="545"/>
    <s v="David Stafford"/>
    <x v="5"/>
    <x v="27"/>
    <m/>
    <s v="Splyce, Mythic"/>
    <n v="14132"/>
    <n v="14426"/>
    <x v="1"/>
    <s v="76.7"/>
    <s v="2.8"/>
    <n v="801"/>
    <n v="20713"/>
    <s v="0.68"/>
    <s v="0.14"/>
    <s v="0.7"/>
    <s v="0.08"/>
    <s v="0.08"/>
    <n v="9545"/>
    <s v="K - D diff."/>
    <n v="1962"/>
    <n v="2163"/>
    <s v="0.91"/>
    <s v="0.97"/>
    <s v="71.40%"/>
    <s v="14.20%"/>
    <n v="11168"/>
    <n v="6118"/>
    <n v="2493"/>
    <n v="742"/>
    <n v="169"/>
    <n v="23"/>
    <n v="8903"/>
    <n v="919"/>
    <n v="1382"/>
    <n v="2508"/>
    <n v="129"/>
    <n v="314"/>
    <s v="0.98"/>
  </r>
  <r>
    <n v="8327"/>
    <x v="546"/>
    <s v="Damian Kislowski"/>
    <x v="2"/>
    <x v="17"/>
    <s v="AGO"/>
    <s v="AGO"/>
    <n v="37890"/>
    <n v="38534"/>
    <x v="133"/>
    <s v="76.2"/>
    <s v="5.2"/>
    <n v="2101"/>
    <n v="55976"/>
    <s v="0.68"/>
    <s v="0.14"/>
    <s v="0.69"/>
    <s v="0.1"/>
    <s v="0.09"/>
    <n v="25598"/>
    <s v="K - D diff."/>
    <n v="6157"/>
    <n v="6666"/>
    <s v="0.92"/>
    <s v="1.02"/>
    <s v="73.40%"/>
    <s v="15.70%"/>
    <n v="30378"/>
    <n v="16343"/>
    <n v="6712"/>
    <n v="2086"/>
    <n v="421"/>
    <n v="36"/>
    <n v="25905"/>
    <n v="2937"/>
    <n v="2130"/>
    <n v="6304"/>
    <n v="611"/>
    <n v="97"/>
    <s v="0.98"/>
  </r>
  <r>
    <n v="13177"/>
    <x v="547"/>
    <s v="Brenden McGrath"/>
    <x v="5"/>
    <x v="24"/>
    <m/>
    <s v="Party Astronauts, Vireo.pro, Divine, AA"/>
    <n v="7396"/>
    <n v="7370"/>
    <x v="190"/>
    <s v="76.2"/>
    <s v="4.3"/>
    <n v="427"/>
    <n v="10968"/>
    <s v="0.67"/>
    <s v="0.13"/>
    <s v="0.67"/>
    <s v="0.1"/>
    <s v="0.1"/>
    <n v="5095"/>
    <s v="K - D diff."/>
    <n v="906"/>
    <n v="901"/>
    <s v="1.01"/>
    <s v="0.94"/>
    <s v="69.50%"/>
    <s v="11.70%"/>
    <n v="5873"/>
    <n v="3300"/>
    <n v="1367"/>
    <n v="358"/>
    <n v="62"/>
    <n v="8"/>
    <n v="5076"/>
    <n v="353"/>
    <n v="498"/>
    <n v="1394"/>
    <n v="82"/>
    <n v="6"/>
    <s v="1.05"/>
  </r>
  <r>
    <n v="884"/>
    <x v="548"/>
    <s v="Richard LandstrÃ¶m"/>
    <x v="9"/>
    <x v="29"/>
    <s v="Heroic"/>
    <s v="NIP, fnatic"/>
    <n v="28491"/>
    <n v="27984"/>
    <x v="90"/>
    <s v="70.4"/>
    <n v="5"/>
    <n v="1665"/>
    <n v="42830"/>
    <s v="0.67"/>
    <s v="0.17"/>
    <s v="0.65"/>
    <s v="0.1"/>
    <s v="0.1"/>
    <n v="19825"/>
    <s v="K - D diff."/>
    <n v="3698"/>
    <n v="3347"/>
    <s v="1.1"/>
    <s v="0.97"/>
    <s v="77.60%"/>
    <s v="12.40%"/>
    <n v="23005"/>
    <n v="13114"/>
    <n v="5095"/>
    <n v="1369"/>
    <n v="225"/>
    <n v="22"/>
    <n v="21772"/>
    <n v="703"/>
    <n v="920"/>
    <n v="4686"/>
    <n v="365"/>
    <n v="61"/>
    <s v="0.98"/>
  </r>
  <r>
    <n v="12113"/>
    <x v="549"/>
    <s v="Jonathan Carey"/>
    <x v="4"/>
    <x v="27"/>
    <s v="EG.PA"/>
    <s v="Bad News Bears, Rise Nation, Chaos"/>
    <n v="19280"/>
    <n v="19771"/>
    <x v="228"/>
    <s v="80.7"/>
    <s v="6.7"/>
    <n v="1078"/>
    <n v="27630"/>
    <s v="0.7"/>
    <s v="0.17"/>
    <s v="0.72"/>
    <s v="0.11"/>
    <s v="0.08"/>
    <n v="13051"/>
    <s v="K - D diff."/>
    <n v="3784"/>
    <n v="4016"/>
    <s v="0.94"/>
    <s v="1.11"/>
    <s v="73.10%"/>
    <s v="18.80%"/>
    <n v="14579"/>
    <n v="8349"/>
    <n v="3424"/>
    <n v="1047"/>
    <n v="213"/>
    <n v="18"/>
    <n v="12995"/>
    <n v="909"/>
    <n v="1666"/>
    <n v="3301"/>
    <n v="310"/>
    <n v="154"/>
    <s v="1.09"/>
  </r>
  <r>
    <n v="1485"/>
    <x v="550"/>
    <s v="Ruben Villarroel"/>
    <x v="3"/>
    <x v="40"/>
    <m/>
    <s v="Dignitas, Nordavind, LGB"/>
    <n v="17632"/>
    <n v="17802"/>
    <x v="126"/>
    <s v="71.7"/>
    <s v="2.3"/>
    <n v="998"/>
    <n v="26140"/>
    <s v="0.67"/>
    <s v="0.13"/>
    <s v="0.68"/>
    <s v="0.1"/>
    <s v="0.09"/>
    <n v="12006"/>
    <s v="K - D diff."/>
    <n v="2289"/>
    <n v="2494"/>
    <s v="0.92"/>
    <s v="0.95"/>
    <s v="71.90%"/>
    <s v="12.40%"/>
    <n v="14134"/>
    <n v="7734"/>
    <n v="3164"/>
    <n v="906"/>
    <n v="175"/>
    <n v="27"/>
    <n v="12187"/>
    <n v="846"/>
    <n v="1070"/>
    <n v="3357"/>
    <n v="140"/>
    <n v="45"/>
    <s v="0.98"/>
  </r>
  <r>
    <n v="334"/>
    <x v="472"/>
    <s v="Dauren Kystaubayev"/>
    <x v="15"/>
    <x v="42"/>
    <m/>
    <s v="Gambit, HellRaisers, K23"/>
    <n v="31357"/>
    <n v="31574"/>
    <x v="87"/>
    <s v="75.9"/>
    <s v="5.3"/>
    <n v="1767"/>
    <n v="46454"/>
    <s v="0.68"/>
    <s v="0.15"/>
    <s v="0.68"/>
    <s v="0.08"/>
    <s v="0.07"/>
    <n v="21379"/>
    <s v="K - D diff."/>
    <n v="4756"/>
    <n v="5119"/>
    <s v="0.93"/>
    <s v="0.99"/>
    <s v="74.20%"/>
    <s v="14.70%"/>
    <n v="25075"/>
    <n v="13782"/>
    <n v="5611"/>
    <n v="1657"/>
    <n v="303"/>
    <n v="26"/>
    <n v="22645"/>
    <n v="731"/>
    <n v="1822"/>
    <n v="5434"/>
    <n v="526"/>
    <n v="251"/>
    <s v="0.98"/>
  </r>
  <r>
    <n v="12088"/>
    <x v="551"/>
    <s v="Ryan Welsh"/>
    <x v="0"/>
    <x v="24"/>
    <m/>
    <s v="Singularity, Swole Patrol, Envy, Gorilla Gang"/>
    <n v="12192"/>
    <n v="12461"/>
    <x v="138"/>
    <s v="73.9"/>
    <n v="3"/>
    <n v="697"/>
    <n v="17857"/>
    <s v="0.68"/>
    <s v="0.12"/>
    <s v="0.7"/>
    <s v="0.12"/>
    <s v="0.1"/>
    <n v="8231"/>
    <s v="K - D diff."/>
    <n v="1971"/>
    <n v="2037"/>
    <s v="0.97"/>
    <s v="1.03"/>
    <s v="73.10%"/>
    <s v="15.70%"/>
    <n v="9626"/>
    <n v="5228"/>
    <n v="2207"/>
    <n v="652"/>
    <n v="126"/>
    <n v="18"/>
    <n v="8776"/>
    <n v="305"/>
    <n v="830"/>
    <n v="2126"/>
    <n v="103"/>
    <n v="78"/>
    <s v="1.04"/>
  </r>
  <r>
    <n v="7412"/>
    <x v="552"/>
    <s v="Lukas Rossander"/>
    <x v="2"/>
    <x v="9"/>
    <s v="Astralis"/>
    <s v="Astralis, CPH Wolves"/>
    <n v="29339"/>
    <n v="29265"/>
    <x v="137"/>
    <s v="74.8"/>
    <s v="6.1"/>
    <n v="1690"/>
    <n v="44425"/>
    <s v="0.66"/>
    <s v="0.16"/>
    <s v="0.66"/>
    <s v="0.1"/>
    <s v="0.08"/>
    <n v="20111"/>
    <s v="K - D diff."/>
    <n v="4617"/>
    <n v="4728"/>
    <s v="0.98"/>
    <s v="1.01"/>
    <s v="75.30%"/>
    <s v="14.40%"/>
    <n v="24314"/>
    <n v="13038"/>
    <n v="5236"/>
    <n v="1561"/>
    <n v="254"/>
    <n v="22"/>
    <n v="20712"/>
    <n v="1079"/>
    <n v="2320"/>
    <n v="4670"/>
    <n v="565"/>
    <n v="53"/>
    <s v="0.98"/>
  </r>
  <r>
    <n v="13992"/>
    <x v="553"/>
    <s v="Krasen Minchev"/>
    <x v="6"/>
    <x v="25"/>
    <m/>
    <s v="Bpro"/>
    <n v="7076"/>
    <n v="7242"/>
    <x v="203"/>
    <n v="75"/>
    <s v="4.4"/>
    <n v="400"/>
    <n v="10329"/>
    <s v="0.69"/>
    <s v="0.14"/>
    <s v="0.7"/>
    <s v="0.12"/>
    <s v="0.11"/>
    <n v="4763"/>
    <s v="K - D diff."/>
    <n v="1001"/>
    <n v="1083"/>
    <s v="0.92"/>
    <s v="0.98"/>
    <s v="74.00%"/>
    <s v="13.90%"/>
    <n v="5566"/>
    <n v="3000"/>
    <n v="1304"/>
    <n v="373"/>
    <n v="81"/>
    <n v="5"/>
    <n v="5327"/>
    <n v="29"/>
    <n v="425"/>
    <n v="1238"/>
    <n v="66"/>
    <n v="5"/>
    <s v="1.04"/>
  </r>
  <r>
    <n v="16947"/>
    <x v="554"/>
    <s v="Ilya Zalutskiy"/>
    <x v="4"/>
    <x v="2"/>
    <s v="Natus Vincere"/>
    <s v="Natus Vincere, Syman"/>
    <n v="11892"/>
    <n v="11476"/>
    <x v="96"/>
    <s v="69.8"/>
    <s v="4.5"/>
    <n v="722"/>
    <n v="19078"/>
    <s v="0.62"/>
    <s v="0.13"/>
    <s v="0.6"/>
    <s v="0.09"/>
    <s v="0.09"/>
    <n v="8350"/>
    <s v="K - D diff."/>
    <n v="1218"/>
    <n v="1159"/>
    <s v="1.05"/>
    <s v="0.88"/>
    <s v="73.20%"/>
    <s v="8.80%"/>
    <n v="10728"/>
    <n v="5604"/>
    <n v="2077"/>
    <n v="555"/>
    <n v="101"/>
    <n v="13"/>
    <n v="8644"/>
    <n v="218"/>
    <n v="838"/>
    <n v="1999"/>
    <n v="193"/>
    <n v="44"/>
    <s v="1.04"/>
  </r>
  <r>
    <n v="17937"/>
    <x v="555"/>
    <s v="Isak FahlÃ©n"/>
    <x v="7"/>
    <x v="29"/>
    <s v="GamerLegion"/>
    <s v="GamerLegion, Lilmix"/>
    <n v="10437"/>
    <n v="10462"/>
    <x v="32"/>
    <s v="73.3"/>
    <s v="5.1"/>
    <n v="587"/>
    <n v="15870"/>
    <s v="0.66"/>
    <s v="0.13"/>
    <s v="0.66"/>
    <s v="0.09"/>
    <s v="0.09"/>
    <n v="7136"/>
    <s v="K - D diff."/>
    <n v="1311"/>
    <n v="1381"/>
    <s v="0.95"/>
    <s v="0.93"/>
    <s v="71.70%"/>
    <s v="11.80%"/>
    <n v="8734"/>
    <n v="4621"/>
    <n v="1853"/>
    <n v="547"/>
    <n v="106"/>
    <n v="9"/>
    <n v="7641"/>
    <n v="280"/>
    <n v="396"/>
    <n v="1909"/>
    <n v="205"/>
    <n v="37"/>
    <s v="1.03"/>
  </r>
  <r>
    <n v="8716"/>
    <x v="556"/>
    <s v="Bence BÃ¶rÃ¶cz"/>
    <x v="2"/>
    <x v="8"/>
    <m/>
    <s v="HellRaisers"/>
    <n v="13856"/>
    <n v="13910"/>
    <x v="45"/>
    <s v="69.5"/>
    <s v="3.5"/>
    <n v="807"/>
    <n v="21060"/>
    <s v="0.66"/>
    <s v="0.13"/>
    <s v="0.66"/>
    <s v="0.1"/>
    <s v="0.11"/>
    <n v="9453"/>
    <s v="K - D diff."/>
    <n v="2154"/>
    <n v="2095"/>
    <s v="1.03"/>
    <s v="1.01"/>
    <s v="73.20%"/>
    <s v="14.60%"/>
    <n v="11607"/>
    <n v="6098"/>
    <n v="2476"/>
    <n v="727"/>
    <n v="138"/>
    <n v="14"/>
    <n v="7021"/>
    <n v="3405"/>
    <n v="864"/>
    <n v="2387"/>
    <n v="173"/>
    <n v="22"/>
    <s v="0.98"/>
  </r>
  <r>
    <n v="17930"/>
    <x v="557"/>
    <s v="Jerric Jiang"/>
    <x v="0"/>
    <x v="24"/>
    <s v="EG.CD"/>
    <s v="RBG, Carpe Diem"/>
    <n v="8682"/>
    <n v="8582"/>
    <x v="267"/>
    <s v="68.9"/>
    <s v="4.3"/>
    <n v="501"/>
    <n v="13291"/>
    <s v="0.65"/>
    <s v="0.1"/>
    <s v="0.65"/>
    <s v="0.09"/>
    <s v="0.09"/>
    <n v="6034"/>
    <s v="K - D diff."/>
    <n v="1323"/>
    <n v="1080"/>
    <s v="1.23"/>
    <s v="1.03"/>
    <s v="73.60%"/>
    <s v="14.60%"/>
    <n v="7257"/>
    <n v="3982"/>
    <n v="1557"/>
    <n v="405"/>
    <n v="79"/>
    <n v="11"/>
    <n v="2235"/>
    <n v="4685"/>
    <n v="217"/>
    <n v="1434"/>
    <n v="110"/>
    <n v="37"/>
    <s v="1.02"/>
  </r>
  <r>
    <n v="5045"/>
    <x v="558"/>
    <s v="Erik Sundeqvist"/>
    <x v="2"/>
    <x v="29"/>
    <m/>
    <s v="DenDD, Property"/>
    <n v="7064"/>
    <n v="7065"/>
    <x v="214"/>
    <s v="74.1"/>
    <s v="3.4"/>
    <n v="397"/>
    <n v="10444"/>
    <s v="0.68"/>
    <s v="0.13"/>
    <s v="0.68"/>
    <s v="0.09"/>
    <s v="0.11"/>
    <n v="4880"/>
    <s v="K - D diff."/>
    <n v="914"/>
    <n v="876"/>
    <s v="1.04"/>
    <s v="0.96"/>
    <s v="72.80%"/>
    <s v="12.90%"/>
    <n v="5564"/>
    <n v="3201"/>
    <n v="1265"/>
    <n v="344"/>
    <n v="63"/>
    <n v="7"/>
    <n v="5497"/>
    <n v="74"/>
    <n v="203"/>
    <n v="1214"/>
    <n v="66"/>
    <n v="15"/>
    <s v="0.98"/>
  </r>
  <r>
    <n v="11996"/>
    <x v="559"/>
    <s v="Jakob Schildt"/>
    <x v="1"/>
    <x v="9"/>
    <s v="ECSTATIC"/>
    <s v="ECSTATIC, Lyngby Vikings, Copenhagen Flames"/>
    <n v="12656"/>
    <n v="12553"/>
    <x v="51"/>
    <s v="72.8"/>
    <s v="4.6"/>
    <n v="717"/>
    <n v="19219"/>
    <s v="0.66"/>
    <s v="0.13"/>
    <s v="0.65"/>
    <s v="0.12"/>
    <s v="0.13"/>
    <n v="8756"/>
    <s v="K - D diff."/>
    <n v="1559"/>
    <n v="1531"/>
    <s v="1.02"/>
    <s v="0.94"/>
    <s v="71.20%"/>
    <s v="11.40%"/>
    <n v="10463"/>
    <n v="5734"/>
    <n v="2255"/>
    <n v="665"/>
    <n v="93"/>
    <n v="9"/>
    <n v="9719"/>
    <n v="97"/>
    <n v="671"/>
    <n v="1989"/>
    <n v="179"/>
    <n v="46"/>
    <s v="1.04"/>
  </r>
  <r>
    <n v="7499"/>
    <x v="560"/>
    <s v="Timo Richter"/>
    <x v="5"/>
    <x v="32"/>
    <s v="Sprout"/>
    <s v="Sprout, MOUZ"/>
    <n v="36428"/>
    <n v="36257"/>
    <x v="257"/>
    <s v="73.7"/>
    <n v="5"/>
    <n v="2104"/>
    <n v="55937"/>
    <s v="0.65"/>
    <s v="0.15"/>
    <s v="0.65"/>
    <s v="0.09"/>
    <s v="0.09"/>
    <n v="25044"/>
    <s v="K - D diff."/>
    <n v="4208"/>
    <n v="4759"/>
    <s v="0.88"/>
    <s v="0.9"/>
    <s v="72.10%"/>
    <s v="10.50%"/>
    <n v="30893"/>
    <n v="16370"/>
    <n v="6407"/>
    <n v="1893"/>
    <n v="345"/>
    <n v="29"/>
    <n v="26981"/>
    <n v="988"/>
    <n v="1760"/>
    <n v="6101"/>
    <n v="451"/>
    <n v="231"/>
    <s v="0.98"/>
  </r>
  <r>
    <n v="17936"/>
    <x v="561"/>
    <s v="Adam Bergqvist"/>
    <x v="7"/>
    <x v="29"/>
    <s v="X Gamer"/>
    <s v="Lilmix"/>
    <n v="7342"/>
    <n v="7546"/>
    <x v="166"/>
    <s v="74.6"/>
    <s v="3.3"/>
    <n v="398"/>
    <n v="10734"/>
    <s v="0.68"/>
    <s v="0.13"/>
    <s v="0.7"/>
    <s v="0.08"/>
    <s v="0.08"/>
    <n v="4946"/>
    <s v="K - D diff."/>
    <n v="1062"/>
    <n v="1196"/>
    <s v="0.89"/>
    <s v="0.98"/>
    <s v="69.80%"/>
    <s v="14.10%"/>
    <n v="5788"/>
    <n v="3142"/>
    <n v="1305"/>
    <n v="414"/>
    <n v="77"/>
    <n v="8"/>
    <n v="5525"/>
    <n v="235"/>
    <n v="231"/>
    <n v="1260"/>
    <n v="67"/>
    <n v="45"/>
    <s v="1.02"/>
  </r>
  <r>
    <n v="12872"/>
    <x v="562"/>
    <s v="Tom Henry"/>
    <x v="6"/>
    <x v="15"/>
    <m/>
    <s v="VERTEX, Chiefs, Genuine"/>
    <n v="12832"/>
    <n v="12941"/>
    <x v="55"/>
    <s v="74.9"/>
    <s v="5.5"/>
    <n v="735"/>
    <n v="19035"/>
    <s v="0.67"/>
    <s v="0.14"/>
    <s v="0.68"/>
    <s v="0.11"/>
    <s v="0.1"/>
    <n v="8818"/>
    <s v="K - D diff."/>
    <n v="2147"/>
    <n v="2017"/>
    <s v="1.06"/>
    <s v="1.05"/>
    <s v="76.40%"/>
    <s v="17.10%"/>
    <n v="10217"/>
    <n v="5749"/>
    <n v="2274"/>
    <n v="657"/>
    <n v="126"/>
    <n v="12"/>
    <n v="6377"/>
    <n v="3366"/>
    <n v="721"/>
    <n v="2127"/>
    <n v="248"/>
    <n v="33"/>
    <s v="1.05"/>
  </r>
  <r>
    <n v="7438"/>
    <x v="563"/>
    <s v="Todd Williams"/>
    <x v="12"/>
    <x v="24"/>
    <m/>
    <s v="Mythic, Winterfox, Denial, Luminosity"/>
    <n v="12065"/>
    <n v="12294"/>
    <x v="104"/>
    <s v="74.2"/>
    <s v="3.5"/>
    <n v="682"/>
    <n v="17700"/>
    <s v="0.68"/>
    <s v="0.14"/>
    <s v="0.69"/>
    <s v="0.1"/>
    <s v="0.1"/>
    <n v="8175"/>
    <s v="K - D diff."/>
    <n v="1551"/>
    <n v="1655"/>
    <s v="0.94"/>
    <s v="0.95"/>
    <s v="72.10%"/>
    <s v="12.90%"/>
    <n v="9525"/>
    <n v="5219"/>
    <n v="2188"/>
    <n v="639"/>
    <n v="112"/>
    <n v="17"/>
    <n v="9051"/>
    <n v="37"/>
    <n v="448"/>
    <n v="2397"/>
    <n v="120"/>
    <n v="22"/>
    <s v="0.98"/>
  </r>
  <r>
    <n v="11498"/>
    <x v="564"/>
    <s v="Aleksei Trofimov"/>
    <x v="8"/>
    <x v="2"/>
    <s v="Entropiq"/>
    <s v="Entropiq, pro100, Winstrike"/>
    <n v="24785"/>
    <n v="24853"/>
    <x v="12"/>
    <s v="75.5"/>
    <s v="6.4"/>
    <n v="1407"/>
    <n v="37420"/>
    <s v="0.66"/>
    <s v="0.16"/>
    <s v="0.66"/>
    <s v="0.11"/>
    <s v="0.1"/>
    <n v="17096"/>
    <s v="K - D diff."/>
    <n v="3263"/>
    <n v="3391"/>
    <s v="0.96"/>
    <s v="0.95"/>
    <s v="72.50%"/>
    <s v="12.20%"/>
    <n v="20324"/>
    <n v="11254"/>
    <n v="4308"/>
    <n v="1246"/>
    <n v="263"/>
    <n v="25"/>
    <n v="17403"/>
    <n v="1015"/>
    <n v="1871"/>
    <n v="3905"/>
    <n v="588"/>
    <n v="55"/>
    <s v="1.05"/>
  </r>
  <r>
    <n v="14390"/>
    <x v="565"/>
    <s v="Adriano Cerato"/>
    <x v="2"/>
    <x v="3"/>
    <m/>
    <s v="Bravos, MIBR, RED Canids"/>
    <n v="9283"/>
    <n v="9009"/>
    <x v="24"/>
    <s v="71.4"/>
    <s v="5.9"/>
    <n v="547"/>
    <n v="14292"/>
    <s v="0.65"/>
    <s v="0.12"/>
    <s v="0.63"/>
    <s v="0.08"/>
    <s v="0.08"/>
    <n v="6560"/>
    <s v="K - D diff."/>
    <n v="1380"/>
    <n v="1236"/>
    <s v="1.12"/>
    <s v="1.01"/>
    <s v="74.70%"/>
    <s v="14.00%"/>
    <n v="7732"/>
    <n v="4389"/>
    <n v="1690"/>
    <n v="419"/>
    <n v="53"/>
    <n v="9"/>
    <n v="3869"/>
    <n v="2792"/>
    <n v="1034"/>
    <n v="1439"/>
    <n v="150"/>
    <n v="29"/>
    <s v="1.04"/>
  </r>
  <r>
    <n v="9819"/>
    <x v="566"/>
    <s v="Joonas Forss"/>
    <x v="5"/>
    <x v="23"/>
    <s v="HAVU"/>
    <s v="HAVU, ENCE"/>
    <n v="11512"/>
    <n v="11696"/>
    <x v="233"/>
    <s v="74.6"/>
    <s v="4.5"/>
    <n v="648"/>
    <n v="17287"/>
    <s v="0.67"/>
    <s v="0.14"/>
    <s v="0.68"/>
    <s v="0.09"/>
    <s v="0.09"/>
    <n v="7772"/>
    <s v="K - D diff."/>
    <n v="1718"/>
    <n v="1991"/>
    <s v="0.86"/>
    <s v="0.97"/>
    <s v="73.20%"/>
    <s v="14.00%"/>
    <n v="9515"/>
    <n v="4902"/>
    <n v="2139"/>
    <n v="606"/>
    <n v="111"/>
    <n v="14"/>
    <n v="8061"/>
    <n v="715"/>
    <n v="579"/>
    <n v="2001"/>
    <n v="124"/>
    <n v="75"/>
    <s v="0.98"/>
  </r>
  <r>
    <n v="9480"/>
    <x v="567"/>
    <s v="Thiago FranÃ§a"/>
    <x v="5"/>
    <x v="3"/>
    <m/>
    <s v="Imperial, BigGods, Keyd"/>
    <n v="7090"/>
    <n v="7199"/>
    <x v="190"/>
    <s v="74.3"/>
    <s v="3.6"/>
    <n v="407"/>
    <n v="10476"/>
    <s v="0.68"/>
    <s v="0.14"/>
    <s v="0.69"/>
    <s v="0.09"/>
    <s v="0.1"/>
    <n v="4836"/>
    <s v="K - D diff."/>
    <n v="997"/>
    <n v="1106"/>
    <s v="0.9"/>
    <s v="0.97"/>
    <s v="72.00%"/>
    <s v="13.50%"/>
    <n v="5640"/>
    <n v="3109"/>
    <n v="1285"/>
    <n v="363"/>
    <n v="73"/>
    <n v="6"/>
    <n v="5182"/>
    <n v="73"/>
    <n v="442"/>
    <n v="1329"/>
    <n v="62"/>
    <n v="16"/>
    <s v="0.98"/>
  </r>
  <r>
    <n v="10611"/>
    <x v="568"/>
    <s v="Rhys Armstrong"/>
    <x v="1"/>
    <x v="34"/>
    <s v="ATK"/>
    <s v="ATK, Bravado"/>
    <n v="12715"/>
    <n v="13196"/>
    <x v="29"/>
    <n v="76"/>
    <s v="3.7"/>
    <n v="712"/>
    <n v="18356"/>
    <s v="0.69"/>
    <s v="0.13"/>
    <s v="0.72"/>
    <s v="0.11"/>
    <s v="0.1"/>
    <n v="8505"/>
    <s v="K - D diff."/>
    <n v="2197"/>
    <n v="2549"/>
    <s v="0.86"/>
    <s v="1.03"/>
    <s v="73.30%"/>
    <s v="16.80%"/>
    <n v="9851"/>
    <n v="5324"/>
    <n v="2324"/>
    <n v="698"/>
    <n v="146"/>
    <n v="13"/>
    <n v="9887"/>
    <n v="286"/>
    <n v="346"/>
    <n v="2072"/>
    <n v="118"/>
    <n v="30"/>
    <s v="0.98"/>
  </r>
  <r>
    <n v="19882"/>
    <x v="569"/>
    <s v="Evgeny Ermolin"/>
    <x v="0"/>
    <x v="2"/>
    <s v="forZe"/>
    <s v="forZe, Trident"/>
    <n v="7141"/>
    <n v="7176"/>
    <x v="50"/>
    <s v="70.9"/>
    <s v="4.4"/>
    <n v="411"/>
    <n v="10991"/>
    <s v="0.65"/>
    <s v="0.11"/>
    <s v="0.65"/>
    <s v="0.1"/>
    <s v="0.1"/>
    <n v="4912"/>
    <s v="K - D diff."/>
    <n v="957"/>
    <n v="1104"/>
    <s v="0.87"/>
    <s v="0.93"/>
    <s v="70.80%"/>
    <s v="12.00%"/>
    <n v="6079"/>
    <n v="3242"/>
    <n v="1212"/>
    <n v="367"/>
    <n v="81"/>
    <n v="10"/>
    <n v="5492"/>
    <n v="89"/>
    <n v="302"/>
    <n v="1139"/>
    <n v="117"/>
    <n v="42"/>
    <s v="1.02"/>
  </r>
  <r>
    <n v="16529"/>
    <x v="570"/>
    <s v="Luke Merchant"/>
    <x v="4"/>
    <x v="15"/>
    <s v="Control"/>
    <s v="Ground Zero, Breakaway, SYF"/>
    <n v="7735"/>
    <n v="7770"/>
    <x v="72"/>
    <s v="70.7"/>
    <s v="3.3"/>
    <n v="459"/>
    <n v="11767"/>
    <s v="0.66"/>
    <s v="0.12"/>
    <s v="0.66"/>
    <s v="0.1"/>
    <s v="0.11"/>
    <n v="5318"/>
    <s v="K - D diff."/>
    <n v="747"/>
    <n v="874"/>
    <s v="0.85"/>
    <s v="0.86"/>
    <s v="71.90%"/>
    <s v="9.10%"/>
    <n v="6449"/>
    <n v="3449"/>
    <n v="1419"/>
    <n v="368"/>
    <n v="66"/>
    <n v="16"/>
    <n v="5916"/>
    <n v="85"/>
    <n v="342"/>
    <n v="1310"/>
    <n v="94"/>
    <n v="12"/>
    <s v="1.01"/>
  </r>
  <r>
    <n v="13170"/>
    <x v="571"/>
    <s v="Oliver Rasmussen"/>
    <x v="4"/>
    <x v="9"/>
    <s v="Tricked"/>
    <s v="Tricked"/>
    <n v="10991"/>
    <n v="11114"/>
    <x v="230"/>
    <s v="72.4"/>
    <s v="4.6"/>
    <n v="627"/>
    <n v="16838"/>
    <s v="0.65"/>
    <s v="0.11"/>
    <s v="0.66"/>
    <s v="0.09"/>
    <s v="0.09"/>
    <n v="7483"/>
    <s v="K - D diff."/>
    <n v="1231"/>
    <n v="1325"/>
    <s v="0.93"/>
    <s v="0.9"/>
    <s v="71.60%"/>
    <s v="10.90%"/>
    <n v="9355"/>
    <n v="4814"/>
    <n v="1975"/>
    <n v="563"/>
    <n v="117"/>
    <n v="14"/>
    <n v="7979"/>
    <n v="266"/>
    <n v="684"/>
    <n v="1886"/>
    <n v="177"/>
    <n v="41"/>
    <s v="1.01"/>
  </r>
  <r>
    <n v="9220"/>
    <x v="572"/>
    <s v="Gustavo GonÃ§alves"/>
    <x v="8"/>
    <x v="3"/>
    <s v="Corinthians"/>
    <s v="Luminosity, Imperial, Tempo Storm"/>
    <n v="17479"/>
    <n v="17781"/>
    <x v="102"/>
    <s v="75.3"/>
    <s v="4.3"/>
    <n v="997"/>
    <n v="25816"/>
    <s v="0.68"/>
    <s v="0.13"/>
    <s v="0.69"/>
    <s v="0.1"/>
    <s v="0.1"/>
    <n v="11932"/>
    <s v="K - D diff."/>
    <n v="2768"/>
    <n v="2692"/>
    <s v="1.03"/>
    <s v="1.03"/>
    <s v="72.70%"/>
    <s v="15.20%"/>
    <n v="13884"/>
    <n v="7672"/>
    <n v="3165"/>
    <n v="918"/>
    <n v="163"/>
    <n v="14"/>
    <n v="12098"/>
    <n v="1355"/>
    <n v="955"/>
    <n v="2816"/>
    <n v="235"/>
    <n v="53"/>
    <s v="0.98"/>
  </r>
  <r>
    <n v="8000"/>
    <x v="573"/>
    <s v="Thilo Phan"/>
    <x v="5"/>
    <x v="32"/>
    <m/>
    <s v="expert, EURONICS"/>
    <n v="7450"/>
    <n v="7698"/>
    <x v="226"/>
    <s v="74.1"/>
    <s v="3.3"/>
    <n v="413"/>
    <n v="10832"/>
    <s v="0.69"/>
    <s v="0.12"/>
    <s v="0.71"/>
    <s v="0.11"/>
    <s v="0.11"/>
    <n v="5013"/>
    <s v="K - D diff."/>
    <n v="1004"/>
    <n v="1132"/>
    <s v="0.89"/>
    <s v="0.96"/>
    <s v="70.20%"/>
    <s v="13.30%"/>
    <n v="5819"/>
    <n v="3176"/>
    <n v="1323"/>
    <n v="433"/>
    <n v="78"/>
    <n v="3"/>
    <n v="5299"/>
    <n v="257"/>
    <n v="369"/>
    <n v="1446"/>
    <n v="68"/>
    <n v="15"/>
    <s v="0.98"/>
  </r>
  <r>
    <n v="8488"/>
    <x v="574"/>
    <s v="JindÅ™ich Chyba"/>
    <x v="1"/>
    <x v="18"/>
    <s v="SINNERS"/>
    <s v="SINNERS, eXtatus"/>
    <n v="20408"/>
    <n v="20563"/>
    <x v="222"/>
    <n v="73"/>
    <s v="4.3"/>
    <n v="1162"/>
    <n v="30813"/>
    <s v="0.66"/>
    <s v="0.12"/>
    <s v="0.67"/>
    <s v="0.1"/>
    <s v="0.09"/>
    <n v="14064"/>
    <s v="K - D diff."/>
    <n v="3157"/>
    <n v="3102"/>
    <s v="1.02"/>
    <s v="1.01"/>
    <s v="73.50%"/>
    <s v="14.40%"/>
    <n v="16749"/>
    <n v="9236"/>
    <n v="3554"/>
    <n v="1054"/>
    <n v="199"/>
    <n v="21"/>
    <n v="14484"/>
    <n v="822"/>
    <n v="1060"/>
    <n v="3747"/>
    <n v="255"/>
    <n v="108"/>
    <s v="0.98"/>
  </r>
  <r>
    <n v="11747"/>
    <x v="575"/>
    <s v="Jhonatan Silva"/>
    <x v="3"/>
    <x v="3"/>
    <s v="Sharks"/>
    <s v="Sharks"/>
    <n v="10397"/>
    <n v="10260"/>
    <x v="268"/>
    <s v="68.9"/>
    <s v="4.1"/>
    <n v="628"/>
    <n v="16249"/>
    <s v="0.64"/>
    <s v="0.11"/>
    <s v="0.63"/>
    <s v="0.09"/>
    <s v="0.09"/>
    <n v="7221"/>
    <s v="K - D diff."/>
    <n v="1570"/>
    <n v="1340"/>
    <s v="1.17"/>
    <s v="1.01"/>
    <s v="73.70%"/>
    <s v="13.90%"/>
    <n v="9028"/>
    <n v="4737"/>
    <n v="1898"/>
    <n v="484"/>
    <n v="98"/>
    <n v="4"/>
    <n v="4871"/>
    <n v="3246"/>
    <n v="499"/>
    <n v="1626"/>
    <n v="149"/>
    <n v="36"/>
    <s v="1.03"/>
  </r>
  <r>
    <n v="10827"/>
    <x v="576"/>
    <s v="Matheus Scuvero"/>
    <x v="1"/>
    <x v="3"/>
    <s v="TeamOne"/>
    <s v="TeamOne, DETONA"/>
    <n v="12697"/>
    <n v="12807"/>
    <x v="8"/>
    <s v="72.7"/>
    <n v="3"/>
    <n v="732"/>
    <n v="18994"/>
    <s v="0.67"/>
    <s v="0.13"/>
    <s v="0.67"/>
    <s v="0.11"/>
    <s v="0.11"/>
    <n v="8756"/>
    <s v="K - D diff."/>
    <n v="1729"/>
    <n v="1778"/>
    <s v="0.97"/>
    <s v="0.97"/>
    <s v="72.60%"/>
    <s v="12.90%"/>
    <n v="10238"/>
    <n v="5726"/>
    <n v="2267"/>
    <n v="624"/>
    <n v="130"/>
    <n v="9"/>
    <n v="8676"/>
    <n v="590"/>
    <n v="987"/>
    <n v="2311"/>
    <n v="140"/>
    <n v="33"/>
    <s v="1.02"/>
  </r>
  <r>
    <n v="17305"/>
    <x v="577"/>
    <s v="Vladislav Usov"/>
    <x v="6"/>
    <x v="2"/>
    <m/>
    <s v="Espada"/>
    <n v="8708"/>
    <n v="8580"/>
    <x v="13"/>
    <s v="70.2"/>
    <s v="4.6"/>
    <n v="503"/>
    <n v="13560"/>
    <s v="0.64"/>
    <s v="0.12"/>
    <s v="0.63"/>
    <s v="0.1"/>
    <s v="0.1"/>
    <n v="6087"/>
    <s v="K - D diff."/>
    <n v="1123"/>
    <n v="1050"/>
    <s v="1.07"/>
    <s v="0.95"/>
    <s v="73.10%"/>
    <s v="11.80%"/>
    <n v="7473"/>
    <n v="4059"/>
    <n v="1512"/>
    <n v="443"/>
    <n v="69"/>
    <n v="4"/>
    <n v="6618"/>
    <n v="272"/>
    <n v="383"/>
    <n v="1290"/>
    <n v="159"/>
    <n v="26"/>
    <s v="1.03"/>
  </r>
  <r>
    <n v="8917"/>
    <x v="578"/>
    <s v="Nikolay Pantaleev"/>
    <x v="9"/>
    <x v="25"/>
    <s v="NeedDOCTOR"/>
    <s v="FATE, Bpro, Outlaws"/>
    <n v="17850"/>
    <n v="18170"/>
    <x v="87"/>
    <s v="76.8"/>
    <s v="6.7"/>
    <n v="1020"/>
    <n v="26614"/>
    <s v="0.67"/>
    <s v="0.16"/>
    <s v="0.68"/>
    <s v="0.1"/>
    <s v="0.09"/>
    <n v="12204"/>
    <s v="K - D diff."/>
    <n v="2818"/>
    <n v="3102"/>
    <s v="0.91"/>
    <n v="1"/>
    <s v="72.90%"/>
    <s v="15.30%"/>
    <n v="14410"/>
    <n v="7932"/>
    <n v="3114"/>
    <n v="961"/>
    <n v="180"/>
    <n v="17"/>
    <n v="12104"/>
    <n v="654"/>
    <n v="1440"/>
    <n v="3206"/>
    <n v="415"/>
    <n v="86"/>
    <s v="0.98"/>
  </r>
  <r>
    <n v="9636"/>
    <x v="579"/>
    <s v="Callum Henderson"/>
    <x v="5"/>
    <x v="15"/>
    <m/>
    <s v="Ground Zero, Grayhound, Immunity"/>
    <n v="15228"/>
    <n v="15746"/>
    <x v="106"/>
    <s v="76.9"/>
    <s v="3.7"/>
    <n v="860"/>
    <n v="22168"/>
    <s v="0.69"/>
    <s v="0.14"/>
    <s v="0.71"/>
    <s v="0.09"/>
    <s v="0.08"/>
    <n v="10250"/>
    <s v="K - D diff."/>
    <n v="2694"/>
    <n v="2820"/>
    <s v="0.96"/>
    <s v="1.06"/>
    <s v="75.50%"/>
    <s v="17.60%"/>
    <n v="11918"/>
    <n v="6467"/>
    <n v="2775"/>
    <n v="838"/>
    <n v="153"/>
    <n v="17"/>
    <n v="10561"/>
    <n v="836"/>
    <n v="947"/>
    <n v="2763"/>
    <n v="143"/>
    <n v="10"/>
    <s v="0.98"/>
  </r>
  <r>
    <n v="13148"/>
    <x v="580"/>
    <s v="Haakon Tholo"/>
    <x v="6"/>
    <x v="40"/>
    <s v="Oilers"/>
    <s v="Secret, Nordavind, NoChance, Apeks"/>
    <n v="9177"/>
    <n v="9339"/>
    <x v="182"/>
    <s v="75.3"/>
    <s v="3.4"/>
    <n v="509"/>
    <n v="13632"/>
    <s v="0.67"/>
    <s v="0.13"/>
    <s v="0.69"/>
    <s v="0.09"/>
    <s v="0.09"/>
    <n v="6245"/>
    <s v="K - D diff."/>
    <n v="1370"/>
    <n v="1445"/>
    <s v="0.95"/>
    <s v="0.99"/>
    <s v="74.00%"/>
    <s v="14.60%"/>
    <n v="7387"/>
    <n v="3983"/>
    <n v="1688"/>
    <n v="486"/>
    <n v="80"/>
    <n v="8"/>
    <n v="6730"/>
    <n v="251"/>
    <n v="496"/>
    <n v="1611"/>
    <n v="83"/>
    <n v="25"/>
    <s v="1.03"/>
  </r>
  <r>
    <n v="555"/>
    <x v="581"/>
    <s v="Bruno Fukuda Lima"/>
    <x v="15"/>
    <x v="3"/>
    <s v="MIBR"/>
    <s v="TeamOne, 9z"/>
    <n v="12432"/>
    <n v="12385"/>
    <x v="99"/>
    <s v="74.3"/>
    <s v="5.6"/>
    <n v="735"/>
    <n v="19001"/>
    <s v="0.65"/>
    <s v="0.15"/>
    <s v="0.65"/>
    <s v="0.11"/>
    <s v="0.09"/>
    <n v="8669"/>
    <s v="K - D diff."/>
    <n v="1916"/>
    <n v="1894"/>
    <s v="1.01"/>
    <n v="1"/>
    <s v="75.10%"/>
    <s v="13.90%"/>
    <n v="10332"/>
    <n v="5783"/>
    <n v="2146"/>
    <n v="616"/>
    <n v="111"/>
    <n v="13"/>
    <n v="8885"/>
    <n v="354"/>
    <n v="1034"/>
    <n v="1938"/>
    <n v="205"/>
    <n v="61"/>
    <s v="0.98"/>
  </r>
  <r>
    <n v="11840"/>
    <x v="582"/>
    <s v="Kirill Mikhailov"/>
    <x v="6"/>
    <x v="2"/>
    <s v="Natus Vincere"/>
    <s v="Natus Vincere, Winstrike, Quantum Bellator Fire"/>
    <n v="19172"/>
    <n v="19592"/>
    <x v="57"/>
    <s v="75.9"/>
    <s v="4.6"/>
    <n v="1085"/>
    <n v="28745"/>
    <s v="0.67"/>
    <s v="0.14"/>
    <s v="0.68"/>
    <s v="0.09"/>
    <s v="0.08"/>
    <n v="13011"/>
    <s v="K - D diff."/>
    <n v="3374"/>
    <n v="3772"/>
    <s v="0.89"/>
    <s v="1.03"/>
    <s v="72.00%"/>
    <s v="16.30%"/>
    <n v="15734"/>
    <n v="8347"/>
    <n v="3402"/>
    <n v="1051"/>
    <n v="187"/>
    <n v="24"/>
    <n v="12736"/>
    <n v="443"/>
    <n v="2210"/>
    <n v="3386"/>
    <n v="260"/>
    <n v="191"/>
    <s v="1.04"/>
  </r>
  <r>
    <n v="12244"/>
    <x v="583"/>
    <s v="Sergey Atamanchuk"/>
    <x v="0"/>
    <x v="1"/>
    <s v="Doge Soldiers"/>
    <s v="CR4ZY, Project X, Akuma, Windigo Academy"/>
    <n v="7947"/>
    <n v="7849"/>
    <x v="54"/>
    <s v="72.6"/>
    <s v="5.1"/>
    <n v="465"/>
    <n v="12322"/>
    <s v="0.64"/>
    <s v="0.13"/>
    <s v="0.64"/>
    <s v="0.08"/>
    <s v="0.09"/>
    <n v="5571"/>
    <s v="K - D diff."/>
    <n v="1051"/>
    <n v="1091"/>
    <s v="0.96"/>
    <s v="0.95"/>
    <s v="71.10%"/>
    <s v="12.20%"/>
    <n v="6751"/>
    <n v="3739"/>
    <n v="1364"/>
    <n v="398"/>
    <n v="64"/>
    <n v="6"/>
    <n v="5962"/>
    <n v="191"/>
    <n v="382"/>
    <n v="1302"/>
    <n v="100"/>
    <n v="41"/>
    <s v="1.03"/>
  </r>
  <r>
    <n v="5061"/>
    <x v="584"/>
    <s v="Martin Wessel"/>
    <x v="3"/>
    <x v="9"/>
    <m/>
    <s v="Secret, Sprout, Tricked"/>
    <n v="18369"/>
    <n v="18769"/>
    <x v="269"/>
    <s v="73.5"/>
    <s v="4.2"/>
    <n v="1030"/>
    <n v="27376"/>
    <s v="0.67"/>
    <s v="0.12"/>
    <s v="0.69"/>
    <s v="0.09"/>
    <s v="0.09"/>
    <n v="12530"/>
    <s v="K - D diff."/>
    <n v="2768"/>
    <n v="3040"/>
    <s v="0.91"/>
    <s v="0.99"/>
    <s v="72.80%"/>
    <s v="14.60%"/>
    <n v="14846"/>
    <n v="8096"/>
    <n v="3252"/>
    <n v="978"/>
    <n v="187"/>
    <n v="17"/>
    <n v="13450"/>
    <n v="462"/>
    <n v="928"/>
    <n v="3241"/>
    <n v="241"/>
    <n v="101"/>
    <s v="0.98"/>
  </r>
  <r>
    <n v="10697"/>
    <x v="585"/>
    <s v="Yanko Panov"/>
    <x v="8"/>
    <x v="25"/>
    <s v="NeedDOCTOR"/>
    <s v="Windigo, FATE, Bpro"/>
    <n v="15729"/>
    <n v="16240"/>
    <x v="72"/>
    <n v="77"/>
    <s v="4.9"/>
    <n v="864"/>
    <n v="22973"/>
    <s v="0.68"/>
    <s v="0.15"/>
    <s v="0.71"/>
    <s v="0.11"/>
    <s v="0.12"/>
    <n v="10675"/>
    <s v="K - D diff."/>
    <n v="2295"/>
    <n v="2509"/>
    <s v="0.91"/>
    <s v="0.98"/>
    <s v="73.60%"/>
    <s v="14.30%"/>
    <n v="12298"/>
    <n v="6838"/>
    <n v="2819"/>
    <n v="835"/>
    <n v="167"/>
    <n v="16"/>
    <n v="12157"/>
    <n v="247"/>
    <n v="911"/>
    <n v="2168"/>
    <n v="257"/>
    <n v="34"/>
    <s v="1.05"/>
  </r>
  <r>
    <n v="8539"/>
    <x v="586"/>
    <s v="Eryk KocÄ™ba"/>
    <x v="8"/>
    <x v="17"/>
    <s v="AGO"/>
    <s v="AGO"/>
    <n v="9069"/>
    <n v="9194"/>
    <x v="223"/>
    <s v="72.4"/>
    <n v="4"/>
    <n v="509"/>
    <n v="13762"/>
    <s v="0.66"/>
    <s v="0.13"/>
    <s v="0.67"/>
    <s v="0.1"/>
    <s v="0.12"/>
    <n v="6244"/>
    <s v="K - D diff."/>
    <n v="1195"/>
    <n v="1326"/>
    <s v="0.9"/>
    <s v="0.94"/>
    <s v="72.00%"/>
    <s v="12.60%"/>
    <n v="7518"/>
    <n v="4097"/>
    <n v="1591"/>
    <n v="446"/>
    <n v="98"/>
    <n v="12"/>
    <n v="7212"/>
    <n v="35"/>
    <n v="210"/>
    <n v="1502"/>
    <n v="128"/>
    <n v="18"/>
    <s v="0.97"/>
  </r>
  <r>
    <n v="15569"/>
    <x v="587"/>
    <s v="Anton Palmgren"/>
    <x v="16"/>
    <x v="29"/>
    <s v="EYEBALLERS"/>
    <s v="Young Ninjas"/>
    <n v="8232"/>
    <n v="8537"/>
    <x v="222"/>
    <s v="77.3"/>
    <s v="5.6"/>
    <n v="451"/>
    <n v="12082"/>
    <s v="0.68"/>
    <s v="0.14"/>
    <s v="0.71"/>
    <s v="0.1"/>
    <s v="0.09"/>
    <n v="5554"/>
    <s v="K - D diff."/>
    <n v="1469"/>
    <n v="1640"/>
    <s v="0.9"/>
    <s v="1.05"/>
    <s v="70.80%"/>
    <s v="17.20%"/>
    <n v="6528"/>
    <n v="3543"/>
    <n v="1446"/>
    <n v="473"/>
    <n v="82"/>
    <n v="10"/>
    <n v="6394"/>
    <n v="28"/>
    <n v="345"/>
    <n v="1340"/>
    <n v="120"/>
    <n v="31"/>
    <s v="1.05"/>
  </r>
  <r>
    <n v="7805"/>
    <x v="588"/>
    <s v="William Wierzba"/>
    <x v="3"/>
    <x v="24"/>
    <s v="Evil Geniuses"/>
    <s v="Cloud9, Complexity, OpTic"/>
    <n v="24435"/>
    <n v="24806"/>
    <x v="255"/>
    <s v="71.9"/>
    <s v="3.9"/>
    <n v="1413"/>
    <n v="36954"/>
    <s v="0.66"/>
    <s v="0.15"/>
    <s v="0.67"/>
    <s v="0.11"/>
    <s v="0.1"/>
    <n v="16746"/>
    <s v="K - D diff."/>
    <n v="3264"/>
    <n v="3574"/>
    <s v="0.91"/>
    <s v="0.95"/>
    <s v="72.00%"/>
    <s v="12.20%"/>
    <n v="20208"/>
    <n v="10899"/>
    <n v="4308"/>
    <n v="1266"/>
    <n v="256"/>
    <n v="17"/>
    <n v="18454"/>
    <n v="148"/>
    <n v="1128"/>
    <n v="4376"/>
    <n v="323"/>
    <n v="72"/>
    <s v="0.97"/>
  </r>
  <r>
    <n v="7169"/>
    <x v="589"/>
    <s v="CÃ©dric Guipouy"/>
    <x v="15"/>
    <x v="0"/>
    <m/>
    <s v="Vitality, Envy, Titan, G2"/>
    <n v="26056"/>
    <n v="26673"/>
    <x v="106"/>
    <s v="72.1"/>
    <s v="2.9"/>
    <n v="1499"/>
    <n v="39100"/>
    <s v="0.67"/>
    <s v="0.13"/>
    <s v="0.68"/>
    <s v="0.11"/>
    <s v="0.11"/>
    <n v="17736"/>
    <s v="K - D diff."/>
    <n v="3231"/>
    <n v="3437"/>
    <s v="0.94"/>
    <s v="0.93"/>
    <s v="72.70%"/>
    <s v="11.60%"/>
    <n v="21364"/>
    <n v="11448"/>
    <n v="4587"/>
    <n v="1401"/>
    <n v="282"/>
    <n v="18"/>
    <n v="19005"/>
    <n v="71"/>
    <n v="1716"/>
    <n v="5057"/>
    <n v="202"/>
    <n v="24"/>
    <s v="0.97"/>
  </r>
  <r>
    <n v="18120"/>
    <x v="590"/>
    <s v="Dionis Budeci"/>
    <x v="2"/>
    <x v="46"/>
    <s v="Bad News Eagles"/>
    <s v="Bad News Eagles, BLINK, Secret"/>
    <n v="12017"/>
    <n v="12583"/>
    <x v="270"/>
    <s v="78.8"/>
    <s v="5.4"/>
    <n v="650"/>
    <n v="17449"/>
    <s v="0.69"/>
    <s v="0.13"/>
    <s v="0.72"/>
    <s v="0.08"/>
    <s v="0.07"/>
    <n v="8047"/>
    <s v="K - D diff."/>
    <n v="1963"/>
    <n v="2235"/>
    <s v="0.88"/>
    <s v="1.02"/>
    <s v="72.70%"/>
    <s v="16.20%"/>
    <n v="9402"/>
    <n v="5070"/>
    <n v="2153"/>
    <n v="670"/>
    <n v="139"/>
    <n v="15"/>
    <n v="8775"/>
    <n v="300"/>
    <n v="464"/>
    <n v="2209"/>
    <n v="157"/>
    <n v="135"/>
    <s v="1.03"/>
  </r>
  <r>
    <n v="11217"/>
    <x v="591"/>
    <s v="Teodor Nikolov"/>
    <x v="1"/>
    <x v="25"/>
    <s v="BeyondPossible"/>
    <s v="SKADE, Outlaws, Windigo, Epsilon"/>
    <n v="24704"/>
    <n v="24951"/>
    <x v="168"/>
    <s v="74.1"/>
    <s v="5.4"/>
    <n v="1438"/>
    <n v="37654"/>
    <s v="0.66"/>
    <s v="0.13"/>
    <s v="0.66"/>
    <s v="0.08"/>
    <s v="0.08"/>
    <n v="17050"/>
    <s v="K - D diff."/>
    <n v="3809"/>
    <n v="3839"/>
    <s v="0.99"/>
    <n v="1"/>
    <s v="73.30%"/>
    <s v="14.20%"/>
    <n v="20604"/>
    <n v="11198"/>
    <n v="4335"/>
    <n v="1259"/>
    <n v="231"/>
    <n v="27"/>
    <n v="14660"/>
    <n v="3489"/>
    <n v="2456"/>
    <n v="3602"/>
    <n v="434"/>
    <n v="115"/>
    <s v="1.03"/>
  </r>
  <r>
    <n v="19015"/>
    <x v="592"/>
    <s v="Aurimas Pipiras"/>
    <x v="13"/>
    <x v="36"/>
    <s v="MOUZ"/>
    <s v="MOUZ, FaZe"/>
    <n v="6546"/>
    <n v="6488"/>
    <x v="64"/>
    <s v="70.7"/>
    <s v="2.8"/>
    <n v="385"/>
    <n v="10318"/>
    <s v="0.63"/>
    <s v="0.12"/>
    <s v="0.63"/>
    <s v="0.1"/>
    <s v="0.1"/>
    <n v="4568"/>
    <s v="K - D diff."/>
    <n v="805"/>
    <n v="823"/>
    <s v="0.98"/>
    <s v="0.92"/>
    <s v="75.20%"/>
    <s v="11.30%"/>
    <n v="5750"/>
    <n v="3050"/>
    <n v="1123"/>
    <n v="333"/>
    <n v="59"/>
    <n v="3"/>
    <n v="5235"/>
    <n v="64"/>
    <n v="158"/>
    <n v="1059"/>
    <n v="40"/>
    <n v="28"/>
    <s v="1.03"/>
  </r>
  <r>
    <n v="9916"/>
    <x v="593"/>
    <s v="MichaÅ‚ Gabszewicz"/>
    <x v="5"/>
    <x v="17"/>
    <m/>
    <s v="x-kom, Illuminar, Izako Boars"/>
    <n v="11640"/>
    <n v="11657"/>
    <x v="227"/>
    <s v="75.5"/>
    <s v="5.7"/>
    <n v="662"/>
    <n v="17680"/>
    <s v="0.66"/>
    <s v="0.13"/>
    <s v="0.66"/>
    <s v="0.07"/>
    <s v="0.09"/>
    <n v="8123"/>
    <s v="K - D diff."/>
    <n v="1224"/>
    <n v="1198"/>
    <s v="1.02"/>
    <s v="0.9"/>
    <s v="71.20%"/>
    <s v="9.90%"/>
    <n v="9557"/>
    <n v="5385"/>
    <n v="2079"/>
    <n v="552"/>
    <n v="94"/>
    <n v="13"/>
    <n v="8223"/>
    <n v="329"/>
    <n v="741"/>
    <n v="2159"/>
    <n v="201"/>
    <n v="28"/>
    <s v="0.97"/>
  </r>
  <r>
    <n v="13749"/>
    <x v="594"/>
    <s v="Jonas Dideriksen"/>
    <x v="6"/>
    <x v="9"/>
    <s v="MASONIC"/>
    <s v="MASONIC, x6tence"/>
    <n v="8306"/>
    <n v="8369"/>
    <x v="175"/>
    <s v="71.5"/>
    <s v="4.8"/>
    <n v="481"/>
    <n v="12960"/>
    <s v="0.64"/>
    <s v="0.12"/>
    <s v="0.65"/>
    <s v="0.1"/>
    <s v="0.11"/>
    <n v="5733"/>
    <s v="K - D diff."/>
    <n v="1020"/>
    <n v="1051"/>
    <s v="0.97"/>
    <s v="0.93"/>
    <s v="70.80%"/>
    <s v="11.10%"/>
    <n v="7227"/>
    <n v="3780"/>
    <n v="1452"/>
    <n v="387"/>
    <n v="109"/>
    <n v="5"/>
    <n v="6358"/>
    <n v="81"/>
    <n v="433"/>
    <n v="1317"/>
    <n v="117"/>
    <n v="22"/>
    <s v="1.03"/>
  </r>
  <r>
    <n v="10784"/>
    <x v="595"/>
    <s v="Alfred Karlsson"/>
    <x v="1"/>
    <x v="29"/>
    <s v="Into the Breach"/>
    <s v="GamerLegion, Singularity, Red Reserve"/>
    <n v="23216"/>
    <n v="23547"/>
    <x v="133"/>
    <s v="73.5"/>
    <s v="4.4"/>
    <n v="1298"/>
    <n v="35053"/>
    <s v="0.66"/>
    <s v="0.13"/>
    <s v="0.67"/>
    <s v="0.1"/>
    <s v="0.1"/>
    <n v="15940"/>
    <s v="K - D diff."/>
    <n v="3166"/>
    <n v="3538"/>
    <s v="0.89"/>
    <s v="0.95"/>
    <s v="70.60%"/>
    <s v="12.60%"/>
    <n v="19113"/>
    <n v="10287"/>
    <n v="4274"/>
    <n v="1156"/>
    <n v="202"/>
    <n v="21"/>
    <n v="16941"/>
    <n v="323"/>
    <n v="1431"/>
    <n v="4136"/>
    <n v="393"/>
    <n v="57"/>
    <s v="1.03"/>
  </r>
  <r>
    <n v="2898"/>
    <x v="596"/>
    <s v="Rasmus Steensborg"/>
    <x v="2"/>
    <x v="9"/>
    <s v="Sprout"/>
    <s v="Sprout, Lyngby Vikings, Ambush"/>
    <n v="17047"/>
    <n v="17443"/>
    <x v="249"/>
    <s v="71.5"/>
    <s v="4.9"/>
    <n v="958"/>
    <n v="25914"/>
    <s v="0.66"/>
    <s v="0.12"/>
    <s v="0.67"/>
    <s v="0.1"/>
    <s v="0.11"/>
    <n v="11635"/>
    <s v="K - D diff."/>
    <n v="2465"/>
    <n v="2448"/>
    <s v="1.01"/>
    <s v="0.98"/>
    <s v="71.10%"/>
    <s v="13.50%"/>
    <n v="14279"/>
    <n v="7543"/>
    <n v="3017"/>
    <n v="860"/>
    <n v="191"/>
    <n v="24"/>
    <n v="12794"/>
    <n v="112"/>
    <n v="1055"/>
    <n v="2779"/>
    <n v="319"/>
    <n v="43"/>
    <s v="0.97"/>
  </r>
  <r>
    <n v="8368"/>
    <x v="597"/>
    <s v="Savelii Bragin"/>
    <x v="8"/>
    <x v="2"/>
    <m/>
    <s v="Quantum Bellator Fire, PiTER, EPG"/>
    <n v="16152"/>
    <n v="16425"/>
    <x v="135"/>
    <s v="73.8"/>
    <s v="4.4"/>
    <n v="922"/>
    <n v="24189"/>
    <s v="0.67"/>
    <s v="0.13"/>
    <s v="0.68"/>
    <s v="0.09"/>
    <s v="0.08"/>
    <n v="11138"/>
    <s v="K - D diff."/>
    <n v="2181"/>
    <n v="2314"/>
    <s v="0.94"/>
    <s v="0.96"/>
    <s v="71.70%"/>
    <s v="13.20%"/>
    <n v="13051"/>
    <n v="7276"/>
    <n v="2902"/>
    <n v="789"/>
    <n v="154"/>
    <n v="17"/>
    <n v="10481"/>
    <n v="1414"/>
    <n v="967"/>
    <n v="2985"/>
    <n v="258"/>
    <n v="79"/>
    <s v="0.97"/>
  </r>
  <r>
    <n v="10192"/>
    <x v="598"/>
    <s v="JiaMing Gu"/>
    <x v="3"/>
    <x v="10"/>
    <s v="Invictus"/>
    <s v="Invictus, EHOME, BOOT"/>
    <n v="10691"/>
    <n v="10922"/>
    <x v="271"/>
    <s v="74.2"/>
    <s v="2.7"/>
    <n v="598"/>
    <n v="15794"/>
    <s v="0.68"/>
    <s v="0.12"/>
    <s v="0.69"/>
    <s v="0.09"/>
    <s v="0.09"/>
    <n v="7376"/>
    <s v="K - D diff."/>
    <n v="1647"/>
    <n v="1660"/>
    <s v="0.99"/>
    <s v="1.01"/>
    <s v="70.70%"/>
    <s v="15.30%"/>
    <n v="8418"/>
    <n v="4822"/>
    <n v="1913"/>
    <n v="528"/>
    <n v="106"/>
    <n v="7"/>
    <n v="5374"/>
    <n v="2683"/>
    <n v="637"/>
    <n v="1925"/>
    <n v="65"/>
    <n v="38"/>
    <s v="0.97"/>
  </r>
  <r>
    <n v="15117"/>
    <x v="599"/>
    <s v="Nicolas Dgus"/>
    <x v="0"/>
    <x v="35"/>
    <s v="Falcons"/>
    <s v="Syman, LDLC, K23"/>
    <n v="14980"/>
    <n v="15598"/>
    <x v="199"/>
    <s v="75.1"/>
    <s v="4.9"/>
    <n v="832"/>
    <n v="22130"/>
    <s v="0.68"/>
    <s v="0.13"/>
    <s v="0.7"/>
    <s v="0.11"/>
    <s v="0.09"/>
    <n v="10089"/>
    <s v="K - D diff."/>
    <n v="2408"/>
    <n v="2720"/>
    <s v="0.89"/>
    <s v="1.01"/>
    <s v="72.90%"/>
    <s v="15.80%"/>
    <n v="12041"/>
    <n v="6409"/>
    <n v="2652"/>
    <n v="861"/>
    <n v="151"/>
    <n v="16"/>
    <n v="10575"/>
    <n v="985"/>
    <n v="704"/>
    <n v="2483"/>
    <n v="218"/>
    <n v="66"/>
    <s v="1.03"/>
  </r>
  <r>
    <n v="3886"/>
    <x v="600"/>
    <s v="Sebastian Bucki"/>
    <x v="9"/>
    <x v="24"/>
    <m/>
    <s v="Ghost, New Identity, Bee's Money Crew"/>
    <n v="10456"/>
    <n v="10680"/>
    <x v="177"/>
    <n v="76"/>
    <s v="4.1"/>
    <n v="603"/>
    <n v="15586"/>
    <s v="0.67"/>
    <s v="0.15"/>
    <s v="0.69"/>
    <s v="0.11"/>
    <s v="0.11"/>
    <n v="7209"/>
    <s v="K - D diff."/>
    <n v="1287"/>
    <n v="1416"/>
    <s v="0.91"/>
    <s v="0.93"/>
    <s v="70.10%"/>
    <s v="11.60%"/>
    <n v="8377"/>
    <n v="4714"/>
    <n v="1876"/>
    <n v="496"/>
    <n v="113"/>
    <n v="10"/>
    <n v="7010"/>
    <n v="86"/>
    <n v="955"/>
    <n v="2239"/>
    <n v="128"/>
    <n v="60"/>
    <s v="0.97"/>
  </r>
  <r>
    <n v="14055"/>
    <x v="601"/>
    <s v="Dmitriy Senigov"/>
    <x v="8"/>
    <x v="2"/>
    <s v="Trident"/>
    <s v="1WIN, Monolith, Spartak"/>
    <n v="6962"/>
    <n v="7069"/>
    <x v="27"/>
    <n v="74"/>
    <s v="4.2"/>
    <n v="395"/>
    <n v="10494"/>
    <s v="0.66"/>
    <s v="0.14"/>
    <s v="0.67"/>
    <s v="0.1"/>
    <s v="0.11"/>
    <n v="4820"/>
    <s v="K - D diff."/>
    <n v="933"/>
    <n v="1024"/>
    <s v="0.91"/>
    <s v="0.95"/>
    <s v="74.10%"/>
    <s v="13.10%"/>
    <n v="5674"/>
    <n v="3172"/>
    <n v="1242"/>
    <n v="323"/>
    <n v="78"/>
    <n v="5"/>
    <n v="4951"/>
    <n v="189"/>
    <n v="496"/>
    <n v="1241"/>
    <n v="89"/>
    <n v="10"/>
    <s v="1.03"/>
  </r>
  <r>
    <n v="302"/>
    <x v="602"/>
    <s v="Emil Akhundov"/>
    <x v="10"/>
    <x v="2"/>
    <m/>
    <s v="HellRaisers, Virtus.pro"/>
    <n v="14944"/>
    <n v="15089"/>
    <x v="224"/>
    <s v="74.2"/>
    <s v="2.6"/>
    <n v="852"/>
    <n v="22314"/>
    <s v="0.67"/>
    <s v="0.15"/>
    <s v="0.68"/>
    <s v="0.1"/>
    <s v="0.1"/>
    <n v="10358"/>
    <s v="K - D diff."/>
    <n v="1930"/>
    <n v="1725"/>
    <s v="1.12"/>
    <s v="0.97"/>
    <s v="74.30%"/>
    <s v="12.60%"/>
    <n v="11956"/>
    <n v="6807"/>
    <n v="2730"/>
    <n v="683"/>
    <n v="119"/>
    <n v="19"/>
    <n v="10659"/>
    <n v="1101"/>
    <n v="364"/>
    <n v="2630"/>
    <n v="181"/>
    <n v="16"/>
    <s v="0.97"/>
  </r>
  <r>
    <n v="12129"/>
    <x v="603"/>
    <s v="Anupong Mueangngam"/>
    <x v="8"/>
    <x v="26"/>
    <s v="LZ"/>
    <s v="Beyond, Signature, Alpha Red"/>
    <n v="10034"/>
    <n v="10257"/>
    <x v="169"/>
    <s v="74.5"/>
    <n v="3"/>
    <n v="591"/>
    <n v="15136"/>
    <s v="0.66"/>
    <s v="0.15"/>
    <s v="0.68"/>
    <s v="0.13"/>
    <s v="0.11"/>
    <n v="6919"/>
    <s v="K - D diff."/>
    <n v="1377"/>
    <n v="1459"/>
    <s v="0.94"/>
    <s v="0.96"/>
    <s v="73.20%"/>
    <s v="12.70%"/>
    <n v="8217"/>
    <n v="4552"/>
    <n v="1743"/>
    <n v="509"/>
    <n v="106"/>
    <n v="9"/>
    <n v="7220"/>
    <n v="31"/>
    <n v="1011"/>
    <n v="1656"/>
    <n v="82"/>
    <n v="55"/>
    <s v="1.05"/>
  </r>
  <r>
    <n v="8446"/>
    <x v="604"/>
    <s v="Ruan van Wyk"/>
    <x v="11"/>
    <x v="34"/>
    <m/>
    <s v="Bravado"/>
    <n v="6410"/>
    <n v="6354"/>
    <x v="98"/>
    <s v="69.6"/>
    <s v="3.6"/>
    <n v="397"/>
    <n v="10059"/>
    <s v="0.64"/>
    <s v="0.14"/>
    <s v="0.63"/>
    <s v="0.1"/>
    <s v="0.11"/>
    <n v="4506"/>
    <s v="K - D diff."/>
    <n v="733"/>
    <n v="707"/>
    <s v="1.04"/>
    <s v="0.91"/>
    <s v="77.80%"/>
    <s v="10.60%"/>
    <n v="5553"/>
    <n v="3018"/>
    <n v="1131"/>
    <n v="308"/>
    <n v="43"/>
    <n v="6"/>
    <n v="4707"/>
    <n v="157"/>
    <n v="413"/>
    <n v="1051"/>
    <n v="78"/>
    <n v="27"/>
    <s v="0.97"/>
  </r>
  <r>
    <n v="8321"/>
    <x v="605"/>
    <s v="Oskar Stenborowski"/>
    <x v="8"/>
    <x v="17"/>
    <s v="Anonymo"/>
    <s v="x-kom, Illuminar, AGO"/>
    <n v="18370"/>
    <n v="18741"/>
    <x v="69"/>
    <s v="70.7"/>
    <s v="4.3"/>
    <n v="1054"/>
    <n v="28144"/>
    <s v="0.65"/>
    <s v="0.13"/>
    <s v="0.67"/>
    <s v="0.1"/>
    <s v="0.1"/>
    <n v="12644"/>
    <s v="K - D diff."/>
    <n v="2577"/>
    <n v="2777"/>
    <s v="0.93"/>
    <s v="0.96"/>
    <s v="71.70%"/>
    <s v="13.10%"/>
    <n v="15500"/>
    <n v="8317"/>
    <n v="3168"/>
    <n v="947"/>
    <n v="191"/>
    <n v="21"/>
    <n v="13072"/>
    <n v="643"/>
    <n v="984"/>
    <n v="3428"/>
    <n v="240"/>
    <n v="59"/>
    <s v="0.97"/>
  </r>
  <r>
    <n v="7388"/>
    <x v="606"/>
    <s v="Aitor FernÃ¡ndez"/>
    <x v="11"/>
    <x v="30"/>
    <s v="Gravity 0"/>
    <s v="Movistar Riders, x6tence, k1ck"/>
    <n v="11465"/>
    <n v="11889"/>
    <x v="36"/>
    <s v="75.8"/>
    <s v="2.8"/>
    <n v="642"/>
    <n v="16858"/>
    <s v="0.68"/>
    <s v="0.15"/>
    <s v="0.71"/>
    <s v="0.12"/>
    <s v="0.11"/>
    <n v="7823"/>
    <s v="K - D diff."/>
    <n v="1925"/>
    <n v="1980"/>
    <s v="0.97"/>
    <s v="1.04"/>
    <s v="71.10%"/>
    <s v="16.30%"/>
    <n v="9035"/>
    <n v="5047"/>
    <n v="2058"/>
    <n v="587"/>
    <n v="114"/>
    <n v="17"/>
    <n v="7625"/>
    <n v="985"/>
    <n v="665"/>
    <n v="2089"/>
    <n v="99"/>
    <n v="28"/>
    <s v="0.97"/>
  </r>
  <r>
    <n v="17792"/>
    <x v="607"/>
    <s v="Aman Seitkaliyev"/>
    <x v="0"/>
    <x v="42"/>
    <s v="AVANGAR"/>
    <s v="100PG, Unique"/>
    <n v="7803"/>
    <n v="8065"/>
    <x v="272"/>
    <s v="73.1"/>
    <s v="3.5"/>
    <n v="436"/>
    <n v="11668"/>
    <s v="0.67"/>
    <s v="0.12"/>
    <s v="0.69"/>
    <s v="0.11"/>
    <s v="0.12"/>
    <n v="5317"/>
    <s v="K - D diff."/>
    <n v="1131"/>
    <n v="1222"/>
    <s v="0.93"/>
    <s v="0.98"/>
    <s v="70.60%"/>
    <s v="13.80%"/>
    <n v="6351"/>
    <n v="3435"/>
    <n v="1360"/>
    <n v="447"/>
    <n v="68"/>
    <n v="7"/>
    <n v="5838"/>
    <n v="203"/>
    <n v="394"/>
    <n v="1301"/>
    <n v="69"/>
    <n v="26"/>
    <s v="1.01"/>
  </r>
  <r>
    <n v="6593"/>
    <x v="608"/>
    <s v="Vinicios Coelho"/>
    <x v="3"/>
    <x v="3"/>
    <s v="paiN"/>
    <s v="paiN, Luminosity, Wild"/>
    <n v="19872"/>
    <n v="20270"/>
    <x v="273"/>
    <s v="74.3"/>
    <s v="4.1"/>
    <n v="1158"/>
    <n v="30259"/>
    <s v="0.66"/>
    <s v="0.14"/>
    <s v="0.67"/>
    <s v="0.1"/>
    <s v="0.09"/>
    <n v="13677"/>
    <s v="K - D diff."/>
    <n v="3001"/>
    <n v="3167"/>
    <s v="0.95"/>
    <s v="0.99"/>
    <s v="73.50%"/>
    <s v="13.80%"/>
    <n v="16582"/>
    <n v="8913"/>
    <n v="3546"/>
    <n v="1021"/>
    <n v="181"/>
    <n v="16"/>
    <n v="14758"/>
    <n v="827"/>
    <n v="1165"/>
    <n v="2898"/>
    <n v="228"/>
    <n v="42"/>
    <s v="0.97"/>
  </r>
  <r>
    <n v="8569"/>
    <x v="609"/>
    <s v="TimothÃ©e DÃ©molon"/>
    <x v="2"/>
    <x v="0"/>
    <s v="UBITEAM"/>
    <s v="LDLC, Envy, LDLC White, 3DMAX"/>
    <n v="11006"/>
    <n v="11297"/>
    <x v="99"/>
    <s v="73.3"/>
    <s v="3.7"/>
    <n v="636"/>
    <n v="16582"/>
    <s v="0.66"/>
    <s v="0.13"/>
    <s v="0.68"/>
    <s v="0.1"/>
    <s v="0.09"/>
    <n v="7544"/>
    <s v="K - D diff."/>
    <n v="1544"/>
    <n v="1636"/>
    <s v="0.94"/>
    <s v="0.97"/>
    <s v="70.20%"/>
    <s v="13.20%"/>
    <n v="9038"/>
    <n v="4888"/>
    <n v="1978"/>
    <n v="566"/>
    <n v="104"/>
    <n v="8"/>
    <n v="7264"/>
    <n v="287"/>
    <n v="1065"/>
    <n v="2228"/>
    <n v="120"/>
    <n v="62"/>
    <s v="0.97"/>
  </r>
  <r>
    <n v="3347"/>
    <x v="610"/>
    <s v="Denis Kostin"/>
    <x v="2"/>
    <x v="2"/>
    <s v="ex-Singularity"/>
    <s v="Natus Vincere"/>
    <n v="26348"/>
    <n v="26940"/>
    <x v="124"/>
    <s v="72.8"/>
    <s v="5.4"/>
    <n v="1507"/>
    <n v="39658"/>
    <s v="0.66"/>
    <s v="0.15"/>
    <s v="0.68"/>
    <s v="0.08"/>
    <s v="0.07"/>
    <n v="18157"/>
    <s v="K - D diff."/>
    <n v="3935"/>
    <n v="4229"/>
    <s v="0.93"/>
    <s v="0.99"/>
    <s v="73.90%"/>
    <s v="14.30%"/>
    <n v="21501"/>
    <n v="11915"/>
    <n v="4642"/>
    <n v="1330"/>
    <n v="247"/>
    <n v="23"/>
    <n v="18815"/>
    <n v="1313"/>
    <n v="1434"/>
    <n v="4193"/>
    <n v="411"/>
    <n v="218"/>
    <s v="0.97"/>
  </r>
  <r>
    <n v="10666"/>
    <x v="611"/>
    <s v="Maitri Sukrob"/>
    <x v="1"/>
    <x v="26"/>
    <s v="LZ"/>
    <s v="Alpha Red, Beyond, NSPR"/>
    <n v="8516"/>
    <n v="8729"/>
    <x v="27"/>
    <s v="73.2"/>
    <s v="3.5"/>
    <n v="495"/>
    <n v="12791"/>
    <s v="0.67"/>
    <s v="0.13"/>
    <s v="0.68"/>
    <s v="0.1"/>
    <s v="0.1"/>
    <n v="5886"/>
    <s v="K - D diff."/>
    <n v="1143"/>
    <n v="1262"/>
    <s v="0.91"/>
    <s v="0.95"/>
    <s v="73.80%"/>
    <s v="13.00%"/>
    <n v="6905"/>
    <n v="3884"/>
    <n v="1466"/>
    <n v="450"/>
    <n v="80"/>
    <n v="6"/>
    <n v="6228"/>
    <n v="254"/>
    <n v="512"/>
    <n v="1409"/>
    <n v="100"/>
    <n v="44"/>
    <s v="1.02"/>
  </r>
  <r>
    <n v="7925"/>
    <x v="612"/>
    <s v="GÃ¡bor MÃ¡lovics"/>
    <x v="15"/>
    <x v="8"/>
    <m/>
    <s v="GameAgents, volgare"/>
    <n v="7943"/>
    <n v="8207"/>
    <x v="271"/>
    <n v="76"/>
    <s v="4.6"/>
    <n v="441"/>
    <n v="11654"/>
    <s v="0.68"/>
    <s v="0.16"/>
    <s v="0.7"/>
    <s v="0.11"/>
    <s v="0.11"/>
    <n v="5470"/>
    <s v="K - D diff."/>
    <n v="1142"/>
    <n v="1096"/>
    <s v="1.04"/>
    <n v="1"/>
    <s v="71.80%"/>
    <s v="14.70%"/>
    <n v="6184"/>
    <n v="3575"/>
    <n v="1428"/>
    <n v="369"/>
    <n v="93"/>
    <n v="5"/>
    <n v="4880"/>
    <n v="1030"/>
    <n v="288"/>
    <n v="1628"/>
    <n v="92"/>
    <n v="46"/>
    <s v="0.97"/>
  </r>
  <r>
    <n v="14957"/>
    <x v="613"/>
    <s v="Daryl May"/>
    <x v="6"/>
    <x v="15"/>
    <m/>
    <s v="Genuine, Chiefs, Surge"/>
    <n v="7380"/>
    <n v="7600"/>
    <x v="27"/>
    <s v="72.9"/>
    <s v="4.6"/>
    <n v="433"/>
    <n v="11216"/>
    <s v="0.66"/>
    <s v="0.13"/>
    <s v="0.68"/>
    <s v="0.1"/>
    <s v="0.1"/>
    <n v="5083"/>
    <s v="K - D diff."/>
    <n v="867"/>
    <n v="968"/>
    <s v="0.9"/>
    <s v="0.91"/>
    <s v="74.40%"/>
    <s v="11.50%"/>
    <n v="6133"/>
    <n v="3351"/>
    <n v="1268"/>
    <n v="373"/>
    <n v="81"/>
    <n v="10"/>
    <n v="5233"/>
    <n v="395"/>
    <n v="346"/>
    <n v="1320"/>
    <n v="99"/>
    <n v="13"/>
    <s v="1.01"/>
  </r>
  <r>
    <n v="971"/>
    <x v="614"/>
    <s v="Jesse Grandell"/>
    <x v="15"/>
    <x v="23"/>
    <m/>
    <s v="SJ, HAVU"/>
    <n v="15822"/>
    <n v="16067"/>
    <x v="220"/>
    <n v="71"/>
    <s v="4.7"/>
    <n v="935"/>
    <n v="24443"/>
    <s v="0.65"/>
    <s v="0.14"/>
    <s v="0.66"/>
    <s v="0.1"/>
    <s v="0.1"/>
    <n v="10923"/>
    <s v="K - D diff."/>
    <n v="1927"/>
    <n v="2121"/>
    <s v="0.91"/>
    <s v="0.92"/>
    <s v="72.10%"/>
    <s v="11.20%"/>
    <n v="13520"/>
    <n v="7141"/>
    <n v="2825"/>
    <n v="817"/>
    <n v="132"/>
    <n v="8"/>
    <n v="12016"/>
    <n v="111"/>
    <n v="710"/>
    <n v="2704"/>
    <n v="224"/>
    <n v="78"/>
    <s v="0.97"/>
  </r>
  <r>
    <n v="11248"/>
    <x v="615"/>
    <s v="Sattawut Reathong"/>
    <x v="3"/>
    <x v="26"/>
    <m/>
    <s v="Lucid Dream, Maple, Signature"/>
    <n v="6618"/>
    <n v="6689"/>
    <x v="248"/>
    <s v="72.1"/>
    <s v="3.5"/>
    <n v="398"/>
    <n v="10120"/>
    <s v="0.65"/>
    <s v="0.13"/>
    <s v="0.66"/>
    <s v="0.09"/>
    <s v="0.08"/>
    <n v="4618"/>
    <s v="K - D diff."/>
    <n v="882"/>
    <n v="809"/>
    <s v="1.09"/>
    <s v="0.97"/>
    <s v="71.50%"/>
    <s v="12.40%"/>
    <n v="5502"/>
    <n v="3054"/>
    <n v="1179"/>
    <n v="338"/>
    <n v="43"/>
    <n v="4"/>
    <n v="3794"/>
    <n v="708"/>
    <n v="833"/>
    <n v="1216"/>
    <n v="59"/>
    <n v="15"/>
    <s v="1.02"/>
  </r>
  <r>
    <n v="11891"/>
    <x v="616"/>
    <s v="Tomasz WÃ³jcik"/>
    <x v="8"/>
    <x v="17"/>
    <s v="Illuminar"/>
    <s v="Illuminar, AGO, Virtus.pro"/>
    <n v="22976"/>
    <n v="23369"/>
    <x v="8"/>
    <s v="73.2"/>
    <s v="5.8"/>
    <n v="1312"/>
    <n v="35125"/>
    <s v="0.65"/>
    <s v="0.13"/>
    <s v="0.67"/>
    <s v="0.09"/>
    <s v="0.09"/>
    <n v="15974"/>
    <s v="K - D diff."/>
    <n v="2796"/>
    <n v="2915"/>
    <s v="0.96"/>
    <s v="0.93"/>
    <s v="73.00%"/>
    <s v="11.30%"/>
    <n v="19151"/>
    <n v="10531"/>
    <n v="4139"/>
    <n v="1066"/>
    <n v="221"/>
    <n v="17"/>
    <n v="17039"/>
    <n v="679"/>
    <n v="1177"/>
    <n v="3651"/>
    <n v="399"/>
    <n v="54"/>
    <s v="1.02"/>
  </r>
  <r>
    <n v="8137"/>
    <x v="617"/>
    <s v="Stephen Cutler"/>
    <x v="10"/>
    <x v="24"/>
    <m/>
    <s v="CLG"/>
    <n v="14788"/>
    <n v="14862"/>
    <x v="257"/>
    <s v="73.3"/>
    <s v="3.7"/>
    <n v="865"/>
    <n v="22664"/>
    <s v="0.65"/>
    <s v="0.15"/>
    <s v="0.66"/>
    <s v="0.09"/>
    <s v="0.1"/>
    <n v="10411"/>
    <s v="K - D diff."/>
    <n v="1888"/>
    <n v="1855"/>
    <s v="1.02"/>
    <s v="0.95"/>
    <s v="73.80%"/>
    <s v="12.30%"/>
    <n v="12253"/>
    <n v="6991"/>
    <n v="2630"/>
    <n v="656"/>
    <n v="122"/>
    <n v="12"/>
    <n v="10174"/>
    <n v="805"/>
    <n v="760"/>
    <n v="2803"/>
    <n v="215"/>
    <n v="50"/>
    <s v="0.97"/>
  </r>
  <r>
    <n v="7716"/>
    <x v="618"/>
    <s v="Leonid Vishnyakov"/>
    <x v="8"/>
    <x v="2"/>
    <s v="Spirit"/>
    <s v="Spirit, Vega Squadron"/>
    <n v="19066"/>
    <n v="19479"/>
    <x v="274"/>
    <s v="72.1"/>
    <s v="4.4"/>
    <n v="1103"/>
    <n v="29250"/>
    <s v="0.65"/>
    <s v="0.13"/>
    <s v="0.67"/>
    <s v="0.1"/>
    <s v="0.09"/>
    <n v="13161"/>
    <s v="K - D diff."/>
    <n v="2856"/>
    <n v="3120"/>
    <s v="0.92"/>
    <s v="0.98"/>
    <s v="70.80%"/>
    <s v="13.40%"/>
    <n v="16089"/>
    <n v="8598"/>
    <n v="3421"/>
    <n v="957"/>
    <n v="171"/>
    <n v="14"/>
    <n v="13854"/>
    <n v="178"/>
    <n v="1583"/>
    <n v="3172"/>
    <n v="270"/>
    <n v="72"/>
    <s v="0.97"/>
  </r>
  <r>
    <n v="11161"/>
    <x v="619"/>
    <s v="ZhiTao Zhang"/>
    <x v="2"/>
    <x v="10"/>
    <s v="CatEvil"/>
    <s v="New4, FIVE, BTRG"/>
    <n v="7210"/>
    <n v="7560"/>
    <x v="205"/>
    <s v="73.8"/>
    <s v="2.7"/>
    <n v="415"/>
    <n v="10684"/>
    <s v="0.67"/>
    <s v="0.13"/>
    <s v="0.71"/>
    <s v="0.09"/>
    <s v="0.1"/>
    <n v="4894"/>
    <s v="K - D diff."/>
    <n v="996"/>
    <n v="1044"/>
    <s v="0.95"/>
    <s v="0.97"/>
    <s v="71.40%"/>
    <s v="13.80%"/>
    <n v="5790"/>
    <n v="3143"/>
    <n v="1286"/>
    <n v="375"/>
    <n v="80"/>
    <n v="10"/>
    <n v="4743"/>
    <n v="568"/>
    <n v="534"/>
    <n v="1305"/>
    <n v="53"/>
    <n v="29"/>
    <s v="1.01"/>
  </r>
  <r>
    <n v="7368"/>
    <x v="620"/>
    <s v="Bartosz Wolny"/>
    <x v="15"/>
    <x v="17"/>
    <m/>
    <s v="AGG, Vexed, Kinguin, Izako Boars"/>
    <n v="11144"/>
    <n v="11311"/>
    <x v="82"/>
    <s v="69.9"/>
    <s v="2.8"/>
    <n v="646"/>
    <n v="16949"/>
    <s v="0.66"/>
    <s v="0.12"/>
    <s v="0.67"/>
    <s v="0.08"/>
    <s v="0.08"/>
    <n v="7776"/>
    <s v="K - D diff."/>
    <n v="1364"/>
    <n v="1556"/>
    <s v="0.88"/>
    <s v="0.92"/>
    <s v="71.40%"/>
    <s v="11.50%"/>
    <n v="9173"/>
    <n v="5154"/>
    <n v="2004"/>
    <n v="516"/>
    <n v="90"/>
    <n v="12"/>
    <n v="7734"/>
    <n v="640"/>
    <n v="792"/>
    <n v="1832"/>
    <n v="128"/>
    <n v="29"/>
    <s v="0.96"/>
  </r>
  <r>
    <n v="9019"/>
    <x v="621"/>
    <s v="Kia Man"/>
    <x v="5"/>
    <x v="5"/>
    <s v="Endpoint"/>
    <s v="Endpoint, Epsilon, Complexity"/>
    <n v="26062"/>
    <n v="26818"/>
    <x v="256"/>
    <s v="72.2"/>
    <s v="3.3"/>
    <n v="1518"/>
    <n v="39795"/>
    <s v="0.65"/>
    <s v="0.13"/>
    <s v="0.67"/>
    <s v="0.1"/>
    <s v="0.09"/>
    <n v="17945"/>
    <s v="K - D diff."/>
    <n v="4108"/>
    <n v="4290"/>
    <s v="0.96"/>
    <n v="1"/>
    <s v="71.10%"/>
    <s v="14.50%"/>
    <n v="21850"/>
    <n v="11747"/>
    <n v="4581"/>
    <n v="1342"/>
    <n v="248"/>
    <n v="27"/>
    <n v="17259"/>
    <n v="2721"/>
    <n v="1319"/>
    <n v="4470"/>
    <n v="314"/>
    <n v="58"/>
    <s v="0.96"/>
  </r>
  <r>
    <n v="11995"/>
    <x v="622"/>
    <s v="Thomas BundsbÃ¦k"/>
    <x v="7"/>
    <x v="9"/>
    <s v="ex-MAD Lions"/>
    <s v="MAD Lions, AGF, Copenhagen Flames"/>
    <n v="13000"/>
    <n v="13494"/>
    <x v="186"/>
    <s v="77.6"/>
    <s v="7.5"/>
    <n v="738"/>
    <n v="19595"/>
    <s v="0.66"/>
    <s v="0.16"/>
    <s v="0.69"/>
    <s v="0.1"/>
    <s v="0.09"/>
    <n v="8876"/>
    <s v="K - D diff."/>
    <n v="2238"/>
    <n v="2431"/>
    <s v="0.92"/>
    <s v="1.03"/>
    <s v="73.50%"/>
    <s v="16.20%"/>
    <n v="10719"/>
    <n v="5711"/>
    <n v="2373"/>
    <n v="640"/>
    <n v="137"/>
    <n v="15"/>
    <n v="8927"/>
    <n v="1016"/>
    <n v="705"/>
    <n v="2050"/>
    <n v="288"/>
    <n v="67"/>
    <s v="1.05"/>
  </r>
  <r>
    <n v="8566"/>
    <x v="623"/>
    <s v="Lucas Teles"/>
    <x v="2"/>
    <x v="3"/>
    <m/>
    <s v="Immortals, Luminosity, MIBR, Tempo Storm"/>
    <n v="16073"/>
    <n v="16554"/>
    <x v="30"/>
    <s v="76.6"/>
    <s v="3.9"/>
    <n v="943"/>
    <n v="24480"/>
    <s v="0.66"/>
    <s v="0.16"/>
    <s v="0.68"/>
    <s v="0.1"/>
    <s v="0.09"/>
    <n v="11048"/>
    <s v="K - D diff."/>
    <n v="2454"/>
    <n v="2613"/>
    <s v="0.94"/>
    <s v="0.99"/>
    <s v="71.30%"/>
    <s v="13.80%"/>
    <n v="13432"/>
    <n v="7188"/>
    <n v="2877"/>
    <n v="816"/>
    <n v="153"/>
    <n v="14"/>
    <n v="11720"/>
    <n v="259"/>
    <n v="722"/>
    <n v="3072"/>
    <n v="206"/>
    <n v="130"/>
    <s v="0.96"/>
  </r>
  <r>
    <n v="14388"/>
    <x v="624"/>
    <s v="Erik Sith"/>
    <x v="6"/>
    <x v="20"/>
    <s v="Enterprise"/>
    <s v="Enterprise, Universe"/>
    <n v="9244"/>
    <n v="9465"/>
    <x v="61"/>
    <s v="71.7"/>
    <s v="4.8"/>
    <n v="529"/>
    <n v="14315"/>
    <s v="0.65"/>
    <s v="0.12"/>
    <s v="0.66"/>
    <s v="0.1"/>
    <s v="0.09"/>
    <n v="6371"/>
    <s v="K - D diff."/>
    <n v="1252"/>
    <n v="1303"/>
    <s v="0.96"/>
    <s v="0.95"/>
    <s v="72.80%"/>
    <s v="13.00%"/>
    <n v="7944"/>
    <n v="4163"/>
    <n v="1642"/>
    <n v="476"/>
    <n v="81"/>
    <n v="9"/>
    <n v="6426"/>
    <n v="477"/>
    <n v="707"/>
    <n v="1510"/>
    <n v="126"/>
    <n v="34"/>
    <s v="1.01"/>
  </r>
  <r>
    <n v="823"/>
    <x v="625"/>
    <s v="Mathieu Quiquerez"/>
    <x v="15"/>
    <x v="43"/>
    <m/>
    <s v="LDLC, Titan"/>
    <n v="14478"/>
    <n v="14866"/>
    <x v="275"/>
    <s v="74.4"/>
    <s v="2.1"/>
    <n v="837"/>
    <n v="22049"/>
    <s v="0.66"/>
    <s v="0.14"/>
    <s v="0.67"/>
    <s v="0.08"/>
    <s v="0.08"/>
    <n v="9958"/>
    <s v="K - D diff."/>
    <n v="1767"/>
    <n v="2096"/>
    <s v="0.84"/>
    <s v="0.91"/>
    <s v="72.70%"/>
    <s v="11.50%"/>
    <n v="12091"/>
    <n v="6527"/>
    <n v="2556"/>
    <n v="719"/>
    <n v="145"/>
    <n v="11"/>
    <n v="10700"/>
    <n v="151"/>
    <n v="716"/>
    <n v="2739"/>
    <n v="158"/>
    <n v="21"/>
    <s v="0.96"/>
  </r>
  <r>
    <n v="303"/>
    <x v="626"/>
    <s v="Sergey Ischuk"/>
    <x v="12"/>
    <x v="1"/>
    <m/>
    <s v="Natus Vincere, Spirit"/>
    <n v="10839"/>
    <n v="11114"/>
    <x v="97"/>
    <s v="73.2"/>
    <s v="3.8"/>
    <n v="630"/>
    <n v="16590"/>
    <s v="0.65"/>
    <s v="0.14"/>
    <s v="0.67"/>
    <s v="0.09"/>
    <s v="0.09"/>
    <n v="7480"/>
    <s v="K - D diff."/>
    <n v="1471"/>
    <n v="1525"/>
    <s v="0.96"/>
    <s v="0.96"/>
    <s v="74.90%"/>
    <s v="12.90%"/>
    <n v="9110"/>
    <n v="4941"/>
    <n v="1890"/>
    <n v="525"/>
    <n v="112"/>
    <n v="12"/>
    <n v="7735"/>
    <n v="726"/>
    <n v="321"/>
    <n v="1897"/>
    <n v="144"/>
    <n v="20"/>
    <s v="0.96"/>
  </r>
  <r>
    <n v="17918"/>
    <x v="627"/>
    <s v="Carson O'Reilly"/>
    <x v="4"/>
    <x v="24"/>
    <s v="Gaimin Gladiators"/>
    <s v="Gaimin Gladiators, Rebirth, ChocoCheck, Recon 5"/>
    <n v="8880"/>
    <n v="9253"/>
    <x v="185"/>
    <s v="75.6"/>
    <s v="6.1"/>
    <n v="503"/>
    <n v="13296"/>
    <s v="0.67"/>
    <s v="0.14"/>
    <s v="0.7"/>
    <s v="0.09"/>
    <s v="0.08"/>
    <n v="6059"/>
    <s v="K - D diff."/>
    <n v="1446"/>
    <n v="1607"/>
    <s v="0.9"/>
    <s v="1.01"/>
    <s v="72.50%"/>
    <s v="15.50%"/>
    <n v="7237"/>
    <n v="3894"/>
    <n v="1626"/>
    <n v="434"/>
    <n v="93"/>
    <n v="12"/>
    <n v="6461"/>
    <n v="221"/>
    <n v="557"/>
    <n v="1441"/>
    <n v="151"/>
    <n v="89"/>
    <s v="1.03"/>
  </r>
  <r>
    <n v="7170"/>
    <x v="628"/>
    <s v="Edouard Dubourdeaux"/>
    <x v="10"/>
    <x v="0"/>
    <m/>
    <s v="G2, Titan, VeryGames, Envy, LDLC"/>
    <n v="19726"/>
    <n v="20269"/>
    <x v="188"/>
    <s v="66.1"/>
    <s v="2.3"/>
    <n v="1161"/>
    <n v="30130"/>
    <s v="0.65"/>
    <s v="0.14"/>
    <s v="0.67"/>
    <s v="0.1"/>
    <s v="0.08"/>
    <n v="13534"/>
    <s v="K - D diff."/>
    <n v="3512"/>
    <n v="3506"/>
    <n v="1"/>
    <s v="1.06"/>
    <s v="76.60%"/>
    <s v="16.70%"/>
    <n v="16596"/>
    <n v="8813"/>
    <n v="3519"/>
    <n v="1007"/>
    <n v="176"/>
    <n v="19"/>
    <n v="9307"/>
    <n v="5426"/>
    <n v="924"/>
    <n v="3816"/>
    <n v="210"/>
    <n v="59"/>
    <s v="0.96"/>
  </r>
  <r>
    <n v="14221"/>
    <x v="629"/>
    <s v="Kacper SÅ‚oma"/>
    <x v="5"/>
    <x v="17"/>
    <s v="GRAFICIARZE"/>
    <s v="AGO, Kinguin, Wisla Krakow, adwokacik"/>
    <n v="9154"/>
    <n v="9322"/>
    <x v="248"/>
    <s v="72.1"/>
    <s v="3.8"/>
    <n v="536"/>
    <n v="14240"/>
    <s v="0.64"/>
    <s v="0.14"/>
    <s v="0.65"/>
    <s v="0.1"/>
    <s v="0.1"/>
    <n v="6379"/>
    <s v="K - D diff."/>
    <n v="1169"/>
    <n v="1176"/>
    <s v="0.99"/>
    <s v="0.94"/>
    <s v="72.20%"/>
    <s v="11.80%"/>
    <n v="7861"/>
    <n v="4256"/>
    <n v="1573"/>
    <n v="455"/>
    <n v="88"/>
    <n v="7"/>
    <n v="6585"/>
    <n v="161"/>
    <n v="707"/>
    <n v="1571"/>
    <n v="140"/>
    <n v="5"/>
    <s v="1.02"/>
  </r>
  <r>
    <n v="16921"/>
    <x v="630"/>
    <s v="Vladislav Gorshkov"/>
    <x v="0"/>
    <x v="2"/>
    <s v="Cloud9"/>
    <s v="Gambit Youngsters, Gambit"/>
    <n v="15599"/>
    <n v="16297"/>
    <x v="130"/>
    <s v="74.4"/>
    <s v="4.9"/>
    <n v="885"/>
    <n v="23491"/>
    <s v="0.66"/>
    <s v="0.14"/>
    <s v="0.69"/>
    <s v="0.1"/>
    <s v="0.08"/>
    <n v="10636"/>
    <s v="K - D diff."/>
    <n v="2853"/>
    <n v="3450"/>
    <s v="0.83"/>
    <s v="1.03"/>
    <s v="76.00%"/>
    <s v="16.90%"/>
    <n v="12855"/>
    <n v="6888"/>
    <n v="2745"/>
    <n v="805"/>
    <n v="184"/>
    <n v="14"/>
    <n v="11360"/>
    <n v="478"/>
    <n v="1410"/>
    <n v="2138"/>
    <n v="213"/>
    <n v="46"/>
    <s v="1.04"/>
  </r>
  <r>
    <n v="8598"/>
    <x v="631"/>
    <s v="Tzu-Chi Huang"/>
    <x v="3"/>
    <x v="51"/>
    <s v="YK"/>
    <s v="EHOME, After"/>
    <n v="7439"/>
    <n v="7664"/>
    <x v="38"/>
    <s v="72.6"/>
    <s v="3.7"/>
    <n v="434"/>
    <n v="11442"/>
    <s v="0.65"/>
    <s v="0.13"/>
    <s v="0.67"/>
    <s v="0.09"/>
    <s v="0.1"/>
    <n v="5131"/>
    <s v="K - D diff."/>
    <n v="996"/>
    <n v="983"/>
    <s v="1.01"/>
    <s v="0.96"/>
    <s v="72.00%"/>
    <s v="12.70%"/>
    <n v="6311"/>
    <n v="3377"/>
    <n v="1282"/>
    <n v="399"/>
    <n v="64"/>
    <n v="9"/>
    <n v="5318"/>
    <n v="373"/>
    <n v="444"/>
    <n v="1256"/>
    <n v="61"/>
    <n v="10"/>
    <s v="0.96"/>
  </r>
  <r>
    <n v="15563"/>
    <x v="632"/>
    <s v="Tuomas Louhimaa"/>
    <x v="0"/>
    <x v="23"/>
    <s v="temp"/>
    <s v="SJ"/>
    <n v="11404"/>
    <n v="11767"/>
    <x v="97"/>
    <s v="74.6"/>
    <n v="6"/>
    <n v="647"/>
    <n v="17350"/>
    <s v="0.66"/>
    <s v="0.14"/>
    <s v="0.68"/>
    <s v="0.1"/>
    <s v="0.1"/>
    <n v="7881"/>
    <s v="K - D diff."/>
    <n v="1698"/>
    <n v="1660"/>
    <s v="1.02"/>
    <n v="1"/>
    <s v="71.80%"/>
    <s v="14.30%"/>
    <n v="9469"/>
    <n v="5195"/>
    <n v="1975"/>
    <n v="599"/>
    <n v="98"/>
    <n v="14"/>
    <n v="8042"/>
    <n v="457"/>
    <n v="822"/>
    <n v="1893"/>
    <n v="187"/>
    <n v="46"/>
    <s v="1.03"/>
  </r>
  <r>
    <n v="8150"/>
    <x v="633"/>
    <s v="Lasse Elgaard"/>
    <x v="15"/>
    <x v="9"/>
    <m/>
    <s v="Tricked, Escape, Reason"/>
    <n v="8154"/>
    <n v="8285"/>
    <x v="257"/>
    <s v="72.3"/>
    <s v="3.5"/>
    <n v="487"/>
    <n v="12606"/>
    <s v="0.65"/>
    <s v="0.14"/>
    <s v="0.66"/>
    <s v="0.08"/>
    <s v="0.07"/>
    <n v="5661"/>
    <s v="K - D diff."/>
    <n v="1096"/>
    <n v="1205"/>
    <s v="0.91"/>
    <s v="0.94"/>
    <s v="75.40%"/>
    <s v="12.60%"/>
    <n v="6945"/>
    <n v="3700"/>
    <n v="1504"/>
    <n v="390"/>
    <n v="64"/>
    <n v="3"/>
    <n v="5400"/>
    <n v="630"/>
    <n v="542"/>
    <n v="1448"/>
    <n v="104"/>
    <n v="40"/>
    <s v="0.96"/>
  </r>
  <r>
    <n v="329"/>
    <x v="634"/>
    <s v="David de Miguel"/>
    <x v="12"/>
    <x v="30"/>
    <m/>
    <s v="x6tence, PENTA"/>
    <n v="6763"/>
    <n v="6967"/>
    <x v="108"/>
    <s v="74.1"/>
    <n v="6"/>
    <n v="404"/>
    <n v="10297"/>
    <s v="0.66"/>
    <s v="0.15"/>
    <s v="0.68"/>
    <s v="0.1"/>
    <s v="0.09"/>
    <n v="4657"/>
    <s v="K - D diff."/>
    <n v="1168"/>
    <n v="1119"/>
    <s v="1.04"/>
    <s v="1.05"/>
    <s v="69.90%"/>
    <s v="16.30%"/>
    <n v="5640"/>
    <n v="3045"/>
    <n v="1200"/>
    <n v="344"/>
    <n v="64"/>
    <n v="4"/>
    <n v="3208"/>
    <n v="1595"/>
    <n v="319"/>
    <n v="1471"/>
    <n v="170"/>
    <n v="14"/>
    <s v="0.96"/>
  </r>
  <r>
    <n v="11460"/>
    <x v="635"/>
    <s v="Kumaresan Ramani"/>
    <x v="3"/>
    <x v="14"/>
    <m/>
    <s v="BOOT-d[S]"/>
    <n v="6700"/>
    <n v="7023"/>
    <x v="79"/>
    <s v="76.2"/>
    <s v="2.9"/>
    <n v="387"/>
    <n v="9900"/>
    <s v="0.68"/>
    <s v="0.15"/>
    <s v="0.71"/>
    <s v="0.12"/>
    <s v="0.1"/>
    <n v="4561"/>
    <s v="K - D diff."/>
    <n v="1100"/>
    <n v="1186"/>
    <s v="0.93"/>
    <s v="1.02"/>
    <s v="70.90%"/>
    <s v="15.20%"/>
    <n v="5339"/>
    <n v="2918"/>
    <n v="1225"/>
    <n v="347"/>
    <n v="64"/>
    <n v="7"/>
    <n v="4758"/>
    <n v="141"/>
    <n v="477"/>
    <n v="1269"/>
    <n v="65"/>
    <n v="3"/>
    <s v="1.04"/>
  </r>
  <r>
    <n v="8733"/>
    <x v="636"/>
    <s v="Patrik Boda"/>
    <x v="1"/>
    <x v="8"/>
    <s v="ONYX"/>
    <s v="Budapest Five, Salamander, Pixel, Sensei"/>
    <n v="8082"/>
    <n v="8487"/>
    <x v="78"/>
    <s v="74.3"/>
    <s v="3.6"/>
    <n v="446"/>
    <n v="11985"/>
    <s v="0.67"/>
    <s v="0.14"/>
    <s v="0.71"/>
    <s v="0.11"/>
    <s v="0.1"/>
    <n v="5492"/>
    <s v="K - D diff."/>
    <n v="1208"/>
    <n v="1385"/>
    <s v="0.87"/>
    <s v="0.98"/>
    <s v="73.10%"/>
    <s v="15.10%"/>
    <n v="6493"/>
    <n v="3526"/>
    <n v="1447"/>
    <n v="431"/>
    <n v="78"/>
    <n v="10"/>
    <n v="5544"/>
    <n v="561"/>
    <n v="296"/>
    <n v="1539"/>
    <n v="96"/>
    <n v="63"/>
    <s v="0.96"/>
  </r>
  <r>
    <n v="17929"/>
    <x v="637"/>
    <s v="Colby Walsh"/>
    <x v="7"/>
    <x v="27"/>
    <s v="EG.CD"/>
    <s v="RBG, Carpe Diem"/>
    <n v="8861"/>
    <n v="9311"/>
    <x v="274"/>
    <s v="73.9"/>
    <s v="7.7"/>
    <n v="504"/>
    <n v="13362"/>
    <s v="0.66"/>
    <s v="0.13"/>
    <s v="0.7"/>
    <s v="0.1"/>
    <s v="0.09"/>
    <n v="5981"/>
    <s v="K - D diff."/>
    <n v="1553"/>
    <n v="1653"/>
    <s v="0.94"/>
    <s v="1.04"/>
    <s v="71.90%"/>
    <s v="16.70%"/>
    <n v="7381"/>
    <n v="3779"/>
    <n v="1631"/>
    <n v="473"/>
    <n v="89"/>
    <n v="9"/>
    <n v="6513"/>
    <n v="182"/>
    <n v="534"/>
    <n v="1439"/>
    <n v="182"/>
    <n v="44"/>
    <s v="1.02"/>
  </r>
  <r>
    <n v="8507"/>
    <x v="638"/>
    <s v="Peter Jarguz"/>
    <x v="3"/>
    <x v="27"/>
    <m/>
    <s v="Evil Geniuses, OpTic, Complexity, Liquid"/>
    <n v="22263"/>
    <n v="22790"/>
    <x v="162"/>
    <s v="72.8"/>
    <n v="6"/>
    <n v="1338"/>
    <n v="34605"/>
    <s v="0.64"/>
    <s v="0.14"/>
    <s v="0.66"/>
    <s v="0.1"/>
    <s v="0.09"/>
    <n v="15402"/>
    <s v="K - D diff."/>
    <n v="3246"/>
    <n v="3668"/>
    <s v="0.88"/>
    <s v="0.96"/>
    <s v="72.90%"/>
    <s v="13.20%"/>
    <n v="19203"/>
    <n v="10067"/>
    <n v="4042"/>
    <n v="1087"/>
    <n v="184"/>
    <n v="22"/>
    <n v="14991"/>
    <n v="755"/>
    <n v="2112"/>
    <n v="3954"/>
    <n v="397"/>
    <n v="100"/>
    <s v="0.96"/>
  </r>
  <r>
    <n v="8453"/>
    <x v="639"/>
    <s v="Valentin Bodea"/>
    <x v="8"/>
    <x v="16"/>
    <s v="Nexus"/>
    <s v="Nexus, XPC"/>
    <n v="11705"/>
    <n v="12182"/>
    <x v="72"/>
    <s v="71.8"/>
    <n v="3"/>
    <n v="679"/>
    <n v="17833"/>
    <s v="0.66"/>
    <s v="0.12"/>
    <s v="0.68"/>
    <s v="0.09"/>
    <s v="0.09"/>
    <n v="7983"/>
    <s v="K - D diff."/>
    <n v="1492"/>
    <n v="1596"/>
    <s v="0.93"/>
    <s v="0.94"/>
    <s v="73.50%"/>
    <s v="12.30%"/>
    <n v="9850"/>
    <n v="5128"/>
    <n v="2125"/>
    <n v="609"/>
    <n v="110"/>
    <n v="11"/>
    <n v="8670"/>
    <n v="247"/>
    <n v="717"/>
    <n v="1960"/>
    <n v="109"/>
    <n v="19"/>
    <s v="0.96"/>
  </r>
  <r>
    <n v="12490"/>
    <x v="640"/>
    <s v="Heng Yang"/>
    <x v="6"/>
    <x v="10"/>
    <s v="Lynn Vision"/>
    <s v="Lynn Vision, Invictus, EHOME"/>
    <n v="7817"/>
    <n v="8085"/>
    <x v="217"/>
    <s v="75.4"/>
    <s v="4.4"/>
    <n v="438"/>
    <n v="11619"/>
    <s v="0.67"/>
    <s v="0.13"/>
    <s v="0.7"/>
    <s v="0.1"/>
    <s v="0.09"/>
    <n v="5435"/>
    <s v="K - D diff."/>
    <n v="1250"/>
    <n v="1229"/>
    <s v="1.02"/>
    <s v="1.03"/>
    <s v="72.30%"/>
    <s v="15.60%"/>
    <n v="6184"/>
    <n v="3590"/>
    <n v="1392"/>
    <n v="374"/>
    <n v="74"/>
    <n v="5"/>
    <n v="5250"/>
    <n v="901"/>
    <n v="178"/>
    <n v="1344"/>
    <n v="144"/>
    <n v="24"/>
    <s v="1.03"/>
  </r>
  <r>
    <n v="3730"/>
    <x v="641"/>
    <s v="Petar DimitrijeviÄ‡"/>
    <x v="14"/>
    <x v="37"/>
    <s v="iNation"/>
    <s v="Squared"/>
    <n v="8068"/>
    <n v="8433"/>
    <x v="227"/>
    <s v="77.9"/>
    <s v="4.5"/>
    <n v="459"/>
    <n v="12013"/>
    <s v="0.67"/>
    <s v="0.15"/>
    <s v="0.7"/>
    <s v="0.1"/>
    <s v="0.1"/>
    <n v="5522"/>
    <s v="K - D diff."/>
    <n v="1104"/>
    <n v="1083"/>
    <s v="1.02"/>
    <s v="0.98"/>
    <s v="73.10%"/>
    <s v="14.30%"/>
    <n v="6491"/>
    <n v="3552"/>
    <n v="1489"/>
    <n v="397"/>
    <n v="74"/>
    <n v="10"/>
    <n v="5691"/>
    <n v="68"/>
    <n v="865"/>
    <n v="1308"/>
    <n v="126"/>
    <n v="34"/>
    <s v="0.96"/>
  </r>
  <r>
    <n v="9545"/>
    <x v="642"/>
    <s v="Alexandre FortÃ©"/>
    <x v="8"/>
    <x v="0"/>
    <m/>
    <s v="Envy, Heretics, LDLC"/>
    <n v="12206"/>
    <n v="12830"/>
    <x v="236"/>
    <n v="71"/>
    <s v="2.9"/>
    <n v="712"/>
    <n v="18783"/>
    <s v="0.65"/>
    <s v="0.12"/>
    <s v="0.68"/>
    <s v="0.11"/>
    <s v="0.1"/>
    <n v="8266"/>
    <s v="K - D diff."/>
    <n v="1738"/>
    <n v="2207"/>
    <s v="0.79"/>
    <s v="0.93"/>
    <s v="69.60%"/>
    <s v="12.90%"/>
    <n v="10517"/>
    <n v="5318"/>
    <n v="2135"/>
    <n v="649"/>
    <n v="149"/>
    <n v="15"/>
    <n v="8215"/>
    <n v="196"/>
    <n v="956"/>
    <n v="2732"/>
    <n v="110"/>
    <n v="25"/>
    <s v="0.96"/>
  </r>
  <r>
    <n v="14359"/>
    <x v="643"/>
    <s v="Alikhan Kopzhanov"/>
    <x v="1"/>
    <x v="42"/>
    <s v="AVANGAR"/>
    <s v="100PG, Unique, Se7en, BOOT-d[S]"/>
    <n v="9556"/>
    <n v="9752"/>
    <x v="46"/>
    <n v="72"/>
    <s v="3.9"/>
    <n v="558"/>
    <n v="14906"/>
    <s v="0.64"/>
    <s v="0.12"/>
    <s v="0.65"/>
    <s v="0.09"/>
    <s v="0.1"/>
    <n v="6653"/>
    <s v="K - D diff."/>
    <n v="938"/>
    <n v="1016"/>
    <s v="0.92"/>
    <s v="0.87"/>
    <s v="72.50%"/>
    <s v="9.20%"/>
    <n v="8253"/>
    <n v="4387"/>
    <n v="1716"/>
    <n v="470"/>
    <n v="73"/>
    <n v="7"/>
    <n v="6980"/>
    <n v="245"/>
    <n v="398"/>
    <n v="1811"/>
    <n v="108"/>
    <n v="43"/>
    <n v="1"/>
  </r>
  <r>
    <n v="9053"/>
    <x v="644"/>
    <s v="Michael Stapells"/>
    <x v="8"/>
    <x v="27"/>
    <m/>
    <s v="Enemy, Complexity, Selfless"/>
    <n v="6674"/>
    <n v="6973"/>
    <x v="117"/>
    <s v="73.6"/>
    <s v="3.9"/>
    <n v="398"/>
    <n v="10027"/>
    <s v="0.67"/>
    <s v="0.14"/>
    <s v="0.7"/>
    <s v="0.12"/>
    <s v="0.11"/>
    <n v="4584"/>
    <s v="K - D diff."/>
    <n v="954"/>
    <n v="1001"/>
    <s v="0.95"/>
    <s v="0.98"/>
    <s v="71.90%"/>
    <s v="14.10%"/>
    <n v="5443"/>
    <n v="2986"/>
    <n v="1189"/>
    <n v="335"/>
    <n v="66"/>
    <n v="8"/>
    <n v="4608"/>
    <n v="166"/>
    <n v="468"/>
    <n v="1330"/>
    <n v="98"/>
    <n v="22"/>
    <s v="0.96"/>
  </r>
  <r>
    <n v="9816"/>
    <x v="645"/>
    <s v="Aleksi Virolainen"/>
    <x v="8"/>
    <x v="23"/>
    <s v="G2"/>
    <s v="OG, ENCE, HAVU"/>
    <n v="17605"/>
    <n v="17978"/>
    <x v="246"/>
    <s v="74.4"/>
    <s v="8.5"/>
    <n v="1037"/>
    <n v="27513"/>
    <s v="0.64"/>
    <s v="0.17"/>
    <s v="0.65"/>
    <s v="0.11"/>
    <s v="0.1"/>
    <n v="12258"/>
    <s v="K - D diff."/>
    <n v="2754"/>
    <n v="3050"/>
    <s v="0.9"/>
    <s v="0.98"/>
    <s v="74.10%"/>
    <s v="14.00%"/>
    <n v="15255"/>
    <n v="8110"/>
    <n v="3106"/>
    <n v="897"/>
    <n v="133"/>
    <n v="12"/>
    <n v="11946"/>
    <n v="660"/>
    <n v="1692"/>
    <n v="2714"/>
    <n v="564"/>
    <n v="79"/>
    <s v="0.96"/>
  </r>
  <r>
    <n v="205"/>
    <x v="646"/>
    <s v="Min-Soo Kim"/>
    <x v="12"/>
    <x v="13"/>
    <m/>
    <s v="MVP PK"/>
    <n v="6438"/>
    <n v="6537"/>
    <x v="54"/>
    <s v="69.5"/>
    <s v="3.2"/>
    <n v="395"/>
    <n v="10045"/>
    <s v="0.64"/>
    <s v="0.12"/>
    <s v="0.65"/>
    <s v="0.11"/>
    <s v="0.11"/>
    <n v="4540"/>
    <s v="K - D diff."/>
    <n v="769"/>
    <n v="751"/>
    <s v="1.02"/>
    <s v="0.92"/>
    <s v="75.60%"/>
    <s v="10.80%"/>
    <n v="5505"/>
    <n v="3058"/>
    <n v="1135"/>
    <n v="283"/>
    <n v="59"/>
    <n v="5"/>
    <n v="4384"/>
    <n v="148"/>
    <n v="663"/>
    <n v="1142"/>
    <n v="53"/>
    <n v="54"/>
    <s v="1.01"/>
  </r>
  <r>
    <n v="8459"/>
    <x v="647"/>
    <s v="Aurimas KvakÅ¡ys"/>
    <x v="5"/>
    <x v="36"/>
    <m/>
    <s v="Quantum Bellator Fire, Winstrike"/>
    <n v="13682"/>
    <n v="14349"/>
    <x v="258"/>
    <s v="75.1"/>
    <s v="3.8"/>
    <n v="780"/>
    <n v="20389"/>
    <s v="0.67"/>
    <s v="0.14"/>
    <s v="0.7"/>
    <s v="0.1"/>
    <s v="0.1"/>
    <n v="9371"/>
    <s v="K - D diff."/>
    <n v="1841"/>
    <n v="1951"/>
    <s v="0.94"/>
    <s v="0.96"/>
    <s v="74.10%"/>
    <s v="13.50%"/>
    <n v="11018"/>
    <n v="6055"/>
    <n v="2482"/>
    <n v="687"/>
    <n v="133"/>
    <n v="14"/>
    <n v="8760"/>
    <n v="1308"/>
    <n v="795"/>
    <n v="2627"/>
    <n v="145"/>
    <n v="75"/>
    <s v="0.96"/>
  </r>
  <r>
    <n v="16870"/>
    <x v="648"/>
    <s v="Dmitriy Martinov"/>
    <x v="6"/>
    <x v="2"/>
    <m/>
    <s v="HellRaisers, bankaPEPSI"/>
    <n v="10188"/>
    <n v="10533"/>
    <x v="103"/>
    <s v="73.7"/>
    <s v="4.7"/>
    <n v="575"/>
    <n v="15597"/>
    <s v="0.65"/>
    <s v="0.13"/>
    <s v="0.68"/>
    <s v="0.1"/>
    <s v="0.1"/>
    <n v="7044"/>
    <s v="K - D diff."/>
    <n v="1346"/>
    <n v="1423"/>
    <s v="0.95"/>
    <s v="0.95"/>
    <s v="71.50%"/>
    <s v="12.60%"/>
    <n v="8553"/>
    <n v="4615"/>
    <n v="1813"/>
    <n v="525"/>
    <n v="83"/>
    <n v="8"/>
    <n v="7243"/>
    <n v="207"/>
    <n v="955"/>
    <n v="1628"/>
    <n v="148"/>
    <n v="46"/>
    <s v="1.02"/>
  </r>
  <r>
    <n v="10961"/>
    <x v="649"/>
    <s v="Kristoffer Aamand"/>
    <x v="7"/>
    <x v="9"/>
    <m/>
    <s v="AGF, North"/>
    <n v="6701"/>
    <n v="7027"/>
    <x v="276"/>
    <n v="68"/>
    <s v="3.4"/>
    <n v="390"/>
    <n v="10304"/>
    <s v="0.65"/>
    <s v="0.09"/>
    <s v="0.68"/>
    <s v="0.09"/>
    <s v="0.08"/>
    <n v="4566"/>
    <s v="K - D diff."/>
    <n v="1279"/>
    <n v="1299"/>
    <s v="0.98"/>
    <s v="1.08"/>
    <s v="74.00%"/>
    <s v="18.80%"/>
    <n v="5738"/>
    <n v="2952"/>
    <n v="1184"/>
    <n v="350"/>
    <n v="69"/>
    <n v="11"/>
    <n v="2685"/>
    <n v="2627"/>
    <n v="225"/>
    <n v="1097"/>
    <n v="71"/>
    <n v="19"/>
    <s v="0.99"/>
  </r>
  <r>
    <n v="150"/>
    <x v="650"/>
    <s v="Engin KÃ¼peli"/>
    <x v="9"/>
    <x v="7"/>
    <s v="Eternal Fire"/>
    <s v="Space Soldiers, Sangal"/>
    <n v="17858"/>
    <n v="18382"/>
    <x v="87"/>
    <s v="73.9"/>
    <s v="4.9"/>
    <n v="1050"/>
    <n v="27515"/>
    <s v="0.65"/>
    <s v="0.14"/>
    <s v="0.67"/>
    <s v="0.08"/>
    <s v="0.08"/>
    <n v="12448"/>
    <s v="K - D diff."/>
    <n v="2711"/>
    <n v="2782"/>
    <s v="0.97"/>
    <s v="0.99"/>
    <s v="73.80%"/>
    <s v="14.00%"/>
    <n v="15067"/>
    <n v="8275"/>
    <n v="3116"/>
    <n v="897"/>
    <n v="142"/>
    <n v="18"/>
    <n v="11944"/>
    <n v="1315"/>
    <n v="1177"/>
    <n v="3110"/>
    <n v="280"/>
    <n v="69"/>
    <s v="0.96"/>
  </r>
  <r>
    <n v="11039"/>
    <x v="651"/>
    <s v="Dominick Dimpfel"/>
    <x v="8"/>
    <x v="24"/>
    <s v="Gaimin Gladiators"/>
    <s v="Gaimin Gladiators, Recon 5, ChocoCheck"/>
    <n v="7819"/>
    <n v="8168"/>
    <x v="277"/>
    <s v="74.9"/>
    <s v="3.5"/>
    <n v="438"/>
    <n v="11485"/>
    <s v="0.68"/>
    <s v="0.13"/>
    <s v="0.71"/>
    <s v="0.1"/>
    <s v="0.11"/>
    <n v="5420"/>
    <s v="K - D diff."/>
    <n v="1047"/>
    <n v="1155"/>
    <s v="0.91"/>
    <s v="0.95"/>
    <s v="73.40%"/>
    <s v="13.30%"/>
    <n v="6065"/>
    <n v="3552"/>
    <n v="1419"/>
    <n v="372"/>
    <n v="72"/>
    <n v="5"/>
    <n v="5737"/>
    <n v="250"/>
    <n v="442"/>
    <n v="1318"/>
    <n v="74"/>
    <n v="44"/>
    <s v="1.01"/>
  </r>
  <r>
    <n v="13042"/>
    <x v="652"/>
    <s v="Logan Corti"/>
    <x v="1"/>
    <x v="0"/>
    <m/>
    <s v="LDLC, Heretics"/>
    <n v="10091"/>
    <n v="10391"/>
    <x v="209"/>
    <s v="70.6"/>
    <s v="2.6"/>
    <n v="590"/>
    <n v="15692"/>
    <s v="0.64"/>
    <s v="0.12"/>
    <s v="0.66"/>
    <s v="0.1"/>
    <s v="0.1"/>
    <n v="7053"/>
    <s v="K - D diff."/>
    <n v="1436"/>
    <n v="1476"/>
    <s v="0.97"/>
    <s v="0.97"/>
    <s v="70.30%"/>
    <s v="13.00%"/>
    <n v="8639"/>
    <n v="4737"/>
    <n v="1710"/>
    <n v="498"/>
    <n v="100"/>
    <n v="8"/>
    <n v="6677"/>
    <n v="562"/>
    <n v="641"/>
    <n v="2049"/>
    <n v="69"/>
    <n v="110"/>
    <s v="1.01"/>
  </r>
  <r>
    <n v="5796"/>
    <x v="653"/>
    <s v="Tizian Feldbusch"/>
    <x v="5"/>
    <x v="32"/>
    <s v="BIG"/>
    <s v="BIG, ALTERNATE aTTaX"/>
    <n v="29892"/>
    <n v="30831"/>
    <x v="278"/>
    <s v="71.1"/>
    <s v="4.6"/>
    <n v="1770"/>
    <n v="46856"/>
    <s v="0.64"/>
    <s v="0.13"/>
    <s v="0.66"/>
    <s v="0.09"/>
    <s v="0.09"/>
    <n v="20720"/>
    <s v="K - D diff."/>
    <n v="4234"/>
    <n v="4563"/>
    <s v="0.93"/>
    <s v="0.96"/>
    <s v="72.20%"/>
    <s v="12.60%"/>
    <n v="26136"/>
    <n v="13668"/>
    <n v="5307"/>
    <n v="1421"/>
    <n v="290"/>
    <n v="34"/>
    <n v="21825"/>
    <n v="213"/>
    <n v="1830"/>
    <n v="5490"/>
    <n v="427"/>
    <n v="176"/>
    <s v="0.96"/>
  </r>
  <r>
    <n v="11358"/>
    <x v="654"/>
    <s v="ZhiWei Liu"/>
    <x v="5"/>
    <x v="10"/>
    <s v="Invictus"/>
    <s v="Invictus, New4, FIVE, After"/>
    <n v="8630"/>
    <n v="9060"/>
    <x v="279"/>
    <s v="73.4"/>
    <s v="3.3"/>
    <n v="490"/>
    <n v="12812"/>
    <s v="0.67"/>
    <s v="0.13"/>
    <s v="0.71"/>
    <s v="0.1"/>
    <s v="0.1"/>
    <n v="5956"/>
    <s v="K - D diff."/>
    <n v="1159"/>
    <n v="1242"/>
    <s v="0.93"/>
    <s v="0.96"/>
    <s v="68.40%"/>
    <s v="12.80%"/>
    <n v="6856"/>
    <n v="3907"/>
    <n v="1527"/>
    <n v="423"/>
    <n v="95"/>
    <n v="4"/>
    <n v="5977"/>
    <n v="58"/>
    <n v="735"/>
    <n v="1763"/>
    <n v="90"/>
    <n v="23"/>
    <n v="1"/>
  </r>
  <r>
    <n v="10508"/>
    <x v="655"/>
    <s v="Nabil Aleua"/>
    <x v="8"/>
    <x v="38"/>
    <s v="Boca Juniors"/>
    <s v="Isurus"/>
    <n v="10346"/>
    <n v="10867"/>
    <x v="38"/>
    <s v="72.2"/>
    <s v="3.6"/>
    <n v="605"/>
    <n v="15629"/>
    <s v="0.66"/>
    <s v="0.13"/>
    <s v="0.7"/>
    <s v="0.11"/>
    <s v="0.1"/>
    <n v="7083"/>
    <s v="K - D diff."/>
    <n v="1359"/>
    <n v="1483"/>
    <s v="0.92"/>
    <s v="0.94"/>
    <s v="75.30%"/>
    <s v="12.80%"/>
    <n v="8546"/>
    <n v="4587"/>
    <n v="1842"/>
    <n v="547"/>
    <n v="101"/>
    <n v="6"/>
    <n v="7435"/>
    <n v="143"/>
    <n v="848"/>
    <n v="1805"/>
    <n v="123"/>
    <n v="8"/>
    <s v="0.96"/>
  </r>
  <r>
    <n v="7414"/>
    <x v="656"/>
    <s v="Danni Dyg"/>
    <x v="14"/>
    <x v="9"/>
    <s v="DREAM"/>
    <s v="CPH Wolves, Secret"/>
    <n v="13708"/>
    <n v="14090"/>
    <x v="70"/>
    <s v="69.6"/>
    <s v="4.6"/>
    <n v="821"/>
    <n v="21503"/>
    <s v="0.64"/>
    <s v="0.13"/>
    <s v="0.66"/>
    <s v="0.11"/>
    <s v="0.11"/>
    <n v="9538"/>
    <s v="K - D diff."/>
    <n v="1676"/>
    <n v="1795"/>
    <s v="0.93"/>
    <s v="0.92"/>
    <s v="72.30%"/>
    <s v="11.40%"/>
    <n v="11965"/>
    <n v="6337"/>
    <n v="2417"/>
    <n v="637"/>
    <n v="134"/>
    <n v="13"/>
    <n v="10028"/>
    <n v="243"/>
    <n v="591"/>
    <n v="2544"/>
    <n v="224"/>
    <n v="98"/>
    <s v="0.96"/>
  </r>
  <r>
    <n v="11746"/>
    <x v="657"/>
    <s v="Lucas Yuji"/>
    <x v="5"/>
    <x v="3"/>
    <m/>
    <s v="W7M"/>
    <n v="8424"/>
    <n v="8495"/>
    <x v="57"/>
    <n v="71"/>
    <s v="4.1"/>
    <n v="514"/>
    <n v="13425"/>
    <s v="0.63"/>
    <s v="0.13"/>
    <s v="0.63"/>
    <s v="0.07"/>
    <s v="0.08"/>
    <n v="5954"/>
    <s v="K - D diff."/>
    <n v="963"/>
    <n v="985"/>
    <s v="0.98"/>
    <s v="0.9"/>
    <s v="71.30%"/>
    <s v="10.10%"/>
    <n v="7471"/>
    <n v="3987"/>
    <n v="1535"/>
    <n v="363"/>
    <n v="67"/>
    <n v="2"/>
    <n v="6196"/>
    <n v="125"/>
    <n v="645"/>
    <n v="1370"/>
    <n v="95"/>
    <n v="20"/>
    <n v="1"/>
  </r>
  <r>
    <n v="3459"/>
    <x v="658"/>
    <s v="Semyon Lisitsyn"/>
    <x v="14"/>
    <x v="2"/>
    <s v="FreeTON"/>
    <s v="DreamEaters, Hard Legion"/>
    <n v="11130"/>
    <n v="11727"/>
    <x v="270"/>
    <s v="74.7"/>
    <s v="4.6"/>
    <n v="631"/>
    <n v="16775"/>
    <s v="0.66"/>
    <s v="0.13"/>
    <s v="0.7"/>
    <s v="0.11"/>
    <s v="0.09"/>
    <n v="7616"/>
    <s v="K - D diff."/>
    <n v="1719"/>
    <n v="1895"/>
    <s v="0.91"/>
    <s v="0.99"/>
    <s v="72.30%"/>
    <s v="14.90%"/>
    <n v="9159"/>
    <n v="4928"/>
    <n v="2009"/>
    <n v="545"/>
    <n v="121"/>
    <n v="13"/>
    <n v="8323"/>
    <n v="76"/>
    <n v="628"/>
    <n v="1949"/>
    <n v="148"/>
    <n v="23"/>
    <s v="0.96"/>
  </r>
  <r>
    <n v="922"/>
    <x v="659"/>
    <s v="Marco Pfeiffer"/>
    <x v="15"/>
    <x v="9"/>
    <s v="ENCE"/>
    <s v="ENCE, Heroic, OpTic"/>
    <n v="27353"/>
    <n v="28322"/>
    <x v="177"/>
    <s v="72.7"/>
    <s v="4.5"/>
    <n v="1591"/>
    <n v="41992"/>
    <s v="0.65"/>
    <s v="0.13"/>
    <s v="0.67"/>
    <s v="0.09"/>
    <s v="0.08"/>
    <n v="19032"/>
    <s v="K - D diff."/>
    <n v="3855"/>
    <n v="3732"/>
    <s v="1.03"/>
    <s v="0.98"/>
    <s v="75.90%"/>
    <s v="13.40%"/>
    <n v="22960"/>
    <n v="12595"/>
    <n v="4861"/>
    <n v="1297"/>
    <n v="254"/>
    <n v="25"/>
    <n v="16110"/>
    <n v="2654"/>
    <n v="3495"/>
    <n v="4753"/>
    <n v="328"/>
    <n v="71"/>
    <s v="0.96"/>
  </r>
  <r>
    <n v="2148"/>
    <x v="660"/>
    <s v="Tahsin Broschk"/>
    <x v="9"/>
    <x v="32"/>
    <m/>
    <s v="PENTA, Berzerk, KILLERFISH"/>
    <n v="10261"/>
    <n v="10891"/>
    <x v="217"/>
    <s v="72.6"/>
    <s v="4.9"/>
    <n v="591"/>
    <n v="15363"/>
    <s v="0.67"/>
    <s v="0.14"/>
    <s v="0.71"/>
    <s v="0.09"/>
    <s v="0.08"/>
    <n v="6980"/>
    <s v="K - D diff."/>
    <n v="1504"/>
    <n v="1796"/>
    <s v="0.84"/>
    <s v="0.96"/>
    <s v="67.00%"/>
    <s v="13.60%"/>
    <n v="8383"/>
    <n v="4508"/>
    <n v="1806"/>
    <n v="542"/>
    <n v="110"/>
    <n v="14"/>
    <n v="7341"/>
    <n v="293"/>
    <n v="261"/>
    <n v="2206"/>
    <n v="153"/>
    <n v="23"/>
    <s v="0.96"/>
  </r>
  <r>
    <n v="15349"/>
    <x v="661"/>
    <s v="Marcus Kjeldsen"/>
    <x v="1"/>
    <x v="9"/>
    <s v="ECSTATIC"/>
    <s v="ECSTATIC, Lyngby Vikings, Copenhagen Flames"/>
    <n v="11970"/>
    <n v="12487"/>
    <x v="18"/>
    <s v="72.3"/>
    <s v="4.9"/>
    <n v="692"/>
    <n v="18642"/>
    <s v="0.64"/>
    <s v="0.13"/>
    <s v="0.67"/>
    <s v="0.12"/>
    <s v="0.11"/>
    <n v="8218"/>
    <s v="K - D diff."/>
    <n v="1805"/>
    <n v="2023"/>
    <s v="0.89"/>
    <s v="0.97"/>
    <s v="72.90%"/>
    <s v="13.80%"/>
    <n v="10424"/>
    <n v="5349"/>
    <n v="2133"/>
    <n v="603"/>
    <n v="119"/>
    <n v="14"/>
    <n v="8670"/>
    <n v="486"/>
    <n v="742"/>
    <n v="1926"/>
    <n v="157"/>
    <n v="33"/>
    <s v="1.02"/>
  </r>
  <r>
    <n v="11286"/>
    <x v="662"/>
    <s v="Patryk Wites"/>
    <x v="2"/>
    <x v="17"/>
    <s v="Impression"/>
    <s v="Wisla Krakow"/>
    <n v="8674"/>
    <n v="8925"/>
    <x v="280"/>
    <s v="70.8"/>
    <n v="4"/>
    <n v="504"/>
    <n v="13584"/>
    <s v="0.64"/>
    <s v="0.13"/>
    <s v="0.66"/>
    <s v="0.09"/>
    <s v="0.08"/>
    <n v="6044"/>
    <s v="K - D diff."/>
    <n v="986"/>
    <n v="1065"/>
    <s v="0.93"/>
    <s v="0.9"/>
    <s v="73.30%"/>
    <s v="10.70%"/>
    <n v="7540"/>
    <n v="4016"/>
    <n v="1505"/>
    <n v="450"/>
    <n v="67"/>
    <n v="6"/>
    <n v="6371"/>
    <n v="90"/>
    <n v="586"/>
    <n v="1517"/>
    <n v="111"/>
    <n v="21"/>
    <n v="1"/>
  </r>
  <r>
    <n v="19038"/>
    <x v="663"/>
    <s v="Mathias Carlsen"/>
    <x v="0"/>
    <x v="9"/>
    <s v="Tricked"/>
    <s v="Tricked"/>
    <n v="7572"/>
    <n v="7962"/>
    <x v="233"/>
    <s v="71.8"/>
    <s v="4.2"/>
    <n v="424"/>
    <n v="11470"/>
    <s v="0.66"/>
    <s v="0.11"/>
    <s v="0.69"/>
    <s v="0.09"/>
    <s v="0.1"/>
    <n v="5184"/>
    <s v="K - D diff."/>
    <n v="1179"/>
    <n v="1319"/>
    <s v="0.89"/>
    <s v="0.99"/>
    <s v="74.30%"/>
    <s v="15.60%"/>
    <n v="6286"/>
    <n v="3357"/>
    <n v="1348"/>
    <n v="402"/>
    <n v="72"/>
    <n v="5"/>
    <n v="5684"/>
    <n v="290"/>
    <n v="402"/>
    <n v="1091"/>
    <n v="101"/>
    <n v="28"/>
    <s v="0.99"/>
  </r>
  <r>
    <n v="165"/>
    <x v="664"/>
    <s v="Filip Kubski"/>
    <x v="18"/>
    <x v="17"/>
    <s v="HONORIS"/>
    <s v="Virtus.pro, HONORIS"/>
    <n v="34383"/>
    <n v="35933"/>
    <x v="184"/>
    <s v="72.1"/>
    <s v="5.9"/>
    <n v="2030"/>
    <n v="52985"/>
    <s v="0.65"/>
    <s v="0.16"/>
    <s v="0.68"/>
    <s v="0.09"/>
    <s v="0.08"/>
    <n v="23611"/>
    <s v="K - D diff."/>
    <n v="4704"/>
    <n v="5483"/>
    <s v="0.86"/>
    <s v="0.94"/>
    <s v="72.00%"/>
    <s v="12.60%"/>
    <n v="29374"/>
    <n v="15441"/>
    <n v="6063"/>
    <n v="1722"/>
    <n v="341"/>
    <n v="44"/>
    <n v="22487"/>
    <n v="3414"/>
    <n v="1587"/>
    <n v="6094"/>
    <n v="661"/>
    <n v="185"/>
    <s v="0.95"/>
  </r>
  <r>
    <n v="14176"/>
    <x v="665"/>
    <s v="KÃ©vin Rabier"/>
    <x v="16"/>
    <x v="0"/>
    <s v="Vitality"/>
    <s v="Vitality"/>
    <n v="7663"/>
    <n v="8064"/>
    <x v="92"/>
    <s v="68.1"/>
    <s v="2.9"/>
    <n v="458"/>
    <n v="12112"/>
    <s v="0.63"/>
    <s v="0.11"/>
    <s v="0.67"/>
    <s v="0.12"/>
    <s v="0.11"/>
    <n v="5226"/>
    <s v="K - D diff."/>
    <n v="1087"/>
    <n v="1274"/>
    <s v="0.85"/>
    <s v="0.94"/>
    <s v="73.00%"/>
    <s v="12.60%"/>
    <n v="6886"/>
    <n v="3422"/>
    <n v="1283"/>
    <n v="419"/>
    <n v="92"/>
    <n v="10"/>
    <n v="5677"/>
    <n v="55"/>
    <n v="595"/>
    <n v="1261"/>
    <n v="80"/>
    <n v="10"/>
    <n v="1"/>
  </r>
  <r>
    <n v="7511"/>
    <x v="666"/>
    <s v="Denis Howell"/>
    <x v="2"/>
    <x v="32"/>
    <m/>
    <s v="Sprout, MOUZ"/>
    <n v="32721"/>
    <n v="34569"/>
    <x v="33"/>
    <n v="75"/>
    <s v="3.6"/>
    <n v="1830"/>
    <n v="48692"/>
    <s v="0.67"/>
    <s v="0.14"/>
    <s v="0.71"/>
    <s v="0.11"/>
    <s v="0.09"/>
    <n v="22383"/>
    <s v="K - D diff."/>
    <n v="5751"/>
    <n v="6153"/>
    <s v="0.93"/>
    <s v="1.05"/>
    <s v="74.80%"/>
    <s v="17.20%"/>
    <n v="26309"/>
    <n v="14452"/>
    <n v="5914"/>
    <n v="1669"/>
    <n v="323"/>
    <n v="25"/>
    <n v="23331"/>
    <n v="2098"/>
    <n v="1541"/>
    <n v="5366"/>
    <n v="371"/>
    <n v="67"/>
    <s v="0.95"/>
  </r>
  <r>
    <n v="13179"/>
    <x v="667"/>
    <s v="Jeff Ngo"/>
    <x v="4"/>
    <x v="24"/>
    <s v="Brazen"/>
    <s v="Triumph, Bad News Bears, Rugratz"/>
    <n v="8255"/>
    <n v="8776"/>
    <x v="174"/>
    <s v="73.9"/>
    <s v="3.8"/>
    <n v="466"/>
    <n v="12168"/>
    <s v="0.68"/>
    <s v="0.12"/>
    <s v="0.72"/>
    <s v="0.11"/>
    <s v="0.1"/>
    <n v="5641"/>
    <s v="K - D diff."/>
    <n v="1249"/>
    <n v="1432"/>
    <s v="0.87"/>
    <s v="0.98"/>
    <s v="72.10%"/>
    <s v="14.90%"/>
    <n v="6527"/>
    <n v="3659"/>
    <n v="1449"/>
    <n v="442"/>
    <n v="83"/>
    <n v="8"/>
    <n v="6067"/>
    <n v="200"/>
    <n v="450"/>
    <n v="1444"/>
    <n v="97"/>
    <n v="15"/>
    <s v="1.01"/>
  </r>
  <r>
    <n v="11199"/>
    <x v="668"/>
    <s v="Sebastian DaÅˆo"/>
    <x v="1"/>
    <x v="18"/>
    <s v="SINNERS"/>
    <s v="SINNERS"/>
    <n v="12582"/>
    <n v="13207"/>
    <x v="233"/>
    <n v="71"/>
    <s v="4.6"/>
    <n v="730"/>
    <n v="19608"/>
    <s v="0.64"/>
    <s v="0.13"/>
    <s v="0.67"/>
    <s v="0.11"/>
    <s v="0.07"/>
    <n v="8615"/>
    <s v="K - D diff."/>
    <n v="1959"/>
    <n v="2302"/>
    <s v="0.85"/>
    <s v="0.97"/>
    <s v="72.10%"/>
    <s v="13.80%"/>
    <n v="10993"/>
    <n v="5628"/>
    <n v="2167"/>
    <n v="677"/>
    <n v="126"/>
    <n v="17"/>
    <n v="9122"/>
    <n v="26"/>
    <n v="1243"/>
    <n v="2026"/>
    <n v="179"/>
    <n v="19"/>
    <s v="1.01"/>
  </r>
  <r>
    <n v="7508"/>
    <x v="669"/>
    <s v="Alexander Frisch"/>
    <x v="5"/>
    <x v="32"/>
    <m/>
    <s v="expert, Planetkey, DIVIZON"/>
    <n v="7438"/>
    <n v="7992"/>
    <x v="15"/>
    <s v="72.6"/>
    <s v="3.8"/>
    <n v="433"/>
    <n v="11346"/>
    <s v="0.66"/>
    <s v="0.12"/>
    <s v="0.7"/>
    <s v="0.09"/>
    <s v="0.07"/>
    <n v="4993"/>
    <s v="K - D diff."/>
    <n v="1437"/>
    <n v="1652"/>
    <s v="0.87"/>
    <s v="1.06"/>
    <s v="73.10%"/>
    <s v="18.70%"/>
    <n v="6353"/>
    <n v="3205"/>
    <n v="1269"/>
    <n v="403"/>
    <n v="102"/>
    <n v="14"/>
    <n v="3032"/>
    <n v="2165"/>
    <n v="531"/>
    <n v="1601"/>
    <n v="92"/>
    <n v="27"/>
    <s v="0.95"/>
  </r>
  <r>
    <n v="15639"/>
    <x v="670"/>
    <s v="Adam Wahlqvist"/>
    <x v="1"/>
    <x v="29"/>
    <s v="Savage"/>
    <s v="Savage, Galaxy Racer, Japaleno"/>
    <n v="9192"/>
    <n v="9440"/>
    <x v="18"/>
    <s v="69.9"/>
    <s v="4.8"/>
    <n v="547"/>
    <n v="14700"/>
    <s v="0.63"/>
    <s v="0.13"/>
    <s v="0.64"/>
    <s v="0.1"/>
    <s v="0.1"/>
    <n v="6418"/>
    <s v="K - D diff."/>
    <n v="1168"/>
    <n v="1261"/>
    <s v="0.93"/>
    <s v="0.92"/>
    <s v="71.10%"/>
    <s v="11.20%"/>
    <n v="8282"/>
    <n v="4293"/>
    <n v="1574"/>
    <n v="459"/>
    <n v="86"/>
    <n v="6"/>
    <n v="6312"/>
    <n v="466"/>
    <n v="609"/>
    <n v="1683"/>
    <n v="128"/>
    <n v="27"/>
    <s v="1.01"/>
  </r>
  <r>
    <n v="7958"/>
    <x v="671"/>
    <s v="Miran MatkoviÄ‡"/>
    <x v="5"/>
    <x v="29"/>
    <m/>
    <s v="DenDD, Singularity, Manatee"/>
    <n v="7889"/>
    <n v="8209"/>
    <x v="156"/>
    <s v="71.2"/>
    <s v="3.1"/>
    <n v="455"/>
    <n v="12074"/>
    <s v="0.65"/>
    <s v="0.12"/>
    <s v="0.68"/>
    <s v="0.1"/>
    <s v="0.09"/>
    <n v="5494"/>
    <s v="K - D diff."/>
    <n v="1222"/>
    <n v="1361"/>
    <s v="0.9"/>
    <s v="0.98"/>
    <s v="70.00%"/>
    <s v="14.30%"/>
    <n v="6580"/>
    <n v="3666"/>
    <n v="1357"/>
    <n v="389"/>
    <n v="73"/>
    <n v="9"/>
    <n v="4881"/>
    <n v="876"/>
    <n v="494"/>
    <n v="1570"/>
    <n v="68"/>
    <n v="9"/>
    <s v="0.95"/>
  </r>
  <r>
    <n v="7148"/>
    <x v="672"/>
    <s v="Adam Friberg"/>
    <x v="14"/>
    <x v="29"/>
    <m/>
    <s v="NIP, Dignitas, Heroic"/>
    <n v="33114"/>
    <n v="34810"/>
    <x v="255"/>
    <s v="70.4"/>
    <s v="5.1"/>
    <n v="1957"/>
    <n v="50987"/>
    <s v="0.65"/>
    <s v="0.16"/>
    <s v="0.68"/>
    <s v="0.11"/>
    <s v="0.09"/>
    <n v="22654"/>
    <s v="K - D diff."/>
    <n v="4942"/>
    <n v="6023"/>
    <s v="0.82"/>
    <s v="0.95"/>
    <s v="73.60%"/>
    <s v="13.30%"/>
    <n v="28333"/>
    <n v="14706"/>
    <n v="5899"/>
    <n v="1679"/>
    <n v="337"/>
    <n v="33"/>
    <n v="25373"/>
    <n v="243"/>
    <n v="1622"/>
    <n v="5252"/>
    <n v="516"/>
    <n v="152"/>
    <s v="0.95"/>
  </r>
  <r>
    <n v="10563"/>
    <x v="673"/>
    <s v="Caike Costa"/>
    <x v="2"/>
    <x v="3"/>
    <m/>
    <s v="g3x, Yeah, Isurus, TeamOne"/>
    <n v="8518"/>
    <n v="8892"/>
    <x v="261"/>
    <s v="71.7"/>
    <n v="4"/>
    <n v="501"/>
    <n v="13104"/>
    <s v="0.65"/>
    <s v="0.14"/>
    <s v="0.68"/>
    <s v="0.1"/>
    <s v="0.09"/>
    <n v="5901"/>
    <s v="K - D diff."/>
    <n v="1263"/>
    <n v="1395"/>
    <s v="0.91"/>
    <s v="0.97"/>
    <s v="74.10%"/>
    <s v="13.30%"/>
    <n v="7203"/>
    <n v="3884"/>
    <n v="1508"/>
    <n v="427"/>
    <n v="73"/>
    <n v="9"/>
    <n v="5526"/>
    <n v="671"/>
    <n v="665"/>
    <n v="1516"/>
    <n v="108"/>
    <n v="54"/>
    <s v="0.95"/>
  </r>
  <r>
    <n v="161"/>
    <x v="674"/>
    <s v="Wiktor Wojtas"/>
    <x v="19"/>
    <x v="17"/>
    <s v="HONORIS"/>
    <s v="HONORIS, Virtus.pro, Kinguin"/>
    <n v="36946"/>
    <n v="38468"/>
    <x v="223"/>
    <s v="67.7"/>
    <s v="2.3"/>
    <n v="2163"/>
    <n v="56767"/>
    <s v="0.65"/>
    <s v="0.13"/>
    <s v="0.68"/>
    <s v="0.11"/>
    <s v="0.09"/>
    <n v="25627"/>
    <s v="K - D diff."/>
    <n v="4761"/>
    <n v="5161"/>
    <s v="0.92"/>
    <s v="0.93"/>
    <s v="73.80%"/>
    <s v="12.00%"/>
    <n v="31140"/>
    <n v="16893"/>
    <n v="6598"/>
    <n v="1774"/>
    <n v="334"/>
    <n v="28"/>
    <n v="27950"/>
    <n v="335"/>
    <n v="1634"/>
    <n v="6537"/>
    <n v="283"/>
    <n v="256"/>
    <s v="0.95"/>
  </r>
  <r>
    <n v="7382"/>
    <x v="361"/>
    <s v="Lucas Lopes"/>
    <x v="3"/>
    <x v="3"/>
    <s v="Case"/>
    <s v="Movistar Riders, Luminosity, Immortals"/>
    <n v="24479"/>
    <n v="25364"/>
    <x v="158"/>
    <s v="71.7"/>
    <s v="3.7"/>
    <n v="1452"/>
    <n v="37974"/>
    <s v="0.64"/>
    <s v="0.13"/>
    <s v="0.67"/>
    <s v="0.1"/>
    <s v="0.09"/>
    <n v="17126"/>
    <s v="K - D diff."/>
    <n v="3323"/>
    <n v="3583"/>
    <s v="0.93"/>
    <s v="0.95"/>
    <s v="75.20%"/>
    <s v="12.70%"/>
    <n v="20848"/>
    <n v="11449"/>
    <n v="4267"/>
    <n v="1175"/>
    <n v="214"/>
    <n v="21"/>
    <n v="17974"/>
    <n v="350"/>
    <n v="1752"/>
    <n v="3940"/>
    <n v="335"/>
    <n v="175"/>
    <s v="0.95"/>
  </r>
  <r>
    <n v="10404"/>
    <x v="675"/>
    <s v="Mads Skovby"/>
    <x v="5"/>
    <x v="9"/>
    <m/>
    <s v="Tricked, ALTERNATE aTTaX, Copenhagen Flames, Singularity"/>
    <n v="11948"/>
    <n v="12530"/>
    <x v="281"/>
    <n v="74"/>
    <s v="3.2"/>
    <n v="708"/>
    <n v="18612"/>
    <s v="0.64"/>
    <s v="0.15"/>
    <s v="0.67"/>
    <s v="0.11"/>
    <s v="0.09"/>
    <n v="8219"/>
    <s v="K - D diff."/>
    <n v="1621"/>
    <n v="1799"/>
    <s v="0.9"/>
    <s v="0.94"/>
    <s v="72.70%"/>
    <s v="12.20%"/>
    <n v="10393"/>
    <n v="5367"/>
    <n v="2104"/>
    <n v="630"/>
    <n v="107"/>
    <n v="11"/>
    <n v="8413"/>
    <n v="103"/>
    <n v="1128"/>
    <n v="2041"/>
    <n v="168"/>
    <n v="112"/>
    <s v="0.95"/>
  </r>
  <r>
    <n v="10569"/>
    <x v="676"/>
    <s v="David Dobrosavljevic"/>
    <x v="2"/>
    <x v="0"/>
    <s v="Ambush"/>
    <s v="LDLC, Misfits, Heretics"/>
    <n v="11155"/>
    <n v="11756"/>
    <x v="185"/>
    <s v="75.6"/>
    <s v="3.5"/>
    <n v="644"/>
    <n v="17079"/>
    <s v="0.65"/>
    <s v="0.15"/>
    <s v="0.69"/>
    <s v="0.1"/>
    <s v="0.09"/>
    <n v="7655"/>
    <s v="K - D diff."/>
    <n v="1636"/>
    <n v="1737"/>
    <s v="0.94"/>
    <s v="0.98"/>
    <s v="72.90%"/>
    <s v="14.00%"/>
    <n v="9424"/>
    <n v="4967"/>
    <n v="1996"/>
    <n v="580"/>
    <n v="104"/>
    <n v="8"/>
    <n v="8435"/>
    <n v="138"/>
    <n v="594"/>
    <n v="1881"/>
    <n v="128"/>
    <n v="11"/>
    <s v="0.95"/>
  </r>
  <r>
    <n v="9660"/>
    <x v="677"/>
    <s v="Connor Glover"/>
    <x v="3"/>
    <x v="27"/>
    <m/>
    <s v="Ghost, Bee's Money Crew, BlackOut, The Pioneers"/>
    <n v="7738"/>
    <n v="8195"/>
    <x v="221"/>
    <s v="72.8"/>
    <s v="2.7"/>
    <n v="449"/>
    <n v="11544"/>
    <s v="0.67"/>
    <s v="0.12"/>
    <s v="0.71"/>
    <s v="0.11"/>
    <s v="0.1"/>
    <n v="5339"/>
    <s v="K - D diff."/>
    <n v="1165"/>
    <n v="1426"/>
    <s v="0.82"/>
    <s v="0.97"/>
    <s v="68.30%"/>
    <s v="13.80%"/>
    <n v="6205"/>
    <n v="3510"/>
    <n v="1347"/>
    <n v="401"/>
    <n v="74"/>
    <n v="7"/>
    <n v="4844"/>
    <n v="587"/>
    <n v="461"/>
    <n v="1776"/>
    <n v="71"/>
    <n v="16"/>
    <s v="0.95"/>
  </r>
  <r>
    <n v="12590"/>
    <x v="678"/>
    <s v="Jay Jeong"/>
    <x v="1"/>
    <x v="6"/>
    <m/>
    <s v="Legacy, AVANT, Chiefs, Dire Wolves"/>
    <n v="9148"/>
    <n v="9558"/>
    <x v="0"/>
    <s v="72.1"/>
    <s v="4.2"/>
    <n v="554"/>
    <n v="14231"/>
    <s v="0.64"/>
    <s v="0.14"/>
    <s v="0.67"/>
    <s v="0.11"/>
    <s v="0.1"/>
    <n v="6320"/>
    <s v="K - D diff."/>
    <n v="1217"/>
    <n v="1435"/>
    <s v="0.85"/>
    <s v="0.93"/>
    <s v="71.30%"/>
    <s v="11.70%"/>
    <n v="7911"/>
    <n v="4143"/>
    <n v="1617"/>
    <n v="473"/>
    <n v="83"/>
    <n v="4"/>
    <n v="6687"/>
    <n v="101"/>
    <n v="713"/>
    <n v="1537"/>
    <n v="129"/>
    <n v="26"/>
    <s v="1.01"/>
  </r>
  <r>
    <n v="12161"/>
    <x v="679"/>
    <s v="Aidyn Turlybekov"/>
    <x v="4"/>
    <x v="42"/>
    <m/>
    <s v="AVANGAR, Winstrike"/>
    <n v="12720"/>
    <n v="13088"/>
    <x v="259"/>
    <s v="71.4"/>
    <s v="3.9"/>
    <n v="763"/>
    <n v="20020"/>
    <s v="0.64"/>
    <s v="0.14"/>
    <s v="0.65"/>
    <s v="0.1"/>
    <s v="0.09"/>
    <n v="8963"/>
    <s v="K - D diff."/>
    <n v="1649"/>
    <n v="1742"/>
    <s v="0.95"/>
    <s v="0.93"/>
    <s v="74.30%"/>
    <s v="11.40%"/>
    <n v="11057"/>
    <n v="6035"/>
    <n v="2211"/>
    <n v="614"/>
    <n v="94"/>
    <n v="9"/>
    <n v="9341"/>
    <n v="79"/>
    <n v="963"/>
    <n v="2172"/>
    <n v="163"/>
    <n v="25"/>
    <s v="1.01"/>
  </r>
  <r>
    <n v="7942"/>
    <x v="680"/>
    <s v="Igor Radosavlevich"/>
    <x v="5"/>
    <x v="33"/>
    <s v="SHIPACHI"/>
    <s v="K29, ANOX"/>
    <n v="7217"/>
    <n v="7623"/>
    <x v="174"/>
    <n v="72"/>
    <s v="2.3"/>
    <n v="419"/>
    <n v="10917"/>
    <s v="0.66"/>
    <s v="0.13"/>
    <s v="0.7"/>
    <s v="0.1"/>
    <s v="0.11"/>
    <n v="4997"/>
    <s v="K - D diff."/>
    <n v="836"/>
    <n v="938"/>
    <s v="0.89"/>
    <s v="0.91"/>
    <s v="73.80%"/>
    <s v="12.10%"/>
    <n v="5920"/>
    <n v="3312"/>
    <n v="1251"/>
    <n v="345"/>
    <n v="82"/>
    <n v="7"/>
    <n v="5542"/>
    <n v="53"/>
    <n v="167"/>
    <n v="1394"/>
    <n v="65"/>
    <n v="8"/>
    <s v="0.95"/>
  </r>
  <r>
    <n v="11287"/>
    <x v="681"/>
    <s v="Kacper Åšciera"/>
    <x v="1"/>
    <x v="17"/>
    <s v="Impression"/>
    <s v="PACT"/>
    <n v="14316"/>
    <n v="15126"/>
    <x v="282"/>
    <n v="75"/>
    <s v="6.6"/>
    <n v="804"/>
    <n v="21820"/>
    <s v="0.66"/>
    <s v="0.14"/>
    <s v="0.69"/>
    <s v="0.1"/>
    <s v="0.09"/>
    <n v="9896"/>
    <s v="K - D diff."/>
    <n v="2320"/>
    <n v="2428"/>
    <s v="0.96"/>
    <s v="1.01"/>
    <s v="70.50%"/>
    <s v="15.30%"/>
    <n v="11924"/>
    <n v="6545"/>
    <n v="2459"/>
    <n v="734"/>
    <n v="139"/>
    <n v="19"/>
    <n v="10592"/>
    <n v="338"/>
    <n v="831"/>
    <n v="2267"/>
    <n v="289"/>
    <n v="55"/>
    <s v="1.02"/>
  </r>
  <r>
    <n v="14161"/>
    <x v="682"/>
    <s v="Artem Gradovich"/>
    <x v="5"/>
    <x v="2"/>
    <s v="INDE IRAE"/>
    <s v="INDE IRAE, Espada"/>
    <n v="8423"/>
    <n v="9077"/>
    <x v="174"/>
    <s v="76.5"/>
    <s v="4.8"/>
    <n v="461"/>
    <n v="12365"/>
    <s v="0.68"/>
    <s v="0.13"/>
    <s v="0.73"/>
    <s v="0.09"/>
    <s v="0.08"/>
    <n v="5714"/>
    <s v="K - D diff."/>
    <n v="1358"/>
    <n v="1697"/>
    <s v="0.8"/>
    <s v="0.99"/>
    <s v="70.60%"/>
    <s v="15.80%"/>
    <n v="6651"/>
    <n v="3667"/>
    <n v="1486"/>
    <n v="469"/>
    <n v="83"/>
    <n v="9"/>
    <n v="6251"/>
    <n v="76"/>
    <n v="536"/>
    <n v="1427"/>
    <n v="127"/>
    <n v="25"/>
    <n v="1"/>
  </r>
  <r>
    <n v="16462"/>
    <x v="683"/>
    <s v="Sander Iversen"/>
    <x v="1"/>
    <x v="40"/>
    <m/>
    <s v="Apeks, 777"/>
    <n v="9973"/>
    <n v="10752"/>
    <x v="283"/>
    <n v="73"/>
    <s v="5.3"/>
    <n v="554"/>
    <n v="15106"/>
    <s v="0.66"/>
    <s v="0.12"/>
    <s v="0.71"/>
    <s v="0.1"/>
    <s v="0.09"/>
    <n v="6711"/>
    <s v="K - D diff."/>
    <n v="1745"/>
    <n v="1969"/>
    <s v="0.89"/>
    <s v="1.03"/>
    <s v="70.50%"/>
    <s v="16.60%"/>
    <n v="8395"/>
    <n v="4275"/>
    <n v="1737"/>
    <n v="587"/>
    <n v="97"/>
    <n v="15"/>
    <n v="7147"/>
    <n v="188"/>
    <n v="557"/>
    <n v="1908"/>
    <n v="150"/>
    <n v="47"/>
    <n v="1"/>
  </r>
  <r>
    <n v="14311"/>
    <x v="684"/>
    <s v="Haris Hadzic"/>
    <x v="8"/>
    <x v="40"/>
    <n v="777"/>
    <s v="777, Nordavind"/>
    <n v="11699"/>
    <n v="12478"/>
    <x v="69"/>
    <s v="74.9"/>
    <s v="4.7"/>
    <n v="661"/>
    <n v="17791"/>
    <s v="0.66"/>
    <s v="0.14"/>
    <s v="0.7"/>
    <s v="0.12"/>
    <s v="0.1"/>
    <n v="7978"/>
    <s v="K - D diff."/>
    <n v="1908"/>
    <n v="2270"/>
    <s v="0.84"/>
    <s v="0.99"/>
    <s v="70.30%"/>
    <s v="15.30%"/>
    <n v="9813"/>
    <n v="5155"/>
    <n v="2073"/>
    <n v="618"/>
    <n v="116"/>
    <n v="16"/>
    <n v="8147"/>
    <n v="202"/>
    <n v="1100"/>
    <n v="2120"/>
    <n v="124"/>
    <n v="39"/>
    <s v="1.03"/>
  </r>
  <r>
    <n v="18697"/>
    <x v="685"/>
    <s v="Blagoi Dimitrov"/>
    <x v="16"/>
    <x v="25"/>
    <s v="OG Academy"/>
    <s v="SKADE"/>
    <n v="8969"/>
    <n v="9420"/>
    <x v="284"/>
    <s v="68.2"/>
    <s v="4.1"/>
    <n v="531"/>
    <n v="14280"/>
    <s v="0.63"/>
    <s v="0.11"/>
    <s v="0.66"/>
    <s v="0.1"/>
    <s v="0.08"/>
    <n v="6217"/>
    <s v="K - D diff."/>
    <n v="1373"/>
    <n v="1663"/>
    <s v="0.83"/>
    <s v="0.95"/>
    <s v="74.00%"/>
    <s v="13.60%"/>
    <n v="8063"/>
    <n v="4156"/>
    <n v="1495"/>
    <n v="456"/>
    <n v="95"/>
    <n v="15"/>
    <n v="6603"/>
    <n v="102"/>
    <n v="514"/>
    <n v="1597"/>
    <n v="150"/>
    <n v="37"/>
    <n v="1"/>
  </r>
  <r>
    <n v="8151"/>
    <x v="686"/>
    <s v="Asger Larsen"/>
    <x v="8"/>
    <x v="9"/>
    <s v="Apeks"/>
    <s v="Copenhagen Flames, SK, Apeks"/>
    <n v="30139"/>
    <n v="31648"/>
    <x v="98"/>
    <s v="72.4"/>
    <s v="4.4"/>
    <n v="1765"/>
    <n v="46574"/>
    <s v="0.65"/>
    <s v="0.15"/>
    <s v="0.68"/>
    <s v="0.11"/>
    <s v="0.09"/>
    <n v="20872"/>
    <s v="K - D diff."/>
    <n v="4685"/>
    <n v="5068"/>
    <s v="0.92"/>
    <s v="0.99"/>
    <s v="73.40%"/>
    <s v="14.50%"/>
    <n v="25702"/>
    <n v="13743"/>
    <n v="5318"/>
    <n v="1524"/>
    <n v="264"/>
    <n v="23"/>
    <n v="22436"/>
    <n v="815"/>
    <n v="2011"/>
    <n v="4482"/>
    <n v="404"/>
    <n v="73"/>
    <s v="0.95"/>
  </r>
  <r>
    <n v="11630"/>
    <x v="687"/>
    <s v="Johnny Theodosiou"/>
    <x v="6"/>
    <x v="34"/>
    <s v="Complexity"/>
    <s v="Extra Salt, Bravado, ATK, Cloud9"/>
    <n v="17574"/>
    <n v="18531"/>
    <x v="156"/>
    <n v="72"/>
    <s v="4.7"/>
    <n v="1061"/>
    <n v="27532"/>
    <s v="0.64"/>
    <s v="0.14"/>
    <s v="0.67"/>
    <s v="0.12"/>
    <s v="0.11"/>
    <n v="12084"/>
    <s v="K - D diff."/>
    <n v="2641"/>
    <n v="3061"/>
    <s v="0.86"/>
    <s v="0.96"/>
    <s v="74.60%"/>
    <s v="13.50%"/>
    <n v="15448"/>
    <n v="7898"/>
    <n v="3081"/>
    <n v="918"/>
    <n v="175"/>
    <n v="12"/>
    <n v="13078"/>
    <n v="722"/>
    <n v="880"/>
    <n v="2680"/>
    <n v="227"/>
    <n v="60"/>
    <s v="1.02"/>
  </r>
  <r>
    <n v="5440"/>
    <x v="688"/>
    <s v="Viktor TamÃ¡s Bea"/>
    <x v="5"/>
    <x v="8"/>
    <s v="CLG Red"/>
    <s v="GameAgents, Orgless"/>
    <n v="10179"/>
    <n v="10697"/>
    <x v="127"/>
    <s v="72.3"/>
    <s v="3.8"/>
    <n v="594"/>
    <n v="15719"/>
    <s v="0.65"/>
    <s v="0.14"/>
    <s v="0.68"/>
    <s v="0.1"/>
    <s v="0.09"/>
    <n v="7032"/>
    <s v="K - D diff."/>
    <n v="1187"/>
    <n v="1415"/>
    <s v="0.84"/>
    <s v="0.89"/>
    <s v="71.80%"/>
    <s v="11.00%"/>
    <n v="8687"/>
    <n v="4597"/>
    <n v="1832"/>
    <n v="507"/>
    <n v="89"/>
    <n v="7"/>
    <n v="7310"/>
    <n v="292"/>
    <n v="787"/>
    <n v="1613"/>
    <n v="148"/>
    <n v="56"/>
    <s v="0.95"/>
  </r>
  <r>
    <n v="7214"/>
    <x v="689"/>
    <s v="Hendrik Goetzendorff"/>
    <x v="9"/>
    <x v="32"/>
    <m/>
    <s v="PENTA, 3DMAX, Planetkey"/>
    <n v="6648"/>
    <n v="6894"/>
    <x v="80"/>
    <n v="76"/>
    <s v="1.8"/>
    <n v="403"/>
    <n v="10276"/>
    <s v="0.65"/>
    <s v="0.14"/>
    <s v="0.67"/>
    <s v="0.09"/>
    <s v="0.09"/>
    <n v="4650"/>
    <s v="K - D diff."/>
    <n v="731"/>
    <n v="683"/>
    <s v="1.07"/>
    <s v="0.91"/>
    <s v="78.00%"/>
    <s v="11.20%"/>
    <n v="5626"/>
    <n v="3115"/>
    <n v="1168"/>
    <n v="311"/>
    <n v="51"/>
    <n v="5"/>
    <n v="4584"/>
    <n v="432"/>
    <n v="277"/>
    <n v="1148"/>
    <n v="199"/>
    <n v="8"/>
    <s v="0.95"/>
  </r>
  <r>
    <n v="9325"/>
    <x v="690"/>
    <s v="Tony NiemelÃ¤"/>
    <x v="8"/>
    <x v="23"/>
    <s v="temp"/>
    <s v="SJ"/>
    <n v="15700"/>
    <n v="16720"/>
    <x v="217"/>
    <s v="73.2"/>
    <s v="4.4"/>
    <n v="897"/>
    <n v="24098"/>
    <s v="0.65"/>
    <s v="0.14"/>
    <s v="0.69"/>
    <s v="0.1"/>
    <s v="0.1"/>
    <n v="10770"/>
    <s v="K - D diff."/>
    <n v="2378"/>
    <n v="2685"/>
    <s v="0.89"/>
    <s v="0.97"/>
    <s v="74.60%"/>
    <s v="14.80%"/>
    <n v="13328"/>
    <n v="7005"/>
    <n v="2796"/>
    <n v="796"/>
    <n v="150"/>
    <n v="23"/>
    <n v="11850"/>
    <n v="99"/>
    <n v="1073"/>
    <n v="2458"/>
    <n v="219"/>
    <n v="37"/>
    <s v="0.95"/>
  </r>
  <r>
    <n v="10367"/>
    <x v="691"/>
    <s v="Lukas Kauer"/>
    <x v="5"/>
    <x v="32"/>
    <m/>
    <s v="ALTERNATE aTTaX"/>
    <n v="7387"/>
    <n v="7858"/>
    <x v="205"/>
    <s v="75.1"/>
    <s v="3.1"/>
    <n v="426"/>
    <n v="11214"/>
    <s v="0.66"/>
    <s v="0.14"/>
    <s v="0.7"/>
    <s v="0.12"/>
    <s v="0.11"/>
    <n v="5084"/>
    <s v="K - D diff."/>
    <n v="1096"/>
    <n v="1175"/>
    <s v="0.93"/>
    <s v="0.98"/>
    <s v="70.50%"/>
    <s v="13.80%"/>
    <n v="6130"/>
    <n v="3313"/>
    <n v="1325"/>
    <n v="368"/>
    <n v="70"/>
    <n v="8"/>
    <n v="5276"/>
    <n v="129"/>
    <n v="680"/>
    <n v="1243"/>
    <n v="57"/>
    <n v="17"/>
    <s v="0.95"/>
  </r>
  <r>
    <n v="8599"/>
    <x v="692"/>
    <s v="QiFang Su"/>
    <x v="14"/>
    <x v="10"/>
    <m/>
    <s v="Flash, OneThree, EHOME"/>
    <n v="7360"/>
    <n v="7650"/>
    <x v="154"/>
    <s v="70.5"/>
    <s v="3.7"/>
    <n v="457"/>
    <n v="11674"/>
    <s v="0.63"/>
    <s v="0.14"/>
    <s v="0.66"/>
    <s v="0.1"/>
    <s v="0.09"/>
    <n v="5157"/>
    <s v="K - D diff."/>
    <n v="791"/>
    <n v="929"/>
    <s v="0.85"/>
    <s v="0.87"/>
    <s v="74.20%"/>
    <s v="9.50%"/>
    <n v="6517"/>
    <n v="3444"/>
    <n v="1297"/>
    <n v="349"/>
    <n v="60"/>
    <n v="7"/>
    <n v="5282"/>
    <n v="63"/>
    <n v="535"/>
    <n v="1403"/>
    <n v="87"/>
    <n v="3"/>
    <s v="0.95"/>
  </r>
  <r>
    <n v="7463"/>
    <x v="693"/>
    <s v="Peter Kragelund"/>
    <x v="11"/>
    <x v="9"/>
    <m/>
    <s v="Tricked, Singularity"/>
    <n v="12779"/>
    <n v="13628"/>
    <x v="98"/>
    <s v="72.5"/>
    <s v="2.6"/>
    <n v="754"/>
    <n v="19798"/>
    <s v="0.65"/>
    <s v="0.14"/>
    <s v="0.69"/>
    <s v="0.1"/>
    <s v="0.09"/>
    <n v="8729"/>
    <s v="K - D diff."/>
    <n v="1712"/>
    <n v="2170"/>
    <s v="0.79"/>
    <s v="0.92"/>
    <s v="73.20%"/>
    <s v="12.60%"/>
    <n v="11069"/>
    <n v="5634"/>
    <n v="2296"/>
    <n v="662"/>
    <n v="121"/>
    <n v="16"/>
    <n v="9025"/>
    <n v="394"/>
    <n v="1075"/>
    <n v="2170"/>
    <n v="120"/>
    <n v="11"/>
    <s v="0.94"/>
  </r>
  <r>
    <n v="16412"/>
    <x v="694"/>
    <s v="Kostadin Turbinov"/>
    <x v="4"/>
    <x v="25"/>
    <s v="BeyondPossible"/>
    <s v="SKADE, Bpro, FATE"/>
    <n v="8650"/>
    <n v="9125"/>
    <x v="54"/>
    <n v="71"/>
    <s v="3.3"/>
    <n v="497"/>
    <n v="13334"/>
    <s v="0.65"/>
    <s v="0.13"/>
    <s v="0.68"/>
    <s v="0.12"/>
    <s v="0.11"/>
    <n v="6029"/>
    <s v="K - D diff."/>
    <n v="1199"/>
    <n v="1245"/>
    <s v="0.96"/>
    <s v="0.96"/>
    <s v="71.00%"/>
    <s v="12.60%"/>
    <n v="7305"/>
    <n v="3999"/>
    <n v="1532"/>
    <n v="416"/>
    <n v="71"/>
    <n v="11"/>
    <n v="6504"/>
    <n v="50"/>
    <n v="648"/>
    <n v="1374"/>
    <n v="86"/>
    <n v="13"/>
    <n v="1"/>
  </r>
  <r>
    <n v="7943"/>
    <x v="695"/>
    <s v="Alexander Kiziukevich"/>
    <x v="2"/>
    <x v="33"/>
    <s v="VRTX"/>
    <s v="Unique, Quantum Bellator Fire, Space Jam"/>
    <n v="7217"/>
    <n v="7588"/>
    <x v="277"/>
    <s v="70.3"/>
    <s v="2.8"/>
    <n v="431"/>
    <n v="11262"/>
    <s v="0.64"/>
    <s v="0.12"/>
    <s v="0.67"/>
    <s v="0.08"/>
    <s v="0.09"/>
    <n v="5052"/>
    <s v="K - D diff."/>
    <n v="841"/>
    <n v="936"/>
    <s v="0.9"/>
    <s v="0.9"/>
    <s v="67.30%"/>
    <s v="10.40%"/>
    <n v="6210"/>
    <n v="3387"/>
    <n v="1256"/>
    <n v="326"/>
    <n v="76"/>
    <n v="7"/>
    <n v="5372"/>
    <n v="40"/>
    <n v="396"/>
    <n v="1330"/>
    <n v="74"/>
    <n v="15"/>
    <s v="0.94"/>
  </r>
  <r>
    <n v="9845"/>
    <x v="696"/>
    <s v="Andy Xu"/>
    <x v="3"/>
    <x v="27"/>
    <m/>
    <s v="Rise Nation, Vision, Ghost"/>
    <n v="6351"/>
    <n v="6673"/>
    <x v="36"/>
    <s v="70.6"/>
    <s v="2.8"/>
    <n v="385"/>
    <n v="10066"/>
    <s v="0.63"/>
    <s v="0.15"/>
    <s v="0.66"/>
    <s v="0.12"/>
    <s v="0.11"/>
    <n v="4455"/>
    <s v="K - D diff."/>
    <n v="511"/>
    <n v="648"/>
    <s v="0.79"/>
    <s v="0.81"/>
    <s v="70.80%"/>
    <s v="6.90%"/>
    <n v="5611"/>
    <n v="3010"/>
    <n v="1085"/>
    <n v="282"/>
    <n v="65"/>
    <n v="13"/>
    <n v="4351"/>
    <n v="159"/>
    <n v="503"/>
    <n v="1279"/>
    <n v="69"/>
    <n v="4"/>
    <s v="0.94"/>
  </r>
  <r>
    <n v="10762"/>
    <x v="697"/>
    <s v="Ivan Stratiev"/>
    <x v="8"/>
    <x v="25"/>
    <s v="allStars"/>
    <s v="SKADE, Outlaws, Bpro"/>
    <n v="15317"/>
    <n v="16361"/>
    <x v="128"/>
    <s v="74.1"/>
    <n v="5"/>
    <n v="887"/>
    <n v="23379"/>
    <s v="0.66"/>
    <s v="0.14"/>
    <s v="0.7"/>
    <s v="0.1"/>
    <s v="0.09"/>
    <n v="10556"/>
    <s v="K - D diff."/>
    <n v="2324"/>
    <n v="2600"/>
    <s v="0.89"/>
    <s v="0.98"/>
    <s v="72.60%"/>
    <s v="14.20%"/>
    <n v="12823"/>
    <n v="6915"/>
    <n v="2707"/>
    <n v="760"/>
    <n v="162"/>
    <n v="12"/>
    <n v="11329"/>
    <n v="351"/>
    <n v="883"/>
    <n v="2555"/>
    <n v="210"/>
    <n v="39"/>
    <s v="1.01"/>
  </r>
  <r>
    <n v="7147"/>
    <x v="698"/>
    <s v="Robin Johansson"/>
    <x v="12"/>
    <x v="29"/>
    <m/>
    <s v="NIP"/>
    <n v="7894"/>
    <n v="7934"/>
    <x v="285"/>
    <s v="91.7"/>
    <s v="6.2"/>
    <n v="538"/>
    <n v="13220"/>
    <s v="0.6"/>
    <s v="0.15"/>
    <s v="0.6"/>
    <s v="0.04"/>
    <s v="0.16"/>
    <n v="5664"/>
    <s v="K - D diff."/>
    <n v="1271"/>
    <n v="1085"/>
    <s v="1.17"/>
    <s v="1.01"/>
    <s v="81.90%"/>
    <s v="13.20%"/>
    <n v="7556"/>
    <n v="3929"/>
    <n v="1341"/>
    <n v="338"/>
    <n v="53"/>
    <n v="3"/>
    <n v="4759"/>
    <n v="1355"/>
    <n v="187"/>
    <n v="1389"/>
    <n v="188"/>
    <n v="16"/>
    <s v="0.94"/>
  </r>
  <r>
    <n v="3517"/>
    <x v="699"/>
    <s v="Oliver Heck"/>
    <x v="15"/>
    <x v="32"/>
    <s v="EPIC DUDES"/>
    <s v="EURONICS, ALTERNATE aTTaX, Unicorns of Love"/>
    <n v="16400"/>
    <n v="17245"/>
    <x v="97"/>
    <s v="72.6"/>
    <s v="4.8"/>
    <n v="986"/>
    <n v="25705"/>
    <s v="0.64"/>
    <s v="0.14"/>
    <s v="0.67"/>
    <s v="0.09"/>
    <s v="0.09"/>
    <n v="11441"/>
    <s v="K - D diff."/>
    <n v="2226"/>
    <n v="2255"/>
    <s v="0.99"/>
    <s v="0.95"/>
    <s v="71.90%"/>
    <s v="12.50%"/>
    <n v="14264"/>
    <n v="7613"/>
    <n v="2876"/>
    <n v="791"/>
    <n v="150"/>
    <n v="11"/>
    <n v="10146"/>
    <n v="2237"/>
    <n v="856"/>
    <n v="2867"/>
    <n v="278"/>
    <n v="49"/>
    <s v="0.94"/>
  </r>
  <r>
    <n v="13976"/>
    <x v="700"/>
    <s v="Anton Burko"/>
    <x v="2"/>
    <x v="33"/>
    <s v="Nemiga"/>
    <s v="Nemiga, GoodJob"/>
    <n v="21726"/>
    <n v="23045"/>
    <x v="256"/>
    <s v="75.2"/>
    <s v="5.9"/>
    <n v="1261"/>
    <n v="33615"/>
    <s v="0.65"/>
    <s v="0.16"/>
    <s v="0.69"/>
    <s v="0.1"/>
    <s v="0.08"/>
    <n v="15065"/>
    <s v="K - D diff."/>
    <n v="4424"/>
    <n v="4589"/>
    <s v="0.96"/>
    <s v="1.1"/>
    <s v="73.10%"/>
    <s v="18.90%"/>
    <n v="18550"/>
    <n v="9960"/>
    <n v="3789"/>
    <n v="1091"/>
    <n v="210"/>
    <n v="15"/>
    <n v="14632"/>
    <n v="1796"/>
    <n v="1663"/>
    <n v="3241"/>
    <n v="345"/>
    <n v="115"/>
    <s v="1.04"/>
  </r>
  <r>
    <n v="11278"/>
    <x v="701"/>
    <s v="Mateusz Zawistowski"/>
    <x v="8"/>
    <x v="17"/>
    <m/>
    <s v="AGO, Izako Boars"/>
    <n v="18722"/>
    <n v="19783"/>
    <x v="220"/>
    <s v="69.7"/>
    <s v="4.7"/>
    <n v="1106"/>
    <n v="29520"/>
    <s v="0.63"/>
    <s v="0.12"/>
    <s v="0.67"/>
    <s v="0.09"/>
    <s v="0.08"/>
    <n v="12945"/>
    <s v="K - D diff."/>
    <n v="2673"/>
    <n v="3185"/>
    <s v="0.84"/>
    <s v="0.94"/>
    <s v="72.10%"/>
    <s v="12.90%"/>
    <n v="16575"/>
    <n v="8479"/>
    <n v="3350"/>
    <n v="935"/>
    <n v="167"/>
    <n v="14"/>
    <n v="12425"/>
    <n v="1436"/>
    <n v="1310"/>
    <n v="3236"/>
    <n v="297"/>
    <n v="60"/>
    <s v="0.99"/>
  </r>
  <r>
    <n v="8752"/>
    <x v="702"/>
    <s v="Samuel Portillo"/>
    <x v="2"/>
    <x v="24"/>
    <m/>
    <s v="Swole Patrol, Method, NRG"/>
    <n v="10751"/>
    <n v="11539"/>
    <x v="41"/>
    <s v="70.9"/>
    <s v="2.6"/>
    <n v="624"/>
    <n v="16235"/>
    <s v="0.66"/>
    <s v="0.12"/>
    <s v="0.71"/>
    <s v="0.1"/>
    <s v="0.09"/>
    <n v="7389"/>
    <s v="K - D diff."/>
    <n v="1772"/>
    <n v="1853"/>
    <s v="0.96"/>
    <s v="1.02"/>
    <s v="70.20%"/>
    <s v="15.90%"/>
    <n v="8846"/>
    <n v="4827"/>
    <n v="1898"/>
    <n v="540"/>
    <n v="118"/>
    <n v="6"/>
    <n v="4464"/>
    <n v="3446"/>
    <n v="587"/>
    <n v="2114"/>
    <n v="112"/>
    <n v="39"/>
    <s v="0.94"/>
  </r>
  <r>
    <n v="1950"/>
    <x v="703"/>
    <s v="Anton Kolesnikov"/>
    <x v="11"/>
    <x v="2"/>
    <s v="TAG"/>
    <s v="Spirit"/>
    <n v="13828"/>
    <n v="14553"/>
    <x v="64"/>
    <s v="69.6"/>
    <s v="3.8"/>
    <n v="826"/>
    <n v="21699"/>
    <s v="0.64"/>
    <s v="0.13"/>
    <s v="0.67"/>
    <s v="0.08"/>
    <s v="0.08"/>
    <n v="9695"/>
    <s v="K - D diff."/>
    <n v="1925"/>
    <n v="1943"/>
    <s v="0.99"/>
    <s v="0.96"/>
    <s v="71.30%"/>
    <s v="12.50%"/>
    <n v="12004"/>
    <n v="6501"/>
    <n v="2423"/>
    <n v="628"/>
    <n v="130"/>
    <n v="13"/>
    <n v="9781"/>
    <n v="487"/>
    <n v="758"/>
    <n v="2570"/>
    <n v="192"/>
    <n v="55"/>
    <s v="0.94"/>
  </r>
  <r>
    <n v="15180"/>
    <x v="704"/>
    <s v="Samuli Herrala"/>
    <x v="7"/>
    <x v="23"/>
    <s v="KOVA"/>
    <s v="KOVA, HAVU"/>
    <n v="13046"/>
    <n v="13847"/>
    <x v="164"/>
    <s v="71.5"/>
    <s v="5.2"/>
    <n v="760"/>
    <n v="20630"/>
    <s v="0.63"/>
    <s v="0.13"/>
    <s v="0.67"/>
    <s v="0.1"/>
    <s v="0.09"/>
    <n v="9062"/>
    <s v="K - D diff."/>
    <n v="1937"/>
    <n v="2246"/>
    <s v="0.86"/>
    <s v="0.95"/>
    <s v="71.70%"/>
    <s v="13.50%"/>
    <n v="11568"/>
    <n v="6021"/>
    <n v="2238"/>
    <n v="674"/>
    <n v="118"/>
    <n v="11"/>
    <n v="9445"/>
    <n v="157"/>
    <n v="970"/>
    <n v="2239"/>
    <n v="178"/>
    <n v="99"/>
    <n v="1"/>
  </r>
  <r>
    <n v="8410"/>
    <x v="705"/>
    <s v="Vladyslav Svistov"/>
    <x v="5"/>
    <x v="1"/>
    <m/>
    <s v="Preparation, Spirit, Worst Players"/>
    <n v="10295"/>
    <n v="10953"/>
    <x v="50"/>
    <s v="72.7"/>
    <s v="2.2"/>
    <n v="593"/>
    <n v="15530"/>
    <s v="0.66"/>
    <s v="0.13"/>
    <s v="0.71"/>
    <s v="0.1"/>
    <s v="0.1"/>
    <n v="7195"/>
    <s v="K - D diff."/>
    <n v="1194"/>
    <n v="1175"/>
    <s v="1.02"/>
    <s v="0.92"/>
    <s v="73.10%"/>
    <s v="11.50%"/>
    <n v="8335"/>
    <n v="4776"/>
    <n v="1832"/>
    <n v="501"/>
    <n v="78"/>
    <n v="8"/>
    <n v="6995"/>
    <n v="486"/>
    <n v="865"/>
    <n v="1849"/>
    <n v="108"/>
    <n v="12"/>
    <s v="0.94"/>
  </r>
  <r>
    <n v="14203"/>
    <x v="706"/>
    <s v="Alan Hardeman"/>
    <x v="1"/>
    <x v="24"/>
    <s v="Bad News Bears"/>
    <s v="Bad News Bears, Triumph, Singularity, iNTACT"/>
    <n v="13373"/>
    <n v="13829"/>
    <x v="229"/>
    <s v="68.9"/>
    <s v="5.1"/>
    <n v="836"/>
    <n v="21792"/>
    <s v="0.61"/>
    <s v="0.13"/>
    <s v="0.63"/>
    <s v="0.1"/>
    <s v="0.08"/>
    <n v="9476"/>
    <s v="K - D diff."/>
    <n v="1812"/>
    <n v="2054"/>
    <s v="0.88"/>
    <s v="0.93"/>
    <s v="71.20%"/>
    <s v="11.40%"/>
    <n v="12316"/>
    <n v="6395"/>
    <n v="2372"/>
    <n v="607"/>
    <n v="97"/>
    <n v="5"/>
    <n v="8780"/>
    <n v="997"/>
    <n v="1267"/>
    <n v="1992"/>
    <n v="208"/>
    <n v="185"/>
    <n v="1"/>
  </r>
  <r>
    <n v="8549"/>
    <x v="707"/>
    <s v="Konrad JeÅ„czeÅ„"/>
    <x v="1"/>
    <x v="17"/>
    <s v="UNGENTIUM"/>
    <s v="PRIDE, Izako Boars"/>
    <n v="15251"/>
    <n v="16330"/>
    <x v="258"/>
    <s v="71.2"/>
    <s v="3.6"/>
    <n v="882"/>
    <n v="23538"/>
    <s v="0.65"/>
    <s v="0.13"/>
    <s v="0.69"/>
    <s v="0.09"/>
    <s v="0.09"/>
    <n v="10499"/>
    <s v="K - D diff."/>
    <n v="2499"/>
    <n v="2586"/>
    <s v="0.97"/>
    <s v="1.01"/>
    <s v="72.80%"/>
    <s v="15.60%"/>
    <n v="13039"/>
    <n v="6826"/>
    <n v="2750"/>
    <n v="776"/>
    <n v="138"/>
    <n v="9"/>
    <n v="8402"/>
    <n v="3254"/>
    <n v="649"/>
    <n v="2734"/>
    <n v="230"/>
    <n v="37"/>
    <s v="0.94"/>
  </r>
  <r>
    <n v="2260"/>
    <x v="708"/>
    <s v="Rui Lima"/>
    <x v="11"/>
    <x v="48"/>
    <s v="Panthers"/>
    <s v="OFFSET, Giants"/>
    <n v="7027"/>
    <n v="7579"/>
    <x v="178"/>
    <s v="70.9"/>
    <s v="3.8"/>
    <n v="422"/>
    <n v="11051"/>
    <s v="0.64"/>
    <s v="0.13"/>
    <s v="0.69"/>
    <s v="0.12"/>
    <s v="0.11"/>
    <n v="4797"/>
    <s v="K - D diff."/>
    <n v="933"/>
    <n v="990"/>
    <s v="0.94"/>
    <s v="0.94"/>
    <s v="70.00%"/>
    <s v="12.10%"/>
    <n v="6254"/>
    <n v="3122"/>
    <n v="1210"/>
    <n v="382"/>
    <n v="76"/>
    <n v="7"/>
    <n v="5134"/>
    <n v="33"/>
    <n v="432"/>
    <n v="1314"/>
    <n v="83"/>
    <n v="62"/>
    <n v="1"/>
  </r>
  <r>
    <n v="1889"/>
    <x v="709"/>
    <s v="Frederik Nielsen"/>
    <x v="3"/>
    <x v="9"/>
    <m/>
    <s v="North Academy, Tricked, No Problem!"/>
    <n v="10221"/>
    <n v="10753"/>
    <x v="36"/>
    <n v="72"/>
    <s v="4.5"/>
    <n v="623"/>
    <n v="16172"/>
    <s v="0.63"/>
    <s v="0.15"/>
    <s v="0.66"/>
    <s v="0.1"/>
    <s v="0.09"/>
    <n v="7137"/>
    <s v="K - D diff."/>
    <n v="1289"/>
    <n v="1481"/>
    <s v="0.87"/>
    <s v="0.91"/>
    <s v="72.80%"/>
    <s v="11.20%"/>
    <n v="9035"/>
    <n v="4713"/>
    <n v="1859"/>
    <n v="483"/>
    <n v="75"/>
    <n v="7"/>
    <n v="7417"/>
    <n v="124"/>
    <n v="751"/>
    <n v="1771"/>
    <n v="144"/>
    <n v="28"/>
    <s v="0.94"/>
  </r>
  <r>
    <n v="15071"/>
    <x v="710"/>
    <s v="Timofey Yakushin"/>
    <x v="0"/>
    <x v="2"/>
    <s v="Cloud9"/>
    <s v="Gambit Youngsters, Gambit"/>
    <n v="13256"/>
    <n v="13437"/>
    <x v="136"/>
    <n v="63"/>
    <s v="5.1"/>
    <n v="867"/>
    <n v="23039"/>
    <s v="0.58"/>
    <s v="0.12"/>
    <s v="0.58"/>
    <s v="0.1"/>
    <s v="0.1"/>
    <n v="9514"/>
    <s v="K - D diff."/>
    <n v="1446"/>
    <n v="1509"/>
    <s v="0.96"/>
    <s v="0.87"/>
    <s v="74.30%"/>
    <s v="8.50%"/>
    <n v="13525"/>
    <n v="6579"/>
    <n v="2240"/>
    <n v="591"/>
    <n v="96"/>
    <n v="8"/>
    <n v="10018"/>
    <n v="304"/>
    <n v="436"/>
    <n v="2273"/>
    <n v="239"/>
    <n v="45"/>
    <s v="0.99"/>
  </r>
  <r>
    <n v="7166"/>
    <x v="711"/>
    <s v="KÃ©vin Droolans"/>
    <x v="15"/>
    <x v="35"/>
    <m/>
    <s v="Titan, LDLC, VeryGames, G2"/>
    <n v="22665"/>
    <n v="23729"/>
    <x v="196"/>
    <s v="74.8"/>
    <n v="4"/>
    <n v="1393"/>
    <n v="36352"/>
    <s v="0.62"/>
    <s v="0.15"/>
    <s v="0.65"/>
    <s v="0.09"/>
    <s v="0.08"/>
    <n v="15885"/>
    <s v="K - D diff."/>
    <n v="3279"/>
    <n v="3270"/>
    <n v="1"/>
    <s v="0.97"/>
    <s v="74.30%"/>
    <s v="13.00%"/>
    <n v="20467"/>
    <n v="10631"/>
    <n v="3982"/>
    <n v="1083"/>
    <n v="176"/>
    <n v="13"/>
    <n v="16115"/>
    <n v="1234"/>
    <n v="757"/>
    <n v="4177"/>
    <n v="397"/>
    <n v="11"/>
    <s v="0.94"/>
  </r>
  <r>
    <n v="7405"/>
    <x v="712"/>
    <s v="Alexey Polivanov"/>
    <x v="14"/>
    <x v="2"/>
    <m/>
    <s v="EPG, PiTER, Preparation"/>
    <n v="8319"/>
    <n v="8815"/>
    <x v="82"/>
    <s v="73.3"/>
    <s v="3.1"/>
    <n v="491"/>
    <n v="12691"/>
    <s v="0.66"/>
    <s v="0.13"/>
    <s v="0.69"/>
    <s v="0.09"/>
    <s v="0.09"/>
    <n v="5811"/>
    <s v="K - D diff."/>
    <n v="928"/>
    <n v="988"/>
    <s v="0.94"/>
    <s v="0.9"/>
    <s v="73.60%"/>
    <s v="11.10%"/>
    <n v="6880"/>
    <n v="3828"/>
    <n v="1537"/>
    <n v="377"/>
    <n v="66"/>
    <n v="3"/>
    <n v="5617"/>
    <n v="260"/>
    <n v="371"/>
    <n v="1906"/>
    <n v="140"/>
    <n v="38"/>
    <s v="0.94"/>
  </r>
  <r>
    <n v="12588"/>
    <x v="713"/>
    <s v="Toby Barnes"/>
    <x v="4"/>
    <x v="15"/>
    <s v="VERTEX"/>
    <s v="VERTEX"/>
    <n v="6780"/>
    <n v="7256"/>
    <x v="179"/>
    <s v="70.6"/>
    <s v="5.6"/>
    <n v="408"/>
    <n v="10579"/>
    <s v="0.64"/>
    <s v="0.13"/>
    <s v="0.69"/>
    <s v="0.11"/>
    <s v="0.09"/>
    <n v="4668"/>
    <s v="K - D diff."/>
    <n v="1004"/>
    <n v="1104"/>
    <s v="0.91"/>
    <s v="0.97"/>
    <s v="73.30%"/>
    <s v="13.70%"/>
    <n v="5911"/>
    <n v="3025"/>
    <n v="1248"/>
    <n v="329"/>
    <n v="58"/>
    <n v="8"/>
    <n v="5076"/>
    <n v="204"/>
    <n v="502"/>
    <n v="884"/>
    <n v="122"/>
    <n v="17"/>
    <s v="0.99"/>
  </r>
  <r>
    <n v="11492"/>
    <x v="714"/>
    <s v="Alec Gulabovski"/>
    <x v="5"/>
    <x v="15"/>
    <m/>
    <s v="AVANT, Breakaway, Dark Sided"/>
    <n v="9682"/>
    <n v="10298"/>
    <x v="276"/>
    <s v="72.5"/>
    <s v="4.8"/>
    <n v="579"/>
    <n v="15033"/>
    <s v="0.64"/>
    <s v="0.14"/>
    <s v="0.69"/>
    <s v="0.09"/>
    <s v="0.08"/>
    <n v="6751"/>
    <s v="K - D diff."/>
    <n v="1152"/>
    <n v="1284"/>
    <s v="0.9"/>
    <s v="0.91"/>
    <s v="72.30%"/>
    <s v="11.30%"/>
    <n v="8282"/>
    <n v="4453"/>
    <n v="1767"/>
    <n v="446"/>
    <n v="68"/>
    <n v="17"/>
    <n v="6773"/>
    <n v="254"/>
    <n v="833"/>
    <n v="1648"/>
    <n v="158"/>
    <n v="37"/>
    <s v="0.99"/>
  </r>
  <r>
    <n v="9857"/>
    <x v="715"/>
    <s v="Engin Kor"/>
    <x v="11"/>
    <x v="7"/>
    <m/>
    <s v="Space Soldiers, Sangal"/>
    <n v="16499"/>
    <n v="17247"/>
    <x v="286"/>
    <s v="68.4"/>
    <s v="4.1"/>
    <n v="1025"/>
    <n v="26895"/>
    <s v="0.61"/>
    <s v="0.13"/>
    <s v="0.64"/>
    <s v="0.09"/>
    <s v="0.09"/>
    <n v="11687"/>
    <s v="K - D diff."/>
    <n v="1934"/>
    <n v="2125"/>
    <s v="0.91"/>
    <s v="0.89"/>
    <s v="75.00%"/>
    <s v="10.30%"/>
    <n v="15208"/>
    <n v="7947"/>
    <n v="2848"/>
    <n v="725"/>
    <n v="154"/>
    <n v="13"/>
    <n v="11239"/>
    <n v="920"/>
    <n v="1379"/>
    <n v="2727"/>
    <n v="243"/>
    <n v="50"/>
    <s v="0.94"/>
  </r>
  <r>
    <n v="2292"/>
    <x v="716"/>
    <s v="Lei Li"/>
    <x v="15"/>
    <x v="10"/>
    <m/>
    <s v="5POWER, UYA"/>
    <n v="7723"/>
    <n v="8457"/>
    <x v="69"/>
    <s v="75.3"/>
    <s v="4.3"/>
    <n v="442"/>
    <n v="11512"/>
    <s v="0.67"/>
    <s v="0.14"/>
    <s v="0.73"/>
    <s v="0.1"/>
    <s v="0.08"/>
    <n v="5249"/>
    <s v="K - D diff."/>
    <n v="1306"/>
    <n v="1577"/>
    <s v="0.83"/>
    <s v="1.01"/>
    <s v="71.40%"/>
    <s v="15.70%"/>
    <n v="6263"/>
    <n v="3363"/>
    <n v="1389"/>
    <n v="411"/>
    <n v="81"/>
    <n v="5"/>
    <n v="4627"/>
    <n v="754"/>
    <n v="616"/>
    <n v="1556"/>
    <n v="71"/>
    <n v="112"/>
    <s v="0.94"/>
  </r>
  <r>
    <n v="15697"/>
    <x v="717"/>
    <s v="Patryk Korab"/>
    <x v="1"/>
    <x v="17"/>
    <s v="UNGENTIUM"/>
    <s v="UNGENTIUM, AGO, PACT, Illuminar"/>
    <n v="8166"/>
    <n v="8637"/>
    <x v="117"/>
    <s v="70.8"/>
    <n v="7"/>
    <n v="489"/>
    <n v="13238"/>
    <s v="0.62"/>
    <s v="0.14"/>
    <s v="0.65"/>
    <s v="0.1"/>
    <s v="0.09"/>
    <n v="5691"/>
    <s v="K - D diff."/>
    <n v="1026"/>
    <n v="1052"/>
    <s v="0.98"/>
    <s v="0.92"/>
    <s v="71.10%"/>
    <s v="11.00%"/>
    <n v="7547"/>
    <n v="3770"/>
    <n v="1457"/>
    <n v="382"/>
    <n v="74"/>
    <n v="8"/>
    <n v="6173"/>
    <n v="127"/>
    <n v="430"/>
    <n v="1257"/>
    <n v="173"/>
    <n v="28"/>
    <s v="0.99"/>
  </r>
  <r>
    <n v="8320"/>
    <x v="718"/>
    <s v="Karol Cybulski"/>
    <x v="8"/>
    <x v="17"/>
    <m/>
    <s v="PRIDE, ESC, AGG, Vexed"/>
    <n v="8647"/>
    <n v="9304"/>
    <x v="78"/>
    <s v="69.4"/>
    <s v="3.8"/>
    <n v="505"/>
    <n v="13254"/>
    <s v="0.65"/>
    <s v="0.13"/>
    <s v="0.7"/>
    <s v="0.1"/>
    <s v="0.09"/>
    <n v="5996"/>
    <s v="K - D diff."/>
    <n v="1225"/>
    <n v="1406"/>
    <s v="0.87"/>
    <s v="0.95"/>
    <s v="71.10%"/>
    <s v="13.30%"/>
    <n v="7258"/>
    <n v="3960"/>
    <n v="1519"/>
    <n v="431"/>
    <n v="77"/>
    <n v="9"/>
    <n v="5984"/>
    <n v="205"/>
    <n v="513"/>
    <n v="1794"/>
    <n v="109"/>
    <n v="54"/>
    <s v="0.94"/>
  </r>
  <r>
    <n v="11940"/>
    <x v="719"/>
    <s v="Sanzhar Iskhakov"/>
    <x v="0"/>
    <x v="42"/>
    <s v="K23"/>
    <s v="K23, Syman"/>
    <n v="18706"/>
    <n v="20025"/>
    <x v="279"/>
    <s v="73.9"/>
    <s v="4.8"/>
    <n v="1078"/>
    <n v="28797"/>
    <s v="0.65"/>
    <s v="0.14"/>
    <s v="0.7"/>
    <s v="0.09"/>
    <s v="0.09"/>
    <n v="13005"/>
    <s v="K - D diff."/>
    <n v="2888"/>
    <n v="3123"/>
    <s v="0.92"/>
    <s v="0.99"/>
    <s v="71.40%"/>
    <s v="14.10%"/>
    <n v="15792"/>
    <n v="8571"/>
    <n v="3334"/>
    <n v="951"/>
    <n v="131"/>
    <n v="18"/>
    <n v="14007"/>
    <n v="237"/>
    <n v="1002"/>
    <n v="3207"/>
    <n v="217"/>
    <n v="78"/>
    <n v="1"/>
  </r>
  <r>
    <n v="9104"/>
    <x v="720"/>
    <s v="Daniel Whitfield"/>
    <x v="3"/>
    <x v="15"/>
    <m/>
    <s v="Corvidae, Kanga, AVANT"/>
    <n v="6730"/>
    <n v="7350"/>
    <x v="261"/>
    <n v="72"/>
    <s v="2.3"/>
    <n v="391"/>
    <n v="10173"/>
    <s v="0.66"/>
    <s v="0.13"/>
    <s v="0.72"/>
    <s v="0.09"/>
    <s v="0.1"/>
    <n v="4611"/>
    <s v="K - D diff."/>
    <n v="782"/>
    <n v="979"/>
    <s v="0.8"/>
    <s v="0.89"/>
    <s v="74.40%"/>
    <s v="12.20%"/>
    <n v="5562"/>
    <n v="3014"/>
    <n v="1160"/>
    <n v="356"/>
    <n v="78"/>
    <n v="3"/>
    <n v="4515"/>
    <n v="476"/>
    <n v="389"/>
    <n v="1279"/>
    <n v="70"/>
    <n v="18"/>
    <s v="0.93"/>
  </r>
  <r>
    <n v="10506"/>
    <x v="721"/>
    <s v="Matias Canale"/>
    <x v="11"/>
    <x v="38"/>
    <s v="VELOX"/>
    <s v="VELOX, Isurus, Gale Force, Miami Flamingos"/>
    <n v="7365"/>
    <n v="7787"/>
    <x v="264"/>
    <s v="70.9"/>
    <s v="4.4"/>
    <n v="450"/>
    <n v="11640"/>
    <s v="0.63"/>
    <s v="0.14"/>
    <s v="0.67"/>
    <s v="0.11"/>
    <s v="0.11"/>
    <n v="5223"/>
    <s v="K - D diff."/>
    <n v="951"/>
    <n v="926"/>
    <s v="1.03"/>
    <s v="0.94"/>
    <s v="71.10%"/>
    <s v="11.50%"/>
    <n v="6417"/>
    <n v="3572"/>
    <n v="1241"/>
    <n v="333"/>
    <n v="73"/>
    <n v="4"/>
    <n v="5371"/>
    <n v="150"/>
    <n v="374"/>
    <n v="1349"/>
    <n v="126"/>
    <n v="12"/>
    <s v="0.93"/>
  </r>
  <r>
    <n v="2476"/>
    <x v="722"/>
    <s v="Luka VukoviÄ‡"/>
    <x v="3"/>
    <x v="37"/>
    <m/>
    <s v="Valiance, Binary Dragons, iNation"/>
    <n v="17861"/>
    <n v="19098"/>
    <x v="287"/>
    <s v="72.3"/>
    <s v="5.6"/>
    <n v="1073"/>
    <n v="27920"/>
    <s v="0.64"/>
    <s v="0.15"/>
    <s v="0.68"/>
    <s v="0.12"/>
    <s v="0.1"/>
    <n v="12451"/>
    <s v="K - D diff."/>
    <n v="2562"/>
    <n v="2936"/>
    <s v="0.87"/>
    <s v="0.95"/>
    <s v="74.40%"/>
    <s v="13.00%"/>
    <n v="15469"/>
    <n v="8302"/>
    <n v="3081"/>
    <n v="904"/>
    <n v="150"/>
    <n v="14"/>
    <n v="13022"/>
    <n v="149"/>
    <n v="1395"/>
    <n v="3022"/>
    <n v="285"/>
    <n v="18"/>
    <s v="0.93"/>
  </r>
  <r>
    <n v="16410"/>
    <x v="723"/>
    <s v="Viktor Mitev"/>
    <x v="0"/>
    <x v="25"/>
    <s v="NeedDOCTOR"/>
    <s v="SKADE, FATE"/>
    <n v="13680"/>
    <n v="14720"/>
    <x v="223"/>
    <s v="72.4"/>
    <s v="6.5"/>
    <n v="811"/>
    <n v="21661"/>
    <s v="0.63"/>
    <s v="0.14"/>
    <s v="0.68"/>
    <s v="0.11"/>
    <s v="0.1"/>
    <n v="9459"/>
    <s v="K - D diff."/>
    <n v="1817"/>
    <n v="2291"/>
    <s v="0.79"/>
    <s v="0.91"/>
    <s v="71.90%"/>
    <s v="11.70%"/>
    <n v="12202"/>
    <n v="6229"/>
    <n v="2410"/>
    <n v="666"/>
    <n v="137"/>
    <n v="17"/>
    <n v="10438"/>
    <n v="53"/>
    <n v="716"/>
    <n v="2212"/>
    <n v="273"/>
    <n v="37"/>
    <n v="1"/>
  </r>
  <r>
    <n v="3631"/>
    <x v="724"/>
    <s v="PÃ¥l Kammen"/>
    <x v="9"/>
    <x v="40"/>
    <s v="Apeks"/>
    <s v="LGB, London Conspiracy, Apeks"/>
    <n v="7641"/>
    <n v="8243"/>
    <x v="0"/>
    <n v="63"/>
    <n v="3"/>
    <n v="460"/>
    <n v="11957"/>
    <s v="0.64"/>
    <s v="0.12"/>
    <s v="0.69"/>
    <s v="0.09"/>
    <s v="0.07"/>
    <n v="5247"/>
    <s v="K - D diff."/>
    <n v="1299"/>
    <n v="1297"/>
    <n v="1"/>
    <s v="1.03"/>
    <s v="73.90%"/>
    <s v="16.30%"/>
    <n v="6710"/>
    <n v="3414"/>
    <n v="1376"/>
    <n v="381"/>
    <n v="64"/>
    <n v="12"/>
    <n v="3342"/>
    <n v="2452"/>
    <n v="253"/>
    <n v="1456"/>
    <n v="99"/>
    <n v="48"/>
    <s v="0.93"/>
  </r>
  <r>
    <n v="8790"/>
    <x v="725"/>
    <s v="Pavel Lashkov"/>
    <x v="5"/>
    <x v="2"/>
    <m/>
    <s v="Vega Squadron"/>
    <n v="7719"/>
    <n v="8383"/>
    <x v="156"/>
    <n v="72"/>
    <n v="4"/>
    <n v="453"/>
    <n v="12010"/>
    <s v="0.64"/>
    <s v="0.14"/>
    <s v="0.7"/>
    <s v="0.1"/>
    <s v="0.1"/>
    <n v="5303"/>
    <s v="K - D diff."/>
    <n v="1049"/>
    <n v="1183"/>
    <s v="0.89"/>
    <s v="0.94"/>
    <s v="72.60%"/>
    <s v="12.80%"/>
    <n v="6707"/>
    <n v="3465"/>
    <n v="1349"/>
    <n v="407"/>
    <n v="76"/>
    <n v="6"/>
    <n v="5499"/>
    <n v="120"/>
    <n v="641"/>
    <n v="1358"/>
    <n v="97"/>
    <n v="18"/>
    <s v="0.93"/>
  </r>
  <r>
    <n v="16486"/>
    <x v="726"/>
    <s v="Erik Gustafsson"/>
    <x v="13"/>
    <x v="29"/>
    <s v="Young Ninjas"/>
    <s v="Young Ninjas, NIP"/>
    <n v="7089"/>
    <n v="7664"/>
    <x v="106"/>
    <s v="71.6"/>
    <s v="4.7"/>
    <n v="412"/>
    <n v="11035"/>
    <s v="0.64"/>
    <s v="0.12"/>
    <s v="0.69"/>
    <s v="0.09"/>
    <s v="0.09"/>
    <n v="4893"/>
    <s v="K - D diff."/>
    <n v="989"/>
    <n v="1167"/>
    <s v="0.85"/>
    <s v="0.94"/>
    <s v="73.70%"/>
    <s v="13.40%"/>
    <n v="6142"/>
    <n v="3205"/>
    <n v="1253"/>
    <n v="367"/>
    <n v="63"/>
    <n v="5"/>
    <n v="5261"/>
    <n v="75"/>
    <n v="466"/>
    <n v="1192"/>
    <n v="92"/>
    <n v="34"/>
    <s v="0.98"/>
  </r>
  <r>
    <n v="1064"/>
    <x v="727"/>
    <s v="Christian Schmitt"/>
    <x v="14"/>
    <x v="32"/>
    <s v="OG Academy"/>
    <s v="ALTERNATE aTTaX, EURONICS, Unicorns of Love"/>
    <n v="20610"/>
    <n v="22423"/>
    <x v="203"/>
    <s v="71.5"/>
    <s v="3.4"/>
    <n v="1209"/>
    <n v="31542"/>
    <s v="0.65"/>
    <s v="0.13"/>
    <s v="0.71"/>
    <s v="0.11"/>
    <s v="0.1"/>
    <n v="14188"/>
    <s v="K - D diff."/>
    <n v="2911"/>
    <n v="3167"/>
    <s v="0.92"/>
    <s v="0.96"/>
    <s v="72.80%"/>
    <s v="13.50%"/>
    <n v="17354"/>
    <n v="9294"/>
    <n v="3619"/>
    <n v="1053"/>
    <n v="204"/>
    <n v="18"/>
    <n v="15161"/>
    <n v="730"/>
    <n v="904"/>
    <n v="3541"/>
    <n v="277"/>
    <n v="32"/>
    <s v="0.93"/>
  </r>
  <r>
    <n v="8231"/>
    <x v="728"/>
    <s v="Mateusz KoÅ‚odziejczyk"/>
    <x v="5"/>
    <x v="17"/>
    <m/>
    <s v="EC Brugge, Izako Boars"/>
    <n v="9201"/>
    <n v="9897"/>
    <x v="288"/>
    <s v="76.2"/>
    <n v="6"/>
    <n v="536"/>
    <n v="14203"/>
    <s v="0.65"/>
    <s v="0.17"/>
    <s v="0.7"/>
    <s v="0.1"/>
    <s v="0.11"/>
    <n v="6393"/>
    <s v="K - D diff."/>
    <n v="1299"/>
    <n v="1591"/>
    <s v="0.82"/>
    <s v="0.94"/>
    <s v="71.60%"/>
    <s v="13.50%"/>
    <n v="7810"/>
    <n v="4194"/>
    <n v="1677"/>
    <n v="442"/>
    <n v="73"/>
    <n v="7"/>
    <n v="7125"/>
    <n v="88"/>
    <n v="487"/>
    <n v="1309"/>
    <n v="193"/>
    <n v="30"/>
    <s v="0.93"/>
  </r>
  <r>
    <n v="4829"/>
    <x v="729"/>
    <s v="Wiktor Kruk"/>
    <x v="5"/>
    <x v="17"/>
    <m/>
    <s v="Wisla Krakow, Anonymo"/>
    <n v="13340"/>
    <n v="14565"/>
    <x v="280"/>
    <s v="77.1"/>
    <s v="6.9"/>
    <n v="768"/>
    <n v="20598"/>
    <s v="0.65"/>
    <s v="0.16"/>
    <s v="0.71"/>
    <s v="0.09"/>
    <s v="0.08"/>
    <n v="9145"/>
    <s v="K - D diff."/>
    <n v="2070"/>
    <n v="2456"/>
    <s v="0.84"/>
    <s v="0.97"/>
    <s v="72.00%"/>
    <s v="14.70%"/>
    <n v="11453"/>
    <n v="5945"/>
    <n v="2367"/>
    <n v="686"/>
    <n v="135"/>
    <n v="12"/>
    <n v="9440"/>
    <n v="741"/>
    <n v="724"/>
    <n v="2226"/>
    <n v="216"/>
    <n v="20"/>
    <s v="0.93"/>
  </r>
  <r>
    <n v="10938"/>
    <x v="730"/>
    <s v="Andreas Kirstein"/>
    <x v="4"/>
    <x v="9"/>
    <s v="Tricked"/>
    <s v="Tricked"/>
    <n v="10215"/>
    <n v="11191"/>
    <x v="289"/>
    <s v="71.4"/>
    <s v="4.4"/>
    <n v="586"/>
    <n v="15815"/>
    <s v="0.65"/>
    <s v="0.11"/>
    <s v="0.71"/>
    <s v="0.1"/>
    <s v="0.1"/>
    <n v="7015"/>
    <s v="K - D diff."/>
    <n v="1649"/>
    <n v="1842"/>
    <s v="0.9"/>
    <s v="0.99"/>
    <s v="70.00%"/>
    <s v="15.00%"/>
    <n v="8800"/>
    <n v="4598"/>
    <n v="1765"/>
    <n v="531"/>
    <n v="111"/>
    <n v="10"/>
    <n v="7751"/>
    <n v="117"/>
    <n v="565"/>
    <n v="1663"/>
    <n v="118"/>
    <n v="34"/>
    <s v="0.98"/>
  </r>
  <r>
    <n v="14290"/>
    <x v="731"/>
    <s v="Jordan Newland"/>
    <x v="1"/>
    <x v="15"/>
    <s v="Antic"/>
    <s v="Genuine, Taboo, Masterminds, Chiefs"/>
    <n v="10297"/>
    <n v="11362"/>
    <x v="36"/>
    <s v="75.9"/>
    <s v="5.5"/>
    <n v="598"/>
    <n v="15642"/>
    <s v="0.66"/>
    <s v="0.15"/>
    <s v="0.73"/>
    <s v="0.11"/>
    <s v="0.1"/>
    <n v="7005"/>
    <s v="K - D diff."/>
    <n v="1792"/>
    <n v="2166"/>
    <s v="0.83"/>
    <s v="1.01"/>
    <s v="72.30%"/>
    <s v="17.20%"/>
    <n v="8637"/>
    <n v="4488"/>
    <n v="1870"/>
    <n v="531"/>
    <n v="104"/>
    <n v="12"/>
    <n v="6777"/>
    <n v="858"/>
    <n v="915"/>
    <n v="1569"/>
    <n v="145"/>
    <n v="59"/>
    <s v="1.01"/>
  </r>
  <r>
    <n v="3329"/>
    <x v="732"/>
    <s v="Max Lindkvist"/>
    <x v="11"/>
    <x v="29"/>
    <s v="Lilmix"/>
    <s v="Lilmix, Vexed, Publiclir.se"/>
    <n v="16575"/>
    <n v="18370"/>
    <x v="186"/>
    <s v="74.8"/>
    <s v="5.5"/>
    <n v="936"/>
    <n v="24805"/>
    <s v="0.67"/>
    <s v="0.14"/>
    <s v="0.74"/>
    <s v="0.09"/>
    <s v="0.08"/>
    <n v="11263"/>
    <s v="K - D diff."/>
    <n v="2493"/>
    <n v="2941"/>
    <s v="0.85"/>
    <s v="0.97"/>
    <s v="71.70%"/>
    <s v="14.80%"/>
    <n v="13542"/>
    <n v="7236"/>
    <n v="2952"/>
    <n v="884"/>
    <n v="174"/>
    <n v="17"/>
    <n v="8472"/>
    <n v="2105"/>
    <n v="2715"/>
    <n v="2975"/>
    <n v="257"/>
    <n v="76"/>
    <s v="0.93"/>
  </r>
  <r>
    <n v="5351"/>
    <x v="733"/>
    <s v="Filip Belojica"/>
    <x v="8"/>
    <x v="37"/>
    <s v="ex-4glory"/>
    <s v="4glory, lvlUP, BLUEJAYS"/>
    <n v="9544"/>
    <n v="10260"/>
    <x v="113"/>
    <s v="69.2"/>
    <s v="2.6"/>
    <n v="565"/>
    <n v="15044"/>
    <s v="0.63"/>
    <s v="0.12"/>
    <s v="0.68"/>
    <s v="0.11"/>
    <s v="0.1"/>
    <n v="6723"/>
    <s v="K - D diff."/>
    <n v="1186"/>
    <n v="1415"/>
    <s v="0.84"/>
    <s v="0.9"/>
    <s v="71.70%"/>
    <s v="11.60%"/>
    <n v="8321"/>
    <n v="4502"/>
    <n v="1699"/>
    <n v="451"/>
    <n v="64"/>
    <n v="7"/>
    <n v="7203"/>
    <n v="96"/>
    <n v="597"/>
    <n v="1545"/>
    <n v="97"/>
    <n v="30"/>
    <s v="0.92"/>
  </r>
  <r>
    <n v="9081"/>
    <x v="734"/>
    <s v="Dmitry Forostyanko"/>
    <x v="2"/>
    <x v="2"/>
    <s v="Spirit Academy"/>
    <s v="Spirit, Espada"/>
    <n v="21364"/>
    <n v="23267"/>
    <x v="75"/>
    <s v="71.5"/>
    <s v="5.4"/>
    <n v="1289"/>
    <n v="33952"/>
    <s v="0.63"/>
    <s v="0.14"/>
    <s v="0.69"/>
    <s v="0.1"/>
    <s v="0.09"/>
    <n v="14823"/>
    <s v="K - D diff."/>
    <n v="3195"/>
    <n v="3682"/>
    <s v="0.87"/>
    <s v="0.96"/>
    <s v="74.30%"/>
    <s v="13.60%"/>
    <n v="19129"/>
    <n v="9774"/>
    <n v="3787"/>
    <n v="1053"/>
    <n v="188"/>
    <n v="21"/>
    <n v="14688"/>
    <n v="1260"/>
    <n v="1781"/>
    <n v="3195"/>
    <n v="338"/>
    <n v="149"/>
    <s v="0.92"/>
  </r>
  <r>
    <n v="9217"/>
    <x v="735"/>
    <s v="Epitacio de Melo"/>
    <x v="2"/>
    <x v="3"/>
    <s v="00NATION"/>
    <s v="SK, MIBR, GODSENT, Liquid, Luminosity"/>
    <n v="22360"/>
    <n v="23790"/>
    <x v="32"/>
    <s v="67.3"/>
    <s v="4.4"/>
    <n v="1418"/>
    <n v="36877"/>
    <s v="0.61"/>
    <s v="0.12"/>
    <s v="0.65"/>
    <s v="0.09"/>
    <s v="0.07"/>
    <n v="15855"/>
    <s v="K - D diff."/>
    <n v="3268"/>
    <n v="3738"/>
    <s v="0.87"/>
    <s v="0.94"/>
    <s v="73.40%"/>
    <s v="12.10%"/>
    <n v="21022"/>
    <n v="10726"/>
    <n v="3947"/>
    <n v="1002"/>
    <n v="166"/>
    <n v="14"/>
    <n v="15200"/>
    <n v="1113"/>
    <n v="1613"/>
    <n v="4108"/>
    <n v="252"/>
    <n v="124"/>
    <s v="0.92"/>
  </r>
  <r>
    <n v="1200"/>
    <x v="736"/>
    <s v="Kirill Tsarev"/>
    <x v="15"/>
    <x v="33"/>
    <s v="NewBelarus"/>
    <s v="Nemiga, K29"/>
    <n v="8785"/>
    <n v="9410"/>
    <x v="50"/>
    <s v="71.2"/>
    <s v="4.5"/>
    <n v="538"/>
    <n v="14028"/>
    <s v="0.63"/>
    <s v="0.13"/>
    <s v="0.67"/>
    <s v="0.09"/>
    <s v="0.09"/>
    <n v="6213"/>
    <s v="K - D diff."/>
    <n v="1136"/>
    <n v="1131"/>
    <n v="1"/>
    <s v="0.94"/>
    <s v="72.80%"/>
    <s v="12.00%"/>
    <n v="7815"/>
    <n v="4174"/>
    <n v="1578"/>
    <n v="398"/>
    <n v="55"/>
    <n v="8"/>
    <n v="5182"/>
    <n v="1103"/>
    <n v="686"/>
    <n v="1705"/>
    <n v="107"/>
    <n v="12"/>
    <s v="0.92"/>
  </r>
  <r>
    <n v="1331"/>
    <x v="737"/>
    <s v="David Garrido"/>
    <x v="18"/>
    <x v="0"/>
    <m/>
    <s v="Winterfox, Denial, ELEVATE"/>
    <n v="8326"/>
    <n v="9118"/>
    <x v="12"/>
    <s v="70.5"/>
    <s v="3.4"/>
    <n v="502"/>
    <n v="13113"/>
    <s v="0.63"/>
    <s v="0.13"/>
    <s v="0.7"/>
    <s v="0.09"/>
    <s v="0.08"/>
    <n v="5742"/>
    <s v="K - D diff."/>
    <n v="1313"/>
    <n v="1355"/>
    <s v="0.97"/>
    <n v="1"/>
    <s v="69.30%"/>
    <s v="14.40%"/>
    <n v="7371"/>
    <n v="3738"/>
    <n v="1512"/>
    <n v="416"/>
    <n v="69"/>
    <n v="7"/>
    <n v="3410"/>
    <n v="2727"/>
    <n v="249"/>
    <n v="1839"/>
    <n v="112"/>
    <n v="10"/>
    <s v="0.92"/>
  </r>
  <r>
    <n v="1278"/>
    <x v="738"/>
    <s v="Nikolay Paunin"/>
    <x v="14"/>
    <x v="25"/>
    <m/>
    <s v="Windigo, ex-Outlaws"/>
    <n v="9802"/>
    <n v="10611"/>
    <x v="197"/>
    <s v="71.1"/>
    <s v="3.1"/>
    <n v="595"/>
    <n v="15532"/>
    <s v="0.63"/>
    <s v="0.15"/>
    <s v="0.68"/>
    <s v="0.1"/>
    <s v="0.09"/>
    <n v="6901"/>
    <s v="K - D diff."/>
    <n v="1169"/>
    <n v="1417"/>
    <s v="0.82"/>
    <s v="0.89"/>
    <s v="72.40%"/>
    <s v="10.40%"/>
    <n v="8631"/>
    <n v="4645"/>
    <n v="1706"/>
    <n v="465"/>
    <n v="80"/>
    <n v="5"/>
    <n v="7248"/>
    <n v="88"/>
    <n v="688"/>
    <n v="1635"/>
    <n v="144"/>
    <n v="15"/>
    <s v="0.92"/>
  </r>
  <r>
    <n v="356"/>
    <x v="739"/>
    <s v="Omar Chakkor"/>
    <x v="15"/>
    <x v="30"/>
    <s v="SAW"/>
    <s v="SAW"/>
    <n v="14525"/>
    <n v="15799"/>
    <x v="126"/>
    <s v="70.5"/>
    <s v="5.6"/>
    <n v="889"/>
    <n v="23396"/>
    <s v="0.62"/>
    <s v="0.15"/>
    <s v="0.68"/>
    <s v="0.1"/>
    <s v="0.08"/>
    <n v="10152"/>
    <s v="K - D diff."/>
    <n v="2159"/>
    <n v="2448"/>
    <s v="0.88"/>
    <s v="0.95"/>
    <s v="71.80%"/>
    <s v="13.00%"/>
    <n v="13244"/>
    <n v="6776"/>
    <n v="2531"/>
    <n v="702"/>
    <n v="136"/>
    <n v="7"/>
    <n v="10315"/>
    <n v="788"/>
    <n v="485"/>
    <n v="2711"/>
    <n v="225"/>
    <n v="37"/>
    <s v="0.92"/>
  </r>
  <r>
    <n v="7156"/>
    <x v="740"/>
    <s v="Mathias Lauridsen"/>
    <x v="2"/>
    <x v="9"/>
    <s v="Tokyo Revengers"/>
    <s v="Dignitas, North"/>
    <n v="28946"/>
    <n v="32199"/>
    <x v="290"/>
    <s v="70.8"/>
    <s v="3.8"/>
    <n v="1718"/>
    <n v="44890"/>
    <s v="0.64"/>
    <s v="0.15"/>
    <s v="0.72"/>
    <s v="0.11"/>
    <s v="0.08"/>
    <n v="19814"/>
    <s v="K - D diff."/>
    <n v="5642"/>
    <n v="6315"/>
    <s v="0.89"/>
    <s v="1.06"/>
    <s v="74.50%"/>
    <s v="18.10%"/>
    <n v="25076"/>
    <n v="12913"/>
    <n v="5047"/>
    <n v="1526"/>
    <n v="304"/>
    <n v="24"/>
    <n v="17704"/>
    <n v="4449"/>
    <n v="2114"/>
    <n v="4168"/>
    <n v="438"/>
    <n v="96"/>
    <s v="0.92"/>
  </r>
  <r>
    <n v="11716"/>
    <x v="741"/>
    <s v="Sanjar Kuliev"/>
    <x v="1"/>
    <x v="52"/>
    <s v="Virtus.pro"/>
    <s v="Virtus.pro, AVANGAR, Syman"/>
    <n v="12151"/>
    <n v="13149"/>
    <x v="291"/>
    <s v="68.8"/>
    <s v="3.9"/>
    <n v="743"/>
    <n v="19879"/>
    <s v="0.61"/>
    <s v="0.12"/>
    <s v="0.66"/>
    <s v="0.1"/>
    <s v="0.08"/>
    <n v="8512"/>
    <s v="K - D diff."/>
    <n v="1651"/>
    <n v="1881"/>
    <s v="0.88"/>
    <s v="0.92"/>
    <s v="70.60%"/>
    <s v="11.30%"/>
    <n v="11367"/>
    <n v="5670"/>
    <n v="2155"/>
    <n v="584"/>
    <n v="96"/>
    <n v="7"/>
    <n v="8544"/>
    <n v="338"/>
    <n v="1125"/>
    <n v="1997"/>
    <n v="152"/>
    <n v="29"/>
    <s v="0.97"/>
  </r>
  <r>
    <n v="19967"/>
    <x v="742"/>
    <s v="Zhandarbek Mamyrbek"/>
    <x v="5"/>
    <x v="42"/>
    <s v="AVANGAR"/>
    <s v="100PG, Unique"/>
    <n v="6624"/>
    <n v="7318"/>
    <x v="128"/>
    <s v="70.5"/>
    <s v="3.6"/>
    <n v="388"/>
    <n v="10398"/>
    <s v="0.64"/>
    <s v="0.11"/>
    <s v="0.7"/>
    <s v="0.1"/>
    <s v="0.08"/>
    <n v="4570"/>
    <s v="K - D diff."/>
    <n v="897"/>
    <n v="1088"/>
    <s v="0.82"/>
    <s v="0.92"/>
    <s v="74.60%"/>
    <s v="13.10%"/>
    <n v="5828"/>
    <n v="2982"/>
    <n v="1199"/>
    <n v="320"/>
    <n v="61"/>
    <n v="8"/>
    <n v="5082"/>
    <n v="114"/>
    <n v="313"/>
    <n v="1057"/>
    <n v="66"/>
    <n v="18"/>
    <s v="0.96"/>
  </r>
  <r>
    <n v="5385"/>
    <x v="743"/>
    <s v="Maciek Bugaj"/>
    <x v="3"/>
    <x v="17"/>
    <s v="UNGENTIUM"/>
    <s v="PRIDE, Izako Boars"/>
    <n v="10767"/>
    <n v="11739"/>
    <x v="99"/>
    <s v="72.5"/>
    <s v="3.2"/>
    <n v="651"/>
    <n v="17086"/>
    <s v="0.63"/>
    <s v="0.14"/>
    <s v="0.69"/>
    <s v="0.1"/>
    <s v="0.09"/>
    <n v="7561"/>
    <s v="K - D diff."/>
    <n v="1484"/>
    <n v="1744"/>
    <s v="0.85"/>
    <s v="0.93"/>
    <s v="70.20%"/>
    <s v="12.30%"/>
    <n v="9525"/>
    <n v="5063"/>
    <n v="1895"/>
    <n v="506"/>
    <n v="89"/>
    <n v="8"/>
    <n v="7702"/>
    <n v="376"/>
    <n v="722"/>
    <n v="1756"/>
    <n v="95"/>
    <n v="133"/>
    <s v="0.92"/>
  </r>
  <r>
    <n v="484"/>
    <x v="744"/>
    <s v="Danylo Teslenko"/>
    <x v="12"/>
    <x v="1"/>
    <m/>
    <s v="Natus Vincere"/>
    <n v="23470"/>
    <n v="25460"/>
    <x v="292"/>
    <s v="69.9"/>
    <s v="5.5"/>
    <n v="1405"/>
    <n v="37152"/>
    <s v="0.63"/>
    <s v="0.17"/>
    <s v="0.69"/>
    <s v="0.11"/>
    <s v="0.08"/>
    <n v="16526"/>
    <s v="K - D diff."/>
    <n v="3259"/>
    <n v="3779"/>
    <s v="0.86"/>
    <s v="0.94"/>
    <s v="74.10%"/>
    <s v="12.30%"/>
    <n v="20626"/>
    <n v="11121"/>
    <n v="4124"/>
    <n v="1088"/>
    <n v="180"/>
    <n v="13"/>
    <n v="16873"/>
    <n v="517"/>
    <n v="1567"/>
    <n v="3915"/>
    <n v="388"/>
    <n v="223"/>
    <s v="0.92"/>
  </r>
  <r>
    <n v="8837"/>
    <x v="745"/>
    <s v="Kristian Kornbakk"/>
    <x v="14"/>
    <x v="40"/>
    <n v="777"/>
    <s v="777, Apeks"/>
    <n v="8403"/>
    <n v="9335"/>
    <x v="139"/>
    <s v="71.1"/>
    <s v="3.4"/>
    <n v="492"/>
    <n v="13290"/>
    <s v="0.63"/>
    <s v="0.13"/>
    <s v="0.7"/>
    <s v="0.11"/>
    <s v="0.1"/>
    <n v="5777"/>
    <s v="K - D diff."/>
    <n v="1057"/>
    <n v="1222"/>
    <s v="0.86"/>
    <s v="0.91"/>
    <s v="72.70%"/>
    <s v="11.80%"/>
    <n v="7513"/>
    <n v="3787"/>
    <n v="1459"/>
    <n v="434"/>
    <n v="90"/>
    <n v="7"/>
    <n v="6523"/>
    <n v="59"/>
    <n v="334"/>
    <n v="1395"/>
    <n v="94"/>
    <n v="13"/>
    <s v="0.92"/>
  </r>
  <r>
    <n v="169"/>
    <x v="746"/>
    <s v="Renato Nakano"/>
    <x v="18"/>
    <x v="3"/>
    <m/>
    <s v="Sharks, RED Canids"/>
    <n v="8158"/>
    <n v="8829"/>
    <x v="280"/>
    <s v="70.8"/>
    <s v="4.5"/>
    <n v="514"/>
    <n v="13305"/>
    <s v="0.61"/>
    <s v="0.15"/>
    <s v="0.66"/>
    <s v="0.1"/>
    <s v="0.09"/>
    <n v="5727"/>
    <s v="K - D diff."/>
    <n v="969"/>
    <n v="1145"/>
    <s v="0.85"/>
    <s v="0.89"/>
    <s v="76.30%"/>
    <s v="10.80%"/>
    <n v="7578"/>
    <n v="3800"/>
    <n v="1490"/>
    <n v="376"/>
    <n v="55"/>
    <n v="6"/>
    <n v="6055"/>
    <n v="64"/>
    <n v="566"/>
    <n v="1322"/>
    <n v="124"/>
    <n v="50"/>
    <s v="0.92"/>
  </r>
  <r>
    <n v="6453"/>
    <x v="747"/>
    <s v="Arya Hekmat"/>
    <x v="11"/>
    <x v="24"/>
    <m/>
    <s v="Splyce, 3sUP"/>
    <n v="7277"/>
    <n v="8145"/>
    <x v="293"/>
    <s v="72.6"/>
    <s v="3.5"/>
    <n v="440"/>
    <n v="11291"/>
    <s v="0.64"/>
    <s v="0.14"/>
    <s v="0.72"/>
    <s v="0.11"/>
    <s v="0.09"/>
    <n v="4960"/>
    <s v="K - D diff."/>
    <n v="1266"/>
    <n v="1514"/>
    <s v="0.84"/>
    <n v="1"/>
    <s v="73.10%"/>
    <s v="17.30%"/>
    <n v="6331"/>
    <n v="3182"/>
    <n v="1333"/>
    <n v="361"/>
    <n v="78"/>
    <n v="6"/>
    <n v="3343"/>
    <n v="1799"/>
    <n v="394"/>
    <n v="1494"/>
    <n v="119"/>
    <n v="142"/>
    <s v="0.92"/>
  </r>
  <r>
    <n v="1206"/>
    <x v="748"/>
    <s v="CÄƒtÄƒlin-IonuÈ› StÄƒnescu"/>
    <x v="10"/>
    <x v="16"/>
    <s v="Nexus"/>
    <s v="Nexus"/>
    <n v="17984"/>
    <n v="19997"/>
    <x v="205"/>
    <s v="73.2"/>
    <s v="5.3"/>
    <n v="1069"/>
    <n v="28053"/>
    <s v="0.64"/>
    <s v="0.15"/>
    <s v="0.71"/>
    <s v="0.11"/>
    <s v="0.09"/>
    <n v="12427"/>
    <s v="K - D diff."/>
    <n v="2371"/>
    <n v="2870"/>
    <s v="0.83"/>
    <s v="0.92"/>
    <s v="74.30%"/>
    <s v="12.30%"/>
    <n v="15626"/>
    <n v="8127"/>
    <n v="3242"/>
    <n v="874"/>
    <n v="171"/>
    <n v="13"/>
    <n v="13044"/>
    <n v="217"/>
    <n v="977"/>
    <n v="3446"/>
    <n v="301"/>
    <n v="40"/>
    <s v="0.92"/>
  </r>
  <r>
    <n v="9736"/>
    <x v="749"/>
    <s v="Bold Batsuh"/>
    <x v="2"/>
    <x v="21"/>
    <s v="TheMongolz"/>
    <s v="TheMongolz, TIGER, Mazaalai"/>
    <n v="8444"/>
    <n v="9152"/>
    <x v="75"/>
    <s v="68.6"/>
    <s v="3.8"/>
    <n v="532"/>
    <n v="13663"/>
    <s v="0.62"/>
    <s v="0.14"/>
    <s v="0.67"/>
    <s v="0.11"/>
    <s v="0.09"/>
    <n v="5984"/>
    <s v="K - D diff."/>
    <n v="1014"/>
    <n v="1032"/>
    <s v="0.98"/>
    <s v="0.91"/>
    <s v="69.70%"/>
    <s v="10.20%"/>
    <n v="7679"/>
    <n v="4010"/>
    <n v="1561"/>
    <n v="343"/>
    <n v="67"/>
    <n v="3"/>
    <n v="5629"/>
    <n v="298"/>
    <n v="920"/>
    <n v="1495"/>
    <n v="107"/>
    <n v="23"/>
    <s v="0.91"/>
  </r>
  <r>
    <n v="9820"/>
    <x v="750"/>
    <s v="Lauri Hietala"/>
    <x v="1"/>
    <x v="23"/>
    <m/>
    <s v="KOVA"/>
    <n v="6256"/>
    <n v="6848"/>
    <x v="294"/>
    <s v="69.4"/>
    <n v="5"/>
    <n v="383"/>
    <n v="10178"/>
    <s v="0.61"/>
    <s v="0.13"/>
    <s v="0.67"/>
    <s v="0.09"/>
    <s v="0.1"/>
    <n v="4388"/>
    <s v="K - D diff."/>
    <n v="810"/>
    <n v="991"/>
    <s v="0.82"/>
    <s v="0.9"/>
    <s v="68.90%"/>
    <s v="11.40%"/>
    <n v="5790"/>
    <n v="2924"/>
    <n v="1125"/>
    <n v="280"/>
    <n v="53"/>
    <n v="6"/>
    <n v="4549"/>
    <n v="25"/>
    <n v="418"/>
    <n v="1151"/>
    <n v="116"/>
    <n v="20"/>
    <s v="0.91"/>
  </r>
  <r>
    <n v="12016"/>
    <x v="751"/>
    <s v="Svyatoslav Dovbakh"/>
    <x v="2"/>
    <x v="2"/>
    <m/>
    <s v="Hard Legion, DreamEaters, AVE"/>
    <n v="11975"/>
    <n v="13035"/>
    <x v="54"/>
    <s v="69.7"/>
    <s v="4.7"/>
    <n v="734"/>
    <n v="19717"/>
    <s v="0.61"/>
    <s v="0.14"/>
    <s v="0.66"/>
    <s v="0.09"/>
    <s v="0.09"/>
    <n v="8475"/>
    <s v="K - D diff."/>
    <n v="1683"/>
    <n v="1747"/>
    <s v="0.96"/>
    <s v="0.95"/>
    <s v="71.90%"/>
    <s v="12.40%"/>
    <n v="11242"/>
    <n v="5758"/>
    <n v="2050"/>
    <n v="566"/>
    <n v="86"/>
    <n v="15"/>
    <n v="9024"/>
    <n v="142"/>
    <n v="720"/>
    <n v="1890"/>
    <n v="198"/>
    <n v="67"/>
    <s v="0.98"/>
  </r>
  <r>
    <n v="15778"/>
    <x v="752"/>
    <s v="Sener Mahmuti"/>
    <x v="8"/>
    <x v="46"/>
    <s v="Bad News Eagles"/>
    <s v="Bad News Eagles, BLINK"/>
    <n v="6135"/>
    <n v="6739"/>
    <x v="202"/>
    <s v="69.6"/>
    <s v="6.3"/>
    <n v="380"/>
    <n v="10090"/>
    <s v="0.61"/>
    <s v="0.14"/>
    <s v="0.67"/>
    <s v="0.1"/>
    <s v="0.09"/>
    <n v="4275"/>
    <s v="K - D diff."/>
    <n v="763"/>
    <n v="941"/>
    <s v="0.81"/>
    <s v="0.89"/>
    <s v="71.80%"/>
    <s v="10.60%"/>
    <n v="5815"/>
    <n v="2828"/>
    <n v="1096"/>
    <n v="294"/>
    <n v="52"/>
    <n v="5"/>
    <n v="4552"/>
    <n v="49"/>
    <n v="324"/>
    <n v="1075"/>
    <n v="146"/>
    <n v="15"/>
    <s v="0.98"/>
  </r>
  <r>
    <n v="4218"/>
    <x v="753"/>
    <s v="David MiljaniÄ‡"/>
    <x v="14"/>
    <x v="37"/>
    <s v="iNation"/>
    <s v="iNation, Squared, ONYX"/>
    <n v="7539"/>
    <n v="8361"/>
    <x v="228"/>
    <s v="71.2"/>
    <s v="4.7"/>
    <n v="468"/>
    <n v="12095"/>
    <s v="0.62"/>
    <s v="0.15"/>
    <s v="0.69"/>
    <s v="0.11"/>
    <s v="0.11"/>
    <n v="5225"/>
    <s v="K - D diff."/>
    <n v="1037"/>
    <n v="1224"/>
    <s v="0.85"/>
    <s v="0.93"/>
    <s v="68.90%"/>
    <s v="12.50%"/>
    <n v="6870"/>
    <n v="3441"/>
    <n v="1336"/>
    <n v="376"/>
    <n v="62"/>
    <n v="10"/>
    <n v="4927"/>
    <n v="741"/>
    <n v="455"/>
    <n v="1311"/>
    <n v="109"/>
    <n v="22"/>
    <s v="0.91"/>
  </r>
  <r>
    <n v="429"/>
    <x v="754"/>
    <s v="Finn Andersen"/>
    <x v="15"/>
    <x v="9"/>
    <s v="FaZe"/>
    <s v="FaZe, MOUZ, TSM"/>
    <n v="33193"/>
    <n v="36823"/>
    <x v="295"/>
    <s v="68.8"/>
    <n v="5"/>
    <n v="2031"/>
    <n v="53271"/>
    <s v="0.62"/>
    <s v="0.13"/>
    <s v="0.69"/>
    <s v="0.09"/>
    <s v="0.07"/>
    <n v="22967"/>
    <s v="K - D diff."/>
    <n v="5280"/>
    <n v="6411"/>
    <s v="0.82"/>
    <s v="0.96"/>
    <s v="74.50%"/>
    <s v="13.80%"/>
    <n v="30304"/>
    <n v="15099"/>
    <n v="5905"/>
    <n v="1634"/>
    <n v="304"/>
    <n v="25"/>
    <n v="20680"/>
    <n v="3866"/>
    <n v="2528"/>
    <n v="5557"/>
    <n v="466"/>
    <n v="137"/>
    <s v="0.91"/>
  </r>
  <r>
    <n v="7537"/>
    <x v="755"/>
    <s v="Mikko VÃ¤limaa"/>
    <x v="14"/>
    <x v="23"/>
    <s v="HAVU"/>
    <s v="SJ, HAVU, ENCE, hREDS"/>
    <n v="18341"/>
    <n v="19976"/>
    <x v="296"/>
    <s v="69.8"/>
    <s v="6.3"/>
    <n v="1151"/>
    <n v="30254"/>
    <s v="0.61"/>
    <s v="0.15"/>
    <s v="0.66"/>
    <s v="0.09"/>
    <s v="0.09"/>
    <n v="12964"/>
    <s v="K - D diff."/>
    <n v="2624"/>
    <n v="2793"/>
    <s v="0.94"/>
    <s v="0.95"/>
    <s v="73.20%"/>
    <s v="12.60%"/>
    <n v="17290"/>
    <n v="8776"/>
    <n v="3192"/>
    <n v="837"/>
    <n v="143"/>
    <n v="16"/>
    <n v="10795"/>
    <n v="2869"/>
    <n v="1079"/>
    <n v="3163"/>
    <n v="408"/>
    <n v="58"/>
    <s v="0.91"/>
  </r>
  <r>
    <n v="3252"/>
    <x v="756"/>
    <s v="Nikola NiniÄ‡"/>
    <x v="9"/>
    <x v="32"/>
    <m/>
    <s v="BIG, MOUZ, NRG"/>
    <n v="14245"/>
    <n v="15916"/>
    <x v="161"/>
    <s v="69.5"/>
    <s v="4.6"/>
    <n v="869"/>
    <n v="22614"/>
    <s v="0.63"/>
    <s v="0.14"/>
    <s v="0.7"/>
    <s v="0.09"/>
    <s v="0.08"/>
    <n v="9809"/>
    <s v="K - D diff."/>
    <n v="2089"/>
    <n v="2569"/>
    <s v="0.81"/>
    <s v="0.94"/>
    <s v="73.00%"/>
    <s v="13.40%"/>
    <n v="12805"/>
    <n v="6423"/>
    <n v="2516"/>
    <n v="740"/>
    <n v="117"/>
    <n v="13"/>
    <n v="9438"/>
    <n v="1183"/>
    <n v="864"/>
    <n v="2519"/>
    <n v="206"/>
    <n v="53"/>
    <s v="0.91"/>
  </r>
  <r>
    <n v="1154"/>
    <x v="757"/>
    <s v="Roman Redihin"/>
    <x v="10"/>
    <x v="33"/>
    <m/>
    <s v="Nemiga, K29"/>
    <n v="6787"/>
    <n v="7451"/>
    <x v="139"/>
    <s v="69.6"/>
    <n v="3"/>
    <n v="414"/>
    <n v="10880"/>
    <s v="0.62"/>
    <s v="0.14"/>
    <s v="0.68"/>
    <s v="0.11"/>
    <s v="0.1"/>
    <n v="4793"/>
    <s v="K - D diff."/>
    <n v="871"/>
    <n v="1003"/>
    <s v="0.87"/>
    <s v="0.91"/>
    <s v="70.30%"/>
    <s v="11.40%"/>
    <n v="6087"/>
    <n v="3230"/>
    <n v="1195"/>
    <n v="313"/>
    <n v="52"/>
    <n v="3"/>
    <n v="4634"/>
    <n v="105"/>
    <n v="611"/>
    <n v="1331"/>
    <n v="63"/>
    <n v="54"/>
    <s v="0.91"/>
  </r>
  <r>
    <n v="1866"/>
    <x v="758"/>
    <s v="Oleksandr Hordieyev"/>
    <x v="11"/>
    <x v="1"/>
    <s v="Cossacks"/>
    <s v="FlipSid3, spray'n'pray"/>
    <n v="6329"/>
    <n v="7071"/>
    <x v="273"/>
    <s v="74.4"/>
    <s v="2.6"/>
    <n v="383"/>
    <n v="9929"/>
    <s v="0.64"/>
    <s v="0.14"/>
    <s v="0.71"/>
    <s v="0.08"/>
    <s v="0.07"/>
    <n v="4411"/>
    <s v="K - D diff."/>
    <n v="985"/>
    <n v="1144"/>
    <s v="0.86"/>
    <s v="0.97"/>
    <s v="69.00%"/>
    <s v="14.30%"/>
    <n v="5518"/>
    <n v="2932"/>
    <n v="1119"/>
    <n v="287"/>
    <n v="68"/>
    <n v="5"/>
    <n v="4675"/>
    <n v="19"/>
    <n v="425"/>
    <n v="1165"/>
    <n v="48"/>
    <n v="10"/>
    <s v="0.91"/>
  </r>
  <r>
    <n v="7796"/>
    <x v="759"/>
    <s v="Jan Rahkonen"/>
    <x v="3"/>
    <x v="2"/>
    <m/>
    <s v="FlipSid3, pro100, Winstrike"/>
    <n v="13258"/>
    <n v="14973"/>
    <x v="273"/>
    <s v="70.8"/>
    <s v="3.2"/>
    <n v="794"/>
    <n v="20857"/>
    <s v="0.64"/>
    <s v="0.13"/>
    <s v="0.72"/>
    <s v="0.08"/>
    <s v="0.07"/>
    <n v="9114"/>
    <s v="K - D diff."/>
    <n v="2033"/>
    <n v="2632"/>
    <s v="0.77"/>
    <s v="0.94"/>
    <s v="68.50%"/>
    <s v="13.70%"/>
    <n v="11743"/>
    <n v="5968"/>
    <n v="2330"/>
    <n v="664"/>
    <n v="130"/>
    <n v="22"/>
    <n v="9695"/>
    <n v="193"/>
    <n v="757"/>
    <n v="2390"/>
    <n v="174"/>
    <n v="63"/>
    <s v="0.91"/>
  </r>
  <r>
    <n v="10114"/>
    <x v="760"/>
    <s v="Verneri Junkala"/>
    <x v="4"/>
    <x v="23"/>
    <s v="SJ"/>
    <s v="SJ, VITALIS, hREDS"/>
    <n v="7931"/>
    <n v="8874"/>
    <x v="61"/>
    <s v="69.9"/>
    <s v="4.5"/>
    <n v="476"/>
    <n v="12674"/>
    <s v="0.63"/>
    <s v="0.13"/>
    <s v="0.7"/>
    <s v="0.1"/>
    <s v="0.1"/>
    <n v="5543"/>
    <s v="K - D diff."/>
    <n v="1132"/>
    <n v="1279"/>
    <s v="0.89"/>
    <s v="0.95"/>
    <s v="71.90%"/>
    <s v="13.20%"/>
    <n v="7131"/>
    <n v="3696"/>
    <n v="1403"/>
    <n v="352"/>
    <n v="87"/>
    <n v="5"/>
    <n v="4971"/>
    <n v="749"/>
    <n v="494"/>
    <n v="1588"/>
    <n v="124"/>
    <n v="22"/>
    <s v="0.91"/>
  </r>
  <r>
    <n v="7821"/>
    <x v="761"/>
    <s v="Eetu Saha"/>
    <x v="14"/>
    <x v="23"/>
    <s v="ENCE"/>
    <s v="HAVU, iGame.com, RCTIC"/>
    <n v="20522"/>
    <n v="22630"/>
    <x v="179"/>
    <s v="69.3"/>
    <s v="6.1"/>
    <n v="1267"/>
    <n v="33681"/>
    <s v="0.61"/>
    <s v="0.16"/>
    <s v="0.67"/>
    <s v="0.11"/>
    <s v="0.09"/>
    <n v="14546"/>
    <s v="K - D diff."/>
    <n v="2511"/>
    <n v="2857"/>
    <s v="0.88"/>
    <s v="0.9"/>
    <s v="77.00%"/>
    <s v="11.00%"/>
    <n v="19135"/>
    <n v="9868"/>
    <n v="3530"/>
    <n v="1006"/>
    <n v="135"/>
    <n v="7"/>
    <n v="14223"/>
    <n v="302"/>
    <n v="1922"/>
    <n v="3603"/>
    <n v="455"/>
    <n v="52"/>
    <s v="0.9"/>
  </r>
  <r>
    <n v="14202"/>
    <x v="762"/>
    <s v="AndrÃ¡s FercsÃ¡k"/>
    <x v="4"/>
    <x v="8"/>
    <s v="ONYX"/>
    <s v="Budapest Five, Salamander"/>
    <n v="5994"/>
    <n v="6599"/>
    <x v="174"/>
    <n v="65"/>
    <s v="3.9"/>
    <n v="379"/>
    <n v="10205"/>
    <s v="0.59"/>
    <s v="0.11"/>
    <s v="0.65"/>
    <s v="0.1"/>
    <s v="0.1"/>
    <n v="4253"/>
    <s v="K - D diff."/>
    <n v="624"/>
    <n v="732"/>
    <s v="0.85"/>
    <s v="0.85"/>
    <s v="72.30%"/>
    <s v="8.90%"/>
    <n v="5952"/>
    <n v="2898"/>
    <n v="1034"/>
    <n v="265"/>
    <n v="47"/>
    <n v="9"/>
    <n v="4447"/>
    <n v="28"/>
    <n v="446"/>
    <n v="993"/>
    <n v="77"/>
    <n v="24"/>
    <s v="0.94"/>
  </r>
  <r>
    <n v="7218"/>
    <x v="763"/>
    <s v="Kevin Amend"/>
    <x v="11"/>
    <x v="32"/>
    <s v="cowana"/>
    <s v="PENTA, ALTERNATE aTTaX, GODSENT"/>
    <n v="29499"/>
    <n v="32932"/>
    <x v="3"/>
    <s v="67.3"/>
    <s v="5.4"/>
    <n v="1864"/>
    <n v="48739"/>
    <s v="0.61"/>
    <s v="0.15"/>
    <s v="0.68"/>
    <s v="0.1"/>
    <s v="0.08"/>
    <n v="20712"/>
    <s v="K - D diff."/>
    <n v="4581"/>
    <n v="5119"/>
    <s v="0.89"/>
    <s v="0.96"/>
    <s v="72.40%"/>
    <s v="13.60%"/>
    <n v="28027"/>
    <n v="14001"/>
    <n v="5006"/>
    <n v="1412"/>
    <n v="265"/>
    <n v="28"/>
    <n v="15027"/>
    <n v="5942"/>
    <n v="2198"/>
    <n v="5682"/>
    <n v="583"/>
    <n v="111"/>
    <s v="0.9"/>
  </r>
  <r>
    <n v="8983"/>
    <x v="764"/>
    <s v="Max Heath"/>
    <x v="8"/>
    <x v="5"/>
    <s v="Endpoint"/>
    <s v="Endpoint"/>
    <n v="18352"/>
    <n v="20377"/>
    <x v="75"/>
    <s v="66.5"/>
    <s v="5.3"/>
    <n v="1174"/>
    <n v="31108"/>
    <s v="0.59"/>
    <s v="0.13"/>
    <s v="0.66"/>
    <s v="0.1"/>
    <s v="0.09"/>
    <n v="12919"/>
    <s v="K - D diff."/>
    <n v="2447"/>
    <n v="3219"/>
    <s v="0.76"/>
    <s v="0.89"/>
    <s v="72.00%"/>
    <s v="11.30%"/>
    <n v="18189"/>
    <n v="8720"/>
    <n v="3137"/>
    <n v="901"/>
    <n v="151"/>
    <n v="10"/>
    <n v="12602"/>
    <n v="599"/>
    <n v="1530"/>
    <n v="3245"/>
    <n v="374"/>
    <n v="68"/>
    <s v="0.9"/>
  </r>
  <r>
    <n v="9348"/>
    <x v="765"/>
    <s v="Igor Shevchenko"/>
    <x v="5"/>
    <x v="1"/>
    <s v="NAVI Youth"/>
    <s v="pro100, Vega Squadron, HellRaisers"/>
    <n v="11789"/>
    <n v="13256"/>
    <x v="126"/>
    <s v="69.8"/>
    <s v="4.9"/>
    <n v="729"/>
    <n v="19205"/>
    <s v="0.61"/>
    <s v="0.13"/>
    <s v="0.69"/>
    <s v="0.09"/>
    <s v="0.07"/>
    <n v="8272"/>
    <s v="K - D diff."/>
    <n v="1649"/>
    <n v="2148"/>
    <s v="0.77"/>
    <s v="0.91"/>
    <s v="72.80%"/>
    <s v="12.60%"/>
    <n v="10933"/>
    <n v="5531"/>
    <n v="2099"/>
    <n v="523"/>
    <n v="104"/>
    <n v="15"/>
    <n v="8072"/>
    <n v="361"/>
    <n v="914"/>
    <n v="2215"/>
    <n v="180"/>
    <n v="70"/>
    <s v="0.9"/>
  </r>
  <r>
    <n v="8294"/>
    <x v="766"/>
    <s v="Gregory Oleinick"/>
    <x v="5"/>
    <x v="2"/>
    <m/>
    <s v="Quantum Bellator Fire, Winstrike"/>
    <n v="9791"/>
    <n v="11024"/>
    <x v="161"/>
    <s v="70.4"/>
    <s v="5.1"/>
    <n v="611"/>
    <n v="16017"/>
    <s v="0.61"/>
    <s v="0.15"/>
    <s v="0.69"/>
    <s v="0.11"/>
    <s v="0.1"/>
    <n v="6863"/>
    <s v="K - D diff."/>
    <n v="1166"/>
    <n v="1306"/>
    <s v="0.89"/>
    <s v="0.89"/>
    <s v="71.40%"/>
    <s v="10.70%"/>
    <n v="9154"/>
    <n v="4594"/>
    <n v="1712"/>
    <n v="467"/>
    <n v="78"/>
    <n v="12"/>
    <n v="5919"/>
    <n v="346"/>
    <n v="1296"/>
    <n v="1943"/>
    <n v="179"/>
    <n v="122"/>
    <s v="0.9"/>
  </r>
  <r>
    <n v="13250"/>
    <x v="767"/>
    <s v="Ben Smith"/>
    <x v="1"/>
    <x v="24"/>
    <s v="EG.PA"/>
    <s v="Party Astronauts, New England Whalers, High Coast"/>
    <n v="15025"/>
    <n v="16842"/>
    <x v="90"/>
    <s v="69.4"/>
    <s v="5.1"/>
    <n v="940"/>
    <n v="24528"/>
    <s v="0.61"/>
    <s v="0.14"/>
    <s v="0.69"/>
    <s v="0.11"/>
    <s v="0.09"/>
    <n v="10606"/>
    <s v="K - D diff."/>
    <n v="2182"/>
    <n v="2488"/>
    <s v="0.88"/>
    <s v="0.94"/>
    <s v="75.30%"/>
    <s v="12.80%"/>
    <n v="13922"/>
    <n v="7164"/>
    <n v="2620"/>
    <n v="680"/>
    <n v="129"/>
    <n v="13"/>
    <n v="10449"/>
    <n v="654"/>
    <n v="1183"/>
    <n v="2483"/>
    <n v="235"/>
    <n v="68"/>
    <s v="0.97"/>
  </r>
  <r>
    <n v="9295"/>
    <x v="768"/>
    <s v="Dennis Nielsen"/>
    <x v="5"/>
    <x v="9"/>
    <s v="MOUZ"/>
    <s v="Sprout, North Academy, Tricked, Team123"/>
    <n v="8771"/>
    <n v="9749"/>
    <x v="216"/>
    <s v="70.4"/>
    <s v="4.3"/>
    <n v="553"/>
    <n v="14608"/>
    <s v="0.6"/>
    <s v="0.15"/>
    <s v="0.67"/>
    <s v="0.1"/>
    <s v="0.09"/>
    <n v="6241"/>
    <s v="K - D diff."/>
    <n v="1024"/>
    <n v="1202"/>
    <s v="0.85"/>
    <s v="0.88"/>
    <s v="70.70%"/>
    <s v="9.90%"/>
    <n v="8367"/>
    <n v="4244"/>
    <n v="1542"/>
    <n v="384"/>
    <n v="64"/>
    <n v="7"/>
    <n v="5953"/>
    <n v="212"/>
    <n v="755"/>
    <n v="1731"/>
    <n v="113"/>
    <n v="26"/>
    <s v="0.9"/>
  </r>
  <r>
    <n v="5327"/>
    <x v="769"/>
    <s v="Nikolay Krastev"/>
    <x v="3"/>
    <x v="25"/>
    <m/>
    <s v="E-frag.net, GPlay, MK, Orbit"/>
    <n v="9990"/>
    <n v="11036"/>
    <x v="157"/>
    <s v="68.3"/>
    <s v="3.3"/>
    <n v="642"/>
    <n v="16554"/>
    <s v="0.6"/>
    <s v="0.15"/>
    <s v="0.67"/>
    <s v="0.1"/>
    <s v="0.07"/>
    <n v="7138"/>
    <s v="K - D diff."/>
    <n v="1323"/>
    <n v="1508"/>
    <s v="0.88"/>
    <s v="0.91"/>
    <s v="74.80%"/>
    <s v="11.00%"/>
    <n v="9416"/>
    <n v="4851"/>
    <n v="1813"/>
    <n v="400"/>
    <n v="69"/>
    <n v="5"/>
    <n v="7602"/>
    <n v="182"/>
    <n v="164"/>
    <n v="1877"/>
    <n v="156"/>
    <n v="12"/>
    <s v="0.9"/>
  </r>
  <r>
    <n v="499"/>
    <x v="770"/>
    <s v="Dmitry Bogdanov"/>
    <x v="18"/>
    <x v="2"/>
    <s v="Entropiq"/>
    <s v="EPG, Gambit"/>
    <n v="14410"/>
    <n v="16212"/>
    <x v="82"/>
    <s v="70.9"/>
    <s v="4.4"/>
    <n v="894"/>
    <n v="23450"/>
    <s v="0.61"/>
    <s v="0.14"/>
    <s v="0.69"/>
    <s v="0.08"/>
    <s v="0.07"/>
    <n v="10101"/>
    <s v="K - D diff."/>
    <n v="1891"/>
    <n v="2377"/>
    <s v="0.8"/>
    <s v="0.9"/>
    <s v="69.70%"/>
    <s v="11.50%"/>
    <n v="13349"/>
    <n v="6734"/>
    <n v="2555"/>
    <n v="699"/>
    <n v="105"/>
    <n v="8"/>
    <n v="9139"/>
    <n v="1118"/>
    <n v="1109"/>
    <n v="2748"/>
    <n v="243"/>
    <n v="72"/>
    <s v="0.9"/>
  </r>
  <r>
    <n v="11110"/>
    <x v="771"/>
    <s v="Maikil Selim"/>
    <x v="3"/>
    <x v="29"/>
    <s v="Savage"/>
    <s v="fnatic, fnatic Academy, Cloud9"/>
    <n v="14225"/>
    <n v="16231"/>
    <x v="254"/>
    <s v="69.2"/>
    <s v="5.4"/>
    <n v="872"/>
    <n v="23212"/>
    <s v="0.61"/>
    <s v="0.14"/>
    <s v="0.7"/>
    <s v="0.1"/>
    <s v="0.09"/>
    <n v="9839"/>
    <s v="K - D diff."/>
    <n v="2009"/>
    <n v="2403"/>
    <s v="0.84"/>
    <s v="0.93"/>
    <s v="74.30%"/>
    <s v="12.70%"/>
    <n v="13373"/>
    <n v="6490"/>
    <n v="2485"/>
    <n v="710"/>
    <n v="135"/>
    <n v="19"/>
    <n v="9688"/>
    <n v="277"/>
    <n v="1079"/>
    <n v="2827"/>
    <n v="247"/>
    <n v="138"/>
    <s v="0.94"/>
  </r>
  <r>
    <n v="9798"/>
    <x v="772"/>
    <s v="Dawid CieÅ›lak"/>
    <x v="11"/>
    <x v="17"/>
    <s v="PACT"/>
    <s v="PACT"/>
    <n v="14808"/>
    <n v="16557"/>
    <x v="297"/>
    <s v="67.9"/>
    <s v="5.4"/>
    <n v="895"/>
    <n v="24330"/>
    <s v="0.61"/>
    <s v="0.12"/>
    <s v="0.68"/>
    <s v="0.1"/>
    <s v="0.09"/>
    <n v="10498"/>
    <s v="K - D diff."/>
    <n v="2135"/>
    <n v="2083"/>
    <s v="1.02"/>
    <s v="0.96"/>
    <s v="74.10%"/>
    <s v="13.30%"/>
    <n v="13832"/>
    <n v="7077"/>
    <n v="2656"/>
    <n v="646"/>
    <n v="114"/>
    <n v="5"/>
    <n v="8246"/>
    <n v="2955"/>
    <n v="1095"/>
    <n v="2247"/>
    <n v="279"/>
    <n v="45"/>
    <s v="0.9"/>
  </r>
  <r>
    <n v="6451"/>
    <x v="773"/>
    <s v="Pujan Mehta"/>
    <x v="14"/>
    <x v="27"/>
    <m/>
    <s v="CLG, TSM"/>
    <n v="15287"/>
    <n v="17081"/>
    <x v="114"/>
    <n v="68"/>
    <s v="4.1"/>
    <n v="953"/>
    <n v="25080"/>
    <s v="0.61"/>
    <s v="0.14"/>
    <s v="0.68"/>
    <s v="0.1"/>
    <s v="0.08"/>
    <n v="10878"/>
    <s v="K - D diff."/>
    <n v="1896"/>
    <n v="2362"/>
    <s v="0.8"/>
    <s v="0.89"/>
    <s v="73.30%"/>
    <s v="10.80%"/>
    <n v="14202"/>
    <n v="7389"/>
    <n v="2704"/>
    <n v="675"/>
    <n v="102"/>
    <n v="8"/>
    <n v="10789"/>
    <n v="199"/>
    <n v="1075"/>
    <n v="2924"/>
    <n v="215"/>
    <n v="106"/>
    <s v="0.89"/>
  </r>
  <r>
    <n v="7797"/>
    <x v="774"/>
    <s v="Alexander Ivanov"/>
    <x v="3"/>
    <x v="2"/>
    <m/>
    <s v="Monolith, PiTER, Empire, Rebels"/>
    <n v="6837"/>
    <n v="7811"/>
    <x v="258"/>
    <s v="71.5"/>
    <s v="2.6"/>
    <n v="415"/>
    <n v="10974"/>
    <s v="0.62"/>
    <s v="0.14"/>
    <s v="0.71"/>
    <s v="0.08"/>
    <s v="0.08"/>
    <n v="4748"/>
    <s v="K - D diff."/>
    <n v="972"/>
    <n v="1169"/>
    <s v="0.83"/>
    <s v="0.93"/>
    <s v="71.60%"/>
    <s v="13.00%"/>
    <n v="6226"/>
    <n v="3138"/>
    <n v="1202"/>
    <n v="349"/>
    <n v="54"/>
    <n v="5"/>
    <n v="4010"/>
    <n v="1131"/>
    <n v="335"/>
    <n v="1263"/>
    <n v="71"/>
    <n v="34"/>
    <s v="0.89"/>
  </r>
  <r>
    <n v="16563"/>
    <x v="775"/>
    <s v="Alexandr Zlobin"/>
    <x v="8"/>
    <x v="1"/>
    <s v="Run or Die"/>
    <s v="Run or Die, Project X, CR4ZY, Akuma, Windigo Academy"/>
    <n v="8241"/>
    <n v="9303"/>
    <x v="243"/>
    <s v="70.3"/>
    <s v="6.5"/>
    <n v="509"/>
    <n v="13561"/>
    <s v="0.61"/>
    <s v="0.14"/>
    <s v="0.69"/>
    <s v="0.1"/>
    <s v="0.09"/>
    <n v="5828"/>
    <s v="K - D diff."/>
    <n v="1091"/>
    <n v="1364"/>
    <s v="0.8"/>
    <s v="0.9"/>
    <s v="73.20%"/>
    <s v="11.80%"/>
    <n v="7733"/>
    <n v="3946"/>
    <n v="1433"/>
    <n v="371"/>
    <n v="74"/>
    <n v="4"/>
    <n v="6217"/>
    <n v="48"/>
    <n v="469"/>
    <n v="1316"/>
    <n v="190"/>
    <n v="30"/>
    <s v="0.96"/>
  </r>
  <r>
    <n v="18219"/>
    <x v="776"/>
    <s v="Adam Ahmad"/>
    <x v="1"/>
    <x v="5"/>
    <s v="Into the Breach"/>
    <s v="Into the Breach, GamerLegion, Vexed"/>
    <n v="7936"/>
    <n v="9133"/>
    <x v="298"/>
    <s v="72.9"/>
    <s v="5.6"/>
    <n v="471"/>
    <n v="12683"/>
    <s v="0.63"/>
    <s v="0.15"/>
    <s v="0.72"/>
    <s v="0.1"/>
    <s v="0.08"/>
    <n v="5509"/>
    <s v="K - D diff."/>
    <n v="1517"/>
    <n v="1781"/>
    <s v="0.85"/>
    <s v="1.03"/>
    <s v="72.60%"/>
    <s v="17.50%"/>
    <n v="7174"/>
    <n v="3656"/>
    <n v="1380"/>
    <n v="381"/>
    <n v="83"/>
    <n v="9"/>
    <n v="5650"/>
    <n v="64"/>
    <n v="966"/>
    <n v="1125"/>
    <n v="122"/>
    <n v="32"/>
    <s v="0.97"/>
  </r>
  <r>
    <n v="15120"/>
    <x v="777"/>
    <s v="GaÃ«tan Jamin"/>
    <x v="2"/>
    <x v="0"/>
    <m/>
    <s v="3DMAX, Heretics"/>
    <n v="8657"/>
    <n v="9850"/>
    <x v="254"/>
    <s v="69.7"/>
    <s v="3.8"/>
    <n v="542"/>
    <n v="14411"/>
    <s v="0.6"/>
    <s v="0.15"/>
    <s v="0.68"/>
    <s v="0.11"/>
    <s v="0.09"/>
    <n v="6064"/>
    <s v="K - D diff."/>
    <n v="1342"/>
    <n v="1647"/>
    <s v="0.81"/>
    <s v="0.94"/>
    <s v="70.30%"/>
    <s v="13.00%"/>
    <n v="8347"/>
    <n v="4066"/>
    <n v="1489"/>
    <n v="433"/>
    <n v="66"/>
    <n v="10"/>
    <n v="6106"/>
    <n v="70"/>
    <n v="677"/>
    <n v="1643"/>
    <n v="145"/>
    <n v="25"/>
    <s v="0.97"/>
  </r>
  <r>
    <n v="9017"/>
    <x v="778"/>
    <s v="Michael Jaber"/>
    <x v="5"/>
    <x v="24"/>
    <m/>
    <s v="Enemy, Selfless, eUnited, Method"/>
    <n v="6904"/>
    <n v="7968"/>
    <x v="221"/>
    <s v="69.1"/>
    <s v="2.4"/>
    <n v="437"/>
    <n v="11092"/>
    <s v="0.62"/>
    <s v="0.14"/>
    <s v="0.72"/>
    <s v="0.11"/>
    <s v="0.09"/>
    <n v="4777"/>
    <s v="K - D diff."/>
    <n v="1225"/>
    <n v="1442"/>
    <s v="0.85"/>
    <n v="1"/>
    <s v="69.70%"/>
    <s v="15.50%"/>
    <n v="6315"/>
    <n v="3149"/>
    <n v="1215"/>
    <n v="337"/>
    <n v="66"/>
    <n v="10"/>
    <n v="4741"/>
    <n v="301"/>
    <n v="327"/>
    <n v="1450"/>
    <n v="79"/>
    <n v="28"/>
    <s v="0.89"/>
  </r>
  <r>
    <n v="41"/>
    <x v="779"/>
    <s v="Markus Wallsten"/>
    <x v="9"/>
    <x v="29"/>
    <m/>
    <s v="fnatic, GODSENT"/>
    <n v="18722"/>
    <n v="20989"/>
    <x v="124"/>
    <s v="64.7"/>
    <n v="4"/>
    <n v="1199"/>
    <n v="31403"/>
    <s v="0.6"/>
    <s v="0.14"/>
    <s v="0.67"/>
    <s v="0.09"/>
    <s v="0.08"/>
    <n v="13294"/>
    <s v="K - D diff."/>
    <n v="2583"/>
    <n v="3318"/>
    <s v="0.78"/>
    <s v="0.9"/>
    <s v="74.20%"/>
    <s v="11.50%"/>
    <n v="18109"/>
    <n v="9042"/>
    <n v="3264"/>
    <n v="845"/>
    <n v="136"/>
    <n v="7"/>
    <n v="14083"/>
    <n v="234"/>
    <n v="1063"/>
    <n v="2976"/>
    <n v="332"/>
    <n v="48"/>
    <s v="0.89"/>
  </r>
  <r>
    <n v="9882"/>
    <x v="780"/>
    <s v="Adam Polen"/>
    <x v="5"/>
    <x v="24"/>
    <m/>
    <s v="Mythic"/>
    <n v="7017"/>
    <n v="7995"/>
    <x v="8"/>
    <s v="69.8"/>
    <s v="4.3"/>
    <n v="435"/>
    <n v="11470"/>
    <s v="0.61"/>
    <s v="0.14"/>
    <s v="0.7"/>
    <s v="0.1"/>
    <s v="0.08"/>
    <n v="4945"/>
    <s v="K - D diff."/>
    <n v="1005"/>
    <n v="1254"/>
    <s v="0.8"/>
    <s v="0.92"/>
    <s v="70.60%"/>
    <s v="12.40%"/>
    <n v="6525"/>
    <n v="3338"/>
    <n v="1221"/>
    <n v="314"/>
    <n v="65"/>
    <n v="7"/>
    <n v="4929"/>
    <n v="103"/>
    <n v="476"/>
    <n v="1421"/>
    <n v="86"/>
    <n v="23"/>
    <s v="0.89"/>
  </r>
  <r>
    <n v="16731"/>
    <x v="781"/>
    <s v="Oliver Berg"/>
    <x v="0"/>
    <x v="9"/>
    <s v="Tricked"/>
    <s v="Tricked, Singularity, Ambush"/>
    <n v="6411"/>
    <n v="7554"/>
    <x v="199"/>
    <s v="71.4"/>
    <s v="3.9"/>
    <n v="379"/>
    <n v="10111"/>
    <s v="0.63"/>
    <s v="0.13"/>
    <s v="0.75"/>
    <s v="0.11"/>
    <s v="0.09"/>
    <n v="4371"/>
    <s v="K - D diff."/>
    <n v="1106"/>
    <n v="1481"/>
    <s v="0.75"/>
    <s v="0.97"/>
    <s v="70.80%"/>
    <s v="16.40%"/>
    <n v="5740"/>
    <n v="2819"/>
    <n v="1151"/>
    <n v="322"/>
    <n v="71"/>
    <n v="8"/>
    <n v="4862"/>
    <n v="51"/>
    <n v="443"/>
    <n v="986"/>
    <n v="54"/>
    <n v="34"/>
    <s v="0.94"/>
  </r>
  <r>
    <n v="8047"/>
    <x v="782"/>
    <s v="Lambert Prigent"/>
    <x v="14"/>
    <x v="0"/>
    <s v="LDLC"/>
    <s v="LDLC, EnVyUs Academy"/>
    <n v="11962"/>
    <n v="13543"/>
    <x v="296"/>
    <s v="63.4"/>
    <s v="3.6"/>
    <n v="775"/>
    <n v="20411"/>
    <s v="0.59"/>
    <s v="0.11"/>
    <s v="0.66"/>
    <s v="0.09"/>
    <s v="0.08"/>
    <n v="8619"/>
    <s v="K - D diff."/>
    <n v="1717"/>
    <n v="1905"/>
    <s v="0.9"/>
    <s v="0.93"/>
    <s v="73.80%"/>
    <s v="12.20%"/>
    <n v="11792"/>
    <n v="5958"/>
    <n v="2064"/>
    <n v="522"/>
    <n v="67"/>
    <n v="8"/>
    <n v="5496"/>
    <n v="2462"/>
    <n v="1615"/>
    <n v="2186"/>
    <n v="151"/>
    <n v="90"/>
    <s v="0.88"/>
  </r>
  <r>
    <n v="8504"/>
    <x v="783"/>
    <s v="Alexander Deily"/>
    <x v="15"/>
    <x v="24"/>
    <m/>
    <s v="Mythic, Winterfox, Luminosity"/>
    <n v="7418"/>
    <n v="8680"/>
    <x v="217"/>
    <s v="71.1"/>
    <n v="4"/>
    <n v="462"/>
    <n v="11931"/>
    <s v="0.62"/>
    <s v="0.14"/>
    <s v="0.73"/>
    <s v="0.1"/>
    <s v="0.08"/>
    <n v="5149"/>
    <s v="K - D diff."/>
    <n v="1041"/>
    <n v="1375"/>
    <s v="0.76"/>
    <s v="0.91"/>
    <s v="71.40%"/>
    <s v="12.80%"/>
    <n v="6782"/>
    <n v="3407"/>
    <n v="1306"/>
    <n v="363"/>
    <n v="66"/>
    <n v="7"/>
    <n v="5563"/>
    <n v="120"/>
    <n v="333"/>
    <n v="1275"/>
    <n v="71"/>
    <n v="69"/>
    <s v="0.88"/>
  </r>
  <r>
    <n v="8212"/>
    <x v="784"/>
    <s v="Robin RÃ¶pke"/>
    <x v="2"/>
    <x v="32"/>
    <s v="Sangal"/>
    <s v="ALTERNATE aTTaX, expert"/>
    <n v="15090"/>
    <n v="17651"/>
    <x v="137"/>
    <s v="71.1"/>
    <s v="6.8"/>
    <n v="932"/>
    <n v="24766"/>
    <s v="0.61"/>
    <s v="0.14"/>
    <s v="0.71"/>
    <s v="0.1"/>
    <s v="0.08"/>
    <n v="10479"/>
    <s v="K - D diff."/>
    <n v="2432"/>
    <n v="3011"/>
    <s v="0.81"/>
    <s v="0.96"/>
    <s v="72.40%"/>
    <s v="14.50%"/>
    <n v="14287"/>
    <n v="6932"/>
    <n v="2648"/>
    <n v="751"/>
    <n v="134"/>
    <n v="14"/>
    <n v="9958"/>
    <n v="878"/>
    <n v="1506"/>
    <n v="2487"/>
    <n v="246"/>
    <n v="65"/>
    <s v="0.88"/>
  </r>
  <r>
    <n v="10993"/>
    <x v="785"/>
    <s v="Nicolai Amorim"/>
    <x v="2"/>
    <x v="9"/>
    <m/>
    <s v="Fragsters"/>
    <n v="8176"/>
    <n v="9372"/>
    <x v="46"/>
    <s v="66.2"/>
    <s v="3.7"/>
    <n v="532"/>
    <n v="13939"/>
    <s v="0.59"/>
    <s v="0.12"/>
    <s v="0.67"/>
    <s v="0.1"/>
    <s v="0.09"/>
    <n v="5835"/>
    <s v="K - D diff."/>
    <n v="1050"/>
    <n v="1325"/>
    <s v="0.79"/>
    <s v="0.88"/>
    <s v="68.70%"/>
    <s v="10.30%"/>
    <n v="8104"/>
    <n v="3997"/>
    <n v="1408"/>
    <n v="366"/>
    <n v="55"/>
    <n v="9"/>
    <n v="6014"/>
    <n v="50"/>
    <n v="512"/>
    <n v="1511"/>
    <n v="103"/>
    <n v="4"/>
    <s v="0.93"/>
  </r>
  <r>
    <n v="1916"/>
    <x v="786"/>
    <s v="Sean Gares"/>
    <x v="12"/>
    <x v="24"/>
    <s v="Old Guys Club"/>
    <s v="Cloud9, Misfits, Echo Fox"/>
    <n v="10904"/>
    <n v="12533"/>
    <x v="195"/>
    <s v="67.4"/>
    <s v="4.8"/>
    <n v="713"/>
    <n v="18391"/>
    <s v="0.59"/>
    <s v="0.14"/>
    <s v="0.68"/>
    <s v="0.11"/>
    <s v="0.08"/>
    <n v="7755"/>
    <s v="K - D diff."/>
    <n v="1591"/>
    <n v="1959"/>
    <s v="0.81"/>
    <s v="0.92"/>
    <s v="74.70%"/>
    <s v="12.60%"/>
    <n v="10636"/>
    <n v="5262"/>
    <n v="1945"/>
    <n v="469"/>
    <n v="73"/>
    <n v="6"/>
    <n v="6675"/>
    <n v="1179"/>
    <n v="892"/>
    <n v="1894"/>
    <n v="207"/>
    <n v="63"/>
    <s v="0.88"/>
  </r>
  <r>
    <n v="8521"/>
    <x v="787"/>
    <s v="Damian Steele"/>
    <x v="11"/>
    <x v="27"/>
    <s v="Liquid"/>
    <s v="NRG, OpTic, Gen.G"/>
    <n v="16274"/>
    <n v="18638"/>
    <x v="195"/>
    <s v="66.8"/>
    <s v="4.4"/>
    <n v="1075"/>
    <n v="28101"/>
    <s v="0.58"/>
    <s v="0.14"/>
    <s v="0.66"/>
    <s v="0.1"/>
    <s v="0.07"/>
    <n v="11689"/>
    <s v="K - D diff."/>
    <n v="2052"/>
    <n v="2776"/>
    <s v="0.74"/>
    <s v="0.87"/>
    <s v="74.20%"/>
    <s v="10.30%"/>
    <n v="16412"/>
    <n v="8038"/>
    <n v="2848"/>
    <n v="679"/>
    <n v="118"/>
    <n v="6"/>
    <n v="10614"/>
    <n v="378"/>
    <n v="2239"/>
    <n v="2761"/>
    <n v="268"/>
    <n v="28"/>
    <s v="0.88"/>
  </r>
  <r>
    <n v="1328"/>
    <x v="788"/>
    <s v="Kyle Mendez"/>
    <x v="9"/>
    <x v="24"/>
    <m/>
    <s v="Denial, Winterfox, Liquid"/>
    <n v="6257"/>
    <n v="7304"/>
    <x v="145"/>
    <s v="73.6"/>
    <s v="3.7"/>
    <n v="395"/>
    <n v="10074"/>
    <s v="0.62"/>
    <s v="0.15"/>
    <s v="0.73"/>
    <s v="0.11"/>
    <s v="0.08"/>
    <n v="4425"/>
    <s v="K - D diff."/>
    <n v="899"/>
    <n v="1010"/>
    <s v="0.89"/>
    <s v="0.95"/>
    <s v="73.80%"/>
    <s v="13.30%"/>
    <n v="5649"/>
    <n v="2995"/>
    <n v="1089"/>
    <n v="295"/>
    <n v="42"/>
    <n v="4"/>
    <n v="4449"/>
    <n v="18"/>
    <n v="490"/>
    <n v="1199"/>
    <n v="87"/>
    <n v="26"/>
    <s v="0.87"/>
  </r>
  <r>
    <n v="921"/>
    <x v="789"/>
    <s v="Danny KrÃ¼ger"/>
    <x v="15"/>
    <x v="9"/>
    <s v="Sprout"/>
    <s v="Ambush, OPAA"/>
    <n v="12987"/>
    <n v="15332"/>
    <x v="299"/>
    <s v="71.7"/>
    <s v="5.8"/>
    <n v="802"/>
    <n v="20987"/>
    <s v="0.62"/>
    <s v="0.15"/>
    <s v="0.73"/>
    <s v="0.1"/>
    <s v="0.08"/>
    <n v="9097"/>
    <s v="K - D diff."/>
    <n v="2259"/>
    <n v="2738"/>
    <s v="0.83"/>
    <s v="0.99"/>
    <s v="73.40%"/>
    <s v="16.20%"/>
    <n v="11890"/>
    <n v="6099"/>
    <n v="2250"/>
    <n v="624"/>
    <n v="113"/>
    <n v="11"/>
    <n v="7656"/>
    <n v="1301"/>
    <n v="1561"/>
    <n v="2205"/>
    <n v="236"/>
    <n v="38"/>
    <s v="0.87"/>
  </r>
  <r>
    <n v="13718"/>
    <x v="790"/>
    <s v="Thomas Due-Frederiksen"/>
    <x v="3"/>
    <x v="9"/>
    <m/>
    <s v="Lyngby Vikings, ECSTATIC"/>
    <n v="13060"/>
    <n v="15183"/>
    <x v="57"/>
    <s v="72.5"/>
    <s v="7.7"/>
    <n v="812"/>
    <n v="21860"/>
    <s v="0.6"/>
    <s v="0.17"/>
    <s v="0.69"/>
    <s v="0.14"/>
    <s v="0.09"/>
    <n v="9313"/>
    <s v="K - D diff."/>
    <n v="2337"/>
    <n v="2770"/>
    <s v="0.84"/>
    <s v="0.99"/>
    <s v="73.60%"/>
    <s v="15.50%"/>
    <n v="12547"/>
    <n v="6343"/>
    <n v="2322"/>
    <n v="532"/>
    <n v="103"/>
    <n v="13"/>
    <n v="8808"/>
    <n v="696"/>
    <n v="1296"/>
    <n v="1916"/>
    <n v="333"/>
    <n v="82"/>
    <s v="0.99"/>
  </r>
  <r>
    <n v="8600"/>
    <x v="791"/>
    <s v="Zhuo Liang"/>
    <x v="14"/>
    <x v="10"/>
    <s v="Rare Atom"/>
    <s v="ViCi, VG.CyberZen"/>
    <n v="15800"/>
    <n v="17998"/>
    <x v="182"/>
    <s v="62.1"/>
    <s v="4.4"/>
    <n v="1101"/>
    <n v="28312"/>
    <s v="0.56"/>
    <s v="0.13"/>
    <s v="0.64"/>
    <s v="0.11"/>
    <s v="0.1"/>
    <n v="11530"/>
    <s v="K - D diff."/>
    <n v="1749"/>
    <n v="2044"/>
    <s v="0.86"/>
    <s v="0.86"/>
    <s v="74.60%"/>
    <s v="8.30%"/>
    <n v="16782"/>
    <n v="8115"/>
    <n v="2679"/>
    <n v="625"/>
    <n v="105"/>
    <n v="6"/>
    <n v="11000"/>
    <n v="86"/>
    <n v="1988"/>
    <n v="2484"/>
    <n v="244"/>
    <n v="36"/>
    <s v="0.87"/>
  </r>
  <r>
    <n v="15726"/>
    <x v="792"/>
    <s v="Piotr Nawrocki"/>
    <x v="6"/>
    <x v="17"/>
    <m/>
    <s v="AVEZ, Izako Boars"/>
    <n v="9764"/>
    <n v="11501"/>
    <x v="294"/>
    <s v="66.1"/>
    <n v="4"/>
    <n v="603"/>
    <n v="16182"/>
    <s v="0.6"/>
    <s v="0.12"/>
    <s v="0.71"/>
    <s v="0.1"/>
    <s v="0.09"/>
    <n v="6845"/>
    <s v="K - D diff."/>
    <n v="1546"/>
    <n v="1831"/>
    <s v="0.84"/>
    <s v="0.96"/>
    <s v="71.40%"/>
    <s v="13.70%"/>
    <n v="9337"/>
    <n v="4551"/>
    <n v="1756"/>
    <n v="458"/>
    <n v="73"/>
    <n v="7"/>
    <n v="6126"/>
    <n v="1401"/>
    <n v="595"/>
    <n v="1537"/>
    <n v="103"/>
    <n v="28"/>
    <s v="0.92"/>
  </r>
  <r>
    <n v="10096"/>
    <x v="793"/>
    <s v="Rasmus Nielsen"/>
    <x v="2"/>
    <x v="9"/>
    <s v="Copenhagen Flames"/>
    <s v="Copenhagen Flames"/>
    <n v="12343"/>
    <n v="14549"/>
    <x v="40"/>
    <n v="68"/>
    <s v="5.9"/>
    <n v="798"/>
    <n v="21225"/>
    <s v="0.58"/>
    <s v="0.13"/>
    <s v="0.69"/>
    <s v="0.09"/>
    <s v="0.08"/>
    <n v="8746"/>
    <s v="K - D diff."/>
    <n v="1771"/>
    <n v="2312"/>
    <s v="0.77"/>
    <s v="0.9"/>
    <s v="71.80%"/>
    <s v="11.60%"/>
    <n v="12479"/>
    <n v="5928"/>
    <n v="2152"/>
    <n v="561"/>
    <n v="97"/>
    <n v="8"/>
    <n v="8478"/>
    <n v="446"/>
    <n v="1184"/>
    <n v="1997"/>
    <n v="230"/>
    <n v="43"/>
    <s v="0.87"/>
  </r>
  <r>
    <n v="9350"/>
    <x v="794"/>
    <s v="Dima Lemeshchuk"/>
    <x v="2"/>
    <x v="1"/>
    <m/>
    <s v="pro100, ACG"/>
    <n v="9243"/>
    <n v="10836"/>
    <x v="82"/>
    <s v="67.4"/>
    <s v="3.4"/>
    <n v="605"/>
    <n v="15797"/>
    <s v="0.59"/>
    <s v="0.14"/>
    <s v="0.69"/>
    <s v="0.11"/>
    <s v="0.08"/>
    <n v="6637"/>
    <s v="K - D diff."/>
    <n v="1224"/>
    <n v="1575"/>
    <s v="0.78"/>
    <s v="0.89"/>
    <s v="71.70%"/>
    <s v="11.20%"/>
    <n v="9160"/>
    <n v="4548"/>
    <n v="1651"/>
    <n v="366"/>
    <n v="65"/>
    <n v="7"/>
    <n v="6387"/>
    <n v="148"/>
    <n v="1005"/>
    <n v="1532"/>
    <n v="127"/>
    <n v="60"/>
    <s v="0.86"/>
  </r>
  <r>
    <n v="12572"/>
    <x v="795"/>
    <s v="Daniel Narancic"/>
    <x v="3"/>
    <x v="29"/>
    <s v="NIP"/>
    <s v="Chaos, Japaleno, Red Reserve"/>
    <n v="10263"/>
    <n v="11998"/>
    <x v="255"/>
    <n v="63"/>
    <n v="3"/>
    <n v="688"/>
    <n v="18180"/>
    <s v="0.56"/>
    <s v="0.12"/>
    <s v="0.66"/>
    <s v="0.1"/>
    <s v="0.08"/>
    <n v="7476"/>
    <s v="K - D diff."/>
    <n v="1391"/>
    <n v="1607"/>
    <s v="0.87"/>
    <s v="0.9"/>
    <s v="72.60%"/>
    <s v="10.90%"/>
    <n v="10704"/>
    <n v="5250"/>
    <n v="1728"/>
    <n v="440"/>
    <n v="53"/>
    <n v="5"/>
    <n v="7025"/>
    <n v="391"/>
    <n v="1059"/>
    <n v="1673"/>
    <n v="119"/>
    <n v="8"/>
    <s v="0.91"/>
  </r>
  <r>
    <n v="7378"/>
    <x v="796"/>
    <s v="Jonatan Lundberg"/>
    <x v="9"/>
    <x v="29"/>
    <s v="Savage"/>
    <s v="fnatic, Epsilon"/>
    <n v="6122"/>
    <n v="7223"/>
    <x v="51"/>
    <s v="69.8"/>
    <s v="3.9"/>
    <n v="400"/>
    <n v="10494"/>
    <s v="0.58"/>
    <s v="0.16"/>
    <s v="0.69"/>
    <s v="0.12"/>
    <s v="0.08"/>
    <n v="4394"/>
    <s v="K - D diff."/>
    <n v="847"/>
    <n v="1138"/>
    <s v="0.74"/>
    <s v="0.89"/>
    <s v="73.70%"/>
    <s v="11.70%"/>
    <n v="6100"/>
    <n v="3055"/>
    <n v="1017"/>
    <n v="283"/>
    <n v="35"/>
    <n v="4"/>
    <n v="4529"/>
    <n v="145"/>
    <n v="332"/>
    <n v="972"/>
    <n v="127"/>
    <n v="20"/>
    <s v="0.86"/>
  </r>
  <r>
    <n v="1964"/>
    <x v="797"/>
    <s v="Slaava RÃ¤sÃ¤nen"/>
    <x v="18"/>
    <x v="23"/>
    <s v="temp"/>
    <s v="RCTIC, iGame.com, LGR"/>
    <n v="5863"/>
    <n v="7012"/>
    <x v="300"/>
    <s v="67.4"/>
    <s v="5.1"/>
    <n v="380"/>
    <n v="9970"/>
    <s v="0.59"/>
    <s v="0.16"/>
    <s v="0.7"/>
    <s v="0.09"/>
    <s v="0.09"/>
    <n v="4209"/>
    <s v="K - D diff."/>
    <n v="753"/>
    <n v="1121"/>
    <s v="0.67"/>
    <s v="0.86"/>
    <s v="72.40%"/>
    <s v="11.00%"/>
    <n v="5761"/>
    <n v="2920"/>
    <n v="971"/>
    <n v="275"/>
    <n v="43"/>
    <n v="0"/>
    <n v="4327"/>
    <n v="27"/>
    <n v="343"/>
    <n v="1061"/>
    <n v="102"/>
    <n v="8"/>
    <s v="0.85"/>
  </r>
  <r>
    <n v="136"/>
    <x v="798"/>
    <s v="Fatih Dayik"/>
    <x v="18"/>
    <x v="32"/>
    <s v="BIG"/>
    <s v="BIG, MOUZ, NRG"/>
    <n v="14445"/>
    <n v="17256"/>
    <x v="301"/>
    <s v="66.6"/>
    <n v="6"/>
    <n v="975"/>
    <n v="25707"/>
    <s v="0.56"/>
    <s v="0.13"/>
    <s v="0.67"/>
    <s v="0.1"/>
    <s v="0.08"/>
    <n v="10397"/>
    <s v="K - D diff."/>
    <n v="1774"/>
    <n v="2268"/>
    <s v="0.78"/>
    <s v="0.86"/>
    <s v="71.90%"/>
    <s v="9.90%"/>
    <n v="15310"/>
    <n v="7211"/>
    <n v="2466"/>
    <n v="606"/>
    <n v="108"/>
    <n v="6"/>
    <n v="9673"/>
    <n v="215"/>
    <n v="1498"/>
    <n v="2688"/>
    <n v="269"/>
    <n v="126"/>
    <s v="0.85"/>
  </r>
  <r>
    <n v="8708"/>
    <x v="799"/>
    <s v="Alec White"/>
    <x v="9"/>
    <x v="24"/>
    <m/>
    <s v="Complexity, Cloud9, Selfless"/>
    <n v="6638"/>
    <n v="7951"/>
    <x v="185"/>
    <s v="63.7"/>
    <s v="3.2"/>
    <n v="445"/>
    <n v="11663"/>
    <s v="0.57"/>
    <s v="0.12"/>
    <s v="0.68"/>
    <s v="0.11"/>
    <s v="0.09"/>
    <n v="4779"/>
    <s v="K - D diff."/>
    <n v="803"/>
    <n v="1066"/>
    <s v="0.75"/>
    <s v="0.86"/>
    <s v="74.00%"/>
    <s v="10.10%"/>
    <n v="6884"/>
    <n v="3302"/>
    <n v="1147"/>
    <n v="280"/>
    <n v="48"/>
    <n v="2"/>
    <n v="4437"/>
    <n v="220"/>
    <n v="592"/>
    <n v="1298"/>
    <n v="99"/>
    <n v="6"/>
    <s v="0.85"/>
  </r>
  <r>
    <n v="13779"/>
    <x v="800"/>
    <s v="Pavel Legostaev"/>
    <x v="3"/>
    <x v="2"/>
    <s v="xDDDD"/>
    <s v="Unique, ex-ETHEREAL"/>
    <n v="9261"/>
    <n v="11566"/>
    <x v="254"/>
    <s v="68.2"/>
    <n v="4"/>
    <n v="608"/>
    <n v="15891"/>
    <s v="0.58"/>
    <s v="0.13"/>
    <s v="0.73"/>
    <s v="0.1"/>
    <s v="0.07"/>
    <n v="6535"/>
    <s v="K - D diff."/>
    <n v="1544"/>
    <n v="2226"/>
    <s v="0.69"/>
    <s v="0.92"/>
    <s v="72.00%"/>
    <s v="14.50%"/>
    <n v="9356"/>
    <n v="4413"/>
    <n v="1600"/>
    <n v="446"/>
    <n v="70"/>
    <n v="6"/>
    <n v="6199"/>
    <n v="93"/>
    <n v="1340"/>
    <n v="1499"/>
    <n v="101"/>
    <n v="54"/>
    <s v="0.9"/>
  </r>
  <r>
    <n v="472"/>
    <x v="801"/>
    <s v="Andrey Gorodenskiy"/>
    <x v="18"/>
    <x v="1"/>
    <s v="Natus Vincere"/>
    <s v="FlipSid3"/>
    <n v="13472"/>
    <n v="16880"/>
    <x v="127"/>
    <s v="66.5"/>
    <s v="2.6"/>
    <n v="899"/>
    <n v="23232"/>
    <s v="0.58"/>
    <s v="0.16"/>
    <s v="0.73"/>
    <s v="0.1"/>
    <s v="0.07"/>
    <n v="9604"/>
    <s v="K - D diff."/>
    <n v="1977"/>
    <n v="2548"/>
    <s v="0.78"/>
    <s v="0.91"/>
    <s v="73.40%"/>
    <s v="12.90%"/>
    <n v="13628"/>
    <n v="6564"/>
    <n v="2346"/>
    <n v="582"/>
    <n v="105"/>
    <n v="7"/>
    <n v="10064"/>
    <n v="67"/>
    <n v="860"/>
    <n v="2256"/>
    <n v="118"/>
    <n v="108"/>
    <s v="0.83"/>
  </r>
  <r>
    <n v="8422"/>
    <x v="802"/>
    <s v="Jonas Wenzelsen"/>
    <x v="2"/>
    <x v="9"/>
    <s v="AGF"/>
    <s v="AGF, unknown, LPSP, Forcebuy"/>
    <n v="6753"/>
    <n v="8489"/>
    <x v="99"/>
    <s v="66.8"/>
    <s v="6.6"/>
    <n v="455"/>
    <n v="11976"/>
    <s v="0.56"/>
    <s v="0.14"/>
    <s v="0.71"/>
    <s v="0.11"/>
    <s v="0.09"/>
    <n v="4849"/>
    <s v="K - D diff."/>
    <n v="996"/>
    <n v="1396"/>
    <s v="0.71"/>
    <s v="0.89"/>
    <s v="69.10%"/>
    <s v="11.70%"/>
    <n v="7127"/>
    <n v="3360"/>
    <n v="1134"/>
    <n v="299"/>
    <n v="52"/>
    <n v="4"/>
    <n v="4770"/>
    <n v="120"/>
    <n v="586"/>
    <n v="1106"/>
    <n v="178"/>
    <n v="13"/>
    <s v="0.82"/>
  </r>
  <r>
    <n v="7415"/>
    <x v="803"/>
    <s v="Nicolai Petersen"/>
    <x v="9"/>
    <x v="9"/>
    <m/>
    <s v="Tricked, ALTERNATE aTTaX"/>
    <n v="22470"/>
    <n v="28708"/>
    <x v="154"/>
    <s v="64.4"/>
    <s v="4.5"/>
    <n v="1578"/>
    <n v="41153"/>
    <s v="0.55"/>
    <s v="0.14"/>
    <s v="0.7"/>
    <s v="0.11"/>
    <s v="0.09"/>
    <n v="16415"/>
    <s v="K - D diff."/>
    <n v="3079"/>
    <n v="4493"/>
    <s v="0.69"/>
    <s v="0.86"/>
    <s v="72.70%"/>
    <s v="10.60%"/>
    <n v="24738"/>
    <n v="11579"/>
    <n v="3779"/>
    <n v="923"/>
    <n v="121"/>
    <n v="13"/>
    <n v="16737"/>
    <n v="220"/>
    <n v="1514"/>
    <n v="3589"/>
    <n v="402"/>
    <n v="50"/>
    <s v="0.81"/>
  </r>
  <r>
    <n v="13156"/>
    <x v="804"/>
    <s v="Aleksei Burakov"/>
    <x v="2"/>
    <x v="2"/>
    <s v="BakS"/>
    <s v="SG.pro, 5balls, VP.Prodigy"/>
    <n v="5654"/>
    <n v="7613"/>
    <x v="179"/>
    <s v="66.4"/>
    <s v="4.7"/>
    <n v="389"/>
    <n v="10334"/>
    <s v="0.55"/>
    <s v="0.14"/>
    <s v="0.74"/>
    <s v="0.09"/>
    <s v="0.06"/>
    <n v="4093"/>
    <s v="K - D diff."/>
    <n v="841"/>
    <n v="1310"/>
    <s v="0.64"/>
    <s v="0.86"/>
    <s v="68.40%"/>
    <s v="11.70%"/>
    <n v="6241"/>
    <n v="2849"/>
    <n v="977"/>
    <n v="218"/>
    <n v="48"/>
    <n v="1"/>
    <n v="4051"/>
    <n v="151"/>
    <n v="623"/>
    <n v="669"/>
    <n v="84"/>
    <n v="92"/>
    <s v="0.84"/>
  </r>
  <r>
    <n v="6455"/>
    <x v="805"/>
    <s v="Kyle O'Brien"/>
    <x v="18"/>
    <x v="27"/>
    <m/>
    <s v="subtLe, SKDC, Splyce"/>
    <n v="5530"/>
    <n v="7492"/>
    <x v="33"/>
    <s v="59.7"/>
    <s v="3.6"/>
    <n v="410"/>
    <n v="10602"/>
    <s v="0.52"/>
    <s v="0.12"/>
    <s v="0.71"/>
    <s v="0.09"/>
    <s v="0.08"/>
    <n v="4080"/>
    <s v="K - D diff."/>
    <n v="588"/>
    <n v="939"/>
    <s v="0.63"/>
    <s v="0.8"/>
    <s v="71.80%"/>
    <s v="8.70%"/>
    <n v="6522"/>
    <n v="2901"/>
    <n v="950"/>
    <n v="192"/>
    <n v="33"/>
    <n v="4"/>
    <n v="3711"/>
    <n v="316"/>
    <n v="452"/>
    <n v="940"/>
    <n v="71"/>
    <n v="51"/>
    <s v="0.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9" rowHeaderCaption="Country">
  <location ref="A5:F7" firstHeaderRow="0" firstDataRow="1" firstDataCol="1" rowPageCount="3" colPageCount="1"/>
  <pivotFields count="40">
    <pivotField showAll="0"/>
    <pivotField axis="axisPage" showAll="0">
      <items count="807">
        <item x="405"/>
        <item x="372"/>
        <item x="654"/>
        <item x="448"/>
        <item x="355"/>
        <item x="686"/>
        <item x="186"/>
        <item x="776"/>
        <item x="472"/>
        <item x="791"/>
        <item x="233"/>
        <item x="213"/>
        <item x="297"/>
        <item x="313"/>
        <item x="745"/>
        <item x="645"/>
        <item x="291"/>
        <item x="669"/>
        <item x="74"/>
        <item x="467"/>
        <item x="78"/>
        <item x="461"/>
        <item x="331"/>
        <item x="149"/>
        <item x="265"/>
        <item x="518"/>
        <item x="563"/>
        <item x="179"/>
        <item x="420"/>
        <item x="367"/>
        <item x="562"/>
        <item x="383"/>
        <item x="705"/>
        <item x="739"/>
        <item x="436"/>
        <item x="690"/>
        <item x="747"/>
        <item x="114"/>
        <item x="257"/>
        <item x="142"/>
        <item x="733"/>
        <item x="72"/>
        <item x="419"/>
        <item x="537"/>
        <item x="320"/>
        <item x="395"/>
        <item x="801"/>
        <item x="182"/>
        <item x="189"/>
        <item x="486"/>
        <item x="766"/>
        <item x="509"/>
        <item x="464"/>
        <item x="668"/>
        <item x="386"/>
        <item x="767"/>
        <item x="505"/>
        <item x="21"/>
        <item x="789"/>
        <item x="86"/>
        <item x="790"/>
        <item x="581"/>
        <item x="93"/>
        <item x="15"/>
        <item x="585"/>
        <item x="16"/>
        <item x="636"/>
        <item x="540"/>
        <item x="165"/>
        <item x="760"/>
        <item x="346"/>
        <item x="582"/>
        <item x="208"/>
        <item x="700"/>
        <item x="561"/>
        <item x="713"/>
        <item x="56"/>
        <item x="151"/>
        <item x="167"/>
        <item x="748"/>
        <item x="534"/>
        <item x="264"/>
        <item x="579"/>
        <item x="269"/>
        <item x="250"/>
        <item x="409"/>
        <item x="592"/>
        <item x="439"/>
        <item x="244"/>
        <item x="673"/>
        <item x="218"/>
        <item x="89"/>
        <item x="477"/>
        <item x="299"/>
        <item x="458"/>
        <item x="59"/>
        <item x="310"/>
        <item x="34"/>
        <item x="175"/>
        <item x="543"/>
        <item x="618"/>
        <item x="382"/>
        <item x="401"/>
        <item x="188"/>
        <item x="17"/>
        <item x="677"/>
        <item x="675"/>
        <item x="762"/>
        <item x="88"/>
        <item x="727"/>
        <item x="470"/>
        <item x="155"/>
        <item x="765"/>
        <item x="305"/>
        <item x="324"/>
        <item x="102"/>
        <item x="559"/>
        <item x="13"/>
        <item x="720"/>
        <item x="137"/>
        <item x="787"/>
        <item x="681"/>
        <item x="753"/>
        <item x="247"/>
        <item x="545"/>
        <item x="275"/>
        <item x="418"/>
        <item x="168"/>
        <item x="556"/>
        <item x="529"/>
        <item x="277"/>
        <item x="794"/>
        <item x="6"/>
        <item x="3"/>
        <item x="384"/>
        <item x="523"/>
        <item x="666"/>
        <item x="316"/>
        <item x="98"/>
        <item x="491"/>
        <item x="680"/>
        <item x="391"/>
        <item x="429"/>
        <item x="340"/>
        <item x="598"/>
        <item x="117"/>
        <item x="296"/>
        <item x="12"/>
        <item x="609"/>
        <item x="796"/>
        <item x="676"/>
        <item x="115"/>
        <item x="670"/>
        <item x="50"/>
        <item x="427"/>
        <item x="521"/>
        <item x="357"/>
        <item x="308"/>
        <item x="343"/>
        <item x="531"/>
        <item x="795"/>
        <item x="462"/>
        <item x="116"/>
        <item x="290"/>
        <item x="525"/>
        <item x="566"/>
        <item x="332"/>
        <item x="120"/>
        <item x="619"/>
        <item x="44"/>
        <item x="522"/>
        <item x="506"/>
        <item x="64"/>
        <item x="671"/>
        <item x="723"/>
        <item x="112"/>
        <item x="170"/>
        <item x="459"/>
        <item x="402"/>
        <item x="691"/>
        <item x="450"/>
        <item x="71"/>
        <item x="27"/>
        <item x="79"/>
        <item x="99"/>
        <item x="604"/>
        <item x="433"/>
        <item x="722"/>
        <item x="273"/>
        <item x="35"/>
        <item x="387"/>
        <item x="158"/>
        <item x="180"/>
        <item x="711"/>
        <item x="126"/>
        <item x="640"/>
        <item x="707"/>
        <item x="60"/>
        <item x="307"/>
        <item x="520"/>
        <item x="568"/>
        <item x="172"/>
        <item x="177"/>
        <item x="339"/>
        <item x="341"/>
        <item x="109"/>
        <item x="228"/>
        <item x="106"/>
        <item x="156"/>
        <item x="122"/>
        <item x="445"/>
        <item x="108"/>
        <item x="698"/>
        <item x="577"/>
        <item x="528"/>
        <item x="318"/>
        <item x="132"/>
        <item x="181"/>
        <item x="328"/>
        <item x="240"/>
        <item x="688"/>
        <item x="270"/>
        <item x="379"/>
        <item x="100"/>
        <item x="788"/>
        <item x="252"/>
        <item x="192"/>
        <item x="773"/>
        <item x="335"/>
        <item x="317"/>
        <item x="319"/>
        <item x="716"/>
        <item x="368"/>
        <item x="365"/>
        <item x="493"/>
        <item x="489"/>
        <item x="54"/>
        <item x="29"/>
        <item x="672"/>
        <item x="416"/>
        <item x="32"/>
        <item x="432"/>
        <item x="546"/>
        <item x="612"/>
        <item x="530"/>
        <item x="85"/>
        <item x="261"/>
        <item x="83"/>
        <item x="552"/>
        <item x="446"/>
        <item x="646"/>
        <item x="326"/>
        <item x="498"/>
        <item x="798"/>
        <item x="771"/>
        <item x="358"/>
        <item x="202"/>
        <item x="237"/>
        <item x="390"/>
        <item x="683"/>
        <item x="417"/>
        <item x="51"/>
        <item x="66"/>
        <item x="684"/>
        <item x="97"/>
        <item x="133"/>
        <item x="150"/>
        <item x="396"/>
        <item x="185"/>
        <item x="176"/>
        <item x="128"/>
        <item x="452"/>
        <item x="104"/>
        <item x="70"/>
        <item x="349"/>
        <item x="260"/>
        <item x="736"/>
        <item x="166"/>
        <item x="641"/>
        <item x="770"/>
        <item x="323"/>
        <item x="793"/>
        <item x="333"/>
        <item x="263"/>
        <item x="394"/>
        <item x="803"/>
        <item x="31"/>
        <item x="725"/>
        <item x="620"/>
        <item x="216"/>
        <item x="607"/>
        <item x="781"/>
        <item x="141"/>
        <item x="378"/>
        <item x="214"/>
        <item x="311"/>
        <item x="460"/>
        <item x="144"/>
        <item x="58"/>
        <item x="157"/>
        <item x="443"/>
        <item x="39"/>
        <item x="710"/>
        <item x="693"/>
        <item x="555"/>
        <item x="210"/>
        <item x="415"/>
        <item x="538"/>
        <item x="536"/>
        <item x="544"/>
        <item x="23"/>
        <item x="42"/>
        <item x="508"/>
        <item x="129"/>
        <item x="651"/>
        <item x="404"/>
        <item x="334"/>
        <item x="403"/>
        <item x="494"/>
        <item x="517"/>
        <item x="777"/>
        <item x="425"/>
        <item x="251"/>
        <item x="145"/>
        <item x="597"/>
        <item x="575"/>
        <item x="549"/>
        <item x="302"/>
        <item x="110"/>
        <item x="428"/>
        <item x="687"/>
        <item x="229"/>
        <item x="84"/>
        <item x="306"/>
        <item x="140"/>
        <item x="283"/>
        <item x="211"/>
        <item x="385"/>
        <item x="111"/>
        <item x="513"/>
        <item x="267"/>
        <item x="519"/>
        <item x="325"/>
        <item x="634"/>
        <item x="424"/>
        <item x="629"/>
        <item x="754"/>
        <item x="692"/>
        <item x="5"/>
        <item x="121"/>
        <item x="225"/>
        <item x="28"/>
        <item x="322"/>
        <item x="455"/>
        <item x="599"/>
        <item x="614"/>
        <item x="266"/>
        <item x="463"/>
        <item x="658"/>
        <item x="430"/>
        <item x="730"/>
        <item x="249"/>
        <item x="40"/>
        <item x="281"/>
        <item x="337"/>
        <item x="195"/>
        <item x="516"/>
        <item x="353"/>
        <item x="412"/>
        <item x="304"/>
        <item x="527"/>
        <item x="224"/>
        <item x="649"/>
        <item x="679"/>
        <item x="763"/>
        <item x="20"/>
        <item x="602"/>
        <item x="647"/>
        <item x="571"/>
        <item x="406"/>
        <item x="699"/>
        <item x="457"/>
        <item x="782"/>
        <item x="278"/>
        <item x="533"/>
        <item x="615"/>
        <item x="756"/>
        <item x="399"/>
        <item x="586"/>
        <item x="449"/>
        <item x="366"/>
        <item x="783"/>
        <item x="146"/>
        <item x="511"/>
        <item x="38"/>
        <item x="570"/>
        <item x="652"/>
        <item x="87"/>
        <item x="709"/>
        <item x="268"/>
        <item x="234"/>
        <item x="274"/>
        <item x="623"/>
        <item x="245"/>
        <item x="535"/>
        <item x="772"/>
        <item x="743"/>
        <item x="118"/>
        <item x="298"/>
        <item x="633"/>
        <item x="119"/>
        <item x="495"/>
        <item x="398"/>
        <item x="778"/>
        <item x="611"/>
        <item x="650"/>
        <item x="194"/>
        <item x="201"/>
        <item x="248"/>
        <item x="342"/>
        <item x="625"/>
        <item x="661"/>
        <item x="30"/>
        <item x="217"/>
        <item x="631"/>
        <item x="243"/>
        <item x="499"/>
        <item x="356"/>
        <item x="728"/>
        <item x="285"/>
        <item x="613"/>
        <item x="480"/>
        <item x="65"/>
        <item x="139"/>
        <item x="107"/>
        <item x="25"/>
        <item x="130"/>
        <item x="764"/>
        <item x="437"/>
        <item x="68"/>
        <item x="414"/>
        <item x="665"/>
        <item x="400"/>
        <item x="77"/>
        <item x="476"/>
        <item x="350"/>
        <item x="593"/>
        <item x="338"/>
        <item x="75"/>
        <item x="468"/>
        <item x="512"/>
        <item x="259"/>
        <item x="221"/>
        <item x="345"/>
        <item x="740"/>
        <item x="488"/>
        <item x="729"/>
        <item x="258"/>
        <item x="370"/>
        <item x="94"/>
        <item x="630"/>
        <item x="746"/>
        <item x="138"/>
        <item x="792"/>
        <item x="62"/>
        <item x="336"/>
        <item x="655"/>
        <item x="749"/>
        <item x="719"/>
        <item x="232"/>
        <item x="541"/>
        <item x="369"/>
        <item x="664"/>
        <item x="55"/>
        <item x="502"/>
        <item x="802"/>
        <item x="101"/>
        <item x="205"/>
        <item x="715"/>
        <item x="564"/>
        <item x="344"/>
        <item x="135"/>
        <item x="434"/>
        <item x="578"/>
        <item x="187"/>
        <item x="14"/>
        <item x="171"/>
        <item x="235"/>
        <item x="479"/>
        <item x="286"/>
        <item x="769"/>
        <item x="381"/>
        <item x="714"/>
        <item x="484"/>
        <item x="407"/>
        <item x="569"/>
        <item x="627"/>
        <item x="514"/>
        <item x="105"/>
        <item x="73"/>
        <item x="410"/>
        <item x="805"/>
        <item x="447"/>
        <item x="178"/>
        <item x="61"/>
        <item x="199"/>
        <item x="52"/>
        <item x="26"/>
        <item x="605"/>
        <item x="53"/>
        <item x="685"/>
        <item x="193"/>
        <item x="321"/>
        <item x="800"/>
        <item x="293"/>
        <item x="153"/>
        <item x="481"/>
        <item x="478"/>
        <item x="584"/>
        <item x="554"/>
        <item x="515"/>
        <item x="616"/>
        <item x="271"/>
        <item x="750"/>
        <item x="164"/>
        <item x="608"/>
        <item x="392"/>
        <item x="371"/>
        <item x="738"/>
        <item x="63"/>
        <item x="780"/>
        <item x="724"/>
        <item x="435"/>
        <item x="662"/>
        <item x="440"/>
        <item x="663"/>
        <item x="648"/>
        <item x="779"/>
        <item x="601"/>
        <item x="576"/>
        <item x="775"/>
        <item x="45"/>
        <item x="136"/>
        <item x="500"/>
        <item x="82"/>
        <item x="475"/>
        <item x="124"/>
        <item x="239"/>
        <item x="160"/>
        <item x="347"/>
        <item x="594"/>
        <item x="359"/>
        <item x="732"/>
        <item x="456"/>
        <item x="236"/>
        <item x="596"/>
        <item x="580"/>
        <item x="694"/>
        <item x="282"/>
        <item x="682"/>
        <item x="303"/>
        <item x="207"/>
        <item x="206"/>
        <item x="215"/>
        <item x="504"/>
        <item x="301"/>
        <item x="492"/>
        <item x="421"/>
        <item x="223"/>
        <item x="246"/>
        <item x="294"/>
        <item x="617"/>
        <item x="444"/>
        <item x="209"/>
        <item x="718"/>
        <item x="507"/>
        <item x="280"/>
        <item x="134"/>
        <item x="190"/>
        <item x="315"/>
        <item x="708"/>
        <item x="524"/>
        <item x="497"/>
        <item x="360"/>
        <item x="376"/>
        <item x="697"/>
        <item x="169"/>
        <item x="465"/>
        <item x="757"/>
        <item x="241"/>
        <item x="41"/>
        <item x="374"/>
        <item x="589"/>
        <item x="550"/>
        <item x="804"/>
        <item x="588"/>
        <item x="595"/>
        <item x="551"/>
        <item x="539"/>
        <item x="92"/>
        <item x="131"/>
        <item x="667"/>
        <item x="734"/>
        <item x="1"/>
        <item x="632"/>
        <item x="4"/>
        <item x="532"/>
        <item x="741"/>
        <item x="587"/>
        <item x="113"/>
        <item x="761"/>
        <item x="96"/>
        <item x="784"/>
        <item x="230"/>
        <item x="786"/>
        <item x="600"/>
        <item x="610"/>
        <item x="639"/>
        <item x="490"/>
        <item x="752"/>
        <item x="10"/>
        <item x="123"/>
        <item x="583"/>
        <item x="2"/>
        <item x="125"/>
        <item x="706"/>
        <item x="203"/>
        <item x="758"/>
        <item x="184"/>
        <item x="393"/>
        <item x="389"/>
        <item x="572"/>
        <item x="148"/>
        <item x="163"/>
        <item x="312"/>
        <item x="174"/>
        <item x="231"/>
        <item x="18"/>
        <item x="717"/>
        <item x="702"/>
        <item x="590"/>
        <item x="422"/>
        <item x="454"/>
        <item x="284"/>
        <item x="191"/>
        <item x="731"/>
        <item x="373"/>
        <item x="154"/>
        <item x="799"/>
        <item x="329"/>
        <item x="204"/>
        <item x="656"/>
        <item x="147"/>
        <item x="330"/>
        <item x="628"/>
        <item x="7"/>
        <item x="253"/>
        <item x="659"/>
        <item x="173"/>
        <item x="262"/>
        <item x="212"/>
        <item x="678"/>
        <item x="606"/>
        <item x="162"/>
        <item x="90"/>
        <item x="742"/>
        <item x="314"/>
        <item x="354"/>
        <item x="431"/>
        <item x="591"/>
        <item x="560"/>
        <item x="774"/>
        <item x="80"/>
        <item x="49"/>
        <item x="352"/>
        <item x="411"/>
        <item x="413"/>
        <item x="638"/>
        <item x="626"/>
        <item x="222"/>
        <item x="361"/>
        <item x="547"/>
        <item x="8"/>
        <item x="423"/>
        <item x="309"/>
        <item x="603"/>
        <item x="256"/>
        <item x="689"/>
        <item x="482"/>
        <item x="287"/>
        <item x="127"/>
        <item x="200"/>
        <item x="469"/>
        <item x="621"/>
        <item x="751"/>
        <item x="69"/>
        <item x="255"/>
        <item x="327"/>
        <item x="542"/>
        <item x="768"/>
        <item x="573"/>
        <item x="81"/>
        <item x="375"/>
        <item x="471"/>
        <item x="219"/>
        <item x="735"/>
        <item x="660"/>
        <item x="279"/>
        <item x="397"/>
        <item x="674"/>
        <item x="276"/>
        <item x="57"/>
        <item x="364"/>
        <item x="226"/>
        <item x="22"/>
        <item x="624"/>
        <item x="300"/>
        <item x="567"/>
        <item x="653"/>
        <item x="622"/>
        <item x="426"/>
        <item x="701"/>
        <item x="635"/>
        <item x="703"/>
        <item x="198"/>
        <item x="785"/>
        <item x="11"/>
        <item x="289"/>
        <item x="161"/>
        <item x="483"/>
        <item x="451"/>
        <item x="197"/>
        <item x="721"/>
        <item x="380"/>
        <item x="272"/>
        <item x="797"/>
        <item x="48"/>
        <item x="704"/>
        <item x="712"/>
        <item x="644"/>
        <item x="487"/>
        <item x="695"/>
        <item x="288"/>
        <item x="348"/>
        <item x="103"/>
        <item x="196"/>
        <item x="526"/>
        <item x="501"/>
        <item x="485"/>
        <item x="510"/>
        <item x="408"/>
        <item x="474"/>
        <item x="351"/>
        <item x="696"/>
        <item x="33"/>
        <item x="643"/>
        <item x="637"/>
        <item x="67"/>
        <item x="438"/>
        <item x="759"/>
        <item x="557"/>
        <item x="242"/>
        <item x="565"/>
        <item x="159"/>
        <item x="37"/>
        <item x="43"/>
        <item x="152"/>
        <item x="9"/>
        <item x="755"/>
        <item x="76"/>
        <item x="377"/>
        <item x="24"/>
        <item x="503"/>
        <item x="453"/>
        <item x="19"/>
        <item x="548"/>
        <item x="642"/>
        <item x="737"/>
        <item x="46"/>
        <item x="473"/>
        <item x="363"/>
        <item x="292"/>
        <item x="227"/>
        <item x="496"/>
        <item x="143"/>
        <item x="362"/>
        <item x="657"/>
        <item x="36"/>
        <item x="574"/>
        <item x="466"/>
        <item x="91"/>
        <item x="238"/>
        <item x="558"/>
        <item x="220"/>
        <item x="441"/>
        <item x="744"/>
        <item x="254"/>
        <item x="183"/>
        <item x="553"/>
        <item x="295"/>
        <item x="95"/>
        <item x="47"/>
        <item x="442"/>
        <item x="726"/>
        <item x="388"/>
        <item x="0"/>
        <item t="default"/>
      </items>
    </pivotField>
    <pivotField showAll="0"/>
    <pivotField axis="axisPage" showAll="0">
      <items count="21">
        <item x="17"/>
        <item x="13"/>
        <item x="16"/>
        <item x="7"/>
        <item x="0"/>
        <item x="4"/>
        <item x="6"/>
        <item x="1"/>
        <item x="8"/>
        <item x="5"/>
        <item x="2"/>
        <item x="3"/>
        <item x="11"/>
        <item x="14"/>
        <item x="9"/>
        <item x="15"/>
        <item x="10"/>
        <item x="12"/>
        <item x="18"/>
        <item x="19"/>
        <item t="default"/>
      </items>
    </pivotField>
    <pivotField axis="axisRow" showAll="0">
      <items count="54">
        <item h="1" x="38"/>
        <item h="1" x="15"/>
        <item h="1" x="33"/>
        <item h="1" x="35"/>
        <item h="1" x="11"/>
        <item h="1" x="3"/>
        <item h="1" x="25"/>
        <item h="1" x="27"/>
        <item x="10"/>
        <item h="1" x="18"/>
        <item h="1" x="9"/>
        <item h="1" x="22"/>
        <item h="1" x="23"/>
        <item h="1" x="0"/>
        <item h="1" x="32"/>
        <item h="1" x="44"/>
        <item h="1" x="19"/>
        <item h="1" x="8"/>
        <item h="1" x="12"/>
        <item h="1" x="31"/>
        <item h="1" x="45"/>
        <item h="1" x="42"/>
        <item h="1" x="13"/>
        <item h="1" x="46"/>
        <item h="1" x="39"/>
        <item h="1" x="36"/>
        <item h="1" x="4"/>
        <item h="1" x="47"/>
        <item h="1" x="21"/>
        <item h="1" x="49"/>
        <item h="1" x="41"/>
        <item h="1" x="6"/>
        <item h="1" x="50"/>
        <item h="1" x="40"/>
        <item h="1" x="17"/>
        <item h="1" x="48"/>
        <item h="1" x="16"/>
        <item h="1" x="2"/>
        <item h="1" x="37"/>
        <item h="1" x="14"/>
        <item h="1" x="20"/>
        <item h="1" x="34"/>
        <item h="1" x="30"/>
        <item h="1" x="29"/>
        <item h="1" x="43"/>
        <item h="1" x="51"/>
        <item h="1" x="26"/>
        <item h="1" x="7"/>
        <item h="1" x="1"/>
        <item h="1" x="5"/>
        <item h="1" x="24"/>
        <item h="1" x="28"/>
        <item h="1" x="5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03">
        <item x="212"/>
        <item x="140"/>
        <item x="42"/>
        <item x="211"/>
        <item x="21"/>
        <item x="171"/>
        <item x="109"/>
        <item x="172"/>
        <item x="238"/>
        <item x="245"/>
        <item x="49"/>
        <item x="111"/>
        <item x="25"/>
        <item x="60"/>
        <item x="151"/>
        <item x="163"/>
        <item x="167"/>
        <item x="35"/>
        <item x="2"/>
        <item x="53"/>
        <item x="123"/>
        <item x="234"/>
        <item x="23"/>
        <item x="59"/>
        <item x="267"/>
        <item x="62"/>
        <item x="144"/>
        <item x="119"/>
        <item x="10"/>
        <item x="180"/>
        <item x="100"/>
        <item x="71"/>
        <item x="118"/>
        <item x="47"/>
        <item x="207"/>
        <item x="85"/>
        <item x="219"/>
        <item x="262"/>
        <item x="204"/>
        <item x="193"/>
        <item x="5"/>
        <item x="24"/>
        <item x="115"/>
        <item x="4"/>
        <item x="183"/>
        <item x="176"/>
        <item x="26"/>
        <item x="9"/>
        <item x="86"/>
        <item x="7"/>
        <item x="48"/>
        <item x="39"/>
        <item x="147"/>
        <item x="31"/>
        <item x="34"/>
        <item x="83"/>
        <item x="76"/>
        <item x="58"/>
        <item x="37"/>
        <item x="201"/>
        <item x="107"/>
        <item x="206"/>
        <item x="181"/>
        <item x="56"/>
        <item x="121"/>
        <item x="101"/>
        <item x="116"/>
        <item x="194"/>
        <item x="244"/>
        <item x="237"/>
        <item x="191"/>
        <item x="6"/>
        <item x="153"/>
        <item x="293"/>
        <item x="11"/>
        <item x="66"/>
        <item x="208"/>
        <item x="17"/>
        <item x="268"/>
        <item x="28"/>
        <item x="142"/>
        <item x="300"/>
        <item x="41"/>
        <item x="80"/>
        <item x="105"/>
        <item x="43"/>
        <item x="63"/>
        <item x="3"/>
        <item x="110"/>
        <item x="198"/>
        <item x="55"/>
        <item x="296"/>
        <item x="265"/>
        <item x="143"/>
        <item x="285"/>
        <item x="65"/>
        <item x="108"/>
        <item x="184"/>
        <item x="299"/>
        <item x="68"/>
        <item x="45"/>
        <item x="297"/>
        <item x="253"/>
        <item x="246"/>
        <item x="14"/>
        <item x="125"/>
        <item x="275"/>
        <item x="281"/>
        <item x="168"/>
        <item x="12"/>
        <item x="15"/>
        <item x="290"/>
        <item x="89"/>
        <item x="298"/>
        <item x="195"/>
        <item x="20"/>
        <item x="22"/>
        <item x="257"/>
        <item x="288"/>
        <item x="228"/>
        <item x="158"/>
        <item x="215"/>
        <item x="155"/>
        <item x="216"/>
        <item x="0"/>
        <item x="1"/>
        <item x="188"/>
        <item x="196"/>
        <item x="57"/>
        <item x="173"/>
        <item x="82"/>
        <item x="127"/>
        <item x="169"/>
        <item x="271"/>
        <item x="149"/>
        <item x="229"/>
        <item x="36"/>
        <item x="261"/>
        <item x="258"/>
        <item x="157"/>
        <item x="81"/>
        <item x="295"/>
        <item x="197"/>
        <item x="170"/>
        <item x="241"/>
        <item x="292"/>
        <item x="256"/>
        <item x="276"/>
        <item x="98"/>
        <item x="224"/>
        <item x="67"/>
        <item x="248"/>
        <item x="33"/>
        <item x="232"/>
        <item x="280"/>
        <item x="227"/>
        <item x="217"/>
        <item x="192"/>
        <item x="282"/>
        <item x="93"/>
        <item x="102"/>
        <item x="210"/>
        <item x="286"/>
        <item x="177"/>
        <item x="218"/>
        <item x="190"/>
        <item x="124"/>
        <item x="114"/>
        <item x="79"/>
        <item x="264"/>
        <item x="120"/>
        <item x="159"/>
        <item x="96"/>
        <item x="137"/>
        <item x="78"/>
        <item x="19"/>
        <item x="90"/>
        <item x="200"/>
        <item x="30"/>
        <item x="294"/>
        <item x="186"/>
        <item x="255"/>
        <item x="145"/>
        <item x="162"/>
        <item x="97"/>
        <item x="214"/>
        <item x="179"/>
        <item x="220"/>
        <item x="164"/>
        <item x="99"/>
        <item x="225"/>
        <item x="156"/>
        <item x="301"/>
        <item x="64"/>
        <item x="154"/>
        <item x="87"/>
        <item x="103"/>
        <item x="50"/>
        <item x="27"/>
        <item x="75"/>
        <item x="72"/>
        <item x="16"/>
        <item x="46"/>
        <item x="185"/>
        <item x="40"/>
        <item x="161"/>
        <item x="182"/>
        <item x="136"/>
        <item x="32"/>
        <item x="117"/>
        <item x="69"/>
        <item x="13"/>
        <item x="95"/>
        <item x="141"/>
        <item x="106"/>
        <item x="52"/>
        <item x="104"/>
        <item x="135"/>
        <item x="130"/>
        <item x="74"/>
        <item x="51"/>
        <item x="223"/>
        <item x="88"/>
        <item x="38"/>
        <item x="221"/>
        <item x="273"/>
        <item x="54"/>
        <item x="178"/>
        <item x="61"/>
        <item x="243"/>
        <item x="287"/>
        <item x="18"/>
        <item x="126"/>
        <item x="222"/>
        <item x="202"/>
        <item x="240"/>
        <item x="113"/>
        <item x="133"/>
        <item x="166"/>
        <item x="260"/>
        <item x="8"/>
        <item x="235"/>
        <item x="254"/>
        <item x="129"/>
        <item x="213"/>
        <item x="205"/>
        <item x="174"/>
        <item x="92"/>
        <item x="277"/>
        <item x="203"/>
        <item x="189"/>
        <item x="29"/>
        <item x="199"/>
        <item x="233"/>
        <item x="259"/>
        <item x="139"/>
        <item x="138"/>
        <item x="209"/>
        <item x="128"/>
        <item x="230"/>
        <item x="152"/>
        <item x="242"/>
        <item x="94"/>
        <item x="279"/>
        <item x="91"/>
        <item x="278"/>
        <item x="70"/>
        <item x="165"/>
        <item x="175"/>
        <item x="251"/>
        <item x="150"/>
        <item x="77"/>
        <item x="270"/>
        <item x="160"/>
        <item x="252"/>
        <item x="274"/>
        <item x="250"/>
        <item x="132"/>
        <item x="226"/>
        <item x="249"/>
        <item x="272"/>
        <item x="266"/>
        <item x="269"/>
        <item x="236"/>
        <item x="112"/>
        <item x="284"/>
        <item x="148"/>
        <item x="263"/>
        <item x="122"/>
        <item x="73"/>
        <item x="131"/>
        <item x="289"/>
        <item x="247"/>
        <item x="187"/>
        <item x="291"/>
        <item x="44"/>
        <item x="146"/>
        <item x="283"/>
        <item x="231"/>
        <item x="239"/>
        <item x="134"/>
        <item x="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4"/>
  </rowFields>
  <rowItems count="2"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3" hier="-1"/>
    <pageField fld="1" hier="-1"/>
    <pageField fld="9" hier="-1"/>
  </pageFields>
  <dataFields count="5">
    <dataField name="Suma de rifle_kills" fld="33" baseField="4" baseItem="0"/>
    <dataField name="Suma de sniper_kills" fld="34" baseField="4" baseItem="0"/>
    <dataField name="Suma de smg_kills" fld="35" baseField="4" baseItem="0"/>
    <dataField name="Suma de pistol_kills" fld="36" baseField="4" baseItem="0"/>
    <dataField name="Suma de grenade_kills" fld="37" baseField="4" baseItem="0"/>
  </dataFields>
  <formats count="2">
    <format dxfId="50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49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1">
            <reference field="4" count="5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</reference>
          </references>
        </pivotArea>
      </pivotAreas>
    </conditionalFormat>
  </conditional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33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A6F80-162F-49AC-9854-C6F1A9316BF8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 rowHeaderCaption="Country">
  <location ref="H3:I5" firstHeaderRow="1" firstDataRow="1" firstDataCol="1"/>
  <pivotFields count="40">
    <pivotField showAll="0"/>
    <pivotField showAll="0"/>
    <pivotField showAll="0"/>
    <pivotField showAll="0">
      <items count="21">
        <item x="17"/>
        <item x="13"/>
        <item x="16"/>
        <item x="7"/>
        <item x="0"/>
        <item x="4"/>
        <item x="6"/>
        <item x="1"/>
        <item x="8"/>
        <item x="5"/>
        <item x="2"/>
        <item x="3"/>
        <item x="11"/>
        <item x="14"/>
        <item x="9"/>
        <item x="15"/>
        <item x="10"/>
        <item x="12"/>
        <item x="18"/>
        <item x="19"/>
        <item t="default"/>
      </items>
    </pivotField>
    <pivotField axis="axisRow" dataField="1" showAll="0">
      <items count="54">
        <item h="1" x="38"/>
        <item h="1" x="15"/>
        <item h="1" x="33"/>
        <item h="1" x="35"/>
        <item h="1" x="11"/>
        <item h="1" x="3"/>
        <item h="1" x="25"/>
        <item h="1" x="27"/>
        <item x="10"/>
        <item h="1" x="18"/>
        <item h="1" x="9"/>
        <item h="1" x="22"/>
        <item h="1" x="23"/>
        <item h="1" x="0"/>
        <item h="1" x="32"/>
        <item h="1" x="44"/>
        <item h="1" x="19"/>
        <item h="1" x="8"/>
        <item h="1" x="12"/>
        <item h="1" x="31"/>
        <item h="1" x="45"/>
        <item h="1" x="42"/>
        <item h="1" x="13"/>
        <item h="1" x="46"/>
        <item h="1" x="39"/>
        <item h="1" x="36"/>
        <item h="1" x="4"/>
        <item h="1" x="47"/>
        <item h="1" x="21"/>
        <item h="1" x="49"/>
        <item h="1" x="41"/>
        <item h="1" x="6"/>
        <item h="1" x="50"/>
        <item h="1" x="40"/>
        <item h="1" x="17"/>
        <item h="1" x="48"/>
        <item h="1" x="16"/>
        <item h="1" x="2"/>
        <item h="1" x="37"/>
        <item h="1" x="14"/>
        <item h="1" x="20"/>
        <item h="1" x="34"/>
        <item h="1" x="30"/>
        <item h="1" x="29"/>
        <item h="1" x="43"/>
        <item h="1" x="51"/>
        <item h="1" x="26"/>
        <item h="1" x="7"/>
        <item h="1" x="1"/>
        <item h="1" x="5"/>
        <item h="1" x="24"/>
        <item h="1" x="28"/>
        <item h="1" x="52"/>
        <item t="default"/>
      </items>
    </pivotField>
    <pivotField showAll="0"/>
    <pivotField showAll="0"/>
    <pivotField showAll="0"/>
    <pivotField showAll="0"/>
    <pivotField showAll="0">
      <items count="303">
        <item x="212"/>
        <item x="140"/>
        <item x="42"/>
        <item x="211"/>
        <item x="21"/>
        <item x="171"/>
        <item x="109"/>
        <item x="172"/>
        <item x="238"/>
        <item x="245"/>
        <item x="49"/>
        <item x="111"/>
        <item x="25"/>
        <item x="60"/>
        <item x="151"/>
        <item x="163"/>
        <item x="167"/>
        <item x="35"/>
        <item x="2"/>
        <item x="53"/>
        <item x="123"/>
        <item x="234"/>
        <item x="23"/>
        <item x="59"/>
        <item x="267"/>
        <item x="62"/>
        <item x="144"/>
        <item x="119"/>
        <item x="10"/>
        <item x="180"/>
        <item x="100"/>
        <item x="71"/>
        <item x="118"/>
        <item x="47"/>
        <item x="207"/>
        <item x="85"/>
        <item x="219"/>
        <item x="262"/>
        <item x="204"/>
        <item x="193"/>
        <item x="5"/>
        <item x="24"/>
        <item x="115"/>
        <item x="4"/>
        <item x="183"/>
        <item x="176"/>
        <item x="26"/>
        <item x="9"/>
        <item x="86"/>
        <item x="7"/>
        <item x="48"/>
        <item x="39"/>
        <item x="147"/>
        <item x="31"/>
        <item x="34"/>
        <item x="83"/>
        <item x="76"/>
        <item x="58"/>
        <item x="37"/>
        <item x="201"/>
        <item x="107"/>
        <item x="206"/>
        <item x="181"/>
        <item x="56"/>
        <item x="121"/>
        <item x="101"/>
        <item x="116"/>
        <item x="194"/>
        <item x="244"/>
        <item x="237"/>
        <item x="191"/>
        <item x="6"/>
        <item x="153"/>
        <item x="293"/>
        <item x="11"/>
        <item x="66"/>
        <item x="208"/>
        <item x="17"/>
        <item x="268"/>
        <item x="28"/>
        <item x="142"/>
        <item x="300"/>
        <item x="41"/>
        <item x="80"/>
        <item x="105"/>
        <item x="43"/>
        <item x="63"/>
        <item x="3"/>
        <item x="110"/>
        <item x="198"/>
        <item x="55"/>
        <item x="296"/>
        <item x="265"/>
        <item x="143"/>
        <item x="285"/>
        <item x="65"/>
        <item x="108"/>
        <item x="184"/>
        <item x="299"/>
        <item x="68"/>
        <item x="45"/>
        <item x="297"/>
        <item x="253"/>
        <item x="246"/>
        <item x="14"/>
        <item x="125"/>
        <item x="275"/>
        <item x="281"/>
        <item x="168"/>
        <item x="12"/>
        <item x="15"/>
        <item x="290"/>
        <item x="89"/>
        <item x="298"/>
        <item x="195"/>
        <item x="20"/>
        <item x="22"/>
        <item x="257"/>
        <item x="288"/>
        <item x="228"/>
        <item x="158"/>
        <item x="215"/>
        <item x="155"/>
        <item x="216"/>
        <item x="0"/>
        <item x="1"/>
        <item x="188"/>
        <item x="196"/>
        <item x="57"/>
        <item x="173"/>
        <item x="82"/>
        <item x="127"/>
        <item x="169"/>
        <item x="271"/>
        <item x="149"/>
        <item x="229"/>
        <item x="36"/>
        <item x="261"/>
        <item x="258"/>
        <item x="157"/>
        <item x="81"/>
        <item x="295"/>
        <item x="197"/>
        <item x="170"/>
        <item x="241"/>
        <item x="292"/>
        <item x="256"/>
        <item x="276"/>
        <item x="98"/>
        <item x="224"/>
        <item x="67"/>
        <item x="248"/>
        <item x="33"/>
        <item x="232"/>
        <item x="280"/>
        <item x="227"/>
        <item x="217"/>
        <item x="192"/>
        <item x="282"/>
        <item x="93"/>
        <item x="102"/>
        <item x="210"/>
        <item x="286"/>
        <item x="177"/>
        <item x="218"/>
        <item x="190"/>
        <item x="124"/>
        <item x="114"/>
        <item x="79"/>
        <item x="264"/>
        <item x="120"/>
        <item x="159"/>
        <item x="96"/>
        <item x="137"/>
        <item x="78"/>
        <item x="19"/>
        <item x="90"/>
        <item x="200"/>
        <item x="30"/>
        <item x="294"/>
        <item x="186"/>
        <item x="255"/>
        <item x="145"/>
        <item x="162"/>
        <item x="97"/>
        <item x="214"/>
        <item x="179"/>
        <item x="220"/>
        <item x="164"/>
        <item x="99"/>
        <item x="225"/>
        <item x="156"/>
        <item x="301"/>
        <item x="64"/>
        <item x="154"/>
        <item x="87"/>
        <item x="103"/>
        <item x="50"/>
        <item x="27"/>
        <item x="75"/>
        <item x="72"/>
        <item x="16"/>
        <item x="46"/>
        <item x="185"/>
        <item x="40"/>
        <item x="161"/>
        <item x="182"/>
        <item x="136"/>
        <item x="32"/>
        <item x="117"/>
        <item x="69"/>
        <item x="13"/>
        <item x="95"/>
        <item x="141"/>
        <item x="106"/>
        <item x="52"/>
        <item x="104"/>
        <item x="135"/>
        <item x="130"/>
        <item x="74"/>
        <item x="51"/>
        <item x="223"/>
        <item x="88"/>
        <item x="38"/>
        <item x="221"/>
        <item x="273"/>
        <item x="54"/>
        <item x="178"/>
        <item x="61"/>
        <item x="243"/>
        <item x="287"/>
        <item x="18"/>
        <item x="126"/>
        <item x="222"/>
        <item x="202"/>
        <item x="240"/>
        <item x="113"/>
        <item x="133"/>
        <item x="166"/>
        <item x="260"/>
        <item x="8"/>
        <item x="235"/>
        <item x="254"/>
        <item x="129"/>
        <item x="213"/>
        <item x="205"/>
        <item x="174"/>
        <item x="92"/>
        <item x="277"/>
        <item x="203"/>
        <item x="189"/>
        <item x="29"/>
        <item x="199"/>
        <item x="233"/>
        <item x="259"/>
        <item x="139"/>
        <item x="138"/>
        <item x="209"/>
        <item x="128"/>
        <item x="230"/>
        <item x="152"/>
        <item x="242"/>
        <item x="94"/>
        <item x="279"/>
        <item x="91"/>
        <item x="278"/>
        <item x="70"/>
        <item x="165"/>
        <item x="175"/>
        <item x="251"/>
        <item x="150"/>
        <item x="77"/>
        <item x="270"/>
        <item x="160"/>
        <item x="252"/>
        <item x="274"/>
        <item x="250"/>
        <item x="132"/>
        <item x="226"/>
        <item x="249"/>
        <item x="272"/>
        <item x="266"/>
        <item x="269"/>
        <item x="236"/>
        <item x="112"/>
        <item x="284"/>
        <item x="148"/>
        <item x="263"/>
        <item x="122"/>
        <item x="73"/>
        <item x="131"/>
        <item x="289"/>
        <item x="247"/>
        <item x="187"/>
        <item x="291"/>
        <item x="44"/>
        <item x="146"/>
        <item x="283"/>
        <item x="231"/>
        <item x="239"/>
        <item x="134"/>
        <item x="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 v="8"/>
    </i>
    <i t="grand">
      <x/>
    </i>
  </rowItems>
  <colItems count="1">
    <i/>
  </colItems>
  <dataFields count="1">
    <dataField name="Cantidad de Jugadores" fld="4" subtotal="count" baseField="4" baseItem="0" numFmtId="2"/>
  </dataFields>
  <formats count="4"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collapsedLevelsAreSubtotals="1" fieldPosition="0">
        <references count="1">
          <reference field="4" count="0"/>
        </references>
      </pivotArea>
    </format>
    <format dxfId="4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 rowHeaderCaption="Country">
  <location ref="A3:C5" firstHeaderRow="0" firstDataRow="1" firstDataCol="1"/>
  <pivotFields count="40">
    <pivotField showAll="0"/>
    <pivotField showAll="0"/>
    <pivotField showAll="0"/>
    <pivotField showAll="0">
      <items count="21">
        <item x="17"/>
        <item x="13"/>
        <item x="16"/>
        <item x="7"/>
        <item x="0"/>
        <item x="4"/>
        <item x="6"/>
        <item x="1"/>
        <item x="8"/>
        <item x="5"/>
        <item x="2"/>
        <item x="3"/>
        <item x="11"/>
        <item x="14"/>
        <item x="9"/>
        <item x="15"/>
        <item x="10"/>
        <item x="12"/>
        <item x="18"/>
        <item x="19"/>
        <item t="default"/>
      </items>
    </pivotField>
    <pivotField axis="axisRow" showAll="0">
      <items count="54">
        <item h="1" x="38"/>
        <item h="1" x="15"/>
        <item h="1" x="33"/>
        <item h="1" x="35"/>
        <item h="1" x="11"/>
        <item h="1" x="3"/>
        <item h="1" x="25"/>
        <item h="1" x="27"/>
        <item x="10"/>
        <item h="1" x="18"/>
        <item h="1" x="9"/>
        <item h="1" x="22"/>
        <item h="1" x="23"/>
        <item h="1" x="0"/>
        <item h="1" x="32"/>
        <item h="1" x="44"/>
        <item h="1" x="19"/>
        <item h="1" x="8"/>
        <item h="1" x="12"/>
        <item h="1" x="31"/>
        <item h="1" x="45"/>
        <item h="1" x="42"/>
        <item h="1" x="13"/>
        <item h="1" x="46"/>
        <item h="1" x="39"/>
        <item h="1" x="36"/>
        <item h="1" x="4"/>
        <item h="1" x="47"/>
        <item h="1" x="21"/>
        <item h="1" x="49"/>
        <item h="1" x="41"/>
        <item h="1" x="6"/>
        <item h="1" x="50"/>
        <item h="1" x="40"/>
        <item h="1" x="17"/>
        <item h="1" x="48"/>
        <item h="1" x="16"/>
        <item h="1" x="2"/>
        <item h="1" x="37"/>
        <item h="1" x="14"/>
        <item h="1" x="20"/>
        <item h="1" x="34"/>
        <item h="1" x="30"/>
        <item h="1" x="29"/>
        <item h="1" x="43"/>
        <item h="1" x="51"/>
        <item h="1" x="26"/>
        <item h="1" x="7"/>
        <item h="1" x="1"/>
        <item h="1" x="5"/>
        <item h="1" x="24"/>
        <item h="1" x="28"/>
        <item h="1" x="52"/>
        <item t="default"/>
      </items>
    </pivotField>
    <pivotField showAll="0"/>
    <pivotField showAll="0"/>
    <pivotField dataField="1" showAll="0"/>
    <pivotField dataField="1" showAll="0"/>
    <pivotField showAll="0">
      <items count="303">
        <item x="212"/>
        <item x="140"/>
        <item x="42"/>
        <item x="211"/>
        <item x="21"/>
        <item x="171"/>
        <item x="109"/>
        <item x="172"/>
        <item x="238"/>
        <item x="245"/>
        <item x="49"/>
        <item x="111"/>
        <item x="25"/>
        <item x="60"/>
        <item x="151"/>
        <item x="163"/>
        <item x="167"/>
        <item x="35"/>
        <item x="2"/>
        <item x="53"/>
        <item x="123"/>
        <item x="234"/>
        <item x="23"/>
        <item x="59"/>
        <item x="267"/>
        <item x="62"/>
        <item x="144"/>
        <item x="119"/>
        <item x="10"/>
        <item x="180"/>
        <item x="100"/>
        <item x="71"/>
        <item x="118"/>
        <item x="47"/>
        <item x="207"/>
        <item x="85"/>
        <item x="219"/>
        <item x="262"/>
        <item x="204"/>
        <item x="193"/>
        <item x="5"/>
        <item x="24"/>
        <item x="115"/>
        <item x="4"/>
        <item x="183"/>
        <item x="176"/>
        <item x="26"/>
        <item x="9"/>
        <item x="86"/>
        <item x="7"/>
        <item x="48"/>
        <item x="39"/>
        <item x="147"/>
        <item x="31"/>
        <item x="34"/>
        <item x="83"/>
        <item x="76"/>
        <item x="58"/>
        <item x="37"/>
        <item x="201"/>
        <item x="107"/>
        <item x="206"/>
        <item x="181"/>
        <item x="56"/>
        <item x="121"/>
        <item x="101"/>
        <item x="116"/>
        <item x="194"/>
        <item x="244"/>
        <item x="237"/>
        <item x="191"/>
        <item x="6"/>
        <item x="153"/>
        <item x="293"/>
        <item x="11"/>
        <item x="66"/>
        <item x="208"/>
        <item x="17"/>
        <item x="268"/>
        <item x="28"/>
        <item x="142"/>
        <item x="300"/>
        <item x="41"/>
        <item x="80"/>
        <item x="105"/>
        <item x="43"/>
        <item x="63"/>
        <item x="3"/>
        <item x="110"/>
        <item x="198"/>
        <item x="55"/>
        <item x="296"/>
        <item x="265"/>
        <item x="143"/>
        <item x="285"/>
        <item x="65"/>
        <item x="108"/>
        <item x="184"/>
        <item x="299"/>
        <item x="68"/>
        <item x="45"/>
        <item x="297"/>
        <item x="253"/>
        <item x="246"/>
        <item x="14"/>
        <item x="125"/>
        <item x="275"/>
        <item x="281"/>
        <item x="168"/>
        <item x="12"/>
        <item x="15"/>
        <item x="290"/>
        <item x="89"/>
        <item x="298"/>
        <item x="195"/>
        <item x="20"/>
        <item x="22"/>
        <item x="257"/>
        <item x="288"/>
        <item x="228"/>
        <item x="158"/>
        <item x="215"/>
        <item x="155"/>
        <item x="216"/>
        <item x="0"/>
        <item x="1"/>
        <item x="188"/>
        <item x="196"/>
        <item x="57"/>
        <item x="173"/>
        <item x="82"/>
        <item x="127"/>
        <item x="169"/>
        <item x="271"/>
        <item x="149"/>
        <item x="229"/>
        <item x="36"/>
        <item x="261"/>
        <item x="258"/>
        <item x="157"/>
        <item x="81"/>
        <item x="295"/>
        <item x="197"/>
        <item x="170"/>
        <item x="241"/>
        <item x="292"/>
        <item x="256"/>
        <item x="276"/>
        <item x="98"/>
        <item x="224"/>
        <item x="67"/>
        <item x="248"/>
        <item x="33"/>
        <item x="232"/>
        <item x="280"/>
        <item x="227"/>
        <item x="217"/>
        <item x="192"/>
        <item x="282"/>
        <item x="93"/>
        <item x="102"/>
        <item x="210"/>
        <item x="286"/>
        <item x="177"/>
        <item x="218"/>
        <item x="190"/>
        <item x="124"/>
        <item x="114"/>
        <item x="79"/>
        <item x="264"/>
        <item x="120"/>
        <item x="159"/>
        <item x="96"/>
        <item x="137"/>
        <item x="78"/>
        <item x="19"/>
        <item x="90"/>
        <item x="200"/>
        <item x="30"/>
        <item x="294"/>
        <item x="186"/>
        <item x="255"/>
        <item x="145"/>
        <item x="162"/>
        <item x="97"/>
        <item x="214"/>
        <item x="179"/>
        <item x="220"/>
        <item x="164"/>
        <item x="99"/>
        <item x="225"/>
        <item x="156"/>
        <item x="301"/>
        <item x="64"/>
        <item x="154"/>
        <item x="87"/>
        <item x="103"/>
        <item x="50"/>
        <item x="27"/>
        <item x="75"/>
        <item x="72"/>
        <item x="16"/>
        <item x="46"/>
        <item x="185"/>
        <item x="40"/>
        <item x="161"/>
        <item x="182"/>
        <item x="136"/>
        <item x="32"/>
        <item x="117"/>
        <item x="69"/>
        <item x="13"/>
        <item x="95"/>
        <item x="141"/>
        <item x="106"/>
        <item x="52"/>
        <item x="104"/>
        <item x="135"/>
        <item x="130"/>
        <item x="74"/>
        <item x="51"/>
        <item x="223"/>
        <item x="88"/>
        <item x="38"/>
        <item x="221"/>
        <item x="273"/>
        <item x="54"/>
        <item x="178"/>
        <item x="61"/>
        <item x="243"/>
        <item x="287"/>
        <item x="18"/>
        <item x="126"/>
        <item x="222"/>
        <item x="202"/>
        <item x="240"/>
        <item x="113"/>
        <item x="133"/>
        <item x="166"/>
        <item x="260"/>
        <item x="8"/>
        <item x="235"/>
        <item x="254"/>
        <item x="129"/>
        <item x="213"/>
        <item x="205"/>
        <item x="174"/>
        <item x="92"/>
        <item x="277"/>
        <item x="203"/>
        <item x="189"/>
        <item x="29"/>
        <item x="199"/>
        <item x="233"/>
        <item x="259"/>
        <item x="139"/>
        <item x="138"/>
        <item x="209"/>
        <item x="128"/>
        <item x="230"/>
        <item x="152"/>
        <item x="242"/>
        <item x="94"/>
        <item x="279"/>
        <item x="91"/>
        <item x="278"/>
        <item x="70"/>
        <item x="165"/>
        <item x="175"/>
        <item x="251"/>
        <item x="150"/>
        <item x="77"/>
        <item x="270"/>
        <item x="160"/>
        <item x="252"/>
        <item x="274"/>
        <item x="250"/>
        <item x="132"/>
        <item x="226"/>
        <item x="249"/>
        <item x="272"/>
        <item x="266"/>
        <item x="269"/>
        <item x="236"/>
        <item x="112"/>
        <item x="284"/>
        <item x="148"/>
        <item x="263"/>
        <item x="122"/>
        <item x="73"/>
        <item x="131"/>
        <item x="289"/>
        <item x="247"/>
        <item x="187"/>
        <item x="291"/>
        <item x="44"/>
        <item x="146"/>
        <item x="283"/>
        <item x="231"/>
        <item x="239"/>
        <item x="134"/>
        <item x="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kills" fld="7" baseField="4" baseItem="0"/>
    <dataField name="Suma de total_deaths" fld="8" baseField="4" baseItem="0"/>
  </dataFields>
  <formats count="1">
    <format dxfId="48">
      <pivotArea outline="0" collapsedLevelsAreSubtotals="1" fieldPosition="0"/>
    </format>
  </formats>
  <conditionalFormats count="2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</reference>
          </references>
        </pivotArea>
      </pivotAreas>
    </conditionalFormat>
  </conditionalFormats>
  <chartFormats count="2"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A838F-EA18-4327-9313-F23FC20D503B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Country">
  <location ref="P18:Q20" firstHeaderRow="1" firstDataRow="1" firstDataCol="1"/>
  <pivotFields count="42">
    <pivotField showAll="0"/>
    <pivotField showAll="0"/>
    <pivotField showAll="0"/>
    <pivotField showAll="0">
      <items count="21">
        <item x="17"/>
        <item x="18"/>
        <item x="12"/>
        <item x="11"/>
        <item x="10"/>
        <item x="9"/>
        <item x="4"/>
        <item x="2"/>
        <item x="3"/>
        <item x="13"/>
        <item x="6"/>
        <item x="8"/>
        <item x="1"/>
        <item x="5"/>
        <item x="14"/>
        <item x="0"/>
        <item x="7"/>
        <item x="16"/>
        <item x="15"/>
        <item x="19"/>
        <item t="default"/>
      </items>
    </pivotField>
    <pivotField axis="axisRow" dataField="1" showAll="0" sortType="descending">
      <items count="54">
        <item x="32"/>
        <item h="1" x="16"/>
        <item h="1" x="18"/>
        <item h="1" x="23"/>
        <item h="1" x="45"/>
        <item h="1" x="6"/>
        <item h="1" x="9"/>
        <item h="1" x="5"/>
        <item h="1" x="35"/>
        <item h="1" x="22"/>
        <item h="1" x="2"/>
        <item h="1" x="41"/>
        <item h="1" x="4"/>
        <item h="1" x="26"/>
        <item h="1" x="14"/>
        <item h="1" x="52"/>
        <item h="1" x="44"/>
        <item h="1" x="7"/>
        <item h="1" x="27"/>
        <item h="1" x="24"/>
        <item h="1" x="50"/>
        <item h="1" x="10"/>
        <item h="1" x="25"/>
        <item h="1" x="48"/>
        <item h="1" x="36"/>
        <item h="1" x="38"/>
        <item h="1" x="21"/>
        <item h="1" x="49"/>
        <item h="1" x="34"/>
        <item h="1" x="46"/>
        <item h="1" x="13"/>
        <item h="1" x="30"/>
        <item h="1" x="42"/>
        <item h="1" x="28"/>
        <item h="1" x="3"/>
        <item h="1" x="31"/>
        <item h="1" x="40"/>
        <item h="1" x="1"/>
        <item h="1" x="19"/>
        <item h="1" x="37"/>
        <item h="1" x="17"/>
        <item h="1" x="33"/>
        <item h="1" x="11"/>
        <item h="1" x="15"/>
        <item h="1" x="39"/>
        <item h="1" x="47"/>
        <item h="1" x="12"/>
        <item h="1" x="20"/>
        <item h="1" x="29"/>
        <item h="1" x="8"/>
        <item h="1" x="0"/>
        <item h="1" x="43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</pivotFields>
  <rowFields count="1">
    <field x="4"/>
  </rowFields>
  <rowItems count="2">
    <i>
      <x/>
    </i>
    <i t="grand">
      <x/>
    </i>
  </rowItems>
  <colItems count="1">
    <i/>
  </colItems>
  <dataFields count="1">
    <dataField name="Cantidad de Jugadores 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AC86B-0DDD-48B0-BBFF-7F0ABE4A249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ountry">
  <location ref="A20:C22" firstHeaderRow="0" firstDataRow="1" firstDataCol="1"/>
  <pivotFields count="42">
    <pivotField showAll="0"/>
    <pivotField showAll="0"/>
    <pivotField showAll="0"/>
    <pivotField showAll="0">
      <items count="21">
        <item x="17"/>
        <item x="18"/>
        <item x="12"/>
        <item x="11"/>
        <item x="10"/>
        <item x="9"/>
        <item x="4"/>
        <item x="2"/>
        <item x="3"/>
        <item x="13"/>
        <item x="6"/>
        <item x="8"/>
        <item x="1"/>
        <item x="5"/>
        <item x="14"/>
        <item x="0"/>
        <item x="7"/>
        <item x="16"/>
        <item x="15"/>
        <item x="19"/>
        <item t="default"/>
      </items>
    </pivotField>
    <pivotField axis="axisRow" showAll="0" sortType="descending">
      <items count="54">
        <item x="32"/>
        <item h="1" x="16"/>
        <item h="1" x="18"/>
        <item h="1" x="23"/>
        <item h="1" x="45"/>
        <item h="1" x="6"/>
        <item h="1" x="9"/>
        <item h="1" x="5"/>
        <item h="1" x="35"/>
        <item h="1" x="22"/>
        <item h="1" x="2"/>
        <item h="1" x="41"/>
        <item h="1" x="4"/>
        <item h="1" x="26"/>
        <item h="1" x="14"/>
        <item h="1" x="52"/>
        <item h="1" x="44"/>
        <item h="1" x="7"/>
        <item h="1" x="27"/>
        <item h="1" x="24"/>
        <item h="1" x="50"/>
        <item h="1" x="10"/>
        <item h="1" x="25"/>
        <item h="1" x="48"/>
        <item h="1" x="36"/>
        <item h="1" x="38"/>
        <item h="1" x="21"/>
        <item h="1" x="49"/>
        <item h="1" x="34"/>
        <item h="1" x="46"/>
        <item h="1" x="13"/>
        <item h="1" x="30"/>
        <item h="1" x="42"/>
        <item h="1" x="28"/>
        <item h="1" x="3"/>
        <item h="1" x="31"/>
        <item h="1" x="40"/>
        <item h="1" x="1"/>
        <item h="1" x="19"/>
        <item h="1" x="37"/>
        <item h="1" x="17"/>
        <item h="1" x="33"/>
        <item h="1" x="11"/>
        <item h="1" x="15"/>
        <item h="1" x="39"/>
        <item h="1" x="47"/>
        <item h="1" x="12"/>
        <item h="1" x="20"/>
        <item h="1" x="29"/>
        <item h="1" x="8"/>
        <item h="1" x="0"/>
        <item h="1" x="43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3"/>
        <item x="2"/>
        <item x="1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PI" fld="40" baseField="0" baseItem="0"/>
    <dataField name="Suma de KPI2" fld="40" baseField="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21E51-CFE0-4B53-8414-AD9C900A553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E7" firstHeaderRow="0" firstDataRow="1" firstDataCol="1"/>
  <pivotFields count="42">
    <pivotField showAll="0"/>
    <pivotField showAll="0"/>
    <pivotField showAll="0"/>
    <pivotField showAll="0">
      <items count="21">
        <item x="17"/>
        <item x="18"/>
        <item x="12"/>
        <item x="11"/>
        <item x="10"/>
        <item x="9"/>
        <item x="4"/>
        <item x="2"/>
        <item x="3"/>
        <item x="13"/>
        <item x="6"/>
        <item x="8"/>
        <item x="1"/>
        <item x="5"/>
        <item x="14"/>
        <item x="0"/>
        <item x="7"/>
        <item x="16"/>
        <item x="15"/>
        <item x="19"/>
        <item t="default"/>
      </items>
    </pivotField>
    <pivotField showAll="0">
      <items count="54">
        <item x="32"/>
        <item h="1" x="16"/>
        <item h="1" x="18"/>
        <item h="1" x="23"/>
        <item h="1" x="45"/>
        <item h="1" x="6"/>
        <item h="1" x="9"/>
        <item h="1" x="5"/>
        <item h="1" x="35"/>
        <item h="1" x="22"/>
        <item h="1" x="2"/>
        <item h="1" x="41"/>
        <item h="1" x="4"/>
        <item h="1" x="26"/>
        <item h="1" x="14"/>
        <item h="1" x="52"/>
        <item h="1" x="44"/>
        <item h="1" x="7"/>
        <item h="1" x="27"/>
        <item h="1" x="24"/>
        <item h="1" x="50"/>
        <item h="1" x="10"/>
        <item h="1" x="25"/>
        <item h="1" x="48"/>
        <item h="1" x="36"/>
        <item h="1" x="38"/>
        <item h="1" x="21"/>
        <item h="1" x="49"/>
        <item h="1" x="34"/>
        <item h="1" x="46"/>
        <item h="1" x="13"/>
        <item h="1" x="30"/>
        <item h="1" x="42"/>
        <item h="1" x="28"/>
        <item h="1" x="3"/>
        <item h="1" x="31"/>
        <item h="1" x="40"/>
        <item h="1" x="1"/>
        <item h="1" x="19"/>
        <item h="1" x="37"/>
        <item h="1" x="17"/>
        <item h="1" x="33"/>
        <item h="1" x="11"/>
        <item h="1" x="15"/>
        <item h="1" x="39"/>
        <item h="1" x="47"/>
        <item h="1" x="12"/>
        <item h="1" x="20"/>
        <item h="1" x="29"/>
        <item h="1" x="8"/>
        <item h="1" x="0"/>
        <item h="1" x="43"/>
        <item h="1"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4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KPI" fld="40" baseField="0" baseItem="0"/>
    <dataField name="Máx. de KPI2" fld="40" subtotal="max" baseField="41" baseItem="0"/>
    <dataField name="Promedio de KPI2" fld="40" subtotal="average" baseField="41" baseItem="0"/>
    <dataField name="Mín. de KPI2" fld="40" subtotal="min" baseField="0" baseItem="0"/>
  </dataFields>
  <formats count="1">
    <format dxfId="43">
      <pivotArea outline="0" collapsedLevelsAreSubtotals="1" fieldPosition="0"/>
    </format>
  </formats>
  <conditionalFormats count="1">
    <conditionalFormat priority="9">
      <pivotAreas count="1">
        <pivotArea type="data" collapsedLevelsAreSubtotals="1" fieldPosition="0">
          <references count="1">
            <reference field="41" count="4">
              <x v="0"/>
              <x v="1"/>
              <x v="2"/>
              <x v="3"/>
            </reference>
          </references>
        </pivotArea>
      </pivotAreas>
    </conditionalFormat>
  </conditionalFormats>
  <chartFormats count="20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41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41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41" count="1" selected="0">
            <x v="2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41" count="1" selected="0">
            <x v="3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1"/>
          </reference>
          <reference field="41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1"/>
          </reference>
          <reference field="41" count="1" selected="0">
            <x v="1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1"/>
          </reference>
          <reference field="41" count="1" selected="0">
            <x v="2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1"/>
          </reference>
          <reference field="41" count="1" selected="0">
            <x v="3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2"/>
          </reference>
          <reference field="41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2"/>
          </reference>
          <reference field="41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2"/>
          </reference>
          <reference field="41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2"/>
          </reference>
          <reference field="41" count="1" selected="0">
            <x v="3"/>
          </reference>
        </references>
      </pivotArea>
    </chartFormat>
    <chartFormat chart="13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3"/>
          </reference>
          <reference field="41" count="1" selected="0">
            <x v="0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3"/>
          </reference>
          <reference field="41" count="1" selected="0">
            <x v="1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3"/>
          </reference>
          <reference field="41" count="1" selected="0">
            <x v="2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3"/>
          </reference>
          <reference field="4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" xr10:uid="{00000000-0013-0000-FFFF-FFFF01000000}" sourceName="age">
  <pivotTables>
    <pivotTable tabId="10" name="TablaDinámica3"/>
    <pivotTable tabId="14" name="TablaDinámica1"/>
    <pivotTable tabId="14" name="TablaDinámica8"/>
  </pivotTables>
  <data>
    <tabular pivotCacheId="1">
      <items count="20">
        <i x="7" s="1"/>
        <i x="0" s="1"/>
        <i x="4" s="1"/>
        <i x="6" s="1"/>
        <i x="8" s="1"/>
        <i x="5" s="1"/>
        <i x="2" s="1"/>
        <i x="3" s="1"/>
        <i x="14" s="1"/>
        <i x="9" s="1"/>
        <i x="15" s="1"/>
        <i x="10" s="1"/>
        <i x="17" s="1" nd="1"/>
        <i x="13" s="1" nd="1"/>
        <i x="16" s="1" nd="1"/>
        <i x="1" s="1" nd="1"/>
        <i x="11" s="1" nd="1"/>
        <i x="12" s="1" nd="1"/>
        <i x="18" s="1" nd="1"/>
        <i x="1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00000000-0013-0000-FFFF-FFFF02000000}" sourceName="country">
  <pivotTables>
    <pivotTable tabId="10" name="TablaDinámica3"/>
    <pivotTable tabId="14" name="TablaDinámica1"/>
    <pivotTable tabId="14" name="TablaDinámica8"/>
  </pivotTables>
  <data>
    <tabular pivotCacheId="1">
      <items count="53">
        <i x="38"/>
        <i x="15"/>
        <i x="33"/>
        <i x="35"/>
        <i x="11"/>
        <i x="3"/>
        <i x="25"/>
        <i x="27"/>
        <i x="10" s="1"/>
        <i x="18"/>
        <i x="9"/>
        <i x="22"/>
        <i x="23"/>
        <i x="0"/>
        <i x="32"/>
        <i x="44"/>
        <i x="19"/>
        <i x="8"/>
        <i x="12"/>
        <i x="31"/>
        <i x="45"/>
        <i x="42"/>
        <i x="13"/>
        <i x="46"/>
        <i x="39"/>
        <i x="36"/>
        <i x="4"/>
        <i x="47"/>
        <i x="21"/>
        <i x="49"/>
        <i x="41"/>
        <i x="6"/>
        <i x="50"/>
        <i x="40"/>
        <i x="17"/>
        <i x="48"/>
        <i x="16"/>
        <i x="2"/>
        <i x="37"/>
        <i x="14"/>
        <i x="20"/>
        <i x="34"/>
        <i x="30"/>
        <i x="29"/>
        <i x="43"/>
        <i x="51"/>
        <i x="26"/>
        <i x="7"/>
        <i x="1"/>
        <i x="5"/>
        <i x="24"/>
        <i x="28"/>
        <i x="5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eadshot_percentage" xr10:uid="{00000000-0013-0000-FFFF-FFFF03000000}" sourceName="headshot_percentage">
  <pivotTables>
    <pivotTable tabId="10" name="TablaDinámica3"/>
    <pivotTable tabId="14" name="TablaDinámica1"/>
    <pivotTable tabId="14" name="TablaDinámica8"/>
  </pivotTables>
  <data>
    <tabular pivotCacheId="1">
      <items count="302">
        <i x="55" s="1"/>
        <i x="12" s="1"/>
        <i x="195" s="1"/>
        <i x="20" s="1"/>
        <i x="22" s="1"/>
        <i x="173" s="1"/>
        <i x="127" s="1"/>
        <i x="271" s="1"/>
        <i x="217" s="1"/>
        <i x="124" s="1"/>
        <i x="79" s="1"/>
        <i x="96" s="1"/>
        <i x="214" s="1"/>
        <i x="154" s="1"/>
        <i x="103" s="1"/>
        <i x="16" s="1"/>
        <i x="182" s="1"/>
        <i x="69" s="1"/>
        <i x="141" s="1"/>
        <i x="135" s="1"/>
        <i x="178" s="1"/>
        <i x="18" s="1"/>
        <i x="205" s="1"/>
        <i x="279" s="1"/>
        <i x="150" s="1"/>
        <i x="148" s="1"/>
        <i x="73" s="1"/>
        <i x="212" s="1" nd="1"/>
        <i x="140" s="1" nd="1"/>
        <i x="42" s="1" nd="1"/>
        <i x="211" s="1" nd="1"/>
        <i x="21" s="1" nd="1"/>
        <i x="171" s="1" nd="1"/>
        <i x="109" s="1" nd="1"/>
        <i x="172" s="1" nd="1"/>
        <i x="238" s="1" nd="1"/>
        <i x="245" s="1" nd="1"/>
        <i x="49" s="1" nd="1"/>
        <i x="111" s="1" nd="1"/>
        <i x="25" s="1" nd="1"/>
        <i x="60" s="1" nd="1"/>
        <i x="151" s="1" nd="1"/>
        <i x="163" s="1" nd="1"/>
        <i x="167" s="1" nd="1"/>
        <i x="35" s="1" nd="1"/>
        <i x="2" s="1" nd="1"/>
        <i x="53" s="1" nd="1"/>
        <i x="123" s="1" nd="1"/>
        <i x="234" s="1" nd="1"/>
        <i x="23" s="1" nd="1"/>
        <i x="59" s="1" nd="1"/>
        <i x="267" s="1" nd="1"/>
        <i x="62" s="1" nd="1"/>
        <i x="144" s="1" nd="1"/>
        <i x="119" s="1" nd="1"/>
        <i x="10" s="1" nd="1"/>
        <i x="180" s="1" nd="1"/>
        <i x="100" s="1" nd="1"/>
        <i x="71" s="1" nd="1"/>
        <i x="118" s="1" nd="1"/>
        <i x="47" s="1" nd="1"/>
        <i x="207" s="1" nd="1"/>
        <i x="85" s="1" nd="1"/>
        <i x="219" s="1" nd="1"/>
        <i x="262" s="1" nd="1"/>
        <i x="204" s="1" nd="1"/>
        <i x="193" s="1" nd="1"/>
        <i x="5" s="1" nd="1"/>
        <i x="24" s="1" nd="1"/>
        <i x="115" s="1" nd="1"/>
        <i x="4" s="1" nd="1"/>
        <i x="183" s="1" nd="1"/>
        <i x="176" s="1" nd="1"/>
        <i x="26" s="1" nd="1"/>
        <i x="9" s="1" nd="1"/>
        <i x="86" s="1" nd="1"/>
        <i x="7" s="1" nd="1"/>
        <i x="48" s="1" nd="1"/>
        <i x="39" s="1" nd="1"/>
        <i x="147" s="1" nd="1"/>
        <i x="31" s="1" nd="1"/>
        <i x="34" s="1" nd="1"/>
        <i x="83" s="1" nd="1"/>
        <i x="76" s="1" nd="1"/>
        <i x="58" s="1" nd="1"/>
        <i x="37" s="1" nd="1"/>
        <i x="201" s="1" nd="1"/>
        <i x="107" s="1" nd="1"/>
        <i x="206" s="1" nd="1"/>
        <i x="181" s="1" nd="1"/>
        <i x="56" s="1" nd="1"/>
        <i x="121" s="1" nd="1"/>
        <i x="101" s="1" nd="1"/>
        <i x="116" s="1" nd="1"/>
        <i x="194" s="1" nd="1"/>
        <i x="244" s="1" nd="1"/>
        <i x="237" s="1" nd="1"/>
        <i x="191" s="1" nd="1"/>
        <i x="6" s="1" nd="1"/>
        <i x="153" s="1" nd="1"/>
        <i x="293" s="1" nd="1"/>
        <i x="11" s="1" nd="1"/>
        <i x="66" s="1" nd="1"/>
        <i x="208" s="1" nd="1"/>
        <i x="17" s="1" nd="1"/>
        <i x="268" s="1" nd="1"/>
        <i x="28" s="1" nd="1"/>
        <i x="142" s="1" nd="1"/>
        <i x="300" s="1" nd="1"/>
        <i x="41" s="1" nd="1"/>
        <i x="80" s="1" nd="1"/>
        <i x="105" s="1" nd="1"/>
        <i x="43" s="1" nd="1"/>
        <i x="63" s="1" nd="1"/>
        <i x="3" s="1" nd="1"/>
        <i x="110" s="1" nd="1"/>
        <i x="198" s="1" nd="1"/>
        <i x="296" s="1" nd="1"/>
        <i x="265" s="1" nd="1"/>
        <i x="143" s="1" nd="1"/>
        <i x="285" s="1" nd="1"/>
        <i x="65" s="1" nd="1"/>
        <i x="108" s="1" nd="1"/>
        <i x="184" s="1" nd="1"/>
        <i x="299" s="1" nd="1"/>
        <i x="68" s="1" nd="1"/>
        <i x="45" s="1" nd="1"/>
        <i x="297" s="1" nd="1"/>
        <i x="253" s="1" nd="1"/>
        <i x="246" s="1" nd="1"/>
        <i x="14" s="1" nd="1"/>
        <i x="125" s="1" nd="1"/>
        <i x="275" s="1" nd="1"/>
        <i x="281" s="1" nd="1"/>
        <i x="168" s="1" nd="1"/>
        <i x="15" s="1" nd="1"/>
        <i x="290" s="1" nd="1"/>
        <i x="89" s="1" nd="1"/>
        <i x="298" s="1" nd="1"/>
        <i x="257" s="1" nd="1"/>
        <i x="288" s="1" nd="1"/>
        <i x="228" s="1" nd="1"/>
        <i x="158" s="1" nd="1"/>
        <i x="215" s="1" nd="1"/>
        <i x="155" s="1" nd="1"/>
        <i x="216" s="1" nd="1"/>
        <i x="0" s="1" nd="1"/>
        <i x="1" s="1" nd="1"/>
        <i x="188" s="1" nd="1"/>
        <i x="196" s="1" nd="1"/>
        <i x="57" s="1" nd="1"/>
        <i x="82" s="1" nd="1"/>
        <i x="169" s="1" nd="1"/>
        <i x="149" s="1" nd="1"/>
        <i x="229" s="1" nd="1"/>
        <i x="36" s="1" nd="1"/>
        <i x="261" s="1" nd="1"/>
        <i x="258" s="1" nd="1"/>
        <i x="157" s="1" nd="1"/>
        <i x="81" s="1" nd="1"/>
        <i x="295" s="1" nd="1"/>
        <i x="197" s="1" nd="1"/>
        <i x="170" s="1" nd="1"/>
        <i x="241" s="1" nd="1"/>
        <i x="292" s="1" nd="1"/>
        <i x="256" s="1" nd="1"/>
        <i x="276" s="1" nd="1"/>
        <i x="98" s="1" nd="1"/>
        <i x="224" s="1" nd="1"/>
        <i x="67" s="1" nd="1"/>
        <i x="248" s="1" nd="1"/>
        <i x="33" s="1" nd="1"/>
        <i x="232" s="1" nd="1"/>
        <i x="280" s="1" nd="1"/>
        <i x="227" s="1" nd="1"/>
        <i x="192" s="1" nd="1"/>
        <i x="282" s="1" nd="1"/>
        <i x="93" s="1" nd="1"/>
        <i x="102" s="1" nd="1"/>
        <i x="210" s="1" nd="1"/>
        <i x="286" s="1" nd="1"/>
        <i x="177" s="1" nd="1"/>
        <i x="218" s="1" nd="1"/>
        <i x="190" s="1" nd="1"/>
        <i x="114" s="1" nd="1"/>
        <i x="264" s="1" nd="1"/>
        <i x="120" s="1" nd="1"/>
        <i x="159" s="1" nd="1"/>
        <i x="137" s="1" nd="1"/>
        <i x="78" s="1" nd="1"/>
        <i x="19" s="1" nd="1"/>
        <i x="90" s="1" nd="1"/>
        <i x="200" s="1" nd="1"/>
        <i x="30" s="1" nd="1"/>
        <i x="294" s="1" nd="1"/>
        <i x="186" s="1" nd="1"/>
        <i x="255" s="1" nd="1"/>
        <i x="145" s="1" nd="1"/>
        <i x="162" s="1" nd="1"/>
        <i x="97" s="1" nd="1"/>
        <i x="179" s="1" nd="1"/>
        <i x="220" s="1" nd="1"/>
        <i x="164" s="1" nd="1"/>
        <i x="99" s="1" nd="1"/>
        <i x="225" s="1" nd="1"/>
        <i x="156" s="1" nd="1"/>
        <i x="301" s="1" nd="1"/>
        <i x="64" s="1" nd="1"/>
        <i x="87" s="1" nd="1"/>
        <i x="50" s="1" nd="1"/>
        <i x="27" s="1" nd="1"/>
        <i x="75" s="1" nd="1"/>
        <i x="72" s="1" nd="1"/>
        <i x="46" s="1" nd="1"/>
        <i x="185" s="1" nd="1"/>
        <i x="40" s="1" nd="1"/>
        <i x="161" s="1" nd="1"/>
        <i x="136" s="1" nd="1"/>
        <i x="32" s="1" nd="1"/>
        <i x="117" s="1" nd="1"/>
        <i x="13" s="1" nd="1"/>
        <i x="95" s="1" nd="1"/>
        <i x="106" s="1" nd="1"/>
        <i x="52" s="1" nd="1"/>
        <i x="104" s="1" nd="1"/>
        <i x="130" s="1" nd="1"/>
        <i x="74" s="1" nd="1"/>
        <i x="51" s="1" nd="1"/>
        <i x="223" s="1" nd="1"/>
        <i x="88" s="1" nd="1"/>
        <i x="38" s="1" nd="1"/>
        <i x="221" s="1" nd="1"/>
        <i x="273" s="1" nd="1"/>
        <i x="54" s="1" nd="1"/>
        <i x="61" s="1" nd="1"/>
        <i x="243" s="1" nd="1"/>
        <i x="287" s="1" nd="1"/>
        <i x="126" s="1" nd="1"/>
        <i x="222" s="1" nd="1"/>
        <i x="202" s="1" nd="1"/>
        <i x="240" s="1" nd="1"/>
        <i x="113" s="1" nd="1"/>
        <i x="133" s="1" nd="1"/>
        <i x="166" s="1" nd="1"/>
        <i x="260" s="1" nd="1"/>
        <i x="8" s="1" nd="1"/>
        <i x="235" s="1" nd="1"/>
        <i x="254" s="1" nd="1"/>
        <i x="129" s="1" nd="1"/>
        <i x="213" s="1" nd="1"/>
        <i x="174" s="1" nd="1"/>
        <i x="92" s="1" nd="1"/>
        <i x="277" s="1" nd="1"/>
        <i x="203" s="1" nd="1"/>
        <i x="189" s="1" nd="1"/>
        <i x="29" s="1" nd="1"/>
        <i x="199" s="1" nd="1"/>
        <i x="233" s="1" nd="1"/>
        <i x="259" s="1" nd="1"/>
        <i x="139" s="1" nd="1"/>
        <i x="138" s="1" nd="1"/>
        <i x="209" s="1" nd="1"/>
        <i x="128" s="1" nd="1"/>
        <i x="230" s="1" nd="1"/>
        <i x="152" s="1" nd="1"/>
        <i x="242" s="1" nd="1"/>
        <i x="94" s="1" nd="1"/>
        <i x="91" s="1" nd="1"/>
        <i x="278" s="1" nd="1"/>
        <i x="70" s="1" nd="1"/>
        <i x="165" s="1" nd="1"/>
        <i x="175" s="1" nd="1"/>
        <i x="251" s="1" nd="1"/>
        <i x="77" s="1" nd="1"/>
        <i x="270" s="1" nd="1"/>
        <i x="160" s="1" nd="1"/>
        <i x="252" s="1" nd="1"/>
        <i x="274" s="1" nd="1"/>
        <i x="250" s="1" nd="1"/>
        <i x="132" s="1" nd="1"/>
        <i x="226" s="1" nd="1"/>
        <i x="249" s="1" nd="1"/>
        <i x="272" s="1" nd="1"/>
        <i x="266" s="1" nd="1"/>
        <i x="269" s="1" nd="1"/>
        <i x="236" s="1" nd="1"/>
        <i x="112" s="1" nd="1"/>
        <i x="284" s="1" nd="1"/>
        <i x="263" s="1" nd="1"/>
        <i x="122" s="1" nd="1"/>
        <i x="131" s="1" nd="1"/>
        <i x="289" s="1" nd="1"/>
        <i x="247" s="1" nd="1"/>
        <i x="187" s="1" nd="1"/>
        <i x="291" s="1" nd="1"/>
        <i x="44" s="1" nd="1"/>
        <i x="146" s="1" nd="1"/>
        <i x="283" s="1" nd="1"/>
        <i x="231" s="1" nd="1"/>
        <i x="239" s="1" nd="1"/>
        <i x="134" s="1" nd="1"/>
        <i x="84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1" xr10:uid="{5AE7EB06-6BD0-4EC0-8921-63A435D98B8A}" sourceName="country">
  <pivotTables>
    <pivotTable tabId="16" name="TablaDinámica3"/>
    <pivotTable tabId="16" name="TablaDinámica4"/>
    <pivotTable tabId="16" name="TablaDinámica5"/>
  </pivotTables>
  <data>
    <tabular pivotCacheId="350906805">
      <items count="53">
        <i x="32" s="1"/>
        <i x="16"/>
        <i x="18"/>
        <i x="23"/>
        <i x="45"/>
        <i x="6"/>
        <i x="9"/>
        <i x="5"/>
        <i x="35"/>
        <i x="22"/>
        <i x="2"/>
        <i x="41"/>
        <i x="4"/>
        <i x="26"/>
        <i x="14"/>
        <i x="52"/>
        <i x="44"/>
        <i x="7"/>
        <i x="27"/>
        <i x="24"/>
        <i x="50"/>
        <i x="10"/>
        <i x="25"/>
        <i x="48"/>
        <i x="36"/>
        <i x="38"/>
        <i x="21"/>
        <i x="49"/>
        <i x="34"/>
        <i x="46"/>
        <i x="13"/>
        <i x="30"/>
        <i x="42"/>
        <i x="28"/>
        <i x="3"/>
        <i x="31"/>
        <i x="40"/>
        <i x="1"/>
        <i x="19"/>
        <i x="37"/>
        <i x="17"/>
        <i x="33"/>
        <i x="11"/>
        <i x="15"/>
        <i x="39"/>
        <i x="47"/>
        <i x="12"/>
        <i x="20"/>
        <i x="29"/>
        <i x="8"/>
        <i x="0"/>
        <i x="43"/>
        <i x="5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1" xr10:uid="{4216AC86-814A-413E-B4F8-C73943972AC2}" sourceName="age">
  <pivotTables>
    <pivotTable tabId="16" name="TablaDinámica4"/>
    <pivotTable tabId="16" name="TablaDinámica5"/>
    <pivotTable tabId="16" name="TablaDinámica3"/>
  </pivotTables>
  <data>
    <tabular pivotCacheId="350906805">
      <items count="20">
        <i x="12" s="1"/>
        <i x="3" s="1"/>
        <i x="13" s="1"/>
        <i x="1" s="1"/>
        <i x="5" s="1"/>
        <i x="17" s="1" nd="1"/>
        <i x="18" s="1" nd="1"/>
        <i x="11" s="1" nd="1"/>
        <i x="10" s="1" nd="1"/>
        <i x="9" s="1" nd="1"/>
        <i x="4" s="1" nd="1"/>
        <i x="2" s="1" nd="1"/>
        <i x="6" s="1" nd="1"/>
        <i x="8" s="1" nd="1"/>
        <i x="14" s="1" nd="1"/>
        <i x="0" s="1" nd="1"/>
        <i x="7" s="1" nd="1"/>
        <i x="16" s="1" nd="1"/>
        <i x="15" s="1" nd="1"/>
        <i x="1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" xr10:uid="{00000000-0014-0000-FFFF-FFFF01000000}" cache="SegmentaciónDeDatos_age" caption="Age" style="SlicerStyleDark2" rowHeight="241300"/>
  <slicer name="country" xr10:uid="{00000000-0014-0000-FFFF-FFFF02000000}" cache="SegmentaciónDeDatos_country" caption="Country" style="SlicerStyleDark2" rowHeight="241300"/>
  <slicer name="headshot_percentage" xr10:uid="{00000000-0014-0000-FFFF-FFFF03000000}" cache="SegmentaciónDeDatos_headshot_percentage" caption="Headshot_percentage" startItem="39" style="SlicerStyleDark2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2" xr10:uid="{83DBBD47-66B2-40C2-83F1-C9A79AFD0543}" cache="SegmentaciónDeDatos_country1" caption="country" rowHeight="234950"/>
  <slicer name="age 2" xr10:uid="{0A575C7F-EBF1-473E-8EC1-D5A231E21AAD}" cache="SegmentaciónDeDatos_age1" caption="age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FDF7DC08-9E69-4A0A-89B0-769ECADEBD9D}" cache="SegmentaciónDeDatos_country1" caption="country" rowHeight="234950"/>
  <slicer name="age 1" xr10:uid="{276CBC4D-11CB-4A9A-839E-3BAE49B79881}" cache="SegmentaciónDeDatos_age1" caption="ag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D26:E32" totalsRowShown="0" headerRowDxfId="42" dataDxfId="41">
  <autoFilter ref="D26:E32" xr:uid="{00000000-0009-0000-0100-000001000000}"/>
  <tableColumns count="2">
    <tableColumn id="1" xr3:uid="{00000000-0010-0000-0100-000001000000}" name="Tipo de arma" dataDxfId="40"/>
    <tableColumn id="2" xr3:uid="{00000000-0010-0000-0100-000002000000}" name="Promedio por jugador" dataDxfId="3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5:B58" totalsRowShown="0" tableBorderDxfId="38">
  <autoFilter ref="A5:B58" xr:uid="{00000000-0009-0000-0100-000003000000}"/>
  <sortState xmlns:xlrd2="http://schemas.microsoft.com/office/spreadsheetml/2017/richdata2" ref="A6:B58">
    <sortCondition ref="A5:A58"/>
  </sortState>
  <tableColumns count="2">
    <tableColumn id="1" xr3:uid="{00000000-0010-0000-0200-000001000000}" name="Pais" dataDxfId="37"/>
    <tableColumn id="2" xr3:uid="{00000000-0010-0000-0200-000002000000}" name="Cantidad">
      <calculatedColumnFormula>COUNTIF(Dataset_original!E2:E812,Preguntas!A6)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D36:E41" totalsRowShown="0" headerRowDxfId="36">
  <autoFilter ref="D36:E41" xr:uid="{00000000-0009-0000-0100-000004000000}"/>
  <tableColumns count="2">
    <tableColumn id="1" xr3:uid="{00000000-0010-0000-0300-000001000000}" name="Jugador" dataDxfId="35"/>
    <tableColumn id="2" xr3:uid="{00000000-0010-0000-0300-000002000000}" name="Kills totales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G7:H12" totalsRowShown="0" headerRowDxfId="33" dataDxfId="31" headerRowBorderDxfId="32" tableBorderDxfId="30" totalsRowBorderDxfId="29">
  <autoFilter ref="G7:H12" xr:uid="{00000000-0009-0000-0100-000005000000}"/>
  <tableColumns count="2">
    <tableColumn id="1" xr3:uid="{00000000-0010-0000-0400-000001000000}" name="Jugador" dataDxfId="28"/>
    <tableColumn id="2" xr3:uid="{00000000-0010-0000-0400-000002000000}" name="% Headshots" dataDxfId="27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G18:H23" totalsRowShown="0" headerRowDxfId="26" dataDxfId="24" headerRowBorderDxfId="25" tableBorderDxfId="23" totalsRowBorderDxfId="22">
  <autoFilter ref="G18:H23" xr:uid="{00000000-0009-0000-0100-000006000000}"/>
  <tableColumns count="2">
    <tableColumn id="1" xr3:uid="{00000000-0010-0000-0500-000001000000}" name="Jugador" dataDxfId="21"/>
    <tableColumn id="2" xr3:uid="{00000000-0010-0000-0500-000002000000}" name="Rating" dataDxfId="20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EDF21D-EC41-43B7-AE54-6443B4260B8F}" name="Tabla7" displayName="Tabla7" ref="G28:H31" totalsRowShown="0" headerRowDxfId="19" headerRowBorderDxfId="18" tableBorderDxfId="17" totalsRowBorderDxfId="16">
  <autoFilter ref="G28:H31" xr:uid="{8FEDF21D-EC41-43B7-AE54-6443B4260B8F}"/>
  <tableColumns count="2">
    <tableColumn id="1" xr3:uid="{2599EBAD-4644-4DC6-AB4A-2CC96B839AF4}" name="Columna1" dataDxfId="15"/>
    <tableColumn id="2" xr3:uid="{2AD4FB62-11F3-49CC-B25B-A6A0A4905AFE}" name="Columna2" dataDxfId="14"/>
  </tableColumns>
  <tableStyleInfo name="TableStyleDark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5C501A-A8EA-4C19-A98E-753618AA890D}" name="Tabla8" displayName="Tabla8" ref="D2:E23" totalsRowShown="0" headerRowDxfId="13" headerRowBorderDxfId="12" tableBorderDxfId="11">
  <autoFilter ref="D2:E23" xr:uid="{615C501A-A8EA-4C19-A98E-753618AA890D}"/>
  <tableColumns count="2">
    <tableColumn id="1" xr3:uid="{FECF9E12-6F76-43B3-B2A9-E2EC52F99466}" name="Edad" dataDxfId="10"/>
    <tableColumn id="2" xr3:uid="{3A14F912-7209-45C7-B279-5EC152E37480}" name="Cantidad de jugadores con esa edad" dataDxfId="9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D067E4-736D-436A-84FB-47386F45C582}" name="Tabla9" displayName="Tabla9" ref="J9:K200" totalsRowShown="0">
  <autoFilter ref="J9:K200" xr:uid="{79D067E4-736D-436A-84FB-47386F45C582}"/>
  <tableColumns count="2">
    <tableColumn id="1" xr3:uid="{B2B4D106-F15D-4BA6-89C4-04597E848D3E}" name="Equipo"/>
    <tableColumn id="2" xr3:uid="{151BDE99-789F-4C38-B16C-4CA740EB0A98}" name="Cantidad de jugadores">
      <calculatedColumnFormula>COUNTIF(Tabla2[current_team],Preguntas!J10)</calculatedColumnFormula>
    </tableColumn>
  </tableColumns>
  <tableStyleInfo name="TableStyleDark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AP812" totalsRowShown="0">
  <autoFilter ref="A1:AP812" xr:uid="{00000000-0009-0000-0100-000002000000}"/>
  <sortState xmlns:xlrd2="http://schemas.microsoft.com/office/spreadsheetml/2017/richdata2" ref="A228:AN228">
    <sortCondition ref="A1:A812"/>
  </sortState>
  <tableColumns count="42">
    <tableColumn id="1" xr3:uid="{00000000-0010-0000-0000-000001000000}" name="player_id"/>
    <tableColumn id="2" xr3:uid="{00000000-0010-0000-0000-000002000000}" name="nickname"/>
    <tableColumn id="3" xr3:uid="{00000000-0010-0000-0000-000003000000}" name="real_name"/>
    <tableColumn id="4" xr3:uid="{00000000-0010-0000-0000-000004000000}" name="age"/>
    <tableColumn id="5" xr3:uid="{00000000-0010-0000-0000-000005000000}" name="country"/>
    <tableColumn id="6" xr3:uid="{00000000-0010-0000-0000-000006000000}" name="current_team"/>
    <tableColumn id="7" xr3:uid="{00000000-0010-0000-0000-000007000000}" name="teams"/>
    <tableColumn id="8" xr3:uid="{00000000-0010-0000-0000-000008000000}" name="total_kills"/>
    <tableColumn id="9" xr3:uid="{00000000-0010-0000-0000-000009000000}" name="total_deaths"/>
    <tableColumn id="10" xr3:uid="{00000000-0010-0000-0000-00000A000000}" name="headshot_percentage"/>
    <tableColumn id="11" xr3:uid="{00000000-0010-0000-0000-00000B000000}" name="damage_per_round"/>
    <tableColumn id="12" xr3:uid="{00000000-0010-0000-0000-00000C000000}" name="grenade_dmg_per_round"/>
    <tableColumn id="13" xr3:uid="{00000000-0010-0000-0000-00000D000000}" name="maps_played"/>
    <tableColumn id="14" xr3:uid="{00000000-0010-0000-0000-00000E000000}" name="rounds_played"/>
    <tableColumn id="15" xr3:uid="{00000000-0010-0000-0000-00000F000000}" name="kills_per_round"/>
    <tableColumn id="16" xr3:uid="{00000000-0010-0000-0000-000010000000}" name="assists_per_round"/>
    <tableColumn id="17" xr3:uid="{00000000-0010-0000-0000-000011000000}" name="deaths_per_round"/>
    <tableColumn id="18" xr3:uid="{00000000-0010-0000-0000-000012000000}" name="saved_by_teammate_per_round"/>
    <tableColumn id="19" xr3:uid="{00000000-0010-0000-0000-000013000000}" name="saved_teammates_per_round"/>
    <tableColumn id="20" xr3:uid="{00000000-0010-0000-0000-000014000000}" name="rounds_with_kills"/>
    <tableColumn id="21" xr3:uid="{00000000-0010-0000-0000-000015000000}" name="kill_to_death_diff"/>
    <tableColumn id="22" xr3:uid="{00000000-0010-0000-0000-000016000000}" name="total_opening_kills"/>
    <tableColumn id="23" xr3:uid="{00000000-0010-0000-0000-000017000000}" name="total_opening_deaths"/>
    <tableColumn id="24" xr3:uid="{00000000-0010-0000-0000-000018000000}" name="opening_kill_ratio"/>
    <tableColumn id="25" xr3:uid="{00000000-0010-0000-0000-000019000000}" name="opening_kill_rating"/>
    <tableColumn id="26" xr3:uid="{00000000-0010-0000-0000-00001A000000}" name="team_win_percent_after_first_kill"/>
    <tableColumn id="27" xr3:uid="{00000000-0010-0000-0000-00001B000000}" name="first_kill_in_won_rounds"/>
    <tableColumn id="28" xr3:uid="{00000000-0010-0000-0000-00001C000000}" name="0_kill_rounds"/>
    <tableColumn id="29" xr3:uid="{00000000-0010-0000-0000-00001D000000}" name="1_kill_rounds"/>
    <tableColumn id="30" xr3:uid="{00000000-0010-0000-0000-00001E000000}" name="2_kill_rounds"/>
    <tableColumn id="31" xr3:uid="{00000000-0010-0000-0000-00001F000000}" name="3_kill_rounds"/>
    <tableColumn id="32" xr3:uid="{00000000-0010-0000-0000-000020000000}" name="4_kill_rounds"/>
    <tableColumn id="33" xr3:uid="{00000000-0010-0000-0000-000021000000}" name="5_kill_rounds"/>
    <tableColumn id="34" xr3:uid="{00000000-0010-0000-0000-000022000000}" name="rifle_kills"/>
    <tableColumn id="35" xr3:uid="{00000000-0010-0000-0000-000023000000}" name="sniper_kills"/>
    <tableColumn id="36" xr3:uid="{00000000-0010-0000-0000-000024000000}" name="smg_kills"/>
    <tableColumn id="37" xr3:uid="{00000000-0010-0000-0000-000025000000}" name="pistol_kills"/>
    <tableColumn id="38" xr3:uid="{00000000-0010-0000-0000-000026000000}" name="grenade_kills"/>
    <tableColumn id="39" xr3:uid="{00000000-0010-0000-0000-000027000000}" name="other_kills"/>
    <tableColumn id="40" xr3:uid="{00000000-0010-0000-0000-000028000000}" name="rating"/>
    <tableColumn id="41" xr3:uid="{ABFA4C4C-E879-467B-BBB5-925C6ADFD97A}" name="KPI" dataDxfId="52">
      <calculatedColumnFormula>AVERAGE(Tabla2[[#This Row],[total_kills]:[rating]])</calculatedColumnFormula>
    </tableColumn>
    <tableColumn id="42" xr3:uid="{024B9238-952B-4B2E-964C-90F3F956AFB6}" name="Segmentacion" dataDxfId="51">
      <calculatedColumnFormula>VLOOKUP(Tabla2[[#This Row],[KPI]],$AS$2:$AT$5,2,1)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3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eg.cd/" TargetMode="External"/><Relationship Id="rId3" Type="http://schemas.openxmlformats.org/officeDocument/2006/relationships/hyperlink" Target="http://virtus.pro/" TargetMode="External"/><Relationship Id="rId7" Type="http://schemas.openxmlformats.org/officeDocument/2006/relationships/hyperlink" Target="http://eg.pa/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://virtus.pro/" TargetMode="External"/><Relationship Id="rId1" Type="http://schemas.openxmlformats.org/officeDocument/2006/relationships/hyperlink" Target="http://eg.pa/" TargetMode="External"/><Relationship Id="rId6" Type="http://schemas.openxmlformats.org/officeDocument/2006/relationships/hyperlink" Target="http://eg.cd/" TargetMode="External"/><Relationship Id="rId11" Type="http://schemas.openxmlformats.org/officeDocument/2006/relationships/hyperlink" Target="http://eg.pa/" TargetMode="External"/><Relationship Id="rId5" Type="http://schemas.openxmlformats.org/officeDocument/2006/relationships/hyperlink" Target="http://eg.pa/" TargetMode="External"/><Relationship Id="rId10" Type="http://schemas.openxmlformats.org/officeDocument/2006/relationships/hyperlink" Target="http://virtus.pro/" TargetMode="External"/><Relationship Id="rId4" Type="http://schemas.openxmlformats.org/officeDocument/2006/relationships/hyperlink" Target="http://eg.cd/" TargetMode="External"/><Relationship Id="rId9" Type="http://schemas.openxmlformats.org/officeDocument/2006/relationships/hyperlink" Target="http://eg.cd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B87C-7E93-496C-9BD7-0C417A626498}">
  <dimension ref="A1"/>
  <sheetViews>
    <sheetView workbookViewId="0"/>
  </sheetViews>
  <sheetFormatPr baseColWidth="10" defaultRowHeight="14.4" x14ac:dyDescent="0.3"/>
  <cols>
    <col min="1" max="1" width="255.77734375" customWidth="1"/>
  </cols>
  <sheetData>
    <row r="1" spans="1:1" ht="399" x14ac:dyDescent="0.4">
      <c r="A1" s="55" t="s">
        <v>3517</v>
      </c>
    </row>
  </sheetData>
  <sheetProtection algorithmName="SHA-512" hashValue="ruqK+Ub84rFAVTSElm/K83c5X1LEBC781oYTqKZ9V8YywO3JiiH2bI7LpUoUqNfPszLWxcQ0ezW3aHtJWs5WNQ==" saltValue="UoGmDCdd99hpob+I3rnAz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4"/>
  <sheetViews>
    <sheetView tabSelected="1" zoomScale="90" zoomScaleNormal="90" workbookViewId="0">
      <selection activeCell="S12" sqref="S12"/>
    </sheetView>
  </sheetViews>
  <sheetFormatPr baseColWidth="10" defaultColWidth="11.44140625" defaultRowHeight="14.4" x14ac:dyDescent="0.3"/>
  <cols>
    <col min="1" max="7" width="11.44140625" style="7"/>
    <col min="8" max="8" width="13.21875" style="7" customWidth="1"/>
    <col min="9" max="13" width="11.44140625" style="7"/>
    <col min="14" max="14" width="11.88671875" style="7" bestFit="1" customWidth="1"/>
    <col min="15" max="16384" width="11.44140625" style="7"/>
  </cols>
  <sheetData>
    <row r="2" spans="2:21" ht="21.6" customHeight="1" thickBot="1" x14ac:dyDescent="0.9">
      <c r="D2" s="25"/>
      <c r="E2" s="23"/>
      <c r="F2" s="23"/>
      <c r="G2" s="23"/>
      <c r="H2" s="23"/>
      <c r="J2" s="23"/>
      <c r="K2" s="26"/>
      <c r="L2" s="25"/>
      <c r="M2" s="25"/>
      <c r="N2" s="25"/>
    </row>
    <row r="3" spans="2:21" ht="15" customHeight="1" x14ac:dyDescent="0.85">
      <c r="B3" s="108" t="s">
        <v>3502</v>
      </c>
      <c r="C3" s="109"/>
      <c r="D3" s="13"/>
      <c r="E3" s="62" t="s">
        <v>3503</v>
      </c>
      <c r="F3" s="112"/>
      <c r="G3" s="23"/>
      <c r="H3" s="62" t="s">
        <v>3504</v>
      </c>
      <c r="I3" s="112"/>
      <c r="J3" s="23"/>
      <c r="K3" s="62" t="s">
        <v>3481</v>
      </c>
      <c r="L3" s="112"/>
      <c r="M3" s="28"/>
      <c r="N3" s="62" t="s">
        <v>3501</v>
      </c>
      <c r="O3" s="63"/>
      <c r="Q3" s="62" t="s">
        <v>3505</v>
      </c>
      <c r="R3" s="63"/>
      <c r="T3" s="62" t="s">
        <v>3506</v>
      </c>
      <c r="U3" s="63"/>
    </row>
    <row r="4" spans="2:21" ht="15" customHeight="1" thickBot="1" x14ac:dyDescent="0.9">
      <c r="B4" s="110"/>
      <c r="C4" s="111"/>
      <c r="D4" s="30"/>
      <c r="E4" s="113"/>
      <c r="F4" s="114"/>
      <c r="G4" s="29"/>
      <c r="H4" s="113"/>
      <c r="I4" s="114"/>
      <c r="J4" s="31"/>
      <c r="K4" s="113"/>
      <c r="L4" s="114"/>
      <c r="M4" s="28"/>
      <c r="N4" s="64"/>
      <c r="O4" s="65"/>
      <c r="P4" s="29"/>
      <c r="Q4" s="64"/>
      <c r="R4" s="65"/>
      <c r="T4" s="64"/>
      <c r="U4" s="65"/>
    </row>
    <row r="5" spans="2:21" ht="15" customHeight="1" x14ac:dyDescent="0.85">
      <c r="B5" s="66">
        <f>GETPIVOTDATA("country",'Tabla dinamica 2'!$H$3)</f>
        <v>28</v>
      </c>
      <c r="C5" s="67"/>
      <c r="D5" s="30"/>
      <c r="E5" s="72">
        <f>GETPIVOTDATA("Suma de total_kills",'Tabla dinamica 2'!$A$3)</f>
        <v>360586</v>
      </c>
      <c r="F5" s="73"/>
      <c r="G5" s="29"/>
      <c r="H5" s="78">
        <f>GETPIVOTDATA("Suma de total_deaths",'Tabla dinamica 2'!$A$3)</f>
        <v>342463</v>
      </c>
      <c r="I5" s="79"/>
      <c r="J5" s="32"/>
      <c r="K5" s="84">
        <f>E5/H5</f>
        <v>1.0529195854734672</v>
      </c>
      <c r="L5" s="85"/>
      <c r="M5" s="28"/>
      <c r="N5" s="90">
        <f>GETPIVOTDATA("Suma de rifle_kills",'Tabla dinamica 1'!$A$5)</f>
        <v>235098</v>
      </c>
      <c r="O5" s="91"/>
      <c r="P5" s="29"/>
      <c r="Q5" s="96">
        <f>GETPIVOTDATA("Suma de sniper_kills",'Tabla dinamica 1'!$A$5)</f>
        <v>32640</v>
      </c>
      <c r="R5" s="97"/>
      <c r="T5" s="102">
        <f>GETPIVOTDATA("Suma de pistol_kills",'Tabla dinamica 1'!$A$5)</f>
        <v>62771</v>
      </c>
      <c r="U5" s="103"/>
    </row>
    <row r="6" spans="2:21" ht="15" customHeight="1" x14ac:dyDescent="0.85">
      <c r="B6" s="68"/>
      <c r="C6" s="69"/>
      <c r="D6" s="33"/>
      <c r="E6" s="74"/>
      <c r="F6" s="75"/>
      <c r="G6" s="33"/>
      <c r="H6" s="80"/>
      <c r="I6" s="81"/>
      <c r="J6" s="27"/>
      <c r="K6" s="86"/>
      <c r="L6" s="87"/>
      <c r="M6" s="28"/>
      <c r="N6" s="92"/>
      <c r="O6" s="93"/>
      <c r="P6" s="27"/>
      <c r="Q6" s="98"/>
      <c r="R6" s="99"/>
      <c r="T6" s="104"/>
      <c r="U6" s="105"/>
    </row>
    <row r="7" spans="2:21" ht="15" customHeight="1" x14ac:dyDescent="0.3">
      <c r="B7" s="68"/>
      <c r="C7" s="69"/>
      <c r="D7" s="33"/>
      <c r="E7" s="74"/>
      <c r="F7" s="75"/>
      <c r="G7" s="33"/>
      <c r="H7" s="80"/>
      <c r="I7" s="81"/>
      <c r="J7" s="27"/>
      <c r="K7" s="86"/>
      <c r="L7" s="87"/>
      <c r="N7" s="92"/>
      <c r="O7" s="93"/>
      <c r="P7" s="27"/>
      <c r="Q7" s="98"/>
      <c r="R7" s="99"/>
      <c r="T7" s="104"/>
      <c r="U7" s="105"/>
    </row>
    <row r="8" spans="2:21" ht="15" customHeight="1" thickBot="1" x14ac:dyDescent="0.35">
      <c r="B8" s="70"/>
      <c r="C8" s="71"/>
      <c r="D8" s="33"/>
      <c r="E8" s="76"/>
      <c r="F8" s="77"/>
      <c r="G8" s="33"/>
      <c r="H8" s="82"/>
      <c r="I8" s="83"/>
      <c r="J8" s="27"/>
      <c r="K8" s="88"/>
      <c r="L8" s="89"/>
      <c r="M8" s="25"/>
      <c r="N8" s="94"/>
      <c r="O8" s="95"/>
      <c r="P8" s="27"/>
      <c r="Q8" s="100"/>
      <c r="R8" s="101"/>
      <c r="T8" s="106"/>
      <c r="U8" s="107"/>
    </row>
    <row r="9" spans="2:21" ht="15" customHeight="1" x14ac:dyDescent="0.3">
      <c r="B9" s="33"/>
      <c r="C9" s="33"/>
      <c r="D9" s="33"/>
      <c r="F9" s="33"/>
      <c r="G9" s="33"/>
      <c r="H9" s="33"/>
      <c r="J9" s="27"/>
      <c r="K9" s="27"/>
      <c r="L9" s="27"/>
      <c r="M9" s="25"/>
      <c r="P9" s="27"/>
    </row>
    <row r="10" spans="2:21" ht="15" customHeight="1" x14ac:dyDescent="1.1000000000000001">
      <c r="D10" s="11"/>
      <c r="F10" s="13"/>
      <c r="G10" s="13"/>
      <c r="H10" s="13"/>
      <c r="L10" s="13"/>
      <c r="M10" s="13"/>
      <c r="N10" s="13"/>
    </row>
    <row r="11" spans="2:21" ht="15.75" customHeight="1" x14ac:dyDescent="1.1000000000000001">
      <c r="D11" s="11"/>
      <c r="F11" s="13"/>
      <c r="G11" s="13"/>
      <c r="H11" s="13"/>
      <c r="I11" s="13"/>
      <c r="K11" s="13"/>
      <c r="L11" s="13"/>
      <c r="M11" s="13"/>
      <c r="N11" s="13"/>
    </row>
    <row r="12" spans="2:21" ht="15.75" customHeight="1" x14ac:dyDescent="0.85">
      <c r="F12" s="13"/>
      <c r="G12" s="13"/>
      <c r="H12" s="13"/>
      <c r="I12" s="13"/>
      <c r="K12" s="13"/>
      <c r="L12" s="13"/>
      <c r="M12" s="13"/>
      <c r="N12" s="13"/>
    </row>
    <row r="13" spans="2:21" ht="15.75" customHeight="1" x14ac:dyDescent="0.3"/>
    <row r="14" spans="2:21" ht="24" customHeight="1" x14ac:dyDescent="0.45">
      <c r="F14" s="115"/>
      <c r="G14" s="116"/>
      <c r="H14" s="116"/>
      <c r="I14" s="116"/>
      <c r="K14" s="117"/>
      <c r="L14" s="116"/>
      <c r="M14" s="116"/>
      <c r="N14" s="116"/>
    </row>
    <row r="15" spans="2:21" ht="15.75" customHeight="1" x14ac:dyDescent="0.3">
      <c r="F15" s="119"/>
      <c r="G15" s="119"/>
      <c r="H15" s="119"/>
      <c r="I15" s="119"/>
      <c r="K15" s="116"/>
      <c r="L15" s="116"/>
      <c r="M15" s="116"/>
      <c r="N15" s="116"/>
    </row>
    <row r="16" spans="2:21" ht="15.75" customHeight="1" x14ac:dyDescent="0.3">
      <c r="F16" s="119"/>
      <c r="G16" s="119"/>
      <c r="H16" s="119"/>
      <c r="I16" s="119"/>
      <c r="K16" s="119"/>
      <c r="L16" s="119"/>
      <c r="M16" s="119"/>
      <c r="N16" s="119"/>
    </row>
    <row r="17" spans="6:16" ht="14.4" customHeight="1" x14ac:dyDescent="0.3">
      <c r="F17" s="119"/>
      <c r="G17" s="119"/>
      <c r="H17" s="119"/>
      <c r="I17" s="119"/>
      <c r="K17" s="119"/>
      <c r="L17" s="119"/>
      <c r="M17" s="119"/>
      <c r="N17" s="119"/>
    </row>
    <row r="18" spans="6:16" ht="15" customHeight="1" x14ac:dyDescent="0.3">
      <c r="F18" s="119"/>
      <c r="G18" s="119"/>
      <c r="H18" s="119"/>
      <c r="I18" s="119"/>
      <c r="K18" s="119"/>
      <c r="L18" s="119"/>
      <c r="M18" s="119"/>
      <c r="N18" s="119"/>
    </row>
    <row r="28" spans="6:16" x14ac:dyDescent="0.3">
      <c r="L28" s="117"/>
      <c r="M28" s="116"/>
      <c r="N28" s="116"/>
      <c r="O28" s="116"/>
      <c r="P28" s="12"/>
    </row>
    <row r="29" spans="6:16" x14ac:dyDescent="0.3">
      <c r="L29" s="116"/>
      <c r="M29" s="116"/>
      <c r="N29" s="116"/>
      <c r="O29" s="116"/>
    </row>
    <row r="30" spans="6:16" x14ac:dyDescent="0.3">
      <c r="L30" s="118"/>
      <c r="M30" s="118"/>
      <c r="N30" s="118"/>
      <c r="O30" s="118"/>
    </row>
    <row r="31" spans="6:16" x14ac:dyDescent="0.3">
      <c r="L31" s="118"/>
      <c r="M31" s="118"/>
      <c r="N31" s="118"/>
      <c r="O31" s="118"/>
    </row>
    <row r="32" spans="6:16" x14ac:dyDescent="0.3">
      <c r="L32" s="118"/>
      <c r="M32" s="118"/>
      <c r="N32" s="118"/>
      <c r="O32" s="118"/>
    </row>
    <row r="34" spans="17:17" x14ac:dyDescent="0.3">
      <c r="Q34" s="7" t="s">
        <v>3455</v>
      </c>
    </row>
  </sheetData>
  <mergeCells count="20">
    <mergeCell ref="F14:I14"/>
    <mergeCell ref="K14:N15"/>
    <mergeCell ref="N3:O4"/>
    <mergeCell ref="L28:O29"/>
    <mergeCell ref="L30:O32"/>
    <mergeCell ref="F15:I18"/>
    <mergeCell ref="K16:N18"/>
    <mergeCell ref="Q3:R4"/>
    <mergeCell ref="T3:U4"/>
    <mergeCell ref="B5:C8"/>
    <mergeCell ref="E5:F8"/>
    <mergeCell ref="H5:I8"/>
    <mergeCell ref="K5:L8"/>
    <mergeCell ref="N5:O8"/>
    <mergeCell ref="Q5:R8"/>
    <mergeCell ref="T5:U8"/>
    <mergeCell ref="B3:C4"/>
    <mergeCell ref="E3:F4"/>
    <mergeCell ref="H3:I4"/>
    <mergeCell ref="K3:L4"/>
  </mergeCells>
  <conditionalFormatting sqref="E5:F8">
    <cfRule type="cellIs" dxfId="8" priority="4" operator="between">
      <formula>350000</formula>
      <formula>2000000</formula>
    </cfRule>
    <cfRule type="cellIs" dxfId="7" priority="5" operator="lessThan">
      <formula>350000</formula>
    </cfRule>
    <cfRule type="cellIs" dxfId="6" priority="6" operator="greaterThan">
      <formula>2000000</formula>
    </cfRule>
  </conditionalFormatting>
  <conditionalFormatting sqref="H5:I8">
    <cfRule type="cellIs" dxfId="5" priority="1" operator="between">
      <formula>350000</formula>
      <formula>2000000</formula>
    </cfRule>
    <cfRule type="cellIs" dxfId="4" priority="2" operator="lessThan">
      <formula>350000</formula>
    </cfRule>
    <cfRule type="cellIs" dxfId="3" priority="3" operator="greaterThan">
      <formula>2000000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8"/>
  <sheetViews>
    <sheetView zoomScaleNormal="100" workbookViewId="0">
      <selection activeCell="H26" sqref="H26"/>
    </sheetView>
  </sheetViews>
  <sheetFormatPr baseColWidth="10" defaultRowHeight="14.4" x14ac:dyDescent="0.3"/>
  <cols>
    <col min="1" max="1" width="19.88671875" bestFit="1" customWidth="1"/>
    <col min="2" max="2" width="16.88671875" bestFit="1" customWidth="1"/>
    <col min="3" max="3" width="18.77734375" bestFit="1" customWidth="1"/>
    <col min="4" max="4" width="16.77734375" bestFit="1" customWidth="1"/>
    <col min="5" max="5" width="18.21875" bestFit="1" customWidth="1"/>
    <col min="6" max="6" width="20.44140625" bestFit="1" customWidth="1"/>
    <col min="7" max="7" width="24.33203125" bestFit="1" customWidth="1"/>
    <col min="8" max="8" width="30.109375" customWidth="1"/>
    <col min="9" max="10" width="21" customWidth="1"/>
    <col min="11" max="11" width="7.109375" customWidth="1"/>
    <col min="12" max="12" width="6.33203125" customWidth="1"/>
    <col min="13" max="13" width="6" customWidth="1"/>
    <col min="14" max="14" width="7.33203125" customWidth="1"/>
    <col min="15" max="15" width="6" customWidth="1"/>
    <col min="16" max="16" width="5" customWidth="1"/>
    <col min="17" max="17" width="7.5546875" customWidth="1"/>
    <col min="18" max="18" width="6" customWidth="1"/>
    <col min="19" max="19" width="6.5546875" customWidth="1"/>
    <col min="20" max="20" width="7.109375" customWidth="1"/>
    <col min="21" max="21" width="5" customWidth="1"/>
    <col min="22" max="22" width="6" customWidth="1"/>
    <col min="23" max="23" width="8" customWidth="1"/>
    <col min="24" max="24" width="9" customWidth="1"/>
    <col min="25" max="25" width="7.88671875" customWidth="1"/>
    <col min="26" max="26" width="9.44140625" customWidth="1"/>
    <col min="27" max="27" width="7.109375" customWidth="1"/>
    <col min="28" max="28" width="6" customWidth="1"/>
    <col min="29" max="29" width="5" customWidth="1"/>
    <col min="30" max="31" width="6" customWidth="1"/>
    <col min="32" max="32" width="8.5546875" customWidth="1"/>
    <col min="33" max="33" width="6.88671875" customWidth="1"/>
    <col min="34" max="37" width="6" customWidth="1"/>
    <col min="38" max="38" width="5" customWidth="1"/>
    <col min="39" max="39" width="8.44140625" customWidth="1"/>
    <col min="40" max="40" width="7.33203125" customWidth="1"/>
    <col min="41" max="41" width="9.33203125" customWidth="1"/>
    <col min="42" max="42" width="5" customWidth="1"/>
    <col min="43" max="43" width="6.33203125" customWidth="1"/>
    <col min="44" max="45" width="6" customWidth="1"/>
    <col min="46" max="46" width="12.6640625" customWidth="1"/>
    <col min="47" max="47" width="6.88671875" customWidth="1"/>
    <col min="48" max="48" width="6.33203125" customWidth="1"/>
    <col min="49" max="49" width="5" customWidth="1"/>
    <col min="50" max="50" width="6.5546875" customWidth="1"/>
    <col min="51" max="51" width="7.109375" customWidth="1"/>
    <col min="52" max="52" width="7.5546875" customWidth="1"/>
    <col min="53" max="53" width="9.33203125" customWidth="1"/>
    <col min="54" max="54" width="6" customWidth="1"/>
    <col min="55" max="55" width="7.44140625" customWidth="1"/>
    <col min="56" max="56" width="8.6640625" customWidth="1"/>
    <col min="57" max="57" width="8.44140625" customWidth="1"/>
    <col min="58" max="58" width="7.109375" customWidth="1"/>
    <col min="59" max="59" width="7" customWidth="1"/>
    <col min="60" max="60" width="6.5546875" customWidth="1"/>
    <col min="61" max="61" width="8.5546875" customWidth="1"/>
    <col min="62" max="62" width="11.6640625" customWidth="1"/>
    <col min="63" max="64" width="6" customWidth="1"/>
    <col min="65" max="66" width="7.5546875" customWidth="1"/>
    <col min="67" max="67" width="6.44140625" customWidth="1"/>
    <col min="68" max="68" width="6.88671875" customWidth="1"/>
    <col min="69" max="69" width="6.44140625" customWidth="1"/>
    <col min="70" max="70" width="6" customWidth="1"/>
    <col min="71" max="71" width="6.33203125" customWidth="1"/>
    <col min="72" max="72" width="7.109375" customWidth="1"/>
    <col min="73" max="73" width="8.88671875" customWidth="1"/>
    <col min="74" max="74" width="6.44140625" customWidth="1"/>
    <col min="75" max="75" width="6" customWidth="1"/>
    <col min="76" max="76" width="5" customWidth="1"/>
    <col min="77" max="77" width="6.6640625" customWidth="1"/>
    <col min="78" max="78" width="7.109375" customWidth="1"/>
    <col min="79" max="79" width="6" customWidth="1"/>
    <col min="80" max="80" width="7.33203125" customWidth="1"/>
    <col min="81" max="81" width="6" customWidth="1"/>
    <col min="82" max="82" width="7.33203125" customWidth="1"/>
    <col min="83" max="83" width="7.44140625" customWidth="1"/>
    <col min="84" max="84" width="11.109375" customWidth="1"/>
    <col min="85" max="85" width="6.6640625" customWidth="1"/>
    <col min="86" max="86" width="6.33203125" customWidth="1"/>
    <col min="87" max="87" width="6" customWidth="1"/>
    <col min="88" max="88" width="6.6640625" customWidth="1"/>
    <col min="89" max="89" width="6" customWidth="1"/>
    <col min="90" max="90" width="7" customWidth="1"/>
    <col min="91" max="91" width="5.5546875" customWidth="1"/>
    <col min="92" max="92" width="6.88671875" customWidth="1"/>
    <col min="93" max="93" width="6" customWidth="1"/>
    <col min="94" max="94" width="5" customWidth="1"/>
    <col min="95" max="95" width="10.44140625" customWidth="1"/>
    <col min="96" max="96" width="5.109375" customWidth="1"/>
    <col min="97" max="97" width="6" customWidth="1"/>
    <col min="98" max="98" width="9.44140625" customWidth="1"/>
    <col min="99" max="99" width="8.44140625" customWidth="1"/>
    <col min="100" max="100" width="6" customWidth="1"/>
    <col min="101" max="101" width="5.33203125" customWidth="1"/>
    <col min="102" max="102" width="8.33203125" customWidth="1"/>
    <col min="103" max="103" width="6" customWidth="1"/>
    <col min="104" max="104" width="5" customWidth="1"/>
    <col min="105" max="105" width="9" customWidth="1"/>
    <col min="106" max="106" width="8.44140625" customWidth="1"/>
    <col min="107" max="107" width="11" customWidth="1"/>
    <col min="108" max="108" width="8.109375" customWidth="1"/>
    <col min="109" max="109" width="6.44140625" customWidth="1"/>
    <col min="110" max="110" width="7.44140625" customWidth="1"/>
    <col min="111" max="111" width="6.109375" customWidth="1"/>
    <col min="112" max="112" width="7.6640625" customWidth="1"/>
    <col min="113" max="113" width="9" customWidth="1"/>
    <col min="114" max="114" width="6" customWidth="1"/>
    <col min="115" max="115" width="5" customWidth="1"/>
    <col min="116" max="116" width="11.109375" customWidth="1"/>
    <col min="117" max="118" width="6" customWidth="1"/>
    <col min="119" max="119" width="10" customWidth="1"/>
    <col min="120" max="123" width="6" customWidth="1"/>
    <col min="124" max="124" width="5" customWidth="1"/>
    <col min="125" max="125" width="8.109375" customWidth="1"/>
    <col min="126" max="126" width="7" customWidth="1"/>
    <col min="127" max="127" width="7.109375" customWidth="1"/>
    <col min="128" max="128" width="6.88671875" customWidth="1"/>
    <col min="129" max="129" width="6" customWidth="1"/>
    <col min="130" max="130" width="8.6640625" customWidth="1"/>
    <col min="131" max="131" width="8.109375" customWidth="1"/>
    <col min="132" max="133" width="5" customWidth="1"/>
    <col min="134" max="134" width="7.6640625" customWidth="1"/>
    <col min="135" max="135" width="5.44140625" customWidth="1"/>
    <col min="136" max="136" width="8.109375" customWidth="1"/>
    <col min="137" max="137" width="8" customWidth="1"/>
    <col min="138" max="138" width="6" customWidth="1"/>
    <col min="139" max="139" width="7" customWidth="1"/>
    <col min="140" max="140" width="10.5546875" customWidth="1"/>
    <col min="141" max="141" width="6.6640625" customWidth="1"/>
    <col min="142" max="142" width="8.109375" customWidth="1"/>
    <col min="143" max="143" width="5" customWidth="1"/>
    <col min="144" max="144" width="6.44140625" customWidth="1"/>
    <col min="145" max="145" width="8.109375" customWidth="1"/>
    <col min="146" max="146" width="10.88671875" customWidth="1"/>
    <col min="147" max="147" width="8.109375" customWidth="1"/>
    <col min="148" max="148" width="6.44140625" customWidth="1"/>
    <col min="149" max="149" width="6.88671875" customWidth="1"/>
    <col min="150" max="150" width="6" customWidth="1"/>
    <col min="151" max="151" width="9.6640625" customWidth="1"/>
    <col min="152" max="152" width="10.88671875" customWidth="1"/>
    <col min="153" max="153" width="6.88671875" customWidth="1"/>
    <col min="154" max="154" width="6.44140625" customWidth="1"/>
    <col min="155" max="155" width="5" customWidth="1"/>
    <col min="156" max="156" width="9.33203125" customWidth="1"/>
    <col min="157" max="157" width="12.88671875" customWidth="1"/>
    <col min="158" max="158" width="8.6640625" customWidth="1"/>
    <col min="159" max="159" width="6.88671875" customWidth="1"/>
    <col min="160" max="160" width="12.109375" customWidth="1"/>
    <col min="161" max="162" width="6" customWidth="1"/>
    <col min="163" max="163" width="6.109375" customWidth="1"/>
    <col min="164" max="164" width="7.33203125" customWidth="1"/>
    <col min="165" max="167" width="6" customWidth="1"/>
    <col min="168" max="168" width="9.44140625" customWidth="1"/>
    <col min="169" max="169" width="7.109375" customWidth="1"/>
    <col min="170" max="170" width="8" customWidth="1"/>
    <col min="171" max="171" width="8.44140625" customWidth="1"/>
    <col min="172" max="172" width="6.44140625" customWidth="1"/>
    <col min="173" max="173" width="11.33203125" customWidth="1"/>
    <col min="174" max="174" width="7.109375" customWidth="1"/>
    <col min="175" max="175" width="5.88671875" customWidth="1"/>
    <col min="176" max="176" width="9.44140625" customWidth="1"/>
    <col min="177" max="177" width="8.5546875" customWidth="1"/>
    <col min="178" max="178" width="6.109375" customWidth="1"/>
    <col min="179" max="179" width="6" customWidth="1"/>
    <col min="180" max="180" width="6.6640625" customWidth="1"/>
    <col min="181" max="181" width="5.109375" customWidth="1"/>
    <col min="182" max="182" width="7.5546875" customWidth="1"/>
    <col min="183" max="183" width="5" customWidth="1"/>
    <col min="184" max="184" width="6" customWidth="1"/>
    <col min="185" max="185" width="10.109375" customWidth="1"/>
    <col min="186" max="186" width="6" customWidth="1"/>
    <col min="187" max="187" width="8.109375" customWidth="1"/>
    <col min="188" max="188" width="8.6640625" customWidth="1"/>
    <col min="189" max="190" width="6" customWidth="1"/>
    <col min="191" max="191" width="6.5546875" customWidth="1"/>
    <col min="192" max="192" width="6.6640625" customWidth="1"/>
    <col min="193" max="193" width="9.5546875" customWidth="1"/>
    <col min="194" max="194" width="6" customWidth="1"/>
    <col min="195" max="195" width="8.33203125" customWidth="1"/>
    <col min="196" max="196" width="6" customWidth="1"/>
    <col min="197" max="197" width="6.109375" customWidth="1"/>
    <col min="198" max="198" width="6" customWidth="1"/>
    <col min="199" max="199" width="6.109375" customWidth="1"/>
    <col min="200" max="200" width="6" customWidth="1"/>
    <col min="201" max="201" width="9.109375" customWidth="1"/>
    <col min="202" max="202" width="6.33203125" customWidth="1"/>
    <col min="203" max="203" width="6.6640625" customWidth="1"/>
    <col min="204" max="204" width="6" customWidth="1"/>
    <col min="205" max="205" width="13.5546875" customWidth="1"/>
    <col min="206" max="207" width="6" customWidth="1"/>
    <col min="208" max="208" width="6.6640625" customWidth="1"/>
    <col min="209" max="209" width="6.33203125" customWidth="1"/>
    <col min="210" max="211" width="6" customWidth="1"/>
    <col min="212" max="212" width="10.109375" customWidth="1"/>
    <col min="213" max="213" width="6" customWidth="1"/>
    <col min="214" max="214" width="8.5546875" customWidth="1"/>
    <col min="215" max="215" width="7.6640625" customWidth="1"/>
    <col min="216" max="218" width="6" customWidth="1"/>
    <col min="219" max="219" width="7.109375" customWidth="1"/>
    <col min="220" max="220" width="6.6640625" customWidth="1"/>
    <col min="221" max="221" width="6.88671875" customWidth="1"/>
    <col min="222" max="222" width="7" customWidth="1"/>
    <col min="223" max="223" width="6" customWidth="1"/>
    <col min="224" max="224" width="5.5546875" customWidth="1"/>
    <col min="225" max="225" width="6.6640625" customWidth="1"/>
    <col min="226" max="226" width="8.44140625" customWidth="1"/>
    <col min="227" max="227" width="6.44140625" customWidth="1"/>
    <col min="228" max="230" width="6" customWidth="1"/>
    <col min="231" max="231" width="5.109375" customWidth="1"/>
    <col min="232" max="232" width="8.44140625" customWidth="1"/>
    <col min="233" max="233" width="6.44140625" customWidth="1"/>
    <col min="234" max="234" width="6" customWidth="1"/>
    <col min="235" max="235" width="7" customWidth="1"/>
    <col min="236" max="236" width="10.33203125" customWidth="1"/>
    <col min="237" max="237" width="8.6640625" customWidth="1"/>
    <col min="238" max="238" width="12.6640625" customWidth="1"/>
    <col min="239" max="239" width="8.88671875" customWidth="1"/>
    <col min="240" max="240" width="7" customWidth="1"/>
    <col min="241" max="241" width="6" customWidth="1"/>
    <col min="242" max="242" width="6.6640625" customWidth="1"/>
    <col min="243" max="243" width="6" customWidth="1"/>
    <col min="244" max="244" width="6.5546875" customWidth="1"/>
    <col min="245" max="245" width="9.33203125" customWidth="1"/>
    <col min="246" max="246" width="6" customWidth="1"/>
    <col min="247" max="247" width="5" customWidth="1"/>
    <col min="248" max="248" width="8.109375" customWidth="1"/>
    <col min="249" max="249" width="10.88671875" customWidth="1"/>
    <col min="250" max="250" width="6.6640625" customWidth="1"/>
    <col min="251" max="251" width="6" customWidth="1"/>
    <col min="252" max="252" width="5.33203125" customWidth="1"/>
    <col min="253" max="253" width="8.5546875" customWidth="1"/>
    <col min="254" max="254" width="5" customWidth="1"/>
    <col min="255" max="255" width="6" customWidth="1"/>
    <col min="256" max="256" width="7.5546875" customWidth="1"/>
    <col min="257" max="257" width="6.44140625" customWidth="1"/>
    <col min="258" max="258" width="12.44140625" customWidth="1"/>
    <col min="259" max="259" width="6" customWidth="1"/>
    <col min="260" max="260" width="6.44140625" customWidth="1"/>
    <col min="261" max="261" width="5.109375" customWidth="1"/>
    <col min="262" max="262" width="5" customWidth="1"/>
    <col min="263" max="263" width="9.44140625" customWidth="1"/>
    <col min="264" max="264" width="6" customWidth="1"/>
    <col min="265" max="265" width="6.5546875" customWidth="1"/>
    <col min="266" max="266" width="6.33203125" customWidth="1"/>
    <col min="267" max="267" width="6" customWidth="1"/>
    <col min="268" max="269" width="8" customWidth="1"/>
    <col min="270" max="270" width="6.5546875" customWidth="1"/>
    <col min="271" max="271" width="8" customWidth="1"/>
    <col min="272" max="272" width="6" customWidth="1"/>
    <col min="273" max="273" width="6.33203125" customWidth="1"/>
    <col min="274" max="275" width="6" customWidth="1"/>
    <col min="276" max="276" width="5.44140625" customWidth="1"/>
    <col min="277" max="277" width="6" customWidth="1"/>
    <col min="278" max="278" width="9.5546875" customWidth="1"/>
    <col min="279" max="279" width="7.33203125" customWidth="1"/>
    <col min="280" max="280" width="8.44140625" customWidth="1"/>
    <col min="281" max="281" width="6.44140625" customWidth="1"/>
    <col min="282" max="282" width="6.5546875" customWidth="1"/>
    <col min="283" max="283" width="6.33203125" customWidth="1"/>
    <col min="284" max="284" width="6" customWidth="1"/>
    <col min="285" max="285" width="5" customWidth="1"/>
    <col min="286" max="286" width="15" customWidth="1"/>
    <col min="287" max="287" width="8.88671875" customWidth="1"/>
    <col min="288" max="288" width="8" customWidth="1"/>
    <col min="289" max="289" width="5.109375" customWidth="1"/>
    <col min="290" max="290" width="6.33203125" customWidth="1"/>
    <col min="291" max="292" width="5" customWidth="1"/>
    <col min="293" max="293" width="7.5546875" customWidth="1"/>
    <col min="294" max="294" width="12.5546875" customWidth="1"/>
    <col min="295" max="296" width="6" customWidth="1"/>
    <col min="297" max="297" width="6.6640625" customWidth="1"/>
    <col min="298" max="298" width="11.109375" customWidth="1"/>
    <col min="299" max="299" width="8.109375" customWidth="1"/>
    <col min="300" max="300" width="7.5546875" customWidth="1"/>
    <col min="301" max="301" width="10.88671875" customWidth="1"/>
    <col min="302" max="302" width="8.88671875" customWidth="1"/>
    <col min="303" max="303" width="6" customWidth="1"/>
    <col min="304" max="304" width="6.109375" customWidth="1"/>
    <col min="305" max="306" width="6" customWidth="1"/>
    <col min="307" max="307" width="6.109375" customWidth="1"/>
    <col min="308" max="308" width="5" customWidth="1"/>
    <col min="309" max="310" width="6" customWidth="1"/>
    <col min="311" max="311" width="6.33203125" customWidth="1"/>
    <col min="312" max="312" width="6" customWidth="1"/>
    <col min="313" max="313" width="7.33203125" customWidth="1"/>
    <col min="314" max="314" width="5" customWidth="1"/>
    <col min="315" max="315" width="6.5546875" customWidth="1"/>
    <col min="316" max="316" width="9" customWidth="1"/>
    <col min="317" max="317" width="5" customWidth="1"/>
    <col min="318" max="318" width="6.44140625" customWidth="1"/>
    <col min="319" max="320" width="6" customWidth="1"/>
    <col min="321" max="321" width="6.109375" customWidth="1"/>
    <col min="322" max="322" width="5.88671875" customWidth="1"/>
    <col min="323" max="323" width="5.44140625" customWidth="1"/>
    <col min="324" max="324" width="6.44140625" customWidth="1"/>
    <col min="325" max="328" width="6" customWidth="1"/>
    <col min="329" max="329" width="9" customWidth="1"/>
    <col min="330" max="330" width="5.44140625" customWidth="1"/>
    <col min="331" max="332" width="6" customWidth="1"/>
    <col min="333" max="333" width="10.88671875" customWidth="1"/>
    <col min="334" max="335" width="6" customWidth="1"/>
    <col min="336" max="336" width="6.33203125" customWidth="1"/>
    <col min="337" max="339" width="6" customWidth="1"/>
    <col min="340" max="340" width="6.44140625" customWidth="1"/>
    <col min="341" max="342" width="6" customWidth="1"/>
    <col min="343" max="343" width="8.44140625" customWidth="1"/>
    <col min="344" max="345" width="5" customWidth="1"/>
    <col min="346" max="346" width="7.33203125" customWidth="1"/>
    <col min="347" max="347" width="6" customWidth="1"/>
    <col min="348" max="348" width="8.109375" customWidth="1"/>
    <col min="349" max="349" width="5.6640625" customWidth="1"/>
    <col min="350" max="352" width="6" customWidth="1"/>
    <col min="353" max="353" width="7.44140625" customWidth="1"/>
    <col min="354" max="354" width="6.109375" customWidth="1"/>
    <col min="355" max="355" width="7" customWidth="1"/>
    <col min="356" max="357" width="6" customWidth="1"/>
    <col min="358" max="358" width="6.5546875" customWidth="1"/>
    <col min="359" max="359" width="11" customWidth="1"/>
    <col min="360" max="360" width="6.5546875" customWidth="1"/>
    <col min="361" max="361" width="9.33203125" customWidth="1"/>
    <col min="362" max="362" width="6" customWidth="1"/>
    <col min="363" max="363" width="8.88671875" customWidth="1"/>
    <col min="364" max="364" width="6.44140625" customWidth="1"/>
    <col min="365" max="365" width="5" customWidth="1"/>
    <col min="366" max="366" width="6" customWidth="1"/>
    <col min="367" max="367" width="6.88671875" customWidth="1"/>
    <col min="368" max="368" width="5" customWidth="1"/>
    <col min="369" max="370" width="6" customWidth="1"/>
    <col min="371" max="371" width="6.5546875" customWidth="1"/>
    <col min="372" max="372" width="5" customWidth="1"/>
    <col min="373" max="373" width="6.6640625" customWidth="1"/>
    <col min="374" max="374" width="7.33203125" customWidth="1"/>
    <col min="375" max="375" width="7.6640625" customWidth="1"/>
    <col min="376" max="376" width="8.44140625" customWidth="1"/>
    <col min="377" max="377" width="10.109375" customWidth="1"/>
    <col min="378" max="378" width="7.6640625" customWidth="1"/>
    <col min="379" max="379" width="6" customWidth="1"/>
    <col min="380" max="380" width="6.44140625" customWidth="1"/>
    <col min="381" max="383" width="6" customWidth="1"/>
    <col min="384" max="384" width="8.33203125" customWidth="1"/>
    <col min="385" max="385" width="7" customWidth="1"/>
    <col min="386" max="386" width="6.44140625" customWidth="1"/>
    <col min="387" max="387" width="5" customWidth="1"/>
    <col min="388" max="388" width="6.88671875" customWidth="1"/>
    <col min="389" max="389" width="6" customWidth="1"/>
    <col min="390" max="390" width="6.5546875" customWidth="1"/>
    <col min="391" max="391" width="7.6640625" customWidth="1"/>
    <col min="392" max="392" width="6.33203125" customWidth="1"/>
    <col min="393" max="393" width="5" customWidth="1"/>
    <col min="394" max="394" width="6" customWidth="1"/>
    <col min="395" max="395" width="5" customWidth="1"/>
    <col min="396" max="396" width="5.88671875" customWidth="1"/>
    <col min="397" max="397" width="7" customWidth="1"/>
    <col min="398" max="398" width="7.44140625" customWidth="1"/>
    <col min="399" max="399" width="10.88671875" customWidth="1"/>
    <col min="400" max="400" width="8" customWidth="1"/>
    <col min="401" max="401" width="7.88671875" customWidth="1"/>
    <col min="402" max="402" width="6.44140625" customWidth="1"/>
    <col min="403" max="403" width="7.88671875" customWidth="1"/>
    <col min="404" max="404" width="7.6640625" customWidth="1"/>
    <col min="405" max="406" width="6" customWidth="1"/>
    <col min="407" max="407" width="7.33203125" customWidth="1"/>
    <col min="408" max="408" width="6" customWidth="1"/>
    <col min="409" max="409" width="12" customWidth="1"/>
    <col min="410" max="413" width="7.33203125" customWidth="1"/>
    <col min="414" max="416" width="10" customWidth="1"/>
    <col min="417" max="417" width="7" customWidth="1"/>
    <col min="418" max="418" width="6" customWidth="1"/>
    <col min="419" max="419" width="9.33203125" customWidth="1"/>
    <col min="420" max="420" width="6" customWidth="1"/>
    <col min="421" max="421" width="7.5546875" customWidth="1"/>
    <col min="422" max="422" width="7.44140625" customWidth="1"/>
    <col min="423" max="423" width="7" customWidth="1"/>
    <col min="424" max="424" width="7.88671875" customWidth="1"/>
    <col min="425" max="425" width="10.88671875" customWidth="1"/>
    <col min="426" max="427" width="6.6640625" customWidth="1"/>
    <col min="428" max="428" width="9.6640625" customWidth="1"/>
    <col min="429" max="429" width="8.6640625" customWidth="1"/>
    <col min="430" max="430" width="6.109375" customWidth="1"/>
    <col min="431" max="431" width="6" customWidth="1"/>
    <col min="432" max="432" width="7.6640625" customWidth="1"/>
    <col min="433" max="433" width="6" customWidth="1"/>
    <col min="434" max="434" width="6.109375" customWidth="1"/>
    <col min="435" max="435" width="7.88671875" customWidth="1"/>
    <col min="436" max="437" width="6" customWidth="1"/>
    <col min="438" max="438" width="7.33203125" customWidth="1"/>
    <col min="439" max="439" width="12.5546875" customWidth="1"/>
    <col min="440" max="440" width="7.44140625" customWidth="1"/>
    <col min="441" max="441" width="6" customWidth="1"/>
    <col min="442" max="442" width="6.44140625" customWidth="1"/>
    <col min="443" max="443" width="9" customWidth="1"/>
    <col min="444" max="444" width="6" customWidth="1"/>
    <col min="445" max="445" width="8.109375" customWidth="1"/>
    <col min="446" max="446" width="8" customWidth="1"/>
    <col min="447" max="447" width="8.44140625" customWidth="1"/>
    <col min="448" max="448" width="6.109375" customWidth="1"/>
    <col min="449" max="449" width="7.6640625" customWidth="1"/>
    <col min="450" max="451" width="7" customWidth="1"/>
    <col min="452" max="452" width="7.109375" customWidth="1"/>
    <col min="453" max="453" width="6.33203125" customWidth="1"/>
    <col min="454" max="456" width="6" customWidth="1"/>
    <col min="457" max="457" width="8.5546875" customWidth="1"/>
    <col min="458" max="458" width="6.5546875" customWidth="1"/>
    <col min="459" max="460" width="7.6640625" customWidth="1"/>
    <col min="461" max="461" width="6" customWidth="1"/>
    <col min="462" max="462" width="7" customWidth="1"/>
    <col min="463" max="463" width="5" customWidth="1"/>
    <col min="464" max="464" width="11.5546875" customWidth="1"/>
    <col min="465" max="466" width="7.33203125" customWidth="1"/>
    <col min="467" max="468" width="6" customWidth="1"/>
    <col min="469" max="469" width="5" customWidth="1"/>
    <col min="470" max="470" width="7.5546875" customWidth="1"/>
    <col min="471" max="471" width="5.5546875" customWidth="1"/>
    <col min="472" max="472" width="6.109375" customWidth="1"/>
    <col min="473" max="473" width="6.33203125" customWidth="1"/>
    <col min="474" max="474" width="6" customWidth="1"/>
    <col min="475" max="475" width="9.6640625" customWidth="1"/>
    <col min="476" max="476" width="8.5546875" customWidth="1"/>
    <col min="477" max="477" width="7.109375" customWidth="1"/>
    <col min="478" max="480" width="6" customWidth="1"/>
    <col min="481" max="481" width="10.5546875" customWidth="1"/>
    <col min="482" max="482" width="5" customWidth="1"/>
    <col min="483" max="483" width="9" customWidth="1"/>
    <col min="484" max="485" width="6" customWidth="1"/>
    <col min="486" max="486" width="7.109375" customWidth="1"/>
    <col min="487" max="487" width="6" customWidth="1"/>
    <col min="488" max="488" width="7" customWidth="1"/>
    <col min="489" max="489" width="5" customWidth="1"/>
    <col min="490" max="490" width="6" customWidth="1"/>
    <col min="491" max="491" width="5.6640625" customWidth="1"/>
    <col min="492" max="492" width="5" customWidth="1"/>
    <col min="493" max="493" width="7.33203125" customWidth="1"/>
    <col min="494" max="494" width="6.5546875" customWidth="1"/>
    <col min="495" max="495" width="7.33203125" customWidth="1"/>
    <col min="496" max="496" width="9.33203125" customWidth="1"/>
    <col min="497" max="497" width="6.44140625" customWidth="1"/>
    <col min="498" max="498" width="7" customWidth="1"/>
    <col min="499" max="499" width="6.44140625" customWidth="1"/>
    <col min="500" max="500" width="7.44140625" customWidth="1"/>
    <col min="501" max="501" width="7.33203125" customWidth="1"/>
    <col min="502" max="502" width="5" customWidth="1"/>
    <col min="503" max="503" width="7.33203125" customWidth="1"/>
    <col min="504" max="504" width="7.44140625" customWidth="1"/>
    <col min="505" max="505" width="6" customWidth="1"/>
    <col min="506" max="506" width="6.109375" customWidth="1"/>
    <col min="507" max="507" width="11.44140625" customWidth="1"/>
    <col min="508" max="509" width="6" customWidth="1"/>
    <col min="510" max="510" width="8.33203125" customWidth="1"/>
    <col min="511" max="511" width="7.33203125" customWidth="1"/>
    <col min="512" max="512" width="7.6640625" customWidth="1"/>
    <col min="513" max="513" width="6" customWidth="1"/>
    <col min="514" max="514" width="11.88671875" customWidth="1"/>
    <col min="515" max="515" width="10.5546875" customWidth="1"/>
    <col min="516" max="516" width="5.33203125" customWidth="1"/>
    <col min="517" max="518" width="6" customWidth="1"/>
    <col min="519" max="519" width="5.109375" customWidth="1"/>
    <col min="520" max="520" width="6.5546875" customWidth="1"/>
    <col min="521" max="521" width="8.5546875" customWidth="1"/>
    <col min="522" max="522" width="9.109375" customWidth="1"/>
    <col min="523" max="523" width="6" customWidth="1"/>
    <col min="524" max="524" width="5.109375" customWidth="1"/>
    <col min="525" max="525" width="7.33203125" customWidth="1"/>
    <col min="526" max="527" width="6" customWidth="1"/>
    <col min="528" max="528" width="8.109375" customWidth="1"/>
    <col min="529" max="529" width="7.44140625" customWidth="1"/>
    <col min="530" max="530" width="6.33203125" customWidth="1"/>
    <col min="531" max="531" width="7" customWidth="1"/>
    <col min="532" max="532" width="6.109375" customWidth="1"/>
    <col min="533" max="533" width="5.44140625" customWidth="1"/>
    <col min="534" max="534" width="5" customWidth="1"/>
    <col min="535" max="535" width="8.33203125" customWidth="1"/>
    <col min="536" max="536" width="6.6640625" customWidth="1"/>
    <col min="537" max="537" width="7" customWidth="1"/>
    <col min="538" max="538" width="9" customWidth="1"/>
    <col min="539" max="539" width="7.109375" customWidth="1"/>
    <col min="540" max="540" width="8" customWidth="1"/>
    <col min="541" max="541" width="6" customWidth="1"/>
    <col min="542" max="542" width="7.109375" customWidth="1"/>
    <col min="543" max="543" width="5" customWidth="1"/>
    <col min="544" max="544" width="6" customWidth="1"/>
    <col min="545" max="545" width="5.6640625" customWidth="1"/>
    <col min="546" max="546" width="10.109375" customWidth="1"/>
    <col min="547" max="547" width="6" customWidth="1"/>
    <col min="548" max="548" width="5" customWidth="1"/>
    <col min="549" max="549" width="6.5546875" customWidth="1"/>
    <col min="550" max="550" width="5" customWidth="1"/>
    <col min="551" max="551" width="7.44140625" customWidth="1"/>
    <col min="552" max="552" width="8.5546875" customWidth="1"/>
    <col min="553" max="553" width="9.44140625" customWidth="1"/>
    <col min="554" max="554" width="6" customWidth="1"/>
    <col min="555" max="555" width="6.44140625" customWidth="1"/>
    <col min="556" max="557" width="6" customWidth="1"/>
    <col min="558" max="558" width="11" customWidth="1"/>
    <col min="559" max="559" width="6" customWidth="1"/>
    <col min="560" max="560" width="5.109375" customWidth="1"/>
    <col min="561" max="561" width="9.33203125" customWidth="1"/>
    <col min="562" max="562" width="6" customWidth="1"/>
    <col min="563" max="563" width="10.33203125" customWidth="1"/>
    <col min="564" max="564" width="6.109375" customWidth="1"/>
    <col min="565" max="565" width="12.33203125" customWidth="1"/>
    <col min="566" max="567" width="6" customWidth="1"/>
    <col min="568" max="568" width="7.44140625" customWidth="1"/>
    <col min="569" max="569" width="6" customWidth="1"/>
    <col min="570" max="570" width="8.88671875" customWidth="1"/>
    <col min="571" max="571" width="7.44140625" customWidth="1"/>
    <col min="572" max="572" width="6.88671875" customWidth="1"/>
    <col min="573" max="573" width="6.44140625" customWidth="1"/>
    <col min="574" max="574" width="6.6640625" customWidth="1"/>
    <col min="575" max="575" width="6.109375" customWidth="1"/>
    <col min="576" max="576" width="5.109375" customWidth="1"/>
    <col min="577" max="577" width="9.33203125" customWidth="1"/>
    <col min="578" max="578" width="6" customWidth="1"/>
    <col min="579" max="579" width="6.88671875" customWidth="1"/>
    <col min="580" max="580" width="5.88671875" customWidth="1"/>
    <col min="581" max="581" width="5.33203125" customWidth="1"/>
    <col min="582" max="582" width="5.6640625" customWidth="1"/>
    <col min="583" max="583" width="6" customWidth="1"/>
    <col min="584" max="584" width="6.33203125" customWidth="1"/>
    <col min="585" max="585" width="6.109375" customWidth="1"/>
    <col min="586" max="586" width="6" customWidth="1"/>
    <col min="587" max="587" width="8.6640625" customWidth="1"/>
    <col min="588" max="588" width="6" customWidth="1"/>
    <col min="589" max="589" width="6.33203125" customWidth="1"/>
    <col min="590" max="590" width="6.6640625" customWidth="1"/>
    <col min="591" max="591" width="6.88671875" customWidth="1"/>
    <col min="592" max="592" width="6" customWidth="1"/>
    <col min="593" max="593" width="7" customWidth="1"/>
    <col min="594" max="594" width="6" customWidth="1"/>
    <col min="595" max="595" width="8.109375" customWidth="1"/>
    <col min="596" max="596" width="6.6640625" customWidth="1"/>
    <col min="597" max="597" width="6" customWidth="1"/>
    <col min="598" max="598" width="6.109375" customWidth="1"/>
    <col min="599" max="599" width="6" customWidth="1"/>
    <col min="600" max="600" width="6.33203125" customWidth="1"/>
    <col min="601" max="601" width="5" customWidth="1"/>
    <col min="602" max="602" width="6.33203125" customWidth="1"/>
    <col min="603" max="603" width="5" customWidth="1"/>
    <col min="604" max="604" width="6.6640625" customWidth="1"/>
    <col min="605" max="605" width="7.44140625" customWidth="1"/>
    <col min="606" max="606" width="8.109375" customWidth="1"/>
    <col min="607" max="607" width="6.5546875" customWidth="1"/>
    <col min="608" max="608" width="12.109375" customWidth="1"/>
    <col min="609" max="609" width="6" customWidth="1"/>
    <col min="610" max="610" width="6.109375" customWidth="1"/>
    <col min="611" max="611" width="7.109375" customWidth="1"/>
    <col min="612" max="612" width="6" customWidth="1"/>
    <col min="613" max="613" width="7.5546875" customWidth="1"/>
    <col min="614" max="614" width="7" customWidth="1"/>
    <col min="615" max="615" width="6" customWidth="1"/>
    <col min="616" max="616" width="10.6640625" customWidth="1"/>
    <col min="617" max="617" width="6" customWidth="1"/>
    <col min="618" max="618" width="6.6640625" customWidth="1"/>
    <col min="619" max="620" width="8.88671875" customWidth="1"/>
    <col min="621" max="621" width="7.5546875" customWidth="1"/>
    <col min="622" max="622" width="7" customWidth="1"/>
    <col min="623" max="623" width="6.44140625" customWidth="1"/>
    <col min="624" max="624" width="6.33203125" customWidth="1"/>
    <col min="625" max="625" width="6" customWidth="1"/>
    <col min="626" max="626" width="9.109375" customWidth="1"/>
    <col min="627" max="627" width="11.5546875" customWidth="1"/>
    <col min="628" max="628" width="7.44140625" customWidth="1"/>
    <col min="629" max="629" width="5.88671875" customWidth="1"/>
    <col min="630" max="630" width="6" customWidth="1"/>
    <col min="631" max="631" width="7" customWidth="1"/>
    <col min="632" max="632" width="6" customWidth="1"/>
    <col min="633" max="633" width="12.5546875" customWidth="1"/>
    <col min="634" max="634" width="6" customWidth="1"/>
    <col min="635" max="635" width="7.109375" customWidth="1"/>
    <col min="636" max="636" width="10" customWidth="1"/>
    <col min="637" max="639" width="6" customWidth="1"/>
    <col min="640" max="640" width="7" customWidth="1"/>
    <col min="641" max="641" width="6.44140625" customWidth="1"/>
    <col min="642" max="642" width="9.88671875" customWidth="1"/>
    <col min="643" max="643" width="5.6640625" customWidth="1"/>
    <col min="644" max="644" width="6" customWidth="1"/>
    <col min="645" max="645" width="6.6640625" customWidth="1"/>
    <col min="646" max="646" width="10.33203125" customWidth="1"/>
    <col min="647" max="647" width="6" customWidth="1"/>
    <col min="648" max="648" width="8.6640625" customWidth="1"/>
    <col min="649" max="649" width="6" customWidth="1"/>
    <col min="650" max="650" width="8.109375" customWidth="1"/>
    <col min="651" max="651" width="6" customWidth="1"/>
    <col min="652" max="652" width="8.33203125" customWidth="1"/>
    <col min="653" max="653" width="6" customWidth="1"/>
    <col min="654" max="654" width="6.33203125" customWidth="1"/>
    <col min="655" max="655" width="6.88671875" customWidth="1"/>
    <col min="656" max="656" width="8" customWidth="1"/>
    <col min="657" max="657" width="7.88671875" customWidth="1"/>
    <col min="658" max="658" width="7.109375" customWidth="1"/>
    <col min="659" max="659" width="7" customWidth="1"/>
    <col min="660" max="660" width="8.44140625" customWidth="1"/>
    <col min="661" max="662" width="6" customWidth="1"/>
    <col min="663" max="663" width="6.33203125" customWidth="1"/>
    <col min="664" max="664" width="6.6640625" customWidth="1"/>
    <col min="665" max="665" width="10.33203125" customWidth="1"/>
    <col min="666" max="666" width="6" customWidth="1"/>
    <col min="667" max="667" width="7.109375" customWidth="1"/>
    <col min="668" max="668" width="7" customWidth="1"/>
    <col min="669" max="669" width="6" customWidth="1"/>
    <col min="670" max="670" width="8.44140625" customWidth="1"/>
    <col min="671" max="671" width="8.5546875" customWidth="1"/>
    <col min="672" max="672" width="6" customWidth="1"/>
    <col min="673" max="673" width="6.44140625" customWidth="1"/>
    <col min="674" max="674" width="5.88671875" customWidth="1"/>
    <col min="675" max="675" width="9.5546875" customWidth="1"/>
    <col min="676" max="676" width="8.5546875" customWidth="1"/>
    <col min="677" max="677" width="10.109375" customWidth="1"/>
    <col min="678" max="678" width="8.109375" customWidth="1"/>
    <col min="679" max="679" width="9.33203125" customWidth="1"/>
    <col min="680" max="682" width="6" customWidth="1"/>
    <col min="683" max="683" width="6.5546875" customWidth="1"/>
    <col min="684" max="684" width="7.6640625" customWidth="1"/>
    <col min="685" max="685" width="9.33203125" customWidth="1"/>
    <col min="686" max="687" width="6" customWidth="1"/>
    <col min="688" max="688" width="7.44140625" customWidth="1"/>
    <col min="689" max="689" width="6.44140625" customWidth="1"/>
    <col min="690" max="690" width="6.6640625" customWidth="1"/>
    <col min="691" max="691" width="8" customWidth="1"/>
    <col min="692" max="692" width="8.44140625" customWidth="1"/>
    <col min="693" max="693" width="6.5546875" customWidth="1"/>
    <col min="694" max="694" width="5.88671875" customWidth="1"/>
    <col min="695" max="695" width="7.33203125" customWidth="1"/>
    <col min="696" max="697" width="6" customWidth="1"/>
    <col min="698" max="698" width="6.88671875" customWidth="1"/>
    <col min="699" max="699" width="8" customWidth="1"/>
    <col min="700" max="700" width="6" customWidth="1"/>
    <col min="701" max="701" width="7.88671875" customWidth="1"/>
    <col min="702" max="702" width="6.109375" customWidth="1"/>
    <col min="703" max="703" width="7" customWidth="1"/>
    <col min="704" max="704" width="6" customWidth="1"/>
    <col min="705" max="705" width="7.6640625" customWidth="1"/>
    <col min="706" max="706" width="7.33203125" customWidth="1"/>
    <col min="707" max="707" width="6" customWidth="1"/>
    <col min="708" max="708" width="6.6640625" customWidth="1"/>
    <col min="709" max="709" width="6" customWidth="1"/>
    <col min="710" max="710" width="7" customWidth="1"/>
    <col min="711" max="712" width="6" customWidth="1"/>
    <col min="713" max="713" width="5.33203125" customWidth="1"/>
    <col min="714" max="714" width="7.109375" customWidth="1"/>
    <col min="715" max="715" width="6.33203125" customWidth="1"/>
    <col min="716" max="716" width="6" customWidth="1"/>
    <col min="717" max="717" width="9.6640625" customWidth="1"/>
    <col min="718" max="718" width="7.88671875" customWidth="1"/>
    <col min="719" max="719" width="5" customWidth="1"/>
    <col min="720" max="720" width="6.109375" customWidth="1"/>
    <col min="721" max="721" width="6" customWidth="1"/>
    <col min="722" max="722" width="7.33203125" customWidth="1"/>
    <col min="723" max="723" width="6.109375" customWidth="1"/>
    <col min="724" max="724" width="7.5546875" customWidth="1"/>
    <col min="725" max="725" width="9.5546875" customWidth="1"/>
    <col min="726" max="726" width="5" customWidth="1"/>
    <col min="727" max="727" width="7" customWidth="1"/>
    <col min="728" max="728" width="5.88671875" customWidth="1"/>
    <col min="729" max="729" width="7.33203125" customWidth="1"/>
    <col min="730" max="730" width="6" customWidth="1"/>
    <col min="731" max="731" width="5.44140625" customWidth="1"/>
    <col min="732" max="732" width="7.33203125" customWidth="1"/>
    <col min="733" max="733" width="6" customWidth="1"/>
    <col min="734" max="734" width="8.109375" customWidth="1"/>
    <col min="735" max="735" width="7.44140625" customWidth="1"/>
    <col min="736" max="736" width="6" customWidth="1"/>
    <col min="737" max="737" width="6.6640625" customWidth="1"/>
    <col min="738" max="738" width="7.44140625" customWidth="1"/>
    <col min="739" max="739" width="6.88671875" customWidth="1"/>
    <col min="740" max="740" width="7.6640625" customWidth="1"/>
    <col min="741" max="741" width="5.44140625" customWidth="1"/>
    <col min="742" max="742" width="6" customWidth="1"/>
    <col min="743" max="743" width="5.88671875" customWidth="1"/>
    <col min="744" max="744" width="7.33203125" customWidth="1"/>
    <col min="745" max="745" width="7.109375" customWidth="1"/>
    <col min="746" max="746" width="6" customWidth="1"/>
    <col min="747" max="747" width="8.5546875" customWidth="1"/>
    <col min="748" max="748" width="6.44140625" customWidth="1"/>
    <col min="749" max="749" width="6" customWidth="1"/>
    <col min="750" max="750" width="5" customWidth="1"/>
    <col min="751" max="752" width="6" customWidth="1"/>
    <col min="753" max="753" width="5" customWidth="1"/>
    <col min="754" max="754" width="7.88671875" customWidth="1"/>
    <col min="755" max="755" width="5" customWidth="1"/>
    <col min="756" max="756" width="6" customWidth="1"/>
    <col min="757" max="757" width="7.109375" customWidth="1"/>
    <col min="758" max="758" width="6.5546875" customWidth="1"/>
    <col min="759" max="759" width="9.44140625" customWidth="1"/>
    <col min="760" max="761" width="10.5546875" customWidth="1"/>
    <col min="762" max="762" width="5" customWidth="1"/>
    <col min="763" max="763" width="6.5546875" customWidth="1"/>
    <col min="764" max="764" width="8.109375" customWidth="1"/>
    <col min="765" max="765" width="10" customWidth="1"/>
    <col min="766" max="767" width="6.109375" customWidth="1"/>
    <col min="768" max="768" width="5.33203125" customWidth="1"/>
    <col min="769" max="769" width="10.33203125" customWidth="1"/>
    <col min="770" max="770" width="6" customWidth="1"/>
    <col min="771" max="771" width="8.44140625" customWidth="1"/>
    <col min="772" max="772" width="6.6640625" customWidth="1"/>
    <col min="773" max="773" width="8.33203125" customWidth="1"/>
    <col min="774" max="774" width="5.6640625" customWidth="1"/>
    <col min="775" max="775" width="9.109375" customWidth="1"/>
    <col min="776" max="778" width="6" customWidth="1"/>
    <col min="779" max="779" width="5" customWidth="1"/>
    <col min="780" max="780" width="9.6640625" customWidth="1"/>
    <col min="781" max="781" width="7.5546875" customWidth="1"/>
    <col min="782" max="782" width="6.33203125" customWidth="1"/>
    <col min="783" max="783" width="5" customWidth="1"/>
    <col min="784" max="784" width="6" customWidth="1"/>
    <col min="785" max="785" width="6.109375" customWidth="1"/>
    <col min="786" max="786" width="10" customWidth="1"/>
    <col min="787" max="787" width="6" customWidth="1"/>
    <col min="788" max="788" width="5" customWidth="1"/>
    <col min="789" max="789" width="6.6640625" customWidth="1"/>
    <col min="790" max="790" width="6.88671875" customWidth="1"/>
    <col min="791" max="791" width="5" customWidth="1"/>
    <col min="792" max="792" width="6" customWidth="1"/>
    <col min="793" max="793" width="6.5546875" customWidth="1"/>
    <col min="794" max="794" width="6.44140625" customWidth="1"/>
    <col min="795" max="797" width="6" customWidth="1"/>
    <col min="798" max="798" width="6.44140625" customWidth="1"/>
    <col min="799" max="799" width="8.109375" customWidth="1"/>
    <col min="800" max="800" width="5" customWidth="1"/>
    <col min="801" max="801" width="7.5546875" customWidth="1"/>
    <col min="802" max="802" width="6.5546875" customWidth="1"/>
    <col min="803" max="804" width="6" customWidth="1"/>
    <col min="805" max="805" width="5" customWidth="1"/>
    <col min="806" max="806" width="7.5546875" customWidth="1"/>
    <col min="807" max="807" width="7.109375" customWidth="1"/>
    <col min="808" max="808" width="17.44140625" customWidth="1"/>
    <col min="809" max="809" width="6" customWidth="1"/>
    <col min="810" max="810" width="5" customWidth="1"/>
    <col min="811" max="811" width="5.33203125" customWidth="1"/>
    <col min="812" max="812" width="5" customWidth="1"/>
    <col min="813" max="813" width="7.44140625" customWidth="1"/>
    <col min="814" max="814" width="5.109375" customWidth="1"/>
    <col min="815" max="815" width="10.109375" customWidth="1"/>
    <col min="816" max="816" width="6.44140625" customWidth="1"/>
    <col min="817" max="817" width="7.109375" customWidth="1"/>
    <col min="818" max="818" width="6.33203125" customWidth="1"/>
    <col min="819" max="819" width="5" customWidth="1"/>
    <col min="820" max="820" width="7.33203125" customWidth="1"/>
    <col min="821" max="821" width="6" customWidth="1"/>
    <col min="822" max="822" width="5" customWidth="1"/>
    <col min="823" max="823" width="7.5546875" customWidth="1"/>
    <col min="824" max="824" width="6" customWidth="1"/>
    <col min="825" max="825" width="6.5546875" customWidth="1"/>
    <col min="826" max="826" width="7.109375" customWidth="1"/>
    <col min="827" max="828" width="5" customWidth="1"/>
    <col min="829" max="829" width="8" customWidth="1"/>
    <col min="830" max="830" width="9" customWidth="1"/>
    <col min="831" max="831" width="7.88671875" customWidth="1"/>
    <col min="832" max="832" width="9.44140625" customWidth="1"/>
    <col min="833" max="833" width="7.109375" customWidth="1"/>
    <col min="834" max="834" width="6" customWidth="1"/>
    <col min="835" max="835" width="5" customWidth="1"/>
    <col min="836" max="837" width="6" customWidth="1"/>
    <col min="838" max="838" width="8.5546875" customWidth="1"/>
    <col min="839" max="839" width="6.88671875" customWidth="1"/>
    <col min="840" max="840" width="5" customWidth="1"/>
    <col min="841" max="841" width="6" customWidth="1"/>
    <col min="842" max="842" width="5" customWidth="1"/>
    <col min="843" max="843" width="6" customWidth="1"/>
    <col min="844" max="844" width="5" customWidth="1"/>
    <col min="845" max="845" width="8.44140625" customWidth="1"/>
    <col min="846" max="846" width="7.33203125" customWidth="1"/>
    <col min="847" max="847" width="9.33203125" customWidth="1"/>
    <col min="848" max="848" width="5" customWidth="1"/>
    <col min="849" max="849" width="6.33203125" customWidth="1"/>
    <col min="850" max="851" width="6" customWidth="1"/>
    <col min="852" max="852" width="12.6640625" customWidth="1"/>
    <col min="853" max="853" width="6.88671875" customWidth="1"/>
    <col min="854" max="854" width="6.33203125" customWidth="1"/>
    <col min="855" max="855" width="5" customWidth="1"/>
    <col min="856" max="856" width="6.5546875" customWidth="1"/>
    <col min="857" max="857" width="7.109375" customWidth="1"/>
    <col min="858" max="858" width="7.5546875" customWidth="1"/>
    <col min="859" max="859" width="9.33203125" customWidth="1"/>
    <col min="860" max="860" width="6" customWidth="1"/>
    <col min="861" max="861" width="7.44140625" customWidth="1"/>
    <col min="862" max="862" width="8.6640625" customWidth="1"/>
    <col min="863" max="863" width="8.44140625" customWidth="1"/>
    <col min="864" max="864" width="7.109375" customWidth="1"/>
    <col min="865" max="865" width="7" customWidth="1"/>
    <col min="866" max="866" width="6.5546875" customWidth="1"/>
    <col min="867" max="867" width="8.5546875" customWidth="1"/>
    <col min="868" max="868" width="11.6640625" customWidth="1"/>
    <col min="869" max="869" width="5" customWidth="1"/>
    <col min="870" max="870" width="6" customWidth="1"/>
    <col min="871" max="872" width="7.5546875" customWidth="1"/>
    <col min="873" max="873" width="6.44140625" customWidth="1"/>
    <col min="874" max="874" width="6.88671875" customWidth="1"/>
    <col min="875" max="875" width="6.44140625" customWidth="1"/>
    <col min="876" max="876" width="6" customWidth="1"/>
    <col min="877" max="877" width="6.33203125" customWidth="1"/>
    <col min="878" max="878" width="7.109375" customWidth="1"/>
    <col min="879" max="879" width="8.88671875" customWidth="1"/>
    <col min="880" max="880" width="6.44140625" customWidth="1"/>
    <col min="881" max="881" width="6" customWidth="1"/>
    <col min="882" max="882" width="5" customWidth="1"/>
    <col min="883" max="883" width="6.6640625" customWidth="1"/>
    <col min="884" max="884" width="7.109375" customWidth="1"/>
    <col min="885" max="885" width="6" customWidth="1"/>
    <col min="886" max="886" width="7.33203125" customWidth="1"/>
    <col min="887" max="887" width="6" customWidth="1"/>
    <col min="888" max="888" width="7.33203125" customWidth="1"/>
    <col min="889" max="889" width="7.44140625" customWidth="1"/>
    <col min="890" max="890" width="11.109375" customWidth="1"/>
    <col min="891" max="891" width="6.6640625" customWidth="1"/>
    <col min="892" max="892" width="6.33203125" customWidth="1"/>
    <col min="893" max="893" width="6" customWidth="1"/>
    <col min="894" max="894" width="6.6640625" customWidth="1"/>
    <col min="895" max="895" width="6" customWidth="1"/>
    <col min="896" max="896" width="7" customWidth="1"/>
    <col min="897" max="897" width="5.5546875" customWidth="1"/>
    <col min="898" max="898" width="6.88671875" customWidth="1"/>
    <col min="899" max="899" width="6" customWidth="1"/>
    <col min="900" max="900" width="5" customWidth="1"/>
    <col min="901" max="901" width="10.44140625" customWidth="1"/>
    <col min="902" max="902" width="5.109375" customWidth="1"/>
    <col min="903" max="903" width="5.5546875" customWidth="1"/>
    <col min="904" max="904" width="9.44140625" customWidth="1"/>
    <col min="905" max="905" width="8.44140625" customWidth="1"/>
    <col min="906" max="906" width="6" customWidth="1"/>
    <col min="907" max="907" width="5.33203125" customWidth="1"/>
    <col min="908" max="908" width="8.33203125" customWidth="1"/>
    <col min="909" max="909" width="6" customWidth="1"/>
    <col min="910" max="910" width="5" customWidth="1"/>
    <col min="911" max="911" width="9" customWidth="1"/>
    <col min="912" max="912" width="8.44140625" customWidth="1"/>
    <col min="913" max="913" width="11" customWidth="1"/>
    <col min="914" max="914" width="8.109375" customWidth="1"/>
    <col min="915" max="915" width="6.44140625" customWidth="1"/>
    <col min="916" max="916" width="7.44140625" customWidth="1"/>
    <col min="917" max="917" width="6.109375" customWidth="1"/>
    <col min="918" max="918" width="7.6640625" customWidth="1"/>
    <col min="919" max="919" width="9" customWidth="1"/>
    <col min="920" max="920" width="5.6640625" customWidth="1"/>
    <col min="921" max="921" width="5" customWidth="1"/>
    <col min="922" max="922" width="11.109375" customWidth="1"/>
    <col min="923" max="923" width="5.44140625" customWidth="1"/>
    <col min="924" max="924" width="5.88671875" customWidth="1"/>
    <col min="925" max="925" width="10" customWidth="1"/>
    <col min="926" max="926" width="6" customWidth="1"/>
    <col min="927" max="927" width="5" customWidth="1"/>
    <col min="928" max="929" width="6" customWidth="1"/>
    <col min="930" max="930" width="5" customWidth="1"/>
    <col min="931" max="931" width="8.109375" customWidth="1"/>
    <col min="932" max="932" width="7" customWidth="1"/>
    <col min="933" max="933" width="7.109375" customWidth="1"/>
    <col min="934" max="934" width="6.88671875" customWidth="1"/>
    <col min="935" max="935" width="6" customWidth="1"/>
    <col min="936" max="936" width="8.6640625" customWidth="1"/>
    <col min="937" max="937" width="8.109375" customWidth="1"/>
    <col min="938" max="939" width="5" customWidth="1"/>
    <col min="940" max="940" width="7.6640625" customWidth="1"/>
    <col min="941" max="941" width="5.44140625" customWidth="1"/>
    <col min="942" max="942" width="8.109375" customWidth="1"/>
    <col min="943" max="943" width="8" customWidth="1"/>
    <col min="944" max="944" width="6" customWidth="1"/>
    <col min="945" max="945" width="7" customWidth="1"/>
    <col min="946" max="946" width="10.5546875" customWidth="1"/>
    <col min="947" max="947" width="6.6640625" customWidth="1"/>
    <col min="948" max="948" width="8.109375" customWidth="1"/>
    <col min="949" max="949" width="5" customWidth="1"/>
    <col min="950" max="950" width="6.44140625" customWidth="1"/>
    <col min="951" max="951" width="8.109375" customWidth="1"/>
    <col min="952" max="952" width="10.88671875" customWidth="1"/>
    <col min="953" max="953" width="8.109375" customWidth="1"/>
    <col min="954" max="954" width="6.44140625" customWidth="1"/>
    <col min="955" max="955" width="6.88671875" customWidth="1"/>
    <col min="956" max="956" width="6" customWidth="1"/>
    <col min="957" max="957" width="9.6640625" customWidth="1"/>
    <col min="958" max="958" width="10.88671875" customWidth="1"/>
    <col min="959" max="959" width="6.88671875" customWidth="1"/>
    <col min="960" max="960" width="6.44140625" customWidth="1"/>
    <col min="961" max="961" width="5" customWidth="1"/>
    <col min="962" max="962" width="9.33203125" customWidth="1"/>
    <col min="963" max="963" width="12.88671875" customWidth="1"/>
    <col min="964" max="964" width="8.6640625" customWidth="1"/>
    <col min="965" max="965" width="6.88671875" customWidth="1"/>
    <col min="966" max="966" width="12.109375" customWidth="1"/>
    <col min="967" max="967" width="6" customWidth="1"/>
    <col min="968" max="968" width="5" customWidth="1"/>
    <col min="969" max="969" width="6.109375" customWidth="1"/>
    <col min="970" max="970" width="7.33203125" customWidth="1"/>
    <col min="971" max="972" width="6" customWidth="1"/>
    <col min="973" max="973" width="5.109375" customWidth="1"/>
    <col min="974" max="974" width="9.44140625" customWidth="1"/>
    <col min="975" max="975" width="7.109375" customWidth="1"/>
    <col min="976" max="976" width="8" customWidth="1"/>
    <col min="977" max="977" width="8.44140625" customWidth="1"/>
    <col min="978" max="978" width="6.44140625" customWidth="1"/>
    <col min="979" max="979" width="11.33203125" customWidth="1"/>
    <col min="980" max="980" width="7.109375" customWidth="1"/>
    <col min="981" max="981" width="5.88671875" customWidth="1"/>
    <col min="982" max="982" width="9.44140625" customWidth="1"/>
    <col min="983" max="983" width="8.5546875" customWidth="1"/>
    <col min="984" max="984" width="6.109375" customWidth="1"/>
    <col min="985" max="985" width="5" customWidth="1"/>
    <col min="986" max="986" width="6.6640625" customWidth="1"/>
    <col min="987" max="987" width="5.109375" customWidth="1"/>
    <col min="988" max="988" width="7.5546875" customWidth="1"/>
    <col min="989" max="989" width="5" customWidth="1"/>
    <col min="990" max="990" width="5.6640625" customWidth="1"/>
    <col min="991" max="991" width="10.109375" customWidth="1"/>
    <col min="992" max="992" width="6" customWidth="1"/>
    <col min="993" max="993" width="8.109375" customWidth="1"/>
    <col min="994" max="994" width="8.6640625" customWidth="1"/>
    <col min="995" max="995" width="6" customWidth="1"/>
    <col min="996" max="996" width="5" customWidth="1"/>
    <col min="997" max="997" width="6.5546875" customWidth="1"/>
    <col min="998" max="998" width="6.6640625" customWidth="1"/>
    <col min="999" max="999" width="9.5546875" customWidth="1"/>
    <col min="1000" max="1000" width="6" customWidth="1"/>
    <col min="1001" max="1001" width="8.33203125" customWidth="1"/>
    <col min="1002" max="1002" width="6" customWidth="1"/>
    <col min="1003" max="1003" width="6.109375" customWidth="1"/>
    <col min="1004" max="1004" width="5.5546875" customWidth="1"/>
    <col min="1005" max="1005" width="6.109375" customWidth="1"/>
    <col min="1006" max="1006" width="5.5546875" customWidth="1"/>
    <col min="1007" max="1007" width="9.109375" customWidth="1"/>
    <col min="1008" max="1008" width="6.33203125" customWidth="1"/>
    <col min="1009" max="1009" width="6.6640625" customWidth="1"/>
    <col min="1010" max="1010" width="5.5546875" customWidth="1"/>
    <col min="1011" max="1011" width="13.5546875" customWidth="1"/>
    <col min="1012" max="1012" width="5.44140625" customWidth="1"/>
    <col min="1013" max="1013" width="5.88671875" customWidth="1"/>
    <col min="1014" max="1014" width="6.6640625" customWidth="1"/>
    <col min="1015" max="1015" width="6.33203125" customWidth="1"/>
    <col min="1016" max="1016" width="5.109375" customWidth="1"/>
    <col min="1017" max="1017" width="6" customWidth="1"/>
    <col min="1018" max="1018" width="10.109375" customWidth="1"/>
    <col min="1019" max="1019" width="6" customWidth="1"/>
    <col min="1020" max="1020" width="8.5546875" customWidth="1"/>
    <col min="1021" max="1021" width="7.6640625" customWidth="1"/>
    <col min="1022" max="1023" width="5" customWidth="1"/>
    <col min="1024" max="1024" width="6" customWidth="1"/>
    <col min="1025" max="1025" width="7.109375" customWidth="1"/>
    <col min="1026" max="1026" width="6.6640625" customWidth="1"/>
    <col min="1027" max="1027" width="6.88671875" customWidth="1"/>
    <col min="1028" max="1028" width="7" customWidth="1"/>
    <col min="1029" max="1029" width="5.44140625" customWidth="1"/>
    <col min="1030" max="1030" width="5.5546875" customWidth="1"/>
    <col min="1031" max="1031" width="6.6640625" customWidth="1"/>
    <col min="1032" max="1032" width="8.44140625" customWidth="1"/>
    <col min="1033" max="1033" width="6.44140625" customWidth="1"/>
    <col min="1034" max="1035" width="6" customWidth="1"/>
    <col min="1036" max="1036" width="5" customWidth="1"/>
    <col min="1037" max="1037" width="5.109375" customWidth="1"/>
    <col min="1038" max="1038" width="8.44140625" customWidth="1"/>
    <col min="1039" max="1039" width="6.44140625" customWidth="1"/>
    <col min="1040" max="1040" width="5" customWidth="1"/>
    <col min="1041" max="1041" width="7" customWidth="1"/>
    <col min="1042" max="1042" width="10.33203125" customWidth="1"/>
    <col min="1043" max="1043" width="8.6640625" customWidth="1"/>
    <col min="1044" max="1044" width="12.6640625" customWidth="1"/>
    <col min="1045" max="1045" width="8.88671875" customWidth="1"/>
    <col min="1046" max="1046" width="7" customWidth="1"/>
    <col min="1047" max="1047" width="5" customWidth="1"/>
    <col min="1048" max="1048" width="6.6640625" customWidth="1"/>
    <col min="1049" max="1049" width="6" customWidth="1"/>
    <col min="1050" max="1050" width="6.5546875" customWidth="1"/>
    <col min="1051" max="1051" width="9.33203125" customWidth="1"/>
    <col min="1052" max="1052" width="6" customWidth="1"/>
    <col min="1053" max="1053" width="5" customWidth="1"/>
    <col min="1054" max="1054" width="8.109375" customWidth="1"/>
    <col min="1055" max="1055" width="10.88671875" customWidth="1"/>
    <col min="1056" max="1056" width="6.6640625" customWidth="1"/>
    <col min="1057" max="1057" width="5.5546875" customWidth="1"/>
    <col min="1058" max="1058" width="5.33203125" customWidth="1"/>
    <col min="1059" max="1059" width="8.5546875" customWidth="1"/>
    <col min="1060" max="1060" width="5" customWidth="1"/>
    <col min="1061" max="1061" width="5.88671875" customWidth="1"/>
    <col min="1062" max="1062" width="7.5546875" customWidth="1"/>
    <col min="1063" max="1063" width="6.44140625" customWidth="1"/>
    <col min="1064" max="1064" width="12.44140625" customWidth="1"/>
    <col min="1065" max="1065" width="6" customWidth="1"/>
    <col min="1066" max="1066" width="6.44140625" customWidth="1"/>
    <col min="1067" max="1067" width="5.109375" customWidth="1"/>
    <col min="1068" max="1068" width="5" customWidth="1"/>
    <col min="1069" max="1069" width="9.44140625" customWidth="1"/>
    <col min="1070" max="1070" width="5" customWidth="1"/>
    <col min="1071" max="1071" width="6.5546875" customWidth="1"/>
    <col min="1072" max="1072" width="6.33203125" customWidth="1"/>
    <col min="1073" max="1073" width="6" customWidth="1"/>
    <col min="1074" max="1075" width="8" customWidth="1"/>
    <col min="1076" max="1076" width="6.5546875" customWidth="1"/>
    <col min="1077" max="1077" width="8" customWidth="1"/>
    <col min="1078" max="1078" width="6" customWidth="1"/>
    <col min="1079" max="1079" width="6.33203125" customWidth="1"/>
    <col min="1080" max="1080" width="6" customWidth="1"/>
    <col min="1081" max="1081" width="5.6640625" customWidth="1"/>
    <col min="1082" max="1082" width="5.44140625" customWidth="1"/>
    <col min="1083" max="1083" width="6" customWidth="1"/>
    <col min="1084" max="1084" width="9.5546875" customWidth="1"/>
    <col min="1085" max="1085" width="7.33203125" customWidth="1"/>
    <col min="1086" max="1086" width="8.44140625" customWidth="1"/>
    <col min="1087" max="1087" width="6.44140625" customWidth="1"/>
    <col min="1088" max="1088" width="6.5546875" customWidth="1"/>
    <col min="1089" max="1089" width="6.33203125" customWidth="1"/>
    <col min="1090" max="1090" width="6" customWidth="1"/>
    <col min="1091" max="1091" width="5" customWidth="1"/>
    <col min="1092" max="1092" width="15" customWidth="1"/>
    <col min="1093" max="1093" width="8.88671875" customWidth="1"/>
    <col min="1094" max="1094" width="8" customWidth="1"/>
    <col min="1095" max="1095" width="5.109375" customWidth="1"/>
    <col min="1096" max="1096" width="6.33203125" customWidth="1"/>
    <col min="1097" max="1098" width="5" customWidth="1"/>
    <col min="1099" max="1099" width="7.5546875" customWidth="1"/>
    <col min="1100" max="1100" width="12.5546875" customWidth="1"/>
    <col min="1101" max="1102" width="6" customWidth="1"/>
    <col min="1103" max="1103" width="6.6640625" customWidth="1"/>
    <col min="1104" max="1104" width="11.109375" customWidth="1"/>
    <col min="1105" max="1105" width="8.109375" customWidth="1"/>
    <col min="1106" max="1106" width="7.5546875" customWidth="1"/>
    <col min="1107" max="1107" width="10.88671875" customWidth="1"/>
    <col min="1108" max="1108" width="8.88671875" customWidth="1"/>
    <col min="1109" max="1109" width="6" customWidth="1"/>
    <col min="1110" max="1110" width="6.109375" customWidth="1"/>
    <col min="1111" max="1111" width="5.33203125" customWidth="1"/>
    <col min="1112" max="1112" width="5" customWidth="1"/>
    <col min="1113" max="1113" width="6.109375" customWidth="1"/>
    <col min="1114" max="1114" width="5" customWidth="1"/>
    <col min="1115" max="1115" width="5.5546875" customWidth="1"/>
    <col min="1116" max="1116" width="6" customWidth="1"/>
    <col min="1117" max="1117" width="6.33203125" customWidth="1"/>
    <col min="1118" max="1118" width="5.5546875" customWidth="1"/>
    <col min="1119" max="1119" width="7.33203125" customWidth="1"/>
    <col min="1120" max="1120" width="5" customWidth="1"/>
    <col min="1121" max="1121" width="6.5546875" customWidth="1"/>
    <col min="1122" max="1122" width="9" customWidth="1"/>
    <col min="1123" max="1123" width="5" customWidth="1"/>
    <col min="1124" max="1124" width="6.44140625" customWidth="1"/>
    <col min="1125" max="1126" width="6" customWidth="1"/>
    <col min="1127" max="1127" width="6.109375" customWidth="1"/>
    <col min="1128" max="1128" width="5.88671875" customWidth="1"/>
    <col min="1129" max="1129" width="5.44140625" customWidth="1"/>
    <col min="1130" max="1130" width="6.44140625" customWidth="1"/>
    <col min="1131" max="1132" width="6" customWidth="1"/>
    <col min="1133" max="1133" width="5" customWidth="1"/>
    <col min="1134" max="1134" width="6" customWidth="1"/>
    <col min="1135" max="1135" width="9" customWidth="1"/>
    <col min="1136" max="1136" width="5.44140625" customWidth="1"/>
    <col min="1137" max="1137" width="5" customWidth="1"/>
    <col min="1138" max="1138" width="6" customWidth="1"/>
    <col min="1139" max="1139" width="10.88671875" customWidth="1"/>
    <col min="1140" max="1140" width="5.109375" customWidth="1"/>
    <col min="1141" max="1141" width="5" customWidth="1"/>
    <col min="1142" max="1142" width="6.33203125" customWidth="1"/>
    <col min="1143" max="1145" width="6" customWidth="1"/>
    <col min="1146" max="1146" width="6.44140625" customWidth="1"/>
    <col min="1147" max="1148" width="6" customWidth="1"/>
    <col min="1149" max="1149" width="8.44140625" customWidth="1"/>
    <col min="1150" max="1151" width="5" customWidth="1"/>
    <col min="1152" max="1152" width="7.33203125" customWidth="1"/>
    <col min="1153" max="1153" width="6" customWidth="1"/>
    <col min="1154" max="1154" width="8.109375" customWidth="1"/>
    <col min="1155" max="1155" width="5.6640625" customWidth="1"/>
    <col min="1156" max="1156" width="5.109375" customWidth="1"/>
    <col min="1157" max="1157" width="5.33203125" customWidth="1"/>
    <col min="1158" max="1158" width="5" customWidth="1"/>
    <col min="1159" max="1159" width="7.44140625" customWidth="1"/>
    <col min="1160" max="1160" width="6.109375" customWidth="1"/>
    <col min="1161" max="1161" width="7" customWidth="1"/>
    <col min="1162" max="1163" width="6" customWidth="1"/>
    <col min="1164" max="1164" width="6.5546875" customWidth="1"/>
    <col min="1165" max="1165" width="11" customWidth="1"/>
    <col min="1166" max="1166" width="6.5546875" customWidth="1"/>
    <col min="1167" max="1167" width="9.33203125" customWidth="1"/>
    <col min="1168" max="1168" width="5" customWidth="1"/>
    <col min="1169" max="1169" width="8.88671875" customWidth="1"/>
    <col min="1170" max="1170" width="6.44140625" customWidth="1"/>
    <col min="1171" max="1171" width="5" customWidth="1"/>
    <col min="1172" max="1172" width="5.5546875" customWidth="1"/>
    <col min="1173" max="1173" width="6.88671875" customWidth="1"/>
    <col min="1174" max="1174" width="5" customWidth="1"/>
    <col min="1175" max="1175" width="6" customWidth="1"/>
    <col min="1176" max="1176" width="5.6640625" customWidth="1"/>
    <col min="1177" max="1177" width="6.5546875" customWidth="1"/>
    <col min="1178" max="1178" width="5" customWidth="1"/>
    <col min="1179" max="1179" width="6.6640625" customWidth="1"/>
    <col min="1180" max="1180" width="7.33203125" customWidth="1"/>
    <col min="1181" max="1181" width="7.6640625" customWidth="1"/>
    <col min="1182" max="1182" width="8.44140625" customWidth="1"/>
    <col min="1183" max="1183" width="10.109375" customWidth="1"/>
    <col min="1184" max="1184" width="7.6640625" customWidth="1"/>
    <col min="1185" max="1185" width="5" customWidth="1"/>
    <col min="1186" max="1186" width="6.44140625" customWidth="1"/>
    <col min="1187" max="1187" width="5.44140625" customWidth="1"/>
    <col min="1188" max="1189" width="6" customWidth="1"/>
    <col min="1190" max="1190" width="8.33203125" customWidth="1"/>
    <col min="1191" max="1191" width="7" customWidth="1"/>
    <col min="1192" max="1192" width="6.44140625" customWidth="1"/>
    <col min="1193" max="1193" width="5" customWidth="1"/>
    <col min="1194" max="1194" width="6.88671875" customWidth="1"/>
    <col min="1195" max="1195" width="6" customWidth="1"/>
    <col min="1196" max="1196" width="6.5546875" customWidth="1"/>
    <col min="1197" max="1197" width="7.6640625" customWidth="1"/>
    <col min="1198" max="1198" width="6.33203125" customWidth="1"/>
    <col min="1199" max="1199" width="5" customWidth="1"/>
    <col min="1200" max="1200" width="6" customWidth="1"/>
    <col min="1201" max="1201" width="5" customWidth="1"/>
    <col min="1202" max="1202" width="5.88671875" customWidth="1"/>
    <col min="1203" max="1203" width="7" customWidth="1"/>
    <col min="1204" max="1204" width="7.44140625" customWidth="1"/>
    <col min="1205" max="1205" width="10.88671875" customWidth="1"/>
    <col min="1206" max="1206" width="8" customWidth="1"/>
    <col min="1207" max="1207" width="7.88671875" customWidth="1"/>
    <col min="1208" max="1208" width="6.44140625" customWidth="1"/>
    <col min="1209" max="1209" width="7.88671875" customWidth="1"/>
    <col min="1210" max="1210" width="7.6640625" customWidth="1"/>
    <col min="1211" max="1212" width="6" customWidth="1"/>
    <col min="1213" max="1213" width="7.33203125" customWidth="1"/>
    <col min="1214" max="1214" width="5" customWidth="1"/>
    <col min="1215" max="1215" width="12" customWidth="1"/>
    <col min="1216" max="1219" width="7.33203125" customWidth="1"/>
    <col min="1220" max="1222" width="10" customWidth="1"/>
    <col min="1223" max="1223" width="7" customWidth="1"/>
    <col min="1224" max="1224" width="5.88671875" customWidth="1"/>
    <col min="1225" max="1225" width="9.33203125" customWidth="1"/>
    <col min="1226" max="1226" width="6" customWidth="1"/>
    <col min="1227" max="1227" width="7.5546875" customWidth="1"/>
    <col min="1228" max="1228" width="7.44140625" customWidth="1"/>
    <col min="1229" max="1229" width="7" customWidth="1"/>
    <col min="1230" max="1230" width="7.88671875" customWidth="1"/>
    <col min="1231" max="1231" width="10.88671875" customWidth="1"/>
    <col min="1232" max="1233" width="6.6640625" customWidth="1"/>
    <col min="1234" max="1234" width="9.6640625" customWidth="1"/>
    <col min="1235" max="1235" width="8.6640625" customWidth="1"/>
    <col min="1236" max="1236" width="6.109375" customWidth="1"/>
    <col min="1237" max="1237" width="5" customWidth="1"/>
    <col min="1238" max="1238" width="7.6640625" customWidth="1"/>
    <col min="1239" max="1239" width="6" customWidth="1"/>
    <col min="1240" max="1240" width="6.109375" customWidth="1"/>
    <col min="1241" max="1241" width="7.88671875" customWidth="1"/>
    <col min="1242" max="1242" width="5.88671875" customWidth="1"/>
    <col min="1243" max="1243" width="5" customWidth="1"/>
    <col min="1244" max="1244" width="7.33203125" customWidth="1"/>
    <col min="1245" max="1245" width="12.5546875" customWidth="1"/>
    <col min="1246" max="1246" width="7.44140625" customWidth="1"/>
    <col min="1247" max="1247" width="6" customWidth="1"/>
    <col min="1248" max="1248" width="6.44140625" customWidth="1"/>
    <col min="1249" max="1249" width="9" customWidth="1"/>
    <col min="1250" max="1250" width="6" customWidth="1"/>
    <col min="1251" max="1251" width="8.109375" customWidth="1"/>
    <col min="1252" max="1252" width="8" customWidth="1"/>
    <col min="1253" max="1253" width="8.44140625" customWidth="1"/>
    <col min="1254" max="1254" width="6.109375" customWidth="1"/>
    <col min="1255" max="1255" width="7.6640625" customWidth="1"/>
    <col min="1256" max="1257" width="7" customWidth="1"/>
    <col min="1258" max="1258" width="7.109375" customWidth="1"/>
    <col min="1259" max="1259" width="6.33203125" customWidth="1"/>
    <col min="1260" max="1260" width="5" customWidth="1"/>
    <col min="1261" max="1262" width="6" customWidth="1"/>
    <col min="1263" max="1263" width="8.5546875" customWidth="1"/>
    <col min="1264" max="1264" width="6.5546875" customWidth="1"/>
    <col min="1265" max="1266" width="7.6640625" customWidth="1"/>
    <col min="1267" max="1267" width="6" customWidth="1"/>
    <col min="1268" max="1268" width="7" customWidth="1"/>
    <col min="1269" max="1269" width="5" customWidth="1"/>
    <col min="1270" max="1270" width="11.5546875" customWidth="1"/>
    <col min="1271" max="1272" width="7.33203125" customWidth="1"/>
    <col min="1273" max="1273" width="6" customWidth="1"/>
    <col min="1274" max="1275" width="5" customWidth="1"/>
    <col min="1276" max="1276" width="7.5546875" customWidth="1"/>
    <col min="1277" max="1277" width="5.5546875" customWidth="1"/>
    <col min="1278" max="1278" width="6.109375" customWidth="1"/>
    <col min="1279" max="1279" width="6.33203125" customWidth="1"/>
    <col min="1280" max="1280" width="6" customWidth="1"/>
    <col min="1281" max="1281" width="9.6640625" customWidth="1"/>
    <col min="1282" max="1282" width="8.5546875" customWidth="1"/>
    <col min="1283" max="1283" width="7.109375" customWidth="1"/>
    <col min="1284" max="1286" width="6" customWidth="1"/>
    <col min="1287" max="1287" width="10.5546875" customWidth="1"/>
    <col min="1288" max="1288" width="5" customWidth="1"/>
    <col min="1289" max="1289" width="9" customWidth="1"/>
    <col min="1290" max="1290" width="5.44140625" customWidth="1"/>
    <col min="1291" max="1291" width="6" customWidth="1"/>
    <col min="1292" max="1292" width="7.109375" customWidth="1"/>
    <col min="1293" max="1293" width="6" customWidth="1"/>
    <col min="1294" max="1294" width="7" customWidth="1"/>
    <col min="1295" max="1295" width="5" customWidth="1"/>
    <col min="1296" max="1296" width="6" customWidth="1"/>
    <col min="1297" max="1297" width="5.6640625" customWidth="1"/>
    <col min="1298" max="1298" width="5" customWidth="1"/>
    <col min="1299" max="1299" width="7.33203125" customWidth="1"/>
    <col min="1300" max="1300" width="6.5546875" customWidth="1"/>
    <col min="1301" max="1301" width="7.33203125" customWidth="1"/>
    <col min="1302" max="1302" width="9.33203125" customWidth="1"/>
    <col min="1303" max="1303" width="6.44140625" customWidth="1"/>
    <col min="1304" max="1304" width="7" customWidth="1"/>
    <col min="1305" max="1305" width="6.44140625" customWidth="1"/>
    <col min="1306" max="1306" width="7.44140625" customWidth="1"/>
    <col min="1307" max="1307" width="7.33203125" customWidth="1"/>
    <col min="1308" max="1308" width="5" customWidth="1"/>
    <col min="1309" max="1309" width="7.33203125" customWidth="1"/>
    <col min="1310" max="1310" width="7.44140625" customWidth="1"/>
    <col min="1311" max="1311" width="6" customWidth="1"/>
    <col min="1312" max="1312" width="6.109375" customWidth="1"/>
    <col min="1313" max="1313" width="11.44140625" customWidth="1"/>
    <col min="1314" max="1314" width="5.44140625" customWidth="1"/>
    <col min="1315" max="1315" width="5.6640625" customWidth="1"/>
    <col min="1316" max="1316" width="8.33203125" customWidth="1"/>
    <col min="1317" max="1317" width="7.33203125" customWidth="1"/>
    <col min="1318" max="1318" width="7.6640625" customWidth="1"/>
    <col min="1319" max="1319" width="6" customWidth="1"/>
    <col min="1320" max="1320" width="11.88671875" customWidth="1"/>
    <col min="1321" max="1321" width="10.5546875" customWidth="1"/>
    <col min="1322" max="1322" width="5.33203125" customWidth="1"/>
    <col min="1323" max="1324" width="6" customWidth="1"/>
    <col min="1325" max="1325" width="5.109375" customWidth="1"/>
    <col min="1326" max="1326" width="6.5546875" customWidth="1"/>
    <col min="1327" max="1327" width="8.5546875" customWidth="1"/>
    <col min="1328" max="1328" width="9.109375" customWidth="1"/>
    <col min="1329" max="1329" width="6" customWidth="1"/>
    <col min="1330" max="1330" width="5.109375" customWidth="1"/>
    <col min="1331" max="1331" width="7.33203125" customWidth="1"/>
    <col min="1332" max="1333" width="6" customWidth="1"/>
    <col min="1334" max="1334" width="8.109375" customWidth="1"/>
    <col min="1335" max="1335" width="7.44140625" customWidth="1"/>
    <col min="1336" max="1336" width="6.33203125" customWidth="1"/>
    <col min="1337" max="1337" width="7" customWidth="1"/>
    <col min="1338" max="1338" width="6.109375" customWidth="1"/>
    <col min="1339" max="1339" width="5.44140625" customWidth="1"/>
    <col min="1340" max="1340" width="5" customWidth="1"/>
    <col min="1341" max="1341" width="8.33203125" customWidth="1"/>
    <col min="1342" max="1342" width="6.6640625" customWidth="1"/>
    <col min="1343" max="1343" width="7" customWidth="1"/>
    <col min="1344" max="1344" width="9" customWidth="1"/>
    <col min="1345" max="1345" width="7.109375" customWidth="1"/>
    <col min="1346" max="1346" width="8" customWidth="1"/>
    <col min="1347" max="1347" width="5" customWidth="1"/>
    <col min="1348" max="1348" width="7.109375" customWidth="1"/>
    <col min="1349" max="1350" width="5" customWidth="1"/>
    <col min="1351" max="1351" width="5.6640625" customWidth="1"/>
    <col min="1352" max="1352" width="10.109375" customWidth="1"/>
    <col min="1353" max="1354" width="5" customWidth="1"/>
    <col min="1355" max="1355" width="6.5546875" customWidth="1"/>
    <col min="1356" max="1356" width="5" customWidth="1"/>
    <col min="1357" max="1357" width="7.44140625" customWidth="1"/>
    <col min="1358" max="1358" width="8.5546875" customWidth="1"/>
    <col min="1359" max="1359" width="9.44140625" customWidth="1"/>
    <col min="1360" max="1360" width="5" customWidth="1"/>
    <col min="1361" max="1361" width="6.44140625" customWidth="1"/>
    <col min="1362" max="1362" width="5.44140625" customWidth="1"/>
    <col min="1363" max="1363" width="6" customWidth="1"/>
    <col min="1364" max="1364" width="11" customWidth="1"/>
    <col min="1365" max="1365" width="6" customWidth="1"/>
    <col min="1366" max="1366" width="5.109375" customWidth="1"/>
    <col min="1367" max="1367" width="9.33203125" customWidth="1"/>
    <col min="1368" max="1368" width="6" customWidth="1"/>
    <col min="1369" max="1369" width="10.33203125" customWidth="1"/>
    <col min="1370" max="1370" width="6.109375" customWidth="1"/>
    <col min="1371" max="1371" width="12.33203125" customWidth="1"/>
    <col min="1372" max="1373" width="5" customWidth="1"/>
    <col min="1374" max="1374" width="7.44140625" customWidth="1"/>
    <col min="1375" max="1375" width="6" customWidth="1"/>
    <col min="1376" max="1376" width="8.88671875" customWidth="1"/>
    <col min="1377" max="1377" width="7.44140625" customWidth="1"/>
    <col min="1378" max="1378" width="6.88671875" customWidth="1"/>
    <col min="1379" max="1379" width="6.44140625" customWidth="1"/>
    <col min="1380" max="1380" width="6.6640625" customWidth="1"/>
    <col min="1381" max="1381" width="6.109375" customWidth="1"/>
    <col min="1382" max="1382" width="5.109375" customWidth="1"/>
    <col min="1383" max="1383" width="9.33203125" customWidth="1"/>
    <col min="1384" max="1384" width="6" customWidth="1"/>
    <col min="1385" max="1385" width="6.88671875" customWidth="1"/>
    <col min="1386" max="1386" width="5.88671875" customWidth="1"/>
    <col min="1387" max="1387" width="5.33203125" customWidth="1"/>
    <col min="1388" max="1388" width="5.6640625" customWidth="1"/>
    <col min="1389" max="1389" width="6" customWidth="1"/>
    <col min="1390" max="1390" width="6.33203125" customWidth="1"/>
    <col min="1391" max="1391" width="6.109375" customWidth="1"/>
    <col min="1392" max="1392" width="5" customWidth="1"/>
    <col min="1393" max="1393" width="8.6640625" customWidth="1"/>
    <col min="1394" max="1394" width="6" customWidth="1"/>
    <col min="1395" max="1395" width="6.33203125" customWidth="1"/>
    <col min="1396" max="1396" width="6.6640625" customWidth="1"/>
    <col min="1397" max="1397" width="6.88671875" customWidth="1"/>
    <col min="1398" max="1398" width="6" customWidth="1"/>
    <col min="1399" max="1399" width="7" customWidth="1"/>
    <col min="1400" max="1400" width="6" customWidth="1"/>
    <col min="1401" max="1401" width="8.109375" customWidth="1"/>
    <col min="1402" max="1402" width="6.6640625" customWidth="1"/>
    <col min="1403" max="1403" width="6" customWidth="1"/>
    <col min="1404" max="1404" width="6.109375" customWidth="1"/>
    <col min="1405" max="1405" width="6" customWidth="1"/>
    <col min="1406" max="1406" width="6.33203125" customWidth="1"/>
    <col min="1407" max="1407" width="5" customWidth="1"/>
    <col min="1408" max="1408" width="6.33203125" customWidth="1"/>
    <col min="1409" max="1409" width="5" customWidth="1"/>
    <col min="1410" max="1410" width="6.6640625" customWidth="1"/>
    <col min="1411" max="1411" width="7.44140625" customWidth="1"/>
    <col min="1412" max="1412" width="8.109375" customWidth="1"/>
    <col min="1413" max="1413" width="6.5546875" customWidth="1"/>
    <col min="1414" max="1414" width="12.109375" customWidth="1"/>
    <col min="1415" max="1415" width="6" customWidth="1"/>
    <col min="1416" max="1416" width="6.109375" customWidth="1"/>
    <col min="1417" max="1417" width="7.109375" customWidth="1"/>
    <col min="1418" max="1418" width="6" customWidth="1"/>
    <col min="1419" max="1419" width="7.5546875" customWidth="1"/>
    <col min="1420" max="1420" width="7" customWidth="1"/>
    <col min="1421" max="1421" width="6" customWidth="1"/>
    <col min="1422" max="1422" width="10.6640625" customWidth="1"/>
    <col min="1423" max="1423" width="5" customWidth="1"/>
    <col min="1424" max="1424" width="6.6640625" customWidth="1"/>
    <col min="1425" max="1426" width="8.88671875" customWidth="1"/>
    <col min="1427" max="1427" width="7.5546875" customWidth="1"/>
    <col min="1428" max="1428" width="7" customWidth="1"/>
    <col min="1429" max="1429" width="6.44140625" customWidth="1"/>
    <col min="1430" max="1430" width="6.33203125" customWidth="1"/>
    <col min="1431" max="1431" width="5.88671875" customWidth="1"/>
    <col min="1432" max="1432" width="9.109375" customWidth="1"/>
    <col min="1433" max="1433" width="11.5546875" customWidth="1"/>
    <col min="1434" max="1434" width="7.44140625" customWidth="1"/>
    <col min="1435" max="1435" width="5.88671875" customWidth="1"/>
    <col min="1436" max="1436" width="6" customWidth="1"/>
    <col min="1437" max="1437" width="7" customWidth="1"/>
    <col min="1438" max="1438" width="6" customWidth="1"/>
    <col min="1439" max="1439" width="12.5546875" customWidth="1"/>
    <col min="1440" max="1440" width="6" customWidth="1"/>
    <col min="1441" max="1441" width="7.109375" customWidth="1"/>
    <col min="1442" max="1442" width="10" customWidth="1"/>
    <col min="1443" max="1444" width="6" customWidth="1"/>
    <col min="1445" max="1445" width="5" customWidth="1"/>
    <col min="1446" max="1446" width="7" customWidth="1"/>
    <col min="1447" max="1447" width="6.44140625" customWidth="1"/>
    <col min="1448" max="1448" width="9.88671875" customWidth="1"/>
    <col min="1449" max="1449" width="5.6640625" customWidth="1"/>
    <col min="1450" max="1450" width="5.88671875" customWidth="1"/>
    <col min="1451" max="1451" width="6.6640625" customWidth="1"/>
    <col min="1452" max="1452" width="10.33203125" customWidth="1"/>
    <col min="1453" max="1453" width="5.5546875" customWidth="1"/>
    <col min="1454" max="1454" width="8.6640625" customWidth="1"/>
    <col min="1455" max="1455" width="6" customWidth="1"/>
    <col min="1456" max="1456" width="8.109375" customWidth="1"/>
    <col min="1457" max="1457" width="6" customWidth="1"/>
    <col min="1458" max="1458" width="8.33203125" customWidth="1"/>
    <col min="1459" max="1459" width="6" customWidth="1"/>
    <col min="1460" max="1460" width="6.33203125" customWidth="1"/>
    <col min="1461" max="1461" width="6.88671875" customWidth="1"/>
    <col min="1462" max="1462" width="8" customWidth="1"/>
    <col min="1463" max="1463" width="7.88671875" customWidth="1"/>
    <col min="1464" max="1464" width="7.109375" customWidth="1"/>
    <col min="1465" max="1465" width="7" customWidth="1"/>
    <col min="1466" max="1466" width="8.44140625" customWidth="1"/>
    <col min="1467" max="1468" width="6" customWidth="1"/>
    <col min="1469" max="1469" width="6.33203125" customWidth="1"/>
    <col min="1470" max="1470" width="6.6640625" customWidth="1"/>
    <col min="1471" max="1471" width="10.33203125" customWidth="1"/>
    <col min="1472" max="1472" width="6" customWidth="1"/>
    <col min="1473" max="1473" width="7.109375" customWidth="1"/>
    <col min="1474" max="1474" width="7" customWidth="1"/>
    <col min="1475" max="1475" width="6" customWidth="1"/>
    <col min="1476" max="1476" width="8.44140625" customWidth="1"/>
    <col min="1477" max="1477" width="8.5546875" customWidth="1"/>
    <col min="1478" max="1478" width="6" customWidth="1"/>
    <col min="1479" max="1479" width="6.44140625" customWidth="1"/>
    <col min="1480" max="1480" width="5.88671875" customWidth="1"/>
    <col min="1481" max="1481" width="9.5546875" customWidth="1"/>
    <col min="1482" max="1482" width="8.5546875" customWidth="1"/>
    <col min="1483" max="1483" width="10.109375" customWidth="1"/>
    <col min="1484" max="1484" width="8.109375" customWidth="1"/>
    <col min="1485" max="1485" width="9.33203125" customWidth="1"/>
    <col min="1486" max="1486" width="5.88671875" customWidth="1"/>
    <col min="1487" max="1488" width="6" customWidth="1"/>
    <col min="1489" max="1489" width="6.5546875" customWidth="1"/>
    <col min="1490" max="1490" width="7.6640625" customWidth="1"/>
    <col min="1491" max="1491" width="9.33203125" customWidth="1"/>
    <col min="1492" max="1492" width="6" customWidth="1"/>
    <col min="1493" max="1493" width="5" customWidth="1"/>
    <col min="1494" max="1494" width="7.44140625" customWidth="1"/>
    <col min="1495" max="1495" width="6.44140625" customWidth="1"/>
    <col min="1496" max="1496" width="6.6640625" customWidth="1"/>
    <col min="1497" max="1497" width="8" customWidth="1"/>
    <col min="1498" max="1498" width="8.44140625" customWidth="1"/>
    <col min="1499" max="1499" width="6.5546875" customWidth="1"/>
    <col min="1500" max="1500" width="5.88671875" customWidth="1"/>
    <col min="1501" max="1501" width="7.33203125" customWidth="1"/>
    <col min="1502" max="1502" width="5.5546875" customWidth="1"/>
    <col min="1503" max="1503" width="5.44140625" customWidth="1"/>
    <col min="1504" max="1504" width="6.88671875" customWidth="1"/>
    <col min="1505" max="1505" width="8" customWidth="1"/>
    <col min="1506" max="1506" width="5" customWidth="1"/>
    <col min="1507" max="1507" width="7.88671875" customWidth="1"/>
    <col min="1508" max="1508" width="6.109375" customWidth="1"/>
    <col min="1509" max="1509" width="7" customWidth="1"/>
    <col min="1510" max="1510" width="5.5546875" customWidth="1"/>
    <col min="1511" max="1511" width="7.6640625" customWidth="1"/>
    <col min="1512" max="1512" width="7.33203125" customWidth="1"/>
    <col min="1513" max="1513" width="6" customWidth="1"/>
    <col min="1514" max="1514" width="6.6640625" customWidth="1"/>
    <col min="1515" max="1515" width="6" customWidth="1"/>
    <col min="1516" max="1516" width="7" customWidth="1"/>
    <col min="1517" max="1517" width="6" customWidth="1"/>
    <col min="1518" max="1518" width="5" customWidth="1"/>
    <col min="1519" max="1519" width="5.33203125" customWidth="1"/>
    <col min="1520" max="1520" width="7.109375" customWidth="1"/>
    <col min="1521" max="1521" width="6.33203125" customWidth="1"/>
    <col min="1522" max="1522" width="5.88671875" customWidth="1"/>
    <col min="1523" max="1523" width="9.6640625" customWidth="1"/>
    <col min="1524" max="1524" width="7.88671875" customWidth="1"/>
    <col min="1525" max="1525" width="5" customWidth="1"/>
    <col min="1526" max="1526" width="6.109375" customWidth="1"/>
    <col min="1527" max="1527" width="5" customWidth="1"/>
    <col min="1528" max="1528" width="7.33203125" customWidth="1"/>
    <col min="1529" max="1529" width="6.109375" customWidth="1"/>
    <col min="1530" max="1530" width="7.5546875" customWidth="1"/>
    <col min="1531" max="1531" width="9.5546875" customWidth="1"/>
    <col min="1532" max="1532" width="5" customWidth="1"/>
    <col min="1533" max="1533" width="7" customWidth="1"/>
    <col min="1534" max="1534" width="5.88671875" customWidth="1"/>
    <col min="1535" max="1535" width="7.33203125" customWidth="1"/>
    <col min="1536" max="1536" width="6" customWidth="1"/>
    <col min="1537" max="1537" width="5.44140625" customWidth="1"/>
    <col min="1538" max="1538" width="7.33203125" customWidth="1"/>
    <col min="1539" max="1539" width="5.5546875" customWidth="1"/>
    <col min="1540" max="1540" width="8.109375" customWidth="1"/>
    <col min="1541" max="1541" width="7.44140625" customWidth="1"/>
    <col min="1542" max="1542" width="6" customWidth="1"/>
    <col min="1543" max="1543" width="6.6640625" customWidth="1"/>
    <col min="1544" max="1544" width="7.44140625" customWidth="1"/>
    <col min="1545" max="1545" width="6.88671875" customWidth="1"/>
    <col min="1546" max="1546" width="7.6640625" customWidth="1"/>
    <col min="1547" max="1547" width="5.44140625" customWidth="1"/>
    <col min="1548" max="1548" width="5" customWidth="1"/>
    <col min="1549" max="1549" width="5.88671875" customWidth="1"/>
    <col min="1550" max="1550" width="7.33203125" customWidth="1"/>
    <col min="1551" max="1551" width="7.109375" customWidth="1"/>
    <col min="1552" max="1552" width="6" customWidth="1"/>
    <col min="1553" max="1553" width="8.5546875" customWidth="1"/>
    <col min="1554" max="1554" width="6.44140625" customWidth="1"/>
    <col min="1555" max="1555" width="6" customWidth="1"/>
    <col min="1556" max="1556" width="5" customWidth="1"/>
    <col min="1557" max="1557" width="6" customWidth="1"/>
    <col min="1558" max="1559" width="5" customWidth="1"/>
    <col min="1560" max="1560" width="7.88671875" customWidth="1"/>
    <col min="1561" max="1562" width="5" customWidth="1"/>
    <col min="1563" max="1563" width="7.109375" customWidth="1"/>
    <col min="1564" max="1564" width="6.5546875" customWidth="1"/>
    <col min="1565" max="1565" width="9.44140625" customWidth="1"/>
    <col min="1566" max="1567" width="10.5546875" customWidth="1"/>
    <col min="1568" max="1568" width="5" customWidth="1"/>
    <col min="1569" max="1569" width="6.5546875" customWidth="1"/>
    <col min="1570" max="1570" width="8.109375" customWidth="1"/>
    <col min="1571" max="1571" width="10" customWidth="1"/>
    <col min="1572" max="1573" width="6.109375" customWidth="1"/>
    <col min="1574" max="1574" width="5.33203125" customWidth="1"/>
    <col min="1575" max="1575" width="10.33203125" customWidth="1"/>
    <col min="1576" max="1576" width="6" customWidth="1"/>
    <col min="1577" max="1577" width="8.44140625" customWidth="1"/>
    <col min="1578" max="1578" width="6.6640625" customWidth="1"/>
    <col min="1579" max="1579" width="8.33203125" customWidth="1"/>
    <col min="1580" max="1580" width="5.6640625" customWidth="1"/>
    <col min="1581" max="1581" width="9.109375" customWidth="1"/>
    <col min="1582" max="1583" width="6" customWidth="1"/>
    <col min="1584" max="1585" width="5" customWidth="1"/>
    <col min="1586" max="1586" width="9.6640625" customWidth="1"/>
    <col min="1587" max="1587" width="7.5546875" customWidth="1"/>
    <col min="1588" max="1588" width="6.33203125" customWidth="1"/>
    <col min="1589" max="1590" width="5" customWidth="1"/>
    <col min="1591" max="1591" width="6.109375" customWidth="1"/>
    <col min="1592" max="1592" width="10" customWidth="1"/>
    <col min="1593" max="1594" width="5" customWidth="1"/>
    <col min="1595" max="1595" width="6.6640625" customWidth="1"/>
    <col min="1596" max="1596" width="6.88671875" customWidth="1"/>
    <col min="1597" max="1597" width="5" customWidth="1"/>
    <col min="1598" max="1598" width="6" customWidth="1"/>
    <col min="1599" max="1599" width="6.5546875" customWidth="1"/>
    <col min="1600" max="1600" width="6.44140625" customWidth="1"/>
    <col min="1601" max="1601" width="5.33203125" customWidth="1"/>
    <col min="1602" max="1603" width="6" customWidth="1"/>
    <col min="1604" max="1604" width="6.44140625" customWidth="1"/>
    <col min="1605" max="1605" width="8.109375" customWidth="1"/>
    <col min="1606" max="1606" width="5" customWidth="1"/>
    <col min="1607" max="1607" width="7.5546875" customWidth="1"/>
    <col min="1608" max="1608" width="6.5546875" customWidth="1"/>
    <col min="1609" max="1609" width="5.5546875" customWidth="1"/>
    <col min="1610" max="1611" width="5" customWidth="1"/>
    <col min="1612" max="1612" width="7.5546875" customWidth="1"/>
    <col min="1613" max="1613" width="7.109375" customWidth="1"/>
    <col min="1614" max="1614" width="19.33203125" customWidth="1"/>
    <col min="1615" max="1615" width="4.44140625" customWidth="1"/>
    <col min="1616" max="1616" width="3" customWidth="1"/>
    <col min="1617" max="1617" width="5.33203125" customWidth="1"/>
    <col min="1618" max="1618" width="5" customWidth="1"/>
    <col min="1619" max="1619" width="7.44140625" customWidth="1"/>
    <col min="1620" max="1620" width="5.109375" customWidth="1"/>
    <col min="1621" max="1621" width="10.109375" customWidth="1"/>
    <col min="1622" max="1622" width="6.44140625" customWidth="1"/>
    <col min="1623" max="1623" width="7.109375" customWidth="1"/>
    <col min="1624" max="1624" width="6.33203125" customWidth="1"/>
    <col min="1625" max="1625" width="5" customWidth="1"/>
    <col min="1626" max="1626" width="7.33203125" customWidth="1"/>
    <col min="1627" max="1628" width="5" customWidth="1"/>
    <col min="1629" max="1629" width="7.5546875" customWidth="1"/>
    <col min="1630" max="1630" width="5" customWidth="1"/>
    <col min="1631" max="1631" width="6.5546875" customWidth="1"/>
    <col min="1632" max="1632" width="7.109375" customWidth="1"/>
    <col min="1633" max="1633" width="5" customWidth="1"/>
    <col min="1634" max="1634" width="6" customWidth="1"/>
    <col min="1635" max="1635" width="8" customWidth="1"/>
    <col min="1636" max="1636" width="9" customWidth="1"/>
    <col min="1637" max="1637" width="7.88671875" customWidth="1"/>
    <col min="1638" max="1638" width="9.44140625" customWidth="1"/>
    <col min="1639" max="1639" width="7.109375" customWidth="1"/>
    <col min="1640" max="1640" width="6" customWidth="1"/>
    <col min="1641" max="1641" width="4.109375" customWidth="1"/>
    <col min="1642" max="1642" width="5" customWidth="1"/>
    <col min="1643" max="1643" width="5.33203125" customWidth="1"/>
    <col min="1644" max="1644" width="8.5546875" customWidth="1"/>
    <col min="1645" max="1645" width="6.88671875" customWidth="1"/>
    <col min="1646" max="1646" width="4.6640625" customWidth="1"/>
    <col min="1647" max="1647" width="4.33203125" customWidth="1"/>
    <col min="1648" max="1648" width="5" customWidth="1"/>
    <col min="1649" max="1649" width="5.44140625" customWidth="1"/>
    <col min="1650" max="1650" width="5" customWidth="1"/>
    <col min="1651" max="1651" width="8.44140625" customWidth="1"/>
    <col min="1652" max="1652" width="7.33203125" customWidth="1"/>
    <col min="1653" max="1653" width="9.33203125" customWidth="1"/>
    <col min="1654" max="1654" width="4.6640625" customWidth="1"/>
    <col min="1655" max="1655" width="6.33203125" customWidth="1"/>
    <col min="1656" max="1656" width="6" customWidth="1"/>
    <col min="1657" max="1657" width="4.44140625" customWidth="1"/>
    <col min="1658" max="1658" width="12.6640625" customWidth="1"/>
    <col min="1659" max="1659" width="6.88671875" customWidth="1"/>
    <col min="1660" max="1660" width="6.33203125" customWidth="1"/>
    <col min="1661" max="1661" width="4" customWidth="1"/>
    <col min="1662" max="1662" width="6.5546875" customWidth="1"/>
    <col min="1663" max="1663" width="7.109375" customWidth="1"/>
    <col min="1664" max="1664" width="7.5546875" customWidth="1"/>
    <col min="1665" max="1665" width="9.33203125" customWidth="1"/>
    <col min="1666" max="1666" width="6" customWidth="1"/>
    <col min="1667" max="1667" width="7.44140625" customWidth="1"/>
    <col min="1668" max="1668" width="8.6640625" customWidth="1"/>
    <col min="1669" max="1669" width="8.44140625" customWidth="1"/>
    <col min="1670" max="1670" width="7.109375" customWidth="1"/>
    <col min="1671" max="1671" width="7" customWidth="1"/>
    <col min="1672" max="1672" width="6.5546875" customWidth="1"/>
    <col min="1673" max="1673" width="8.5546875" customWidth="1"/>
    <col min="1674" max="1674" width="11.6640625" customWidth="1"/>
    <col min="1675" max="1675" width="4" customWidth="1"/>
    <col min="1676" max="1676" width="6" customWidth="1"/>
    <col min="1677" max="1678" width="7.5546875" customWidth="1"/>
    <col min="1679" max="1679" width="6.44140625" customWidth="1"/>
    <col min="1680" max="1680" width="6.88671875" customWidth="1"/>
    <col min="1681" max="1681" width="6.44140625" customWidth="1"/>
    <col min="1682" max="1682" width="5.44140625" customWidth="1"/>
    <col min="1683" max="1683" width="6.33203125" customWidth="1"/>
    <col min="1684" max="1684" width="7.109375" customWidth="1"/>
    <col min="1685" max="1685" width="8.88671875" customWidth="1"/>
    <col min="1686" max="1686" width="6.44140625" customWidth="1"/>
    <col min="1687" max="1687" width="5" customWidth="1"/>
    <col min="1688" max="1688" width="4" customWidth="1"/>
    <col min="1689" max="1689" width="6.6640625" customWidth="1"/>
    <col min="1690" max="1690" width="7.109375" customWidth="1"/>
    <col min="1691" max="1691" width="6" customWidth="1"/>
    <col min="1692" max="1692" width="7.33203125" customWidth="1"/>
    <col min="1693" max="1693" width="4.5546875" customWidth="1"/>
    <col min="1694" max="1694" width="7.33203125" customWidth="1"/>
    <col min="1695" max="1695" width="7.44140625" customWidth="1"/>
    <col min="1696" max="1696" width="11.109375" customWidth="1"/>
    <col min="1697" max="1697" width="6.6640625" customWidth="1"/>
    <col min="1698" max="1698" width="6.33203125" customWidth="1"/>
    <col min="1699" max="1699" width="5.33203125" customWidth="1"/>
    <col min="1700" max="1700" width="6.6640625" customWidth="1"/>
    <col min="1701" max="1701" width="6" customWidth="1"/>
    <col min="1702" max="1702" width="7" customWidth="1"/>
    <col min="1703" max="1703" width="5.5546875" customWidth="1"/>
    <col min="1704" max="1704" width="6.88671875" customWidth="1"/>
    <col min="1705" max="1705" width="5.6640625" customWidth="1"/>
    <col min="1706" max="1706" width="4.5546875" customWidth="1"/>
    <col min="1707" max="1707" width="10.44140625" customWidth="1"/>
    <col min="1708" max="1708" width="5.109375" customWidth="1"/>
    <col min="1709" max="1709" width="6" customWidth="1"/>
    <col min="1710" max="1710" width="9.44140625" customWidth="1"/>
    <col min="1711" max="1711" width="8.44140625" customWidth="1"/>
    <col min="1712" max="1712" width="5.88671875" customWidth="1"/>
    <col min="1713" max="1713" width="5.33203125" customWidth="1"/>
    <col min="1714" max="1714" width="8.33203125" customWidth="1"/>
    <col min="1715" max="1715" width="6" customWidth="1"/>
    <col min="1716" max="1716" width="4.44140625" customWidth="1"/>
    <col min="1717" max="1717" width="9" customWidth="1"/>
    <col min="1718" max="1718" width="8.44140625" customWidth="1"/>
    <col min="1719" max="1719" width="11" customWidth="1"/>
    <col min="1720" max="1720" width="8.109375" customWidth="1"/>
    <col min="1721" max="1721" width="6.44140625" customWidth="1"/>
    <col min="1722" max="1722" width="7.44140625" customWidth="1"/>
    <col min="1723" max="1723" width="6.109375" customWidth="1"/>
    <col min="1724" max="1724" width="7.6640625" customWidth="1"/>
    <col min="1725" max="1725" width="9" customWidth="1"/>
    <col min="1726" max="1726" width="5.6640625" customWidth="1"/>
    <col min="1727" max="1727" width="5" customWidth="1"/>
    <col min="1728" max="1728" width="11.109375" customWidth="1"/>
    <col min="1729" max="1729" width="5.44140625" customWidth="1"/>
    <col min="1730" max="1730" width="5.88671875" customWidth="1"/>
    <col min="1731" max="1731" width="10" customWidth="1"/>
    <col min="1732" max="1732" width="6" customWidth="1"/>
    <col min="1733" max="1733" width="5" customWidth="1"/>
    <col min="1734" max="1734" width="5.109375" customWidth="1"/>
    <col min="1735" max="1735" width="6" customWidth="1"/>
    <col min="1736" max="1736" width="4.33203125" customWidth="1"/>
    <col min="1737" max="1737" width="8.109375" customWidth="1"/>
    <col min="1738" max="1738" width="7" customWidth="1"/>
    <col min="1739" max="1739" width="7.109375" customWidth="1"/>
    <col min="1740" max="1740" width="6.88671875" customWidth="1"/>
    <col min="1741" max="1741" width="4" customWidth="1"/>
    <col min="1742" max="1742" width="8.6640625" customWidth="1"/>
    <col min="1743" max="1743" width="8.109375" customWidth="1"/>
    <col min="1744" max="1744" width="5" customWidth="1"/>
    <col min="1745" max="1745" width="4" customWidth="1"/>
    <col min="1746" max="1746" width="7.6640625" customWidth="1"/>
    <col min="1747" max="1747" width="5.44140625" customWidth="1"/>
    <col min="1748" max="1748" width="8.109375" customWidth="1"/>
    <col min="1749" max="1749" width="8" customWidth="1"/>
    <col min="1750" max="1750" width="5.88671875" customWidth="1"/>
    <col min="1751" max="1751" width="7" customWidth="1"/>
    <col min="1752" max="1752" width="10.5546875" customWidth="1"/>
    <col min="1753" max="1753" width="6.6640625" customWidth="1"/>
    <col min="1754" max="1754" width="8.109375" customWidth="1"/>
    <col min="1755" max="1755" width="4.6640625" customWidth="1"/>
    <col min="1756" max="1756" width="6.44140625" customWidth="1"/>
    <col min="1757" max="1757" width="8.109375" customWidth="1"/>
    <col min="1758" max="1758" width="10.88671875" customWidth="1"/>
    <col min="1759" max="1759" width="8.109375" customWidth="1"/>
    <col min="1760" max="1760" width="6.44140625" customWidth="1"/>
    <col min="1761" max="1761" width="6.88671875" customWidth="1"/>
    <col min="1762" max="1762" width="6" customWidth="1"/>
    <col min="1763" max="1763" width="9.6640625" customWidth="1"/>
    <col min="1764" max="1764" width="10.88671875" customWidth="1"/>
    <col min="1765" max="1765" width="6.88671875" customWidth="1"/>
    <col min="1766" max="1766" width="6.44140625" customWidth="1"/>
    <col min="1767" max="1767" width="3.88671875" customWidth="1"/>
    <col min="1768" max="1768" width="9.33203125" customWidth="1"/>
    <col min="1769" max="1769" width="12.88671875" customWidth="1"/>
    <col min="1770" max="1770" width="8.6640625" customWidth="1"/>
    <col min="1771" max="1771" width="6.88671875" customWidth="1"/>
    <col min="1772" max="1772" width="12.109375" customWidth="1"/>
    <col min="1773" max="1773" width="4.6640625" customWidth="1"/>
    <col min="1774" max="1774" width="4" customWidth="1"/>
    <col min="1775" max="1775" width="6.109375" customWidth="1"/>
    <col min="1776" max="1776" width="7.33203125" customWidth="1"/>
    <col min="1777" max="1777" width="5.5546875" customWidth="1"/>
    <col min="1778" max="1778" width="5.88671875" customWidth="1"/>
    <col min="1779" max="1779" width="5.109375" customWidth="1"/>
    <col min="1780" max="1780" width="9.44140625" customWidth="1"/>
    <col min="1781" max="1781" width="7.109375" customWidth="1"/>
    <col min="1782" max="1782" width="8" customWidth="1"/>
    <col min="1783" max="1783" width="8.44140625" customWidth="1"/>
    <col min="1784" max="1784" width="6.44140625" customWidth="1"/>
    <col min="1785" max="1785" width="11.33203125" customWidth="1"/>
    <col min="1786" max="1786" width="7.109375" customWidth="1"/>
    <col min="1787" max="1787" width="5.88671875" customWidth="1"/>
    <col min="1788" max="1788" width="9.44140625" customWidth="1"/>
    <col min="1789" max="1789" width="8.5546875" customWidth="1"/>
    <col min="1790" max="1790" width="6.109375" customWidth="1"/>
    <col min="1791" max="1791" width="4" customWidth="1"/>
    <col min="1792" max="1792" width="6.6640625" customWidth="1"/>
    <col min="1793" max="1793" width="5.109375" customWidth="1"/>
    <col min="1794" max="1794" width="7.5546875" customWidth="1"/>
    <col min="1795" max="1795" width="5" customWidth="1"/>
    <col min="1796" max="1796" width="6" customWidth="1"/>
    <col min="1797" max="1797" width="10.109375" customWidth="1"/>
    <col min="1798" max="1798" width="5.5546875" customWidth="1"/>
    <col min="1799" max="1799" width="8.109375" customWidth="1"/>
    <col min="1800" max="1800" width="8.6640625" customWidth="1"/>
    <col min="1801" max="1801" width="4.44140625" customWidth="1"/>
    <col min="1802" max="1802" width="5" customWidth="1"/>
    <col min="1803" max="1803" width="6.5546875" customWidth="1"/>
    <col min="1804" max="1804" width="6.6640625" customWidth="1"/>
    <col min="1805" max="1805" width="9.5546875" customWidth="1"/>
    <col min="1806" max="1806" width="6" customWidth="1"/>
    <col min="1807" max="1807" width="8.33203125" customWidth="1"/>
    <col min="1808" max="1808" width="4.44140625" customWidth="1"/>
    <col min="1809" max="1809" width="6.109375" customWidth="1"/>
    <col min="1810" max="1810" width="5.5546875" customWidth="1"/>
    <col min="1811" max="1811" width="6.109375" customWidth="1"/>
    <col min="1812" max="1812" width="5.5546875" customWidth="1"/>
    <col min="1813" max="1813" width="9.109375" customWidth="1"/>
    <col min="1814" max="1814" width="6.33203125" customWidth="1"/>
    <col min="1815" max="1815" width="6.6640625" customWidth="1"/>
    <col min="1816" max="1816" width="5.5546875" customWidth="1"/>
    <col min="1817" max="1817" width="13.5546875" customWidth="1"/>
    <col min="1818" max="1818" width="5.44140625" customWidth="1"/>
    <col min="1819" max="1819" width="5.88671875" customWidth="1"/>
    <col min="1820" max="1820" width="6.6640625" customWidth="1"/>
    <col min="1821" max="1821" width="6.33203125" customWidth="1"/>
    <col min="1822" max="1822" width="5.109375" customWidth="1"/>
    <col min="1823" max="1823" width="5.44140625" customWidth="1"/>
    <col min="1824" max="1824" width="10.109375" customWidth="1"/>
    <col min="1825" max="1825" width="4" customWidth="1"/>
    <col min="1826" max="1826" width="8.5546875" customWidth="1"/>
    <col min="1827" max="1827" width="7.6640625" customWidth="1"/>
    <col min="1828" max="1829" width="5" customWidth="1"/>
    <col min="1830" max="1830" width="4.88671875" customWidth="1"/>
    <col min="1831" max="1831" width="7.109375" customWidth="1"/>
    <col min="1832" max="1832" width="6.6640625" customWidth="1"/>
    <col min="1833" max="1833" width="6.88671875" customWidth="1"/>
    <col min="1834" max="1834" width="7" customWidth="1"/>
    <col min="1835" max="1835" width="5.44140625" customWidth="1"/>
    <col min="1836" max="1836" width="5.5546875" customWidth="1"/>
    <col min="1837" max="1837" width="6.6640625" customWidth="1"/>
    <col min="1838" max="1838" width="8.44140625" customWidth="1"/>
    <col min="1839" max="1839" width="6.44140625" customWidth="1"/>
    <col min="1840" max="1840" width="6" customWidth="1"/>
    <col min="1841" max="1841" width="4.44140625" customWidth="1"/>
    <col min="1842" max="1842" width="4" customWidth="1"/>
    <col min="1843" max="1843" width="5.109375" customWidth="1"/>
    <col min="1844" max="1844" width="8.44140625" customWidth="1"/>
    <col min="1845" max="1845" width="6.44140625" customWidth="1"/>
    <col min="1846" max="1846" width="5" customWidth="1"/>
    <col min="1847" max="1847" width="7" customWidth="1"/>
    <col min="1848" max="1848" width="10.33203125" customWidth="1"/>
    <col min="1849" max="1849" width="8.6640625" customWidth="1"/>
    <col min="1850" max="1850" width="12.6640625" customWidth="1"/>
    <col min="1851" max="1851" width="8.88671875" customWidth="1"/>
    <col min="1852" max="1852" width="7" customWidth="1"/>
    <col min="1853" max="1853" width="5" customWidth="1"/>
    <col min="1854" max="1854" width="6.6640625" customWidth="1"/>
    <col min="1855" max="1855" width="6" customWidth="1"/>
    <col min="1856" max="1856" width="6.5546875" customWidth="1"/>
    <col min="1857" max="1857" width="9.33203125" customWidth="1"/>
    <col min="1858" max="1858" width="5.33203125" customWidth="1"/>
    <col min="1859" max="1859" width="3.88671875" customWidth="1"/>
    <col min="1860" max="1860" width="8.109375" customWidth="1"/>
    <col min="1861" max="1861" width="10.88671875" customWidth="1"/>
    <col min="1862" max="1862" width="6.6640625" customWidth="1"/>
    <col min="1863" max="1863" width="5.5546875" customWidth="1"/>
    <col min="1864" max="1864" width="5.33203125" customWidth="1"/>
    <col min="1865" max="1865" width="8.5546875" customWidth="1"/>
    <col min="1866" max="1866" width="5" customWidth="1"/>
    <col min="1867" max="1867" width="5.88671875" customWidth="1"/>
    <col min="1868" max="1868" width="7.5546875" customWidth="1"/>
    <col min="1869" max="1869" width="6.44140625" customWidth="1"/>
    <col min="1870" max="1870" width="12.44140625" customWidth="1"/>
    <col min="1871" max="1871" width="5.44140625" customWidth="1"/>
    <col min="1872" max="1872" width="6.44140625" customWidth="1"/>
    <col min="1873" max="1873" width="5.109375" customWidth="1"/>
    <col min="1874" max="1874" width="4.88671875" customWidth="1"/>
    <col min="1875" max="1875" width="9.44140625" customWidth="1"/>
    <col min="1876" max="1876" width="5" customWidth="1"/>
    <col min="1877" max="1877" width="6.5546875" customWidth="1"/>
    <col min="1878" max="1878" width="6.33203125" customWidth="1"/>
    <col min="1879" max="1879" width="5.6640625" customWidth="1"/>
    <col min="1880" max="1881" width="8" customWidth="1"/>
    <col min="1882" max="1882" width="6.5546875" customWidth="1"/>
    <col min="1883" max="1883" width="8" customWidth="1"/>
    <col min="1884" max="1884" width="5" customWidth="1"/>
    <col min="1885" max="1885" width="6.33203125" customWidth="1"/>
    <col min="1886" max="1886" width="4.6640625" customWidth="1"/>
    <col min="1887" max="1887" width="6" customWidth="1"/>
    <col min="1888" max="1888" width="5.44140625" customWidth="1"/>
    <col min="1889" max="1889" width="5" customWidth="1"/>
    <col min="1890" max="1890" width="9.5546875" customWidth="1"/>
    <col min="1891" max="1891" width="7.33203125" customWidth="1"/>
    <col min="1892" max="1892" width="8.44140625" customWidth="1"/>
    <col min="1893" max="1893" width="6.44140625" customWidth="1"/>
    <col min="1894" max="1894" width="6.5546875" customWidth="1"/>
    <col min="1895" max="1895" width="6.33203125" customWidth="1"/>
    <col min="1896" max="1896" width="4" customWidth="1"/>
    <col min="1897" max="1897" width="5" customWidth="1"/>
    <col min="1898" max="1898" width="15" customWidth="1"/>
    <col min="1899" max="1899" width="8.88671875" customWidth="1"/>
    <col min="1900" max="1900" width="8" customWidth="1"/>
    <col min="1901" max="1901" width="5.109375" customWidth="1"/>
    <col min="1902" max="1902" width="6.33203125" customWidth="1"/>
    <col min="1903" max="1903" width="3.33203125" customWidth="1"/>
    <col min="1904" max="1904" width="4" customWidth="1"/>
    <col min="1905" max="1905" width="7.5546875" customWidth="1"/>
    <col min="1906" max="1906" width="12.5546875" customWidth="1"/>
    <col min="1907" max="1908" width="4" customWidth="1"/>
    <col min="1909" max="1909" width="6.6640625" customWidth="1"/>
    <col min="1910" max="1910" width="11.109375" customWidth="1"/>
    <col min="1911" max="1911" width="8.109375" customWidth="1"/>
    <col min="1912" max="1912" width="7.5546875" customWidth="1"/>
    <col min="1913" max="1913" width="10.88671875" customWidth="1"/>
    <col min="1914" max="1914" width="8.88671875" customWidth="1"/>
    <col min="1915" max="1915" width="4" customWidth="1"/>
    <col min="1916" max="1916" width="6.109375" customWidth="1"/>
    <col min="1917" max="1917" width="5.33203125" customWidth="1"/>
    <col min="1918" max="1918" width="4.44140625" customWidth="1"/>
    <col min="1919" max="1919" width="6.109375" customWidth="1"/>
    <col min="1920" max="1920" width="4.5546875" customWidth="1"/>
    <col min="1921" max="1921" width="5.5546875" customWidth="1"/>
    <col min="1922" max="1922" width="5.44140625" customWidth="1"/>
    <col min="1923" max="1923" width="6.33203125" customWidth="1"/>
    <col min="1924" max="1924" width="6" customWidth="1"/>
    <col min="1925" max="1925" width="7.33203125" customWidth="1"/>
    <col min="1926" max="1926" width="5" customWidth="1"/>
    <col min="1927" max="1927" width="6.5546875" customWidth="1"/>
    <col min="1928" max="1928" width="9" customWidth="1"/>
    <col min="1929" max="1929" width="4.109375" customWidth="1"/>
    <col min="1930" max="1930" width="6.44140625" customWidth="1"/>
    <col min="1931" max="1931" width="5.6640625" customWidth="1"/>
    <col min="1932" max="1932" width="5.33203125" customWidth="1"/>
    <col min="1933" max="1933" width="6.109375" customWidth="1"/>
    <col min="1934" max="1934" width="5.88671875" customWidth="1"/>
    <col min="1935" max="1935" width="5.44140625" customWidth="1"/>
    <col min="1936" max="1936" width="6.44140625" customWidth="1"/>
    <col min="1937" max="1937" width="4" customWidth="1"/>
    <col min="1938" max="1938" width="5.44140625" customWidth="1"/>
    <col min="1939" max="1939" width="5" customWidth="1"/>
    <col min="1940" max="1940" width="5.109375" customWidth="1"/>
    <col min="1941" max="1941" width="9" customWidth="1"/>
    <col min="1942" max="1942" width="5.44140625" customWidth="1"/>
    <col min="1943" max="1943" width="5" customWidth="1"/>
    <col min="1944" max="1944" width="4" customWidth="1"/>
    <col min="1945" max="1945" width="10.88671875" customWidth="1"/>
    <col min="1946" max="1946" width="5.109375" customWidth="1"/>
    <col min="1947" max="1947" width="5" customWidth="1"/>
    <col min="1948" max="1948" width="6.33203125" customWidth="1"/>
    <col min="1949" max="1949" width="5.109375" customWidth="1"/>
    <col min="1950" max="1950" width="6" customWidth="1"/>
    <col min="1951" max="1951" width="5" customWidth="1"/>
    <col min="1952" max="1952" width="6.44140625" customWidth="1"/>
    <col min="1953" max="1953" width="5" customWidth="1"/>
    <col min="1954" max="1954" width="5.6640625" customWidth="1"/>
    <col min="1955" max="1955" width="8.44140625" customWidth="1"/>
    <col min="1956" max="1956" width="4" customWidth="1"/>
    <col min="1957" max="1957" width="5" customWidth="1"/>
    <col min="1958" max="1958" width="7.33203125" customWidth="1"/>
    <col min="1959" max="1959" width="6" customWidth="1"/>
    <col min="1960" max="1960" width="8.109375" customWidth="1"/>
    <col min="1961" max="1961" width="5.6640625" customWidth="1"/>
    <col min="1962" max="1962" width="5.109375" customWidth="1"/>
    <col min="1963" max="1963" width="5.33203125" customWidth="1"/>
    <col min="1964" max="1964" width="4" customWidth="1"/>
    <col min="1965" max="1965" width="7.44140625" customWidth="1"/>
    <col min="1966" max="1966" width="6.109375" customWidth="1"/>
    <col min="1967" max="1967" width="7" customWidth="1"/>
    <col min="1968" max="1968" width="5.33203125" customWidth="1"/>
    <col min="1969" max="1969" width="6" customWidth="1"/>
    <col min="1970" max="1970" width="6.5546875" customWidth="1"/>
    <col min="1971" max="1971" width="11" customWidth="1"/>
    <col min="1972" max="1972" width="6.5546875" customWidth="1"/>
    <col min="1973" max="1973" width="9.33203125" customWidth="1"/>
    <col min="1974" max="1974" width="4" customWidth="1"/>
    <col min="1975" max="1975" width="8.88671875" customWidth="1"/>
    <col min="1976" max="1976" width="6.44140625" customWidth="1"/>
    <col min="1977" max="1977" width="4.88671875" customWidth="1"/>
    <col min="1978" max="1978" width="5.5546875" customWidth="1"/>
    <col min="1979" max="1979" width="6.88671875" customWidth="1"/>
    <col min="1980" max="1980" width="4.88671875" customWidth="1"/>
    <col min="1981" max="1981" width="5" customWidth="1"/>
    <col min="1982" max="1982" width="5.6640625" customWidth="1"/>
    <col min="1983" max="1983" width="6.5546875" customWidth="1"/>
    <col min="1984" max="1984" width="3.88671875" customWidth="1"/>
    <col min="1985" max="1985" width="6.6640625" customWidth="1"/>
    <col min="1986" max="1986" width="7.33203125" customWidth="1"/>
    <col min="1987" max="1987" width="7.6640625" customWidth="1"/>
    <col min="1988" max="1988" width="8.44140625" customWidth="1"/>
    <col min="1989" max="1989" width="10.109375" customWidth="1"/>
    <col min="1990" max="1990" width="7.6640625" customWidth="1"/>
    <col min="1991" max="1991" width="5" customWidth="1"/>
    <col min="1992" max="1992" width="6.44140625" customWidth="1"/>
    <col min="1993" max="1993" width="5.44140625" customWidth="1"/>
    <col min="1994" max="1994" width="5" customWidth="1"/>
    <col min="1995" max="1995" width="5.6640625" customWidth="1"/>
    <col min="1996" max="1996" width="8.33203125" customWidth="1"/>
    <col min="1997" max="1997" width="7" customWidth="1"/>
    <col min="1998" max="1998" width="6.44140625" customWidth="1"/>
    <col min="1999" max="1999" width="4.6640625" customWidth="1"/>
    <col min="2000" max="2000" width="6.88671875" customWidth="1"/>
    <col min="2001" max="2001" width="5.6640625" customWidth="1"/>
    <col min="2002" max="2002" width="6.5546875" customWidth="1"/>
    <col min="2003" max="2003" width="7.6640625" customWidth="1"/>
    <col min="2004" max="2004" width="6.33203125" customWidth="1"/>
    <col min="2005" max="2005" width="4.109375" customWidth="1"/>
    <col min="2006" max="2006" width="5.109375" customWidth="1"/>
    <col min="2007" max="2007" width="4" customWidth="1"/>
    <col min="2008" max="2008" width="5.88671875" customWidth="1"/>
    <col min="2009" max="2009" width="7" customWidth="1"/>
    <col min="2010" max="2010" width="7.44140625" customWidth="1"/>
    <col min="2011" max="2011" width="10.88671875" customWidth="1"/>
    <col min="2012" max="2012" width="8" customWidth="1"/>
    <col min="2013" max="2013" width="7.88671875" customWidth="1"/>
    <col min="2014" max="2014" width="6.44140625" customWidth="1"/>
    <col min="2015" max="2015" width="7.88671875" customWidth="1"/>
    <col min="2016" max="2016" width="7.6640625" customWidth="1"/>
    <col min="2017" max="2017" width="5.88671875" customWidth="1"/>
    <col min="2018" max="2018" width="5.5546875" customWidth="1"/>
    <col min="2019" max="2019" width="7.33203125" customWidth="1"/>
    <col min="2020" max="2020" width="4" customWidth="1"/>
    <col min="2021" max="2021" width="12" customWidth="1"/>
    <col min="2022" max="2025" width="7.33203125" customWidth="1"/>
    <col min="2026" max="2028" width="10" customWidth="1"/>
    <col min="2029" max="2029" width="7" customWidth="1"/>
    <col min="2030" max="2030" width="6" customWidth="1"/>
    <col min="2031" max="2031" width="9.33203125" customWidth="1"/>
    <col min="2032" max="2032" width="6" customWidth="1"/>
    <col min="2033" max="2033" width="7.5546875" customWidth="1"/>
    <col min="2034" max="2034" width="7.44140625" customWidth="1"/>
    <col min="2035" max="2035" width="7" customWidth="1"/>
    <col min="2036" max="2036" width="7.88671875" customWidth="1"/>
    <col min="2037" max="2037" width="10.88671875" customWidth="1"/>
    <col min="2038" max="2039" width="6.6640625" customWidth="1"/>
    <col min="2040" max="2040" width="9.6640625" customWidth="1"/>
    <col min="2041" max="2041" width="8.6640625" customWidth="1"/>
    <col min="2042" max="2042" width="6.109375" customWidth="1"/>
    <col min="2043" max="2043" width="4.6640625" customWidth="1"/>
    <col min="2044" max="2044" width="7.6640625" customWidth="1"/>
    <col min="2045" max="2045" width="4.6640625" customWidth="1"/>
    <col min="2046" max="2046" width="6.109375" customWidth="1"/>
    <col min="2047" max="2047" width="7.88671875" customWidth="1"/>
    <col min="2048" max="2048" width="5.88671875" customWidth="1"/>
    <col min="2049" max="2049" width="5" customWidth="1"/>
    <col min="2050" max="2050" width="7.33203125" customWidth="1"/>
    <col min="2051" max="2051" width="12.5546875" customWidth="1"/>
    <col min="2052" max="2052" width="7.44140625" customWidth="1"/>
    <col min="2053" max="2053" width="4" customWidth="1"/>
    <col min="2054" max="2054" width="6.44140625" customWidth="1"/>
    <col min="2055" max="2055" width="9" customWidth="1"/>
    <col min="2056" max="2056" width="6" customWidth="1"/>
    <col min="2057" max="2057" width="8.109375" customWidth="1"/>
    <col min="2058" max="2058" width="8" customWidth="1"/>
    <col min="2059" max="2059" width="8.44140625" customWidth="1"/>
    <col min="2060" max="2060" width="6.109375" customWidth="1"/>
    <col min="2061" max="2061" width="7.6640625" customWidth="1"/>
    <col min="2062" max="2063" width="7" customWidth="1"/>
    <col min="2064" max="2064" width="7.109375" customWidth="1"/>
    <col min="2065" max="2065" width="6.33203125" customWidth="1"/>
    <col min="2066" max="2066" width="6" customWidth="1"/>
    <col min="2067" max="2067" width="5.88671875" customWidth="1"/>
    <col min="2068" max="2068" width="5" customWidth="1"/>
    <col min="2069" max="2069" width="8.5546875" customWidth="1"/>
    <col min="2070" max="2070" width="6.5546875" customWidth="1"/>
    <col min="2071" max="2072" width="7.6640625" customWidth="1"/>
    <col min="2073" max="2073" width="5" customWidth="1"/>
    <col min="2074" max="2074" width="7" customWidth="1"/>
    <col min="2075" max="2075" width="4.109375" customWidth="1"/>
    <col min="2076" max="2076" width="11.5546875" customWidth="1"/>
    <col min="2077" max="2078" width="7.33203125" customWidth="1"/>
    <col min="2079" max="2079" width="5.44140625" customWidth="1"/>
    <col min="2080" max="2081" width="4" customWidth="1"/>
    <col min="2082" max="2082" width="7.5546875" customWidth="1"/>
    <col min="2083" max="2083" width="5.5546875" customWidth="1"/>
    <col min="2084" max="2084" width="6.109375" customWidth="1"/>
    <col min="2085" max="2085" width="6.33203125" customWidth="1"/>
    <col min="2086" max="2086" width="5" customWidth="1"/>
    <col min="2087" max="2087" width="9.6640625" customWidth="1"/>
    <col min="2088" max="2088" width="8.5546875" customWidth="1"/>
    <col min="2089" max="2089" width="7.109375" customWidth="1"/>
    <col min="2090" max="2090" width="4.33203125" customWidth="1"/>
    <col min="2091" max="2091" width="5.33203125" customWidth="1"/>
    <col min="2092" max="2092" width="5.109375" customWidth="1"/>
    <col min="2093" max="2093" width="10.5546875" customWidth="1"/>
    <col min="2094" max="2094" width="5" customWidth="1"/>
    <col min="2095" max="2095" width="9" customWidth="1"/>
    <col min="2096" max="2096" width="5.44140625" customWidth="1"/>
    <col min="2097" max="2097" width="5.33203125" customWidth="1"/>
    <col min="2098" max="2098" width="7.109375" customWidth="1"/>
    <col min="2099" max="2099" width="5.33203125" customWidth="1"/>
    <col min="2100" max="2100" width="7" customWidth="1"/>
    <col min="2101" max="2101" width="5" customWidth="1"/>
    <col min="2102" max="2102" width="5.109375" customWidth="1"/>
    <col min="2103" max="2103" width="5.6640625" customWidth="1"/>
    <col min="2104" max="2104" width="4" customWidth="1"/>
    <col min="2105" max="2105" width="7.33203125" customWidth="1"/>
    <col min="2106" max="2106" width="6.5546875" customWidth="1"/>
    <col min="2107" max="2107" width="7.33203125" customWidth="1"/>
    <col min="2108" max="2108" width="9.33203125" customWidth="1"/>
    <col min="2109" max="2109" width="6.44140625" customWidth="1"/>
    <col min="2110" max="2110" width="7" customWidth="1"/>
    <col min="2111" max="2111" width="6.44140625" customWidth="1"/>
    <col min="2112" max="2112" width="7.44140625" customWidth="1"/>
    <col min="2113" max="2113" width="7.33203125" customWidth="1"/>
    <col min="2114" max="2114" width="5" customWidth="1"/>
    <col min="2115" max="2115" width="7.33203125" customWidth="1"/>
    <col min="2116" max="2116" width="7.44140625" customWidth="1"/>
    <col min="2117" max="2117" width="5.109375" customWidth="1"/>
    <col min="2118" max="2118" width="6.109375" customWidth="1"/>
    <col min="2119" max="2119" width="11.44140625" customWidth="1"/>
    <col min="2120" max="2121" width="6" customWidth="1"/>
    <col min="2122" max="2122" width="8.33203125" customWidth="1"/>
    <col min="2123" max="2123" width="7.33203125" customWidth="1"/>
    <col min="2124" max="2124" width="7.6640625" customWidth="1"/>
    <col min="2125" max="2125" width="6" customWidth="1"/>
    <col min="2126" max="2126" width="11.88671875" customWidth="1"/>
    <col min="2127" max="2127" width="10.5546875" customWidth="1"/>
    <col min="2128" max="2128" width="5.33203125" customWidth="1"/>
    <col min="2129" max="2129" width="4" customWidth="1"/>
    <col min="2130" max="2130" width="6" customWidth="1"/>
    <col min="2131" max="2131" width="5.109375" customWidth="1"/>
    <col min="2132" max="2132" width="6.5546875" customWidth="1"/>
    <col min="2133" max="2133" width="8.5546875" customWidth="1"/>
    <col min="2134" max="2134" width="9.109375" customWidth="1"/>
    <col min="2135" max="2135" width="4" customWidth="1"/>
    <col min="2136" max="2136" width="5.109375" customWidth="1"/>
    <col min="2137" max="2137" width="7.33203125" customWidth="1"/>
    <col min="2138" max="2138" width="5.5546875" customWidth="1"/>
    <col min="2139" max="2139" width="4.109375" customWidth="1"/>
    <col min="2140" max="2140" width="8.109375" customWidth="1"/>
    <col min="2141" max="2141" width="7.44140625" customWidth="1"/>
    <col min="2142" max="2142" width="6.33203125" customWidth="1"/>
    <col min="2143" max="2143" width="7" customWidth="1"/>
    <col min="2144" max="2144" width="6.109375" customWidth="1"/>
    <col min="2145" max="2145" width="5.44140625" customWidth="1"/>
    <col min="2146" max="2146" width="4.5546875" customWidth="1"/>
    <col min="2147" max="2147" width="8.33203125" customWidth="1"/>
    <col min="2148" max="2148" width="6.6640625" customWidth="1"/>
    <col min="2149" max="2149" width="7" customWidth="1"/>
    <col min="2150" max="2150" width="9" customWidth="1"/>
    <col min="2151" max="2151" width="7.109375" customWidth="1"/>
    <col min="2152" max="2152" width="8" customWidth="1"/>
    <col min="2153" max="2153" width="4" customWidth="1"/>
    <col min="2154" max="2154" width="7.109375" customWidth="1"/>
    <col min="2155" max="2155" width="5" customWidth="1"/>
    <col min="2156" max="2156" width="6" customWidth="1"/>
    <col min="2157" max="2157" width="5.6640625" customWidth="1"/>
    <col min="2158" max="2158" width="10.109375" customWidth="1"/>
    <col min="2159" max="2160" width="5" customWidth="1"/>
    <col min="2161" max="2161" width="6.5546875" customWidth="1"/>
    <col min="2162" max="2162" width="5" customWidth="1"/>
    <col min="2163" max="2163" width="7.44140625" customWidth="1"/>
    <col min="2164" max="2164" width="8.5546875" customWidth="1"/>
    <col min="2165" max="2165" width="9.44140625" customWidth="1"/>
    <col min="2166" max="2166" width="5" customWidth="1"/>
    <col min="2167" max="2167" width="6.44140625" customWidth="1"/>
    <col min="2168" max="2168" width="5.44140625" customWidth="1"/>
    <col min="2169" max="2169" width="5.109375" customWidth="1"/>
    <col min="2170" max="2170" width="11" customWidth="1"/>
    <col min="2171" max="2171" width="6" customWidth="1"/>
    <col min="2172" max="2172" width="5.109375" customWidth="1"/>
    <col min="2173" max="2173" width="9.33203125" customWidth="1"/>
    <col min="2174" max="2174" width="4.44140625" customWidth="1"/>
    <col min="2175" max="2175" width="10.33203125" customWidth="1"/>
    <col min="2176" max="2176" width="6.109375" customWidth="1"/>
    <col min="2177" max="2177" width="12.33203125" customWidth="1"/>
    <col min="2178" max="2178" width="4" customWidth="1"/>
    <col min="2179" max="2179" width="5" customWidth="1"/>
    <col min="2180" max="2180" width="7.44140625" customWidth="1"/>
    <col min="2181" max="2181" width="5.44140625" customWidth="1"/>
    <col min="2182" max="2182" width="8.88671875" customWidth="1"/>
    <col min="2183" max="2183" width="7.44140625" customWidth="1"/>
    <col min="2184" max="2184" width="6.88671875" customWidth="1"/>
    <col min="2185" max="2185" width="6.44140625" customWidth="1"/>
    <col min="2186" max="2186" width="6.6640625" customWidth="1"/>
    <col min="2187" max="2187" width="6.109375" customWidth="1"/>
    <col min="2188" max="2188" width="5.109375" customWidth="1"/>
    <col min="2189" max="2189" width="9.33203125" customWidth="1"/>
    <col min="2190" max="2190" width="4.109375" customWidth="1"/>
    <col min="2191" max="2191" width="6.88671875" customWidth="1"/>
    <col min="2192" max="2192" width="5.88671875" customWidth="1"/>
    <col min="2193" max="2193" width="5.33203125" customWidth="1"/>
    <col min="2194" max="2194" width="5.6640625" customWidth="1"/>
    <col min="2195" max="2195" width="4.5546875" customWidth="1"/>
    <col min="2196" max="2196" width="6.33203125" customWidth="1"/>
    <col min="2197" max="2197" width="6.109375" customWidth="1"/>
    <col min="2198" max="2198" width="4.6640625" customWidth="1"/>
    <col min="2199" max="2199" width="8.6640625" customWidth="1"/>
    <col min="2200" max="2200" width="4.6640625" customWidth="1"/>
    <col min="2201" max="2201" width="6.33203125" customWidth="1"/>
    <col min="2202" max="2202" width="6.6640625" customWidth="1"/>
    <col min="2203" max="2203" width="6.88671875" customWidth="1"/>
    <col min="2204" max="2204" width="5" customWidth="1"/>
    <col min="2205" max="2205" width="7" customWidth="1"/>
    <col min="2206" max="2206" width="4.44140625" customWidth="1"/>
    <col min="2207" max="2207" width="8.109375" customWidth="1"/>
    <col min="2208" max="2208" width="6.6640625" customWidth="1"/>
    <col min="2209" max="2209" width="5.88671875" customWidth="1"/>
    <col min="2210" max="2210" width="6.109375" customWidth="1"/>
    <col min="2211" max="2211" width="6" customWidth="1"/>
    <col min="2212" max="2212" width="6.33203125" customWidth="1"/>
    <col min="2213" max="2213" width="4" customWidth="1"/>
    <col min="2214" max="2214" width="6.33203125" customWidth="1"/>
    <col min="2215" max="2215" width="4.5546875" customWidth="1"/>
    <col min="2216" max="2216" width="6.6640625" customWidth="1"/>
    <col min="2217" max="2217" width="7.44140625" customWidth="1"/>
    <col min="2218" max="2218" width="8.109375" customWidth="1"/>
    <col min="2219" max="2219" width="6.5546875" customWidth="1"/>
    <col min="2220" max="2220" width="12.109375" customWidth="1"/>
    <col min="2221" max="2221" width="6" customWidth="1"/>
    <col min="2222" max="2222" width="6.109375" customWidth="1"/>
    <col min="2223" max="2223" width="7.109375" customWidth="1"/>
    <col min="2224" max="2224" width="4.6640625" customWidth="1"/>
    <col min="2225" max="2225" width="7.5546875" customWidth="1"/>
    <col min="2226" max="2226" width="7" customWidth="1"/>
    <col min="2227" max="2227" width="4" customWidth="1"/>
    <col min="2228" max="2228" width="10.6640625" customWidth="1"/>
    <col min="2229" max="2229" width="4.109375" customWidth="1"/>
    <col min="2230" max="2230" width="6.6640625" customWidth="1"/>
    <col min="2231" max="2232" width="8.88671875" customWidth="1"/>
    <col min="2233" max="2233" width="7.5546875" customWidth="1"/>
    <col min="2234" max="2234" width="7" customWidth="1"/>
    <col min="2235" max="2235" width="6.44140625" customWidth="1"/>
    <col min="2236" max="2236" width="6.33203125" customWidth="1"/>
    <col min="2237" max="2237" width="6" customWidth="1"/>
    <col min="2238" max="2238" width="9.109375" customWidth="1"/>
    <col min="2239" max="2239" width="11.5546875" customWidth="1"/>
    <col min="2240" max="2240" width="7.44140625" customWidth="1"/>
    <col min="2241" max="2241" width="5.88671875" customWidth="1"/>
    <col min="2242" max="2242" width="6" customWidth="1"/>
    <col min="2243" max="2243" width="7" customWidth="1"/>
    <col min="2244" max="2244" width="6" customWidth="1"/>
    <col min="2245" max="2245" width="12.5546875" customWidth="1"/>
    <col min="2246" max="2246" width="5.109375" customWidth="1"/>
    <col min="2247" max="2247" width="7.109375" customWidth="1"/>
    <col min="2248" max="2248" width="10" customWidth="1"/>
    <col min="2249" max="2249" width="4" customWidth="1"/>
    <col min="2250" max="2250" width="4.5546875" customWidth="1"/>
    <col min="2251" max="2251" width="5" customWidth="1"/>
    <col min="2252" max="2252" width="7" customWidth="1"/>
    <col min="2253" max="2253" width="6.44140625" customWidth="1"/>
    <col min="2254" max="2254" width="9.88671875" customWidth="1"/>
    <col min="2255" max="2255" width="5.6640625" customWidth="1"/>
    <col min="2256" max="2256" width="5.88671875" customWidth="1"/>
    <col min="2257" max="2257" width="6.6640625" customWidth="1"/>
    <col min="2258" max="2258" width="10.33203125" customWidth="1"/>
    <col min="2259" max="2259" width="5.5546875" customWidth="1"/>
    <col min="2260" max="2260" width="8.6640625" customWidth="1"/>
    <col min="2261" max="2261" width="6" customWidth="1"/>
    <col min="2262" max="2262" width="8.109375" customWidth="1"/>
    <col min="2263" max="2263" width="6" customWidth="1"/>
    <col min="2264" max="2264" width="8.33203125" customWidth="1"/>
    <col min="2265" max="2265" width="4.5546875" customWidth="1"/>
    <col min="2266" max="2266" width="6.33203125" customWidth="1"/>
    <col min="2267" max="2267" width="6.88671875" customWidth="1"/>
    <col min="2268" max="2268" width="8" customWidth="1"/>
    <col min="2269" max="2269" width="7.88671875" customWidth="1"/>
    <col min="2270" max="2270" width="7.109375" customWidth="1"/>
    <col min="2271" max="2271" width="7" customWidth="1"/>
    <col min="2272" max="2272" width="8.44140625" customWidth="1"/>
    <col min="2273" max="2273" width="5.109375" customWidth="1"/>
    <col min="2274" max="2274" width="6" customWidth="1"/>
    <col min="2275" max="2275" width="6.33203125" customWidth="1"/>
    <col min="2276" max="2276" width="6.6640625" customWidth="1"/>
    <col min="2277" max="2277" width="10.33203125" customWidth="1"/>
    <col min="2278" max="2278" width="5.6640625" customWidth="1"/>
    <col min="2279" max="2279" width="7.109375" customWidth="1"/>
    <col min="2280" max="2280" width="7" customWidth="1"/>
    <col min="2281" max="2281" width="6" customWidth="1"/>
    <col min="2282" max="2282" width="8.44140625" customWidth="1"/>
    <col min="2283" max="2283" width="8.5546875" customWidth="1"/>
    <col min="2284" max="2284" width="6" customWidth="1"/>
    <col min="2285" max="2285" width="6.44140625" customWidth="1"/>
    <col min="2286" max="2286" width="5.88671875" customWidth="1"/>
    <col min="2287" max="2287" width="9.5546875" customWidth="1"/>
    <col min="2288" max="2288" width="8.5546875" customWidth="1"/>
    <col min="2289" max="2289" width="10.109375" customWidth="1"/>
    <col min="2290" max="2290" width="8.109375" customWidth="1"/>
    <col min="2291" max="2291" width="9.33203125" customWidth="1"/>
    <col min="2292" max="2292" width="5.88671875" customWidth="1"/>
    <col min="2293" max="2293" width="5.6640625" customWidth="1"/>
    <col min="2294" max="2294" width="5.44140625" customWidth="1"/>
    <col min="2295" max="2295" width="6.5546875" customWidth="1"/>
    <col min="2296" max="2296" width="7.6640625" customWidth="1"/>
    <col min="2297" max="2297" width="9.33203125" customWidth="1"/>
    <col min="2298" max="2298" width="5" customWidth="1"/>
    <col min="2299" max="2299" width="3.5546875" customWidth="1"/>
    <col min="2300" max="2300" width="7.44140625" customWidth="1"/>
    <col min="2301" max="2301" width="6.44140625" customWidth="1"/>
    <col min="2302" max="2302" width="6.6640625" customWidth="1"/>
    <col min="2303" max="2303" width="8" customWidth="1"/>
    <col min="2304" max="2304" width="8.44140625" customWidth="1"/>
    <col min="2305" max="2305" width="6.5546875" customWidth="1"/>
    <col min="2306" max="2306" width="5.88671875" customWidth="1"/>
    <col min="2307" max="2307" width="7.33203125" customWidth="1"/>
    <col min="2308" max="2308" width="5.5546875" customWidth="1"/>
    <col min="2309" max="2309" width="5.44140625" customWidth="1"/>
    <col min="2310" max="2310" width="6.88671875" customWidth="1"/>
    <col min="2311" max="2311" width="8" customWidth="1"/>
    <col min="2312" max="2312" width="4.109375" customWidth="1"/>
    <col min="2313" max="2313" width="7.88671875" customWidth="1"/>
    <col min="2314" max="2314" width="6.109375" customWidth="1"/>
    <col min="2315" max="2315" width="7" customWidth="1"/>
    <col min="2316" max="2316" width="5.5546875" customWidth="1"/>
    <col min="2317" max="2317" width="7.6640625" customWidth="1"/>
    <col min="2318" max="2318" width="7.33203125" customWidth="1"/>
    <col min="2319" max="2319" width="5.88671875" customWidth="1"/>
    <col min="2320" max="2320" width="6.6640625" customWidth="1"/>
    <col min="2321" max="2321" width="5" customWidth="1"/>
    <col min="2322" max="2322" width="7" customWidth="1"/>
    <col min="2323" max="2324" width="4" customWidth="1"/>
    <col min="2325" max="2325" width="5.33203125" customWidth="1"/>
    <col min="2326" max="2326" width="7.109375" customWidth="1"/>
    <col min="2327" max="2327" width="6.33203125" customWidth="1"/>
    <col min="2328" max="2328" width="5.88671875" customWidth="1"/>
    <col min="2329" max="2329" width="9.6640625" customWidth="1"/>
    <col min="2330" max="2330" width="7.88671875" customWidth="1"/>
    <col min="2331" max="2331" width="4" customWidth="1"/>
    <col min="2332" max="2332" width="6.109375" customWidth="1"/>
    <col min="2333" max="2333" width="5" customWidth="1"/>
    <col min="2334" max="2334" width="7.33203125" customWidth="1"/>
    <col min="2335" max="2335" width="6.109375" customWidth="1"/>
    <col min="2336" max="2336" width="7.5546875" customWidth="1"/>
    <col min="2337" max="2337" width="9.5546875" customWidth="1"/>
    <col min="2338" max="2338" width="5" customWidth="1"/>
    <col min="2339" max="2339" width="7" customWidth="1"/>
    <col min="2340" max="2340" width="5.88671875" customWidth="1"/>
    <col min="2341" max="2341" width="7.33203125" customWidth="1"/>
    <col min="2342" max="2342" width="4" customWidth="1"/>
    <col min="2343" max="2343" width="5.44140625" customWidth="1"/>
    <col min="2344" max="2344" width="7.33203125" customWidth="1"/>
    <col min="2345" max="2345" width="5.5546875" customWidth="1"/>
    <col min="2346" max="2346" width="8.109375" customWidth="1"/>
    <col min="2347" max="2347" width="7.44140625" customWidth="1"/>
    <col min="2348" max="2348" width="5.44140625" customWidth="1"/>
    <col min="2349" max="2349" width="6.6640625" customWidth="1"/>
    <col min="2350" max="2350" width="7.44140625" customWidth="1"/>
    <col min="2351" max="2351" width="6.88671875" customWidth="1"/>
    <col min="2352" max="2352" width="7.6640625" customWidth="1"/>
    <col min="2353" max="2353" width="5.44140625" customWidth="1"/>
    <col min="2354" max="2354" width="4" customWidth="1"/>
    <col min="2355" max="2355" width="5.88671875" customWidth="1"/>
    <col min="2356" max="2356" width="7.33203125" customWidth="1"/>
    <col min="2357" max="2357" width="7.109375" customWidth="1"/>
    <col min="2358" max="2358" width="5.88671875" customWidth="1"/>
    <col min="2359" max="2359" width="8.5546875" customWidth="1"/>
    <col min="2360" max="2360" width="6.44140625" customWidth="1"/>
    <col min="2361" max="2361" width="5" customWidth="1"/>
    <col min="2362" max="2362" width="4.5546875" customWidth="1"/>
    <col min="2363" max="2363" width="4.88671875" customWidth="1"/>
    <col min="2364" max="2364" width="5" customWidth="1"/>
    <col min="2365" max="2365" width="4.88671875" customWidth="1"/>
    <col min="2366" max="2366" width="7.88671875" customWidth="1"/>
    <col min="2367" max="2367" width="4" customWidth="1"/>
    <col min="2368" max="2368" width="5" customWidth="1"/>
    <col min="2369" max="2369" width="7.109375" customWidth="1"/>
    <col min="2370" max="2370" width="6.5546875" customWidth="1"/>
    <col min="2371" max="2371" width="9.44140625" customWidth="1"/>
    <col min="2372" max="2373" width="10.5546875" customWidth="1"/>
    <col min="2374" max="2374" width="5" customWidth="1"/>
    <col min="2375" max="2375" width="6.5546875" customWidth="1"/>
    <col min="2376" max="2376" width="8.109375" customWidth="1"/>
    <col min="2377" max="2377" width="10" customWidth="1"/>
    <col min="2378" max="2379" width="6.109375" customWidth="1"/>
    <col min="2380" max="2380" width="5.33203125" customWidth="1"/>
    <col min="2381" max="2381" width="10.33203125" customWidth="1"/>
    <col min="2382" max="2382" width="5.44140625" customWidth="1"/>
    <col min="2383" max="2383" width="8.44140625" customWidth="1"/>
    <col min="2384" max="2384" width="6.6640625" customWidth="1"/>
    <col min="2385" max="2385" width="8.33203125" customWidth="1"/>
    <col min="2386" max="2386" width="5.6640625" customWidth="1"/>
    <col min="2387" max="2387" width="9.109375" customWidth="1"/>
    <col min="2388" max="2388" width="5.109375" customWidth="1"/>
    <col min="2389" max="2389" width="4.33203125" customWidth="1"/>
    <col min="2390" max="2390" width="4.5546875" customWidth="1"/>
    <col min="2391" max="2391" width="5" customWidth="1"/>
    <col min="2392" max="2392" width="9.6640625" customWidth="1"/>
    <col min="2393" max="2393" width="7.5546875" customWidth="1"/>
    <col min="2394" max="2394" width="6.33203125" customWidth="1"/>
    <col min="2395" max="2396" width="5" customWidth="1"/>
    <col min="2397" max="2397" width="6.109375" customWidth="1"/>
    <col min="2398" max="2398" width="10" customWidth="1"/>
    <col min="2399" max="2399" width="5" customWidth="1"/>
    <col min="2400" max="2400" width="4" customWidth="1"/>
    <col min="2401" max="2401" width="6.6640625" customWidth="1"/>
    <col min="2402" max="2402" width="6.88671875" customWidth="1"/>
    <col min="2403" max="2403" width="4.44140625" customWidth="1"/>
    <col min="2404" max="2404" width="5.5546875" customWidth="1"/>
    <col min="2405" max="2405" width="6.5546875" customWidth="1"/>
    <col min="2406" max="2406" width="6.44140625" customWidth="1"/>
    <col min="2407" max="2407" width="5.33203125" customWidth="1"/>
    <col min="2408" max="2408" width="5" customWidth="1"/>
    <col min="2409" max="2409" width="5.109375" customWidth="1"/>
    <col min="2410" max="2410" width="6.44140625" customWidth="1"/>
    <col min="2411" max="2411" width="8.109375" customWidth="1"/>
    <col min="2412" max="2412" width="3.5546875" customWidth="1"/>
    <col min="2413" max="2413" width="7.5546875" customWidth="1"/>
    <col min="2414" max="2414" width="6.5546875" customWidth="1"/>
    <col min="2415" max="2415" width="5.5546875" customWidth="1"/>
    <col min="2416" max="2416" width="5" customWidth="1"/>
    <col min="2417" max="2417" width="3.33203125" customWidth="1"/>
    <col min="2418" max="2418" width="7.5546875" customWidth="1"/>
    <col min="2419" max="2419" width="7.109375" customWidth="1"/>
    <col min="2420" max="2420" width="17.33203125" customWidth="1"/>
    <col min="2421" max="2421" width="4.44140625" customWidth="1"/>
    <col min="2422" max="2422" width="4" customWidth="1"/>
    <col min="2423" max="2423" width="5.33203125" customWidth="1"/>
    <col min="2424" max="2424" width="4.33203125" customWidth="1"/>
    <col min="2425" max="2425" width="7.44140625" customWidth="1"/>
    <col min="2426" max="2426" width="5.109375" customWidth="1"/>
    <col min="2427" max="2427" width="10.109375" customWidth="1"/>
    <col min="2428" max="2428" width="6.44140625" customWidth="1"/>
    <col min="2429" max="2429" width="7.109375" customWidth="1"/>
    <col min="2430" max="2430" width="6.33203125" customWidth="1"/>
    <col min="2431" max="2431" width="4.5546875" customWidth="1"/>
    <col min="2432" max="2432" width="7.33203125" customWidth="1"/>
    <col min="2433" max="2434" width="5" customWidth="1"/>
    <col min="2435" max="2435" width="7.5546875" customWidth="1"/>
    <col min="2436" max="2436" width="5" customWidth="1"/>
    <col min="2437" max="2437" width="6.5546875" customWidth="1"/>
    <col min="2438" max="2438" width="7.109375" customWidth="1"/>
    <col min="2439" max="2440" width="5" customWidth="1"/>
    <col min="2441" max="2441" width="8" customWidth="1"/>
    <col min="2442" max="2442" width="9" customWidth="1"/>
    <col min="2443" max="2443" width="7.88671875" customWidth="1"/>
    <col min="2444" max="2444" width="9.44140625" customWidth="1"/>
    <col min="2445" max="2445" width="7.109375" customWidth="1"/>
    <col min="2446" max="2446" width="6" customWidth="1"/>
    <col min="2447" max="2447" width="4.109375" customWidth="1"/>
    <col min="2448" max="2448" width="5" customWidth="1"/>
    <col min="2449" max="2449" width="5.33203125" customWidth="1"/>
    <col min="2450" max="2450" width="8.5546875" customWidth="1"/>
    <col min="2451" max="2451" width="6.88671875" customWidth="1"/>
    <col min="2452" max="2452" width="4.6640625" customWidth="1"/>
    <col min="2453" max="2453" width="4.33203125" customWidth="1"/>
    <col min="2454" max="2454" width="5" customWidth="1"/>
    <col min="2455" max="2455" width="5.44140625" customWidth="1"/>
    <col min="2456" max="2456" width="4.6640625" customWidth="1"/>
    <col min="2457" max="2457" width="8.44140625" customWidth="1"/>
    <col min="2458" max="2458" width="7.33203125" customWidth="1"/>
    <col min="2459" max="2459" width="9.33203125" customWidth="1"/>
    <col min="2460" max="2460" width="4.6640625" customWidth="1"/>
    <col min="2461" max="2461" width="6.33203125" customWidth="1"/>
    <col min="2462" max="2462" width="6" customWidth="1"/>
    <col min="2463" max="2463" width="5" customWidth="1"/>
    <col min="2464" max="2464" width="12.6640625" customWidth="1"/>
    <col min="2465" max="2465" width="6.88671875" customWidth="1"/>
    <col min="2466" max="2466" width="6.33203125" customWidth="1"/>
    <col min="2467" max="2467" width="4" customWidth="1"/>
    <col min="2468" max="2468" width="6.5546875" customWidth="1"/>
    <col min="2469" max="2469" width="7.109375" customWidth="1"/>
    <col min="2470" max="2470" width="7.5546875" customWidth="1"/>
    <col min="2471" max="2471" width="9.33203125" customWidth="1"/>
    <col min="2472" max="2472" width="6" customWidth="1"/>
    <col min="2473" max="2473" width="7.44140625" customWidth="1"/>
    <col min="2474" max="2474" width="8.6640625" customWidth="1"/>
    <col min="2475" max="2475" width="8.44140625" customWidth="1"/>
    <col min="2476" max="2476" width="7.109375" customWidth="1"/>
    <col min="2477" max="2477" width="7" customWidth="1"/>
    <col min="2478" max="2478" width="6.5546875" customWidth="1"/>
    <col min="2479" max="2479" width="8.5546875" customWidth="1"/>
    <col min="2480" max="2480" width="11.6640625" customWidth="1"/>
    <col min="2481" max="2481" width="5" customWidth="1"/>
    <col min="2482" max="2482" width="6" customWidth="1"/>
    <col min="2483" max="2484" width="7.5546875" customWidth="1"/>
    <col min="2485" max="2485" width="6.44140625" customWidth="1"/>
    <col min="2486" max="2486" width="6.88671875" customWidth="1"/>
    <col min="2487" max="2487" width="6.44140625" customWidth="1"/>
    <col min="2488" max="2488" width="5.44140625" customWidth="1"/>
    <col min="2489" max="2489" width="6.33203125" customWidth="1"/>
    <col min="2490" max="2490" width="7.109375" customWidth="1"/>
    <col min="2491" max="2491" width="8.88671875" customWidth="1"/>
    <col min="2492" max="2492" width="6.44140625" customWidth="1"/>
    <col min="2493" max="2493" width="5" customWidth="1"/>
    <col min="2494" max="2494" width="4" customWidth="1"/>
    <col min="2495" max="2495" width="6.6640625" customWidth="1"/>
    <col min="2496" max="2496" width="7.109375" customWidth="1"/>
    <col min="2497" max="2497" width="6" customWidth="1"/>
    <col min="2498" max="2498" width="7.33203125" customWidth="1"/>
    <col min="2499" max="2499" width="4.5546875" customWidth="1"/>
    <col min="2500" max="2500" width="7.33203125" customWidth="1"/>
    <col min="2501" max="2501" width="7.44140625" customWidth="1"/>
    <col min="2502" max="2502" width="11.109375" customWidth="1"/>
    <col min="2503" max="2503" width="6.6640625" customWidth="1"/>
    <col min="2504" max="2504" width="6.33203125" customWidth="1"/>
    <col min="2505" max="2505" width="5.33203125" customWidth="1"/>
    <col min="2506" max="2506" width="6.6640625" customWidth="1"/>
    <col min="2507" max="2507" width="6" customWidth="1"/>
    <col min="2508" max="2508" width="7" customWidth="1"/>
    <col min="2509" max="2509" width="5.5546875" customWidth="1"/>
    <col min="2510" max="2510" width="6.88671875" customWidth="1"/>
    <col min="2511" max="2511" width="5.6640625" customWidth="1"/>
    <col min="2512" max="2512" width="4.5546875" customWidth="1"/>
    <col min="2513" max="2513" width="10.44140625" customWidth="1"/>
    <col min="2514" max="2514" width="5.109375" customWidth="1"/>
    <col min="2515" max="2515" width="5.5546875" customWidth="1"/>
    <col min="2516" max="2516" width="9.44140625" customWidth="1"/>
    <col min="2517" max="2517" width="8.44140625" customWidth="1"/>
    <col min="2518" max="2518" width="5.88671875" customWidth="1"/>
    <col min="2519" max="2519" width="5.33203125" customWidth="1"/>
    <col min="2520" max="2520" width="8.33203125" customWidth="1"/>
    <col min="2521" max="2521" width="5.88671875" customWidth="1"/>
    <col min="2522" max="2522" width="4.44140625" customWidth="1"/>
    <col min="2523" max="2523" width="9" customWidth="1"/>
    <col min="2524" max="2524" width="8.44140625" customWidth="1"/>
    <col min="2525" max="2525" width="11" customWidth="1"/>
    <col min="2526" max="2526" width="8.109375" customWidth="1"/>
    <col min="2527" max="2527" width="6.44140625" customWidth="1"/>
    <col min="2528" max="2528" width="7.44140625" customWidth="1"/>
    <col min="2529" max="2529" width="6.109375" customWidth="1"/>
    <col min="2530" max="2530" width="7.6640625" customWidth="1"/>
    <col min="2531" max="2531" width="9" customWidth="1"/>
    <col min="2532" max="2532" width="5.6640625" customWidth="1"/>
    <col min="2533" max="2533" width="4.33203125" customWidth="1"/>
    <col min="2534" max="2534" width="11.109375" customWidth="1"/>
    <col min="2535" max="2535" width="5.44140625" customWidth="1"/>
    <col min="2536" max="2536" width="5.88671875" customWidth="1"/>
    <col min="2537" max="2537" width="10" customWidth="1"/>
    <col min="2538" max="2538" width="6" customWidth="1"/>
    <col min="2539" max="2539" width="5" customWidth="1"/>
    <col min="2540" max="2540" width="5.109375" customWidth="1"/>
    <col min="2541" max="2541" width="6" customWidth="1"/>
    <col min="2542" max="2542" width="4.33203125" customWidth="1"/>
    <col min="2543" max="2543" width="8.109375" customWidth="1"/>
    <col min="2544" max="2544" width="7" customWidth="1"/>
    <col min="2545" max="2545" width="7.109375" customWidth="1"/>
    <col min="2546" max="2546" width="6.88671875" customWidth="1"/>
    <col min="2547" max="2547" width="4" customWidth="1"/>
    <col min="2548" max="2548" width="8.6640625" customWidth="1"/>
    <col min="2549" max="2549" width="8.109375" customWidth="1"/>
    <col min="2550" max="2550" width="4.109375" customWidth="1"/>
    <col min="2551" max="2551" width="5" customWidth="1"/>
    <col min="2552" max="2552" width="7.6640625" customWidth="1"/>
    <col min="2553" max="2553" width="5.44140625" customWidth="1"/>
    <col min="2554" max="2554" width="8.109375" customWidth="1"/>
    <col min="2555" max="2555" width="8" customWidth="1"/>
    <col min="2556" max="2556" width="5.88671875" customWidth="1"/>
    <col min="2557" max="2557" width="7" customWidth="1"/>
    <col min="2558" max="2558" width="10.5546875" customWidth="1"/>
    <col min="2559" max="2559" width="6.6640625" customWidth="1"/>
    <col min="2560" max="2560" width="8.109375" customWidth="1"/>
    <col min="2561" max="2561" width="4.6640625" customWidth="1"/>
    <col min="2562" max="2562" width="6.44140625" customWidth="1"/>
    <col min="2563" max="2563" width="8.109375" customWidth="1"/>
    <col min="2564" max="2564" width="10.88671875" customWidth="1"/>
    <col min="2565" max="2565" width="8.109375" customWidth="1"/>
    <col min="2566" max="2566" width="6.44140625" customWidth="1"/>
    <col min="2567" max="2567" width="6.88671875" customWidth="1"/>
    <col min="2568" max="2568" width="6" customWidth="1"/>
    <col min="2569" max="2569" width="9.6640625" customWidth="1"/>
    <col min="2570" max="2570" width="10.88671875" customWidth="1"/>
    <col min="2571" max="2571" width="6.88671875" customWidth="1"/>
    <col min="2572" max="2572" width="6.44140625" customWidth="1"/>
    <col min="2573" max="2573" width="4" customWidth="1"/>
    <col min="2574" max="2574" width="9.33203125" customWidth="1"/>
    <col min="2575" max="2575" width="12.88671875" customWidth="1"/>
    <col min="2576" max="2576" width="8.6640625" customWidth="1"/>
    <col min="2577" max="2577" width="6.88671875" customWidth="1"/>
    <col min="2578" max="2578" width="12.109375" customWidth="1"/>
    <col min="2579" max="2579" width="4.6640625" customWidth="1"/>
    <col min="2580" max="2580" width="5" customWidth="1"/>
    <col min="2581" max="2581" width="6.109375" customWidth="1"/>
    <col min="2582" max="2582" width="7.33203125" customWidth="1"/>
    <col min="2583" max="2583" width="5.5546875" customWidth="1"/>
    <col min="2584" max="2584" width="5.88671875" customWidth="1"/>
    <col min="2585" max="2585" width="5.109375" customWidth="1"/>
    <col min="2586" max="2586" width="9.44140625" customWidth="1"/>
    <col min="2587" max="2587" width="7.109375" customWidth="1"/>
    <col min="2588" max="2588" width="8" customWidth="1"/>
    <col min="2589" max="2589" width="8.44140625" customWidth="1"/>
    <col min="2590" max="2590" width="6.44140625" customWidth="1"/>
    <col min="2591" max="2591" width="11.33203125" customWidth="1"/>
    <col min="2592" max="2592" width="7.109375" customWidth="1"/>
    <col min="2593" max="2593" width="5.88671875" customWidth="1"/>
    <col min="2594" max="2594" width="9.44140625" customWidth="1"/>
    <col min="2595" max="2595" width="8.5546875" customWidth="1"/>
    <col min="2596" max="2596" width="6.109375" customWidth="1"/>
    <col min="2597" max="2597" width="4" customWidth="1"/>
    <col min="2598" max="2598" width="6.6640625" customWidth="1"/>
    <col min="2599" max="2599" width="5.109375" customWidth="1"/>
    <col min="2600" max="2600" width="7.5546875" customWidth="1"/>
    <col min="2601" max="2601" width="4.88671875" customWidth="1"/>
    <col min="2602" max="2602" width="5.6640625" customWidth="1"/>
    <col min="2603" max="2603" width="10.109375" customWidth="1"/>
    <col min="2604" max="2604" width="5.5546875" customWidth="1"/>
    <col min="2605" max="2605" width="8.109375" customWidth="1"/>
    <col min="2606" max="2606" width="8.6640625" customWidth="1"/>
    <col min="2607" max="2607" width="5" customWidth="1"/>
    <col min="2608" max="2608" width="4.88671875" customWidth="1"/>
    <col min="2609" max="2609" width="6.5546875" customWidth="1"/>
    <col min="2610" max="2610" width="6.6640625" customWidth="1"/>
    <col min="2611" max="2611" width="9.5546875" customWidth="1"/>
    <col min="2612" max="2612" width="6" customWidth="1"/>
    <col min="2613" max="2613" width="8.33203125" customWidth="1"/>
    <col min="2614" max="2614" width="4.44140625" customWidth="1"/>
    <col min="2615" max="2615" width="6.109375" customWidth="1"/>
    <col min="2616" max="2616" width="5.5546875" customWidth="1"/>
    <col min="2617" max="2617" width="6.109375" customWidth="1"/>
    <col min="2618" max="2618" width="5.5546875" customWidth="1"/>
    <col min="2619" max="2619" width="9.109375" customWidth="1"/>
    <col min="2620" max="2620" width="6.33203125" customWidth="1"/>
    <col min="2621" max="2621" width="6.6640625" customWidth="1"/>
    <col min="2622" max="2622" width="5.5546875" customWidth="1"/>
    <col min="2623" max="2623" width="13.5546875" customWidth="1"/>
    <col min="2624" max="2624" width="5.44140625" customWidth="1"/>
    <col min="2625" max="2625" width="5.88671875" customWidth="1"/>
    <col min="2626" max="2626" width="6.6640625" customWidth="1"/>
    <col min="2627" max="2627" width="6.33203125" customWidth="1"/>
    <col min="2628" max="2628" width="5.109375" customWidth="1"/>
    <col min="2629" max="2629" width="5.44140625" customWidth="1"/>
    <col min="2630" max="2630" width="10.109375" customWidth="1"/>
    <col min="2631" max="2631" width="5" customWidth="1"/>
    <col min="2632" max="2632" width="8.5546875" customWidth="1"/>
    <col min="2633" max="2633" width="7.6640625" customWidth="1"/>
    <col min="2634" max="2636" width="5" customWidth="1"/>
    <col min="2637" max="2637" width="7.109375" customWidth="1"/>
    <col min="2638" max="2638" width="6.6640625" customWidth="1"/>
    <col min="2639" max="2639" width="6.88671875" customWidth="1"/>
    <col min="2640" max="2640" width="7" customWidth="1"/>
    <col min="2641" max="2641" width="5.44140625" customWidth="1"/>
    <col min="2642" max="2642" width="5.5546875" customWidth="1"/>
    <col min="2643" max="2643" width="6.6640625" customWidth="1"/>
    <col min="2644" max="2644" width="8.44140625" customWidth="1"/>
    <col min="2645" max="2645" width="6.44140625" customWidth="1"/>
    <col min="2646" max="2646" width="6" customWidth="1"/>
    <col min="2647" max="2647" width="5" customWidth="1"/>
    <col min="2648" max="2648" width="4" customWidth="1"/>
    <col min="2649" max="2649" width="5.109375" customWidth="1"/>
    <col min="2650" max="2650" width="8.44140625" customWidth="1"/>
    <col min="2651" max="2651" width="6.44140625" customWidth="1"/>
    <col min="2652" max="2652" width="4" customWidth="1"/>
    <col min="2653" max="2653" width="7" customWidth="1"/>
    <col min="2654" max="2654" width="10.33203125" customWidth="1"/>
    <col min="2655" max="2655" width="8.6640625" customWidth="1"/>
    <col min="2656" max="2656" width="12.6640625" customWidth="1"/>
    <col min="2657" max="2657" width="8.88671875" customWidth="1"/>
    <col min="2658" max="2658" width="7" customWidth="1"/>
    <col min="2659" max="2659" width="4.6640625" customWidth="1"/>
    <col min="2660" max="2660" width="6.6640625" customWidth="1"/>
    <col min="2661" max="2661" width="6" customWidth="1"/>
    <col min="2662" max="2662" width="6.5546875" customWidth="1"/>
    <col min="2663" max="2663" width="9.33203125" customWidth="1"/>
    <col min="2664" max="2664" width="5.33203125" customWidth="1"/>
    <col min="2665" max="2665" width="4" customWidth="1"/>
    <col min="2666" max="2666" width="8.109375" customWidth="1"/>
    <col min="2667" max="2667" width="10.88671875" customWidth="1"/>
    <col min="2668" max="2668" width="6.6640625" customWidth="1"/>
    <col min="2669" max="2669" width="5.5546875" customWidth="1"/>
    <col min="2670" max="2670" width="5.33203125" customWidth="1"/>
    <col min="2671" max="2671" width="8.5546875" customWidth="1"/>
    <col min="2672" max="2672" width="5" customWidth="1"/>
    <col min="2673" max="2673" width="5.88671875" customWidth="1"/>
    <col min="2674" max="2674" width="7.5546875" customWidth="1"/>
    <col min="2675" max="2675" width="6.44140625" customWidth="1"/>
    <col min="2676" max="2676" width="12.44140625" customWidth="1"/>
    <col min="2677" max="2677" width="5.44140625" customWidth="1"/>
    <col min="2678" max="2678" width="6.44140625" customWidth="1"/>
    <col min="2679" max="2679" width="5.109375" customWidth="1"/>
    <col min="2680" max="2680" width="4.88671875" customWidth="1"/>
    <col min="2681" max="2681" width="9.44140625" customWidth="1"/>
    <col min="2682" max="2682" width="5" customWidth="1"/>
    <col min="2683" max="2683" width="6.5546875" customWidth="1"/>
    <col min="2684" max="2684" width="6.33203125" customWidth="1"/>
    <col min="2685" max="2685" width="5.6640625" customWidth="1"/>
    <col min="2686" max="2687" width="8" customWidth="1"/>
    <col min="2688" max="2688" width="6.5546875" customWidth="1"/>
    <col min="2689" max="2689" width="8" customWidth="1"/>
    <col min="2690" max="2690" width="5" customWidth="1"/>
    <col min="2691" max="2691" width="6.33203125" customWidth="1"/>
    <col min="2692" max="2692" width="4.6640625" customWidth="1"/>
    <col min="2693" max="2693" width="5.6640625" customWidth="1"/>
    <col min="2694" max="2694" width="5.44140625" customWidth="1"/>
    <col min="2695" max="2695" width="5" customWidth="1"/>
    <col min="2696" max="2696" width="9.5546875" customWidth="1"/>
    <col min="2697" max="2697" width="7.33203125" customWidth="1"/>
    <col min="2698" max="2698" width="8.44140625" customWidth="1"/>
    <col min="2699" max="2699" width="6.44140625" customWidth="1"/>
    <col min="2700" max="2700" width="6.5546875" customWidth="1"/>
    <col min="2701" max="2701" width="6.33203125" customWidth="1"/>
    <col min="2702" max="2702" width="5" customWidth="1"/>
    <col min="2703" max="2703" width="4.44140625" customWidth="1"/>
    <col min="2704" max="2704" width="15" customWidth="1"/>
    <col min="2705" max="2705" width="8.88671875" customWidth="1"/>
    <col min="2706" max="2706" width="8" customWidth="1"/>
    <col min="2707" max="2707" width="5.109375" customWidth="1"/>
    <col min="2708" max="2708" width="6.33203125" customWidth="1"/>
    <col min="2709" max="2710" width="4" customWidth="1"/>
    <col min="2711" max="2711" width="7.5546875" customWidth="1"/>
    <col min="2712" max="2712" width="12.5546875" customWidth="1"/>
    <col min="2713" max="2713" width="5" customWidth="1"/>
    <col min="2714" max="2714" width="4" customWidth="1"/>
    <col min="2715" max="2715" width="6.6640625" customWidth="1"/>
    <col min="2716" max="2716" width="11.109375" customWidth="1"/>
    <col min="2717" max="2717" width="8.109375" customWidth="1"/>
    <col min="2718" max="2718" width="7.5546875" customWidth="1"/>
    <col min="2719" max="2719" width="10.88671875" customWidth="1"/>
    <col min="2720" max="2720" width="8.88671875" customWidth="1"/>
    <col min="2721" max="2721" width="5" customWidth="1"/>
    <col min="2722" max="2722" width="6.109375" customWidth="1"/>
    <col min="2723" max="2723" width="5.33203125" customWidth="1"/>
    <col min="2724" max="2724" width="4.44140625" customWidth="1"/>
    <col min="2725" max="2725" width="6.109375" customWidth="1"/>
    <col min="2726" max="2726" width="4.5546875" customWidth="1"/>
    <col min="2727" max="2727" width="5.5546875" customWidth="1"/>
    <col min="2728" max="2728" width="5.44140625" customWidth="1"/>
    <col min="2729" max="2729" width="6.33203125" customWidth="1"/>
    <col min="2730" max="2730" width="5.5546875" customWidth="1"/>
    <col min="2731" max="2731" width="7.33203125" customWidth="1"/>
    <col min="2732" max="2732" width="4.109375" customWidth="1"/>
    <col min="2733" max="2733" width="6.5546875" customWidth="1"/>
    <col min="2734" max="2734" width="9" customWidth="1"/>
    <col min="2735" max="2735" width="4.109375" customWidth="1"/>
    <col min="2736" max="2736" width="6.44140625" customWidth="1"/>
    <col min="2737" max="2737" width="5.6640625" customWidth="1"/>
    <col min="2738" max="2738" width="5.33203125" customWidth="1"/>
    <col min="2739" max="2739" width="6.109375" customWidth="1"/>
    <col min="2740" max="2740" width="5.88671875" customWidth="1"/>
    <col min="2741" max="2741" width="5.44140625" customWidth="1"/>
    <col min="2742" max="2742" width="6.44140625" customWidth="1"/>
    <col min="2743" max="2743" width="5" customWidth="1"/>
    <col min="2744" max="2744" width="5.44140625" customWidth="1"/>
    <col min="2745" max="2745" width="4" customWidth="1"/>
    <col min="2746" max="2746" width="5.109375" customWidth="1"/>
    <col min="2747" max="2747" width="9" customWidth="1"/>
    <col min="2748" max="2748" width="5.44140625" customWidth="1"/>
    <col min="2749" max="2750" width="4" customWidth="1"/>
    <col min="2751" max="2751" width="10.88671875" customWidth="1"/>
    <col min="2752" max="2752" width="5.109375" customWidth="1"/>
    <col min="2753" max="2753" width="5" customWidth="1"/>
    <col min="2754" max="2754" width="6.33203125" customWidth="1"/>
    <col min="2755" max="2755" width="5.109375" customWidth="1"/>
    <col min="2756" max="2757" width="5" customWidth="1"/>
    <col min="2758" max="2758" width="6.44140625" customWidth="1"/>
    <col min="2759" max="2759" width="5" customWidth="1"/>
    <col min="2760" max="2760" width="5.6640625" customWidth="1"/>
    <col min="2761" max="2761" width="8.44140625" customWidth="1"/>
    <col min="2762" max="2762" width="4" customWidth="1"/>
    <col min="2763" max="2763" width="5" customWidth="1"/>
    <col min="2764" max="2764" width="7.33203125" customWidth="1"/>
    <col min="2765" max="2765" width="6" customWidth="1"/>
    <col min="2766" max="2766" width="8.109375" customWidth="1"/>
    <col min="2767" max="2767" width="5.6640625" customWidth="1"/>
    <col min="2768" max="2768" width="5.109375" customWidth="1"/>
    <col min="2769" max="2769" width="5.33203125" customWidth="1"/>
    <col min="2770" max="2770" width="4" customWidth="1"/>
    <col min="2771" max="2771" width="7.44140625" customWidth="1"/>
    <col min="2772" max="2772" width="6.109375" customWidth="1"/>
    <col min="2773" max="2773" width="7" customWidth="1"/>
    <col min="2774" max="2774" width="5.33203125" customWidth="1"/>
    <col min="2775" max="2775" width="6" customWidth="1"/>
    <col min="2776" max="2776" width="6.5546875" customWidth="1"/>
    <col min="2777" max="2777" width="11" customWidth="1"/>
    <col min="2778" max="2778" width="6.5546875" customWidth="1"/>
    <col min="2779" max="2779" width="9.33203125" customWidth="1"/>
    <col min="2780" max="2780" width="4" customWidth="1"/>
    <col min="2781" max="2781" width="8.88671875" customWidth="1"/>
    <col min="2782" max="2782" width="6.44140625" customWidth="1"/>
    <col min="2783" max="2783" width="4.88671875" customWidth="1"/>
    <col min="2784" max="2784" width="5.5546875" customWidth="1"/>
    <col min="2785" max="2785" width="6.88671875" customWidth="1"/>
    <col min="2786" max="2786" width="4.88671875" customWidth="1"/>
    <col min="2787" max="2787" width="5" customWidth="1"/>
    <col min="2788" max="2788" width="5.6640625" customWidth="1"/>
    <col min="2789" max="2789" width="6.5546875" customWidth="1"/>
    <col min="2790" max="2790" width="4" customWidth="1"/>
    <col min="2791" max="2791" width="6.6640625" customWidth="1"/>
    <col min="2792" max="2792" width="7.33203125" customWidth="1"/>
    <col min="2793" max="2793" width="7.6640625" customWidth="1"/>
    <col min="2794" max="2794" width="8.44140625" customWidth="1"/>
    <col min="2795" max="2795" width="10.109375" customWidth="1"/>
    <col min="2796" max="2796" width="7.6640625" customWidth="1"/>
    <col min="2797" max="2797" width="4.6640625" customWidth="1"/>
    <col min="2798" max="2798" width="6.44140625" customWidth="1"/>
    <col min="2799" max="2799" width="5.44140625" customWidth="1"/>
    <col min="2800" max="2800" width="4" customWidth="1"/>
    <col min="2801" max="2801" width="5.6640625" customWidth="1"/>
    <col min="2802" max="2802" width="8.33203125" customWidth="1"/>
    <col min="2803" max="2803" width="7" customWidth="1"/>
    <col min="2804" max="2804" width="6.44140625" customWidth="1"/>
    <col min="2805" max="2805" width="4.6640625" customWidth="1"/>
    <col min="2806" max="2806" width="6.88671875" customWidth="1"/>
    <col min="2807" max="2807" width="5.6640625" customWidth="1"/>
    <col min="2808" max="2808" width="6.5546875" customWidth="1"/>
    <col min="2809" max="2809" width="7.6640625" customWidth="1"/>
    <col min="2810" max="2810" width="6.33203125" customWidth="1"/>
    <col min="2811" max="2811" width="4.109375" customWidth="1"/>
    <col min="2812" max="2812" width="5.109375" customWidth="1"/>
    <col min="2813" max="2813" width="4" customWidth="1"/>
    <col min="2814" max="2814" width="5.88671875" customWidth="1"/>
    <col min="2815" max="2815" width="7" customWidth="1"/>
    <col min="2816" max="2816" width="7.44140625" customWidth="1"/>
    <col min="2817" max="2817" width="10.88671875" customWidth="1"/>
    <col min="2818" max="2818" width="8" customWidth="1"/>
    <col min="2819" max="2819" width="7.88671875" customWidth="1"/>
    <col min="2820" max="2820" width="6.44140625" customWidth="1"/>
    <col min="2821" max="2821" width="7.88671875" customWidth="1"/>
    <col min="2822" max="2822" width="7.6640625" customWidth="1"/>
    <col min="2823" max="2823" width="5.88671875" customWidth="1"/>
    <col min="2824" max="2824" width="5.5546875" customWidth="1"/>
    <col min="2825" max="2825" width="7.33203125" customWidth="1"/>
    <col min="2826" max="2826" width="4" customWidth="1"/>
    <col min="2827" max="2827" width="12" customWidth="1"/>
    <col min="2828" max="2831" width="7.33203125" customWidth="1"/>
    <col min="2832" max="2834" width="10" customWidth="1"/>
    <col min="2835" max="2835" width="7" customWidth="1"/>
    <col min="2836" max="2836" width="5.88671875" customWidth="1"/>
    <col min="2837" max="2837" width="9.33203125" customWidth="1"/>
    <col min="2838" max="2838" width="6" customWidth="1"/>
    <col min="2839" max="2839" width="7.5546875" customWidth="1"/>
    <col min="2840" max="2840" width="7.44140625" customWidth="1"/>
    <col min="2841" max="2841" width="7" customWidth="1"/>
    <col min="2842" max="2842" width="7.88671875" customWidth="1"/>
    <col min="2843" max="2843" width="10.88671875" customWidth="1"/>
    <col min="2844" max="2845" width="6.6640625" customWidth="1"/>
    <col min="2846" max="2846" width="9.6640625" customWidth="1"/>
    <col min="2847" max="2847" width="8.6640625" customWidth="1"/>
    <col min="2848" max="2848" width="6.109375" customWidth="1"/>
    <col min="2849" max="2849" width="4.6640625" customWidth="1"/>
    <col min="2850" max="2850" width="7.6640625" customWidth="1"/>
    <col min="2851" max="2851" width="5" customWidth="1"/>
    <col min="2852" max="2852" width="6.109375" customWidth="1"/>
    <col min="2853" max="2853" width="7.88671875" customWidth="1"/>
    <col min="2854" max="2854" width="5.88671875" customWidth="1"/>
    <col min="2855" max="2855" width="4.6640625" customWidth="1"/>
    <col min="2856" max="2856" width="7.33203125" customWidth="1"/>
    <col min="2857" max="2857" width="12.5546875" customWidth="1"/>
    <col min="2858" max="2858" width="7.44140625" customWidth="1"/>
    <col min="2859" max="2859" width="4" customWidth="1"/>
    <col min="2860" max="2860" width="6.44140625" customWidth="1"/>
    <col min="2861" max="2861" width="9" customWidth="1"/>
    <col min="2862" max="2862" width="6" customWidth="1"/>
    <col min="2863" max="2863" width="8.109375" customWidth="1"/>
    <col min="2864" max="2864" width="8" customWidth="1"/>
    <col min="2865" max="2865" width="8.44140625" customWidth="1"/>
    <col min="2866" max="2866" width="6.109375" customWidth="1"/>
    <col min="2867" max="2867" width="7.6640625" customWidth="1"/>
    <col min="2868" max="2869" width="7" customWidth="1"/>
    <col min="2870" max="2870" width="7.109375" customWidth="1"/>
    <col min="2871" max="2871" width="6.33203125" customWidth="1"/>
    <col min="2872" max="2872" width="5" customWidth="1"/>
    <col min="2873" max="2873" width="5.88671875" customWidth="1"/>
    <col min="2874" max="2874" width="5" customWidth="1"/>
    <col min="2875" max="2875" width="8.5546875" customWidth="1"/>
    <col min="2876" max="2876" width="6.5546875" customWidth="1"/>
    <col min="2877" max="2878" width="7.6640625" customWidth="1"/>
    <col min="2879" max="2879" width="5" customWidth="1"/>
    <col min="2880" max="2880" width="7" customWidth="1"/>
    <col min="2881" max="2881" width="4.109375" customWidth="1"/>
    <col min="2882" max="2882" width="11.5546875" customWidth="1"/>
    <col min="2883" max="2884" width="7.33203125" customWidth="1"/>
    <col min="2885" max="2885" width="5.44140625" customWidth="1"/>
    <col min="2886" max="2887" width="4" customWidth="1"/>
    <col min="2888" max="2888" width="7.5546875" customWidth="1"/>
    <col min="2889" max="2889" width="5.5546875" customWidth="1"/>
    <col min="2890" max="2890" width="6.109375" customWidth="1"/>
    <col min="2891" max="2891" width="6.33203125" customWidth="1"/>
    <col min="2892" max="2892" width="5" customWidth="1"/>
    <col min="2893" max="2893" width="9.6640625" customWidth="1"/>
    <col min="2894" max="2894" width="8.5546875" customWidth="1"/>
    <col min="2895" max="2895" width="7.109375" customWidth="1"/>
    <col min="2896" max="2896" width="5" customWidth="1"/>
    <col min="2897" max="2897" width="5.33203125" customWidth="1"/>
    <col min="2898" max="2898" width="5.109375" customWidth="1"/>
    <col min="2899" max="2899" width="10.5546875" customWidth="1"/>
    <col min="2900" max="2900" width="5" customWidth="1"/>
    <col min="2901" max="2901" width="9" customWidth="1"/>
    <col min="2902" max="2902" width="5.44140625" customWidth="1"/>
    <col min="2903" max="2903" width="5.33203125" customWidth="1"/>
    <col min="2904" max="2904" width="7.109375" customWidth="1"/>
    <col min="2905" max="2905" width="5.33203125" customWidth="1"/>
    <col min="2906" max="2906" width="7" customWidth="1"/>
    <col min="2907" max="2907" width="4.88671875" customWidth="1"/>
    <col min="2908" max="2908" width="5.109375" customWidth="1"/>
    <col min="2909" max="2909" width="5.6640625" customWidth="1"/>
    <col min="2910" max="2910" width="4" customWidth="1"/>
    <col min="2911" max="2911" width="7.33203125" customWidth="1"/>
    <col min="2912" max="2912" width="6.5546875" customWidth="1"/>
    <col min="2913" max="2913" width="7.33203125" customWidth="1"/>
    <col min="2914" max="2914" width="9.33203125" customWidth="1"/>
    <col min="2915" max="2915" width="6.44140625" customWidth="1"/>
    <col min="2916" max="2916" width="7" customWidth="1"/>
    <col min="2917" max="2917" width="6.44140625" customWidth="1"/>
    <col min="2918" max="2918" width="7.44140625" customWidth="1"/>
    <col min="2919" max="2919" width="7.33203125" customWidth="1"/>
    <col min="2920" max="2920" width="4" customWidth="1"/>
    <col min="2921" max="2921" width="7.33203125" customWidth="1"/>
    <col min="2922" max="2922" width="7.44140625" customWidth="1"/>
    <col min="2923" max="2923" width="5.109375" customWidth="1"/>
    <col min="2924" max="2924" width="6.109375" customWidth="1"/>
    <col min="2925" max="2925" width="11.44140625" customWidth="1"/>
    <col min="2926" max="2926" width="5.44140625" customWidth="1"/>
    <col min="2927" max="2927" width="5.6640625" customWidth="1"/>
    <col min="2928" max="2928" width="8.33203125" customWidth="1"/>
    <col min="2929" max="2929" width="7.33203125" customWidth="1"/>
    <col min="2930" max="2930" width="7.6640625" customWidth="1"/>
    <col min="2931" max="2931" width="6" customWidth="1"/>
    <col min="2932" max="2932" width="11.88671875" customWidth="1"/>
    <col min="2933" max="2933" width="10.5546875" customWidth="1"/>
    <col min="2934" max="2934" width="5.33203125" customWidth="1"/>
    <col min="2935" max="2935" width="4" customWidth="1"/>
    <col min="2936" max="2936" width="6" customWidth="1"/>
    <col min="2937" max="2937" width="5.109375" customWidth="1"/>
    <col min="2938" max="2938" width="6.5546875" customWidth="1"/>
    <col min="2939" max="2939" width="8.5546875" customWidth="1"/>
    <col min="2940" max="2940" width="9.109375" customWidth="1"/>
    <col min="2941" max="2941" width="5" customWidth="1"/>
    <col min="2942" max="2942" width="5.109375" customWidth="1"/>
    <col min="2943" max="2943" width="7.33203125" customWidth="1"/>
    <col min="2944" max="2944" width="5.5546875" customWidth="1"/>
    <col min="2945" max="2945" width="5" customWidth="1"/>
    <col min="2946" max="2946" width="8.109375" customWidth="1"/>
    <col min="2947" max="2947" width="7.44140625" customWidth="1"/>
    <col min="2948" max="2948" width="6.33203125" customWidth="1"/>
    <col min="2949" max="2949" width="7" customWidth="1"/>
    <col min="2950" max="2950" width="6.109375" customWidth="1"/>
    <col min="2951" max="2951" width="5.44140625" customWidth="1"/>
    <col min="2952" max="2952" width="4.5546875" customWidth="1"/>
    <col min="2953" max="2953" width="8.33203125" customWidth="1"/>
    <col min="2954" max="2954" width="6.6640625" customWidth="1"/>
    <col min="2955" max="2955" width="7" customWidth="1"/>
    <col min="2956" max="2956" width="9" customWidth="1"/>
    <col min="2957" max="2957" width="7.109375" customWidth="1"/>
    <col min="2958" max="2958" width="8" customWidth="1"/>
    <col min="2959" max="2959" width="4" customWidth="1"/>
    <col min="2960" max="2960" width="7.109375" customWidth="1"/>
    <col min="2961" max="2961" width="4.33203125" customWidth="1"/>
    <col min="2962" max="2962" width="5" customWidth="1"/>
    <col min="2963" max="2963" width="5.6640625" customWidth="1"/>
    <col min="2964" max="2964" width="10.109375" customWidth="1"/>
    <col min="2965" max="2965" width="5" customWidth="1"/>
    <col min="2966" max="2966" width="4" customWidth="1"/>
    <col min="2967" max="2967" width="6.5546875" customWidth="1"/>
    <col min="2968" max="2968" width="4.88671875" customWidth="1"/>
    <col min="2969" max="2969" width="7.44140625" customWidth="1"/>
    <col min="2970" max="2970" width="8.5546875" customWidth="1"/>
    <col min="2971" max="2971" width="9.44140625" customWidth="1"/>
    <col min="2972" max="2972" width="5" customWidth="1"/>
    <col min="2973" max="2973" width="6.44140625" customWidth="1"/>
    <col min="2974" max="2974" width="5.44140625" customWidth="1"/>
    <col min="2975" max="2975" width="5.109375" customWidth="1"/>
    <col min="2976" max="2976" width="11" customWidth="1"/>
    <col min="2977" max="2977" width="6" customWidth="1"/>
    <col min="2978" max="2978" width="5.109375" customWidth="1"/>
    <col min="2979" max="2979" width="9.33203125" customWidth="1"/>
    <col min="2980" max="2980" width="5" customWidth="1"/>
    <col min="2981" max="2981" width="10.33203125" customWidth="1"/>
    <col min="2982" max="2982" width="6.109375" customWidth="1"/>
    <col min="2983" max="2983" width="12.33203125" customWidth="1"/>
    <col min="2984" max="2984" width="4" customWidth="1"/>
    <col min="2985" max="2985" width="4.33203125" customWidth="1"/>
    <col min="2986" max="2986" width="7.44140625" customWidth="1"/>
    <col min="2987" max="2987" width="5.44140625" customWidth="1"/>
    <col min="2988" max="2988" width="8.88671875" customWidth="1"/>
    <col min="2989" max="2989" width="7.44140625" customWidth="1"/>
    <col min="2990" max="2990" width="6.88671875" customWidth="1"/>
    <col min="2991" max="2991" width="6.44140625" customWidth="1"/>
    <col min="2992" max="2992" width="6.6640625" customWidth="1"/>
    <col min="2993" max="2993" width="6.109375" customWidth="1"/>
    <col min="2994" max="2994" width="5.109375" customWidth="1"/>
    <col min="2995" max="2995" width="9.33203125" customWidth="1"/>
    <col min="2996" max="2996" width="5" customWidth="1"/>
    <col min="2997" max="2997" width="6.88671875" customWidth="1"/>
    <col min="2998" max="2998" width="5.88671875" customWidth="1"/>
    <col min="2999" max="2999" width="5.33203125" customWidth="1"/>
    <col min="3000" max="3000" width="5.6640625" customWidth="1"/>
    <col min="3001" max="3001" width="4.5546875" customWidth="1"/>
    <col min="3002" max="3002" width="6.33203125" customWidth="1"/>
    <col min="3003" max="3003" width="6.109375" customWidth="1"/>
    <col min="3004" max="3004" width="4.6640625" customWidth="1"/>
    <col min="3005" max="3005" width="8.6640625" customWidth="1"/>
    <col min="3006" max="3006" width="4.6640625" customWidth="1"/>
    <col min="3007" max="3007" width="6.33203125" customWidth="1"/>
    <col min="3008" max="3008" width="6.6640625" customWidth="1"/>
    <col min="3009" max="3009" width="6.88671875" customWidth="1"/>
    <col min="3010" max="3010" width="4.88671875" customWidth="1"/>
    <col min="3011" max="3011" width="7" customWidth="1"/>
    <col min="3012" max="3012" width="5" customWidth="1"/>
    <col min="3013" max="3013" width="8.109375" customWidth="1"/>
    <col min="3014" max="3014" width="6.6640625" customWidth="1"/>
    <col min="3015" max="3015" width="5.88671875" customWidth="1"/>
    <col min="3016" max="3016" width="6.109375" customWidth="1"/>
    <col min="3017" max="3017" width="6" customWidth="1"/>
    <col min="3018" max="3018" width="6.33203125" customWidth="1"/>
    <col min="3019" max="3019" width="4" customWidth="1"/>
    <col min="3020" max="3020" width="6.33203125" customWidth="1"/>
    <col min="3021" max="3021" width="4.5546875" customWidth="1"/>
    <col min="3022" max="3022" width="6.6640625" customWidth="1"/>
    <col min="3023" max="3023" width="7.44140625" customWidth="1"/>
    <col min="3024" max="3024" width="8.109375" customWidth="1"/>
    <col min="3025" max="3025" width="6.5546875" customWidth="1"/>
    <col min="3026" max="3026" width="12.109375" customWidth="1"/>
    <col min="3027" max="3027" width="6" customWidth="1"/>
    <col min="3028" max="3028" width="6.109375" customWidth="1"/>
    <col min="3029" max="3029" width="7.109375" customWidth="1"/>
    <col min="3030" max="3030" width="5" customWidth="1"/>
    <col min="3031" max="3031" width="7.5546875" customWidth="1"/>
    <col min="3032" max="3032" width="7" customWidth="1"/>
    <col min="3033" max="3033" width="5" customWidth="1"/>
    <col min="3034" max="3034" width="10.6640625" customWidth="1"/>
    <col min="3035" max="3035" width="4.109375" customWidth="1"/>
    <col min="3036" max="3036" width="6.6640625" customWidth="1"/>
    <col min="3037" max="3038" width="8.88671875" customWidth="1"/>
    <col min="3039" max="3039" width="7.5546875" customWidth="1"/>
    <col min="3040" max="3040" width="7" customWidth="1"/>
    <col min="3041" max="3041" width="6.44140625" customWidth="1"/>
    <col min="3042" max="3042" width="6.33203125" customWidth="1"/>
    <col min="3043" max="3043" width="5.88671875" customWidth="1"/>
    <col min="3044" max="3044" width="9.109375" customWidth="1"/>
    <col min="3045" max="3045" width="11.5546875" customWidth="1"/>
    <col min="3046" max="3046" width="7.44140625" customWidth="1"/>
    <col min="3047" max="3047" width="5.88671875" customWidth="1"/>
    <col min="3048" max="3048" width="6" customWidth="1"/>
    <col min="3049" max="3049" width="7" customWidth="1"/>
    <col min="3050" max="3050" width="6" customWidth="1"/>
    <col min="3051" max="3051" width="12.5546875" customWidth="1"/>
    <col min="3052" max="3052" width="5.109375" customWidth="1"/>
    <col min="3053" max="3053" width="7.109375" customWidth="1"/>
    <col min="3054" max="3054" width="10" customWidth="1"/>
    <col min="3055" max="3055" width="4" customWidth="1"/>
    <col min="3056" max="3057" width="4.5546875" customWidth="1"/>
    <col min="3058" max="3058" width="7" customWidth="1"/>
    <col min="3059" max="3059" width="6.44140625" customWidth="1"/>
    <col min="3060" max="3060" width="9.88671875" customWidth="1"/>
    <col min="3061" max="3061" width="5.6640625" customWidth="1"/>
    <col min="3062" max="3062" width="5.88671875" customWidth="1"/>
    <col min="3063" max="3063" width="6.6640625" customWidth="1"/>
    <col min="3064" max="3064" width="10.33203125" customWidth="1"/>
    <col min="3065" max="3065" width="5.5546875" customWidth="1"/>
    <col min="3066" max="3066" width="8.6640625" customWidth="1"/>
    <col min="3067" max="3067" width="6" customWidth="1"/>
    <col min="3068" max="3068" width="8.109375" customWidth="1"/>
    <col min="3069" max="3069" width="6" customWidth="1"/>
    <col min="3070" max="3070" width="8.33203125" customWidth="1"/>
    <col min="3071" max="3071" width="4.5546875" customWidth="1"/>
    <col min="3072" max="3072" width="6.33203125" customWidth="1"/>
    <col min="3073" max="3073" width="6.88671875" customWidth="1"/>
    <col min="3074" max="3074" width="8" customWidth="1"/>
    <col min="3075" max="3075" width="7.88671875" customWidth="1"/>
    <col min="3076" max="3076" width="7.109375" customWidth="1"/>
    <col min="3077" max="3077" width="7" customWidth="1"/>
    <col min="3078" max="3078" width="8.44140625" customWidth="1"/>
    <col min="3079" max="3079" width="5.109375" customWidth="1"/>
    <col min="3080" max="3080" width="6" customWidth="1"/>
    <col min="3081" max="3081" width="6.33203125" customWidth="1"/>
    <col min="3082" max="3082" width="6.6640625" customWidth="1"/>
    <col min="3083" max="3083" width="10.33203125" customWidth="1"/>
    <col min="3084" max="3084" width="5.6640625" customWidth="1"/>
    <col min="3085" max="3085" width="7.109375" customWidth="1"/>
    <col min="3086" max="3086" width="7" customWidth="1"/>
    <col min="3087" max="3087" width="6" customWidth="1"/>
    <col min="3088" max="3088" width="8.44140625" customWidth="1"/>
    <col min="3089" max="3089" width="8.5546875" customWidth="1"/>
    <col min="3090" max="3090" width="6" customWidth="1"/>
    <col min="3091" max="3091" width="6.44140625" customWidth="1"/>
    <col min="3092" max="3092" width="5.88671875" customWidth="1"/>
    <col min="3093" max="3093" width="9.5546875" customWidth="1"/>
    <col min="3094" max="3094" width="8.5546875" customWidth="1"/>
    <col min="3095" max="3095" width="10.109375" customWidth="1"/>
    <col min="3096" max="3096" width="8.109375" customWidth="1"/>
    <col min="3097" max="3097" width="9.33203125" customWidth="1"/>
    <col min="3098" max="3098" width="5.88671875" customWidth="1"/>
    <col min="3099" max="3099" width="5.6640625" customWidth="1"/>
    <col min="3100" max="3100" width="5.44140625" customWidth="1"/>
    <col min="3101" max="3101" width="6.5546875" customWidth="1"/>
    <col min="3102" max="3102" width="7.6640625" customWidth="1"/>
    <col min="3103" max="3103" width="9.33203125" customWidth="1"/>
    <col min="3104" max="3105" width="5" customWidth="1"/>
    <col min="3106" max="3106" width="7.44140625" customWidth="1"/>
    <col min="3107" max="3107" width="6.44140625" customWidth="1"/>
    <col min="3108" max="3108" width="6.6640625" customWidth="1"/>
    <col min="3109" max="3109" width="8" customWidth="1"/>
    <col min="3110" max="3110" width="8.44140625" customWidth="1"/>
    <col min="3111" max="3111" width="6.5546875" customWidth="1"/>
    <col min="3112" max="3112" width="5.88671875" customWidth="1"/>
    <col min="3113" max="3113" width="7.33203125" customWidth="1"/>
    <col min="3114" max="3114" width="5.5546875" customWidth="1"/>
    <col min="3115" max="3115" width="5.44140625" customWidth="1"/>
    <col min="3116" max="3116" width="6.88671875" customWidth="1"/>
    <col min="3117" max="3117" width="8" customWidth="1"/>
    <col min="3118" max="3118" width="4.109375" customWidth="1"/>
    <col min="3119" max="3119" width="7.88671875" customWidth="1"/>
    <col min="3120" max="3120" width="6.109375" customWidth="1"/>
    <col min="3121" max="3121" width="7" customWidth="1"/>
    <col min="3122" max="3122" width="5.5546875" customWidth="1"/>
    <col min="3123" max="3123" width="7.6640625" customWidth="1"/>
    <col min="3124" max="3124" width="7.33203125" customWidth="1"/>
    <col min="3125" max="3125" width="5.88671875" customWidth="1"/>
    <col min="3126" max="3126" width="6.6640625" customWidth="1"/>
    <col min="3127" max="3127" width="5" customWidth="1"/>
    <col min="3128" max="3128" width="7" customWidth="1"/>
    <col min="3129" max="3130" width="5" customWidth="1"/>
    <col min="3131" max="3131" width="5.33203125" customWidth="1"/>
    <col min="3132" max="3132" width="7.109375" customWidth="1"/>
    <col min="3133" max="3133" width="6.33203125" customWidth="1"/>
    <col min="3134" max="3134" width="5.88671875" customWidth="1"/>
    <col min="3135" max="3135" width="9.6640625" customWidth="1"/>
    <col min="3136" max="3136" width="7.88671875" customWidth="1"/>
    <col min="3137" max="3137" width="4" customWidth="1"/>
    <col min="3138" max="3138" width="6.109375" customWidth="1"/>
    <col min="3139" max="3139" width="5" customWidth="1"/>
    <col min="3140" max="3140" width="7.33203125" customWidth="1"/>
    <col min="3141" max="3141" width="6.109375" customWidth="1"/>
    <col min="3142" max="3142" width="7.5546875" customWidth="1"/>
    <col min="3143" max="3143" width="9.5546875" customWidth="1"/>
    <col min="3144" max="3144" width="4.5546875" customWidth="1"/>
    <col min="3145" max="3145" width="7" customWidth="1"/>
    <col min="3146" max="3146" width="5.88671875" customWidth="1"/>
    <col min="3147" max="3147" width="7.33203125" customWidth="1"/>
    <col min="3148" max="3148" width="4" customWidth="1"/>
    <col min="3149" max="3149" width="5.44140625" customWidth="1"/>
    <col min="3150" max="3150" width="7.33203125" customWidth="1"/>
    <col min="3151" max="3151" width="5.5546875" customWidth="1"/>
    <col min="3152" max="3152" width="8.109375" customWidth="1"/>
    <col min="3153" max="3153" width="7.44140625" customWidth="1"/>
    <col min="3154" max="3154" width="5.44140625" customWidth="1"/>
    <col min="3155" max="3155" width="6.6640625" customWidth="1"/>
    <col min="3156" max="3156" width="7.44140625" customWidth="1"/>
    <col min="3157" max="3157" width="6.88671875" customWidth="1"/>
    <col min="3158" max="3158" width="7.6640625" customWidth="1"/>
    <col min="3159" max="3159" width="5.44140625" customWidth="1"/>
    <col min="3160" max="3160" width="4" customWidth="1"/>
    <col min="3161" max="3161" width="5.88671875" customWidth="1"/>
    <col min="3162" max="3162" width="7.33203125" customWidth="1"/>
    <col min="3163" max="3163" width="7.109375" customWidth="1"/>
    <col min="3164" max="3164" width="5.88671875" customWidth="1"/>
    <col min="3165" max="3165" width="8.5546875" customWidth="1"/>
    <col min="3166" max="3166" width="6.44140625" customWidth="1"/>
    <col min="3167" max="3167" width="5" customWidth="1"/>
    <col min="3168" max="3168" width="4.5546875" customWidth="1"/>
    <col min="3169" max="3171" width="4.88671875" customWidth="1"/>
    <col min="3172" max="3172" width="7.88671875" customWidth="1"/>
    <col min="3173" max="3173" width="4" customWidth="1"/>
    <col min="3174" max="3174" width="4.5546875" customWidth="1"/>
    <col min="3175" max="3175" width="7.109375" customWidth="1"/>
    <col min="3176" max="3176" width="6.5546875" customWidth="1"/>
    <col min="3177" max="3177" width="9.44140625" customWidth="1"/>
    <col min="3178" max="3179" width="10.5546875" customWidth="1"/>
    <col min="3180" max="3180" width="4" customWidth="1"/>
    <col min="3181" max="3181" width="6.5546875" customWidth="1"/>
    <col min="3182" max="3182" width="8.109375" customWidth="1"/>
    <col min="3183" max="3183" width="10" customWidth="1"/>
    <col min="3184" max="3185" width="6.109375" customWidth="1"/>
    <col min="3186" max="3186" width="5.33203125" customWidth="1"/>
    <col min="3187" max="3187" width="10.33203125" customWidth="1"/>
    <col min="3188" max="3188" width="5.44140625" customWidth="1"/>
    <col min="3189" max="3189" width="8.44140625" customWidth="1"/>
    <col min="3190" max="3190" width="6.6640625" customWidth="1"/>
    <col min="3191" max="3191" width="8.33203125" customWidth="1"/>
    <col min="3192" max="3192" width="5.6640625" customWidth="1"/>
    <col min="3193" max="3193" width="9.109375" customWidth="1"/>
    <col min="3194" max="3194" width="5.109375" customWidth="1"/>
    <col min="3195" max="3195" width="4.33203125" customWidth="1"/>
    <col min="3196" max="3196" width="4.5546875" customWidth="1"/>
    <col min="3197" max="3197" width="4.33203125" customWidth="1"/>
    <col min="3198" max="3198" width="9.6640625" customWidth="1"/>
    <col min="3199" max="3199" width="7.5546875" customWidth="1"/>
    <col min="3200" max="3200" width="6.33203125" customWidth="1"/>
    <col min="3201" max="3201" width="4.6640625" customWidth="1"/>
    <col min="3202" max="3202" width="4" customWidth="1"/>
    <col min="3203" max="3203" width="6.109375" customWidth="1"/>
    <col min="3204" max="3204" width="10" customWidth="1"/>
    <col min="3205" max="3206" width="4" customWidth="1"/>
    <col min="3207" max="3207" width="6.6640625" customWidth="1"/>
    <col min="3208" max="3208" width="6.88671875" customWidth="1"/>
    <col min="3209" max="3209" width="4.44140625" customWidth="1"/>
    <col min="3210" max="3210" width="5.5546875" customWidth="1"/>
    <col min="3211" max="3211" width="6.5546875" customWidth="1"/>
    <col min="3212" max="3212" width="6.44140625" customWidth="1"/>
    <col min="3213" max="3213" width="5.33203125" customWidth="1"/>
    <col min="3214" max="3214" width="5" customWidth="1"/>
    <col min="3215" max="3215" width="5.109375" customWidth="1"/>
    <col min="3216" max="3216" width="6.44140625" customWidth="1"/>
    <col min="3217" max="3217" width="8.109375" customWidth="1"/>
    <col min="3218" max="3218" width="4" customWidth="1"/>
    <col min="3219" max="3219" width="7.5546875" customWidth="1"/>
    <col min="3220" max="3220" width="6.5546875" customWidth="1"/>
    <col min="3221" max="3221" width="5.5546875" customWidth="1"/>
    <col min="3222" max="3222" width="5" customWidth="1"/>
    <col min="3223" max="3223" width="4" customWidth="1"/>
    <col min="3224" max="3224" width="7.5546875" customWidth="1"/>
    <col min="3225" max="3225" width="7.109375" customWidth="1"/>
    <col min="3226" max="3226" width="18.6640625" customWidth="1"/>
    <col min="3227" max="3228" width="5" customWidth="1"/>
    <col min="3229" max="3229" width="5.33203125" customWidth="1"/>
    <col min="3230" max="3230" width="5" customWidth="1"/>
    <col min="3231" max="3231" width="7.44140625" customWidth="1"/>
    <col min="3232" max="3232" width="5.109375" customWidth="1"/>
    <col min="3233" max="3233" width="10.109375" customWidth="1"/>
    <col min="3234" max="3234" width="6.44140625" customWidth="1"/>
    <col min="3235" max="3235" width="7.109375" customWidth="1"/>
    <col min="3236" max="3236" width="6.33203125" customWidth="1"/>
    <col min="3237" max="3237" width="5" customWidth="1"/>
    <col min="3238" max="3238" width="7.33203125" customWidth="1"/>
    <col min="3239" max="3240" width="5" customWidth="1"/>
    <col min="3241" max="3241" width="7.5546875" customWidth="1"/>
    <col min="3242" max="3242" width="5" customWidth="1"/>
    <col min="3243" max="3243" width="6.5546875" customWidth="1"/>
    <col min="3244" max="3244" width="7.109375" customWidth="1"/>
    <col min="3245" max="3246" width="5" customWidth="1"/>
    <col min="3247" max="3247" width="8" customWidth="1"/>
    <col min="3248" max="3248" width="9" customWidth="1"/>
    <col min="3249" max="3249" width="7.88671875" customWidth="1"/>
    <col min="3250" max="3250" width="9.44140625" customWidth="1"/>
    <col min="3251" max="3251" width="7.109375" customWidth="1"/>
    <col min="3252" max="3252" width="6" customWidth="1"/>
    <col min="3253" max="3254" width="5" customWidth="1"/>
    <col min="3255" max="3255" width="5.33203125" customWidth="1"/>
    <col min="3256" max="3256" width="8.5546875" customWidth="1"/>
    <col min="3257" max="3257" width="6.88671875" customWidth="1"/>
    <col min="3258" max="3260" width="5" customWidth="1"/>
    <col min="3261" max="3261" width="5.44140625" customWidth="1"/>
    <col min="3262" max="3262" width="5" customWidth="1"/>
    <col min="3263" max="3263" width="8.44140625" customWidth="1"/>
    <col min="3264" max="3264" width="7.33203125" customWidth="1"/>
    <col min="3265" max="3265" width="9.33203125" customWidth="1"/>
    <col min="3266" max="3266" width="5" customWidth="1"/>
    <col min="3267" max="3267" width="6.33203125" customWidth="1"/>
    <col min="3268" max="3268" width="6" customWidth="1"/>
    <col min="3269" max="3269" width="5" customWidth="1"/>
    <col min="3270" max="3270" width="12.6640625" customWidth="1"/>
    <col min="3271" max="3271" width="6.88671875" customWidth="1"/>
    <col min="3272" max="3272" width="6.33203125" customWidth="1"/>
    <col min="3273" max="3273" width="5" customWidth="1"/>
    <col min="3274" max="3274" width="6.5546875" customWidth="1"/>
    <col min="3275" max="3275" width="7.109375" customWidth="1"/>
    <col min="3276" max="3276" width="7.5546875" customWidth="1"/>
    <col min="3277" max="3277" width="9.33203125" customWidth="1"/>
    <col min="3278" max="3278" width="6" customWidth="1"/>
    <col min="3279" max="3279" width="7.44140625" customWidth="1"/>
    <col min="3280" max="3280" width="8.6640625" customWidth="1"/>
    <col min="3281" max="3281" width="8.44140625" customWidth="1"/>
    <col min="3282" max="3282" width="7.109375" customWidth="1"/>
    <col min="3283" max="3283" width="7" customWidth="1"/>
    <col min="3284" max="3284" width="6.5546875" customWidth="1"/>
    <col min="3285" max="3285" width="8.5546875" customWidth="1"/>
    <col min="3286" max="3286" width="11.6640625" customWidth="1"/>
    <col min="3287" max="3287" width="5" customWidth="1"/>
    <col min="3288" max="3288" width="6" customWidth="1"/>
    <col min="3289" max="3290" width="7.5546875" customWidth="1"/>
    <col min="3291" max="3291" width="6.44140625" customWidth="1"/>
    <col min="3292" max="3292" width="6.88671875" customWidth="1"/>
    <col min="3293" max="3293" width="6.44140625" customWidth="1"/>
    <col min="3294" max="3294" width="5.44140625" customWidth="1"/>
    <col min="3295" max="3295" width="6.33203125" customWidth="1"/>
    <col min="3296" max="3296" width="7.109375" customWidth="1"/>
    <col min="3297" max="3297" width="8.88671875" customWidth="1"/>
    <col min="3298" max="3298" width="6.44140625" customWidth="1"/>
    <col min="3299" max="3300" width="5" customWidth="1"/>
    <col min="3301" max="3301" width="6.6640625" customWidth="1"/>
    <col min="3302" max="3302" width="7.109375" customWidth="1"/>
    <col min="3303" max="3303" width="6" customWidth="1"/>
    <col min="3304" max="3304" width="7.33203125" customWidth="1"/>
    <col min="3305" max="3305" width="5" customWidth="1"/>
    <col min="3306" max="3306" width="7.33203125" customWidth="1"/>
    <col min="3307" max="3307" width="7.44140625" customWidth="1"/>
    <col min="3308" max="3308" width="11.109375" customWidth="1"/>
    <col min="3309" max="3309" width="6.6640625" customWidth="1"/>
    <col min="3310" max="3310" width="6.33203125" customWidth="1"/>
    <col min="3311" max="3311" width="5.33203125" customWidth="1"/>
    <col min="3312" max="3312" width="6.6640625" customWidth="1"/>
    <col min="3313" max="3313" width="6" customWidth="1"/>
    <col min="3314" max="3314" width="7" customWidth="1"/>
    <col min="3315" max="3315" width="5.5546875" customWidth="1"/>
    <col min="3316" max="3316" width="6.88671875" customWidth="1"/>
    <col min="3317" max="3317" width="5.6640625" customWidth="1"/>
    <col min="3318" max="3318" width="5" customWidth="1"/>
    <col min="3319" max="3319" width="10.44140625" customWidth="1"/>
    <col min="3320" max="3320" width="5.109375" customWidth="1"/>
    <col min="3321" max="3321" width="5.5546875" customWidth="1"/>
    <col min="3322" max="3322" width="9.44140625" customWidth="1"/>
    <col min="3323" max="3323" width="8.44140625" customWidth="1"/>
    <col min="3324" max="3324" width="5.88671875" customWidth="1"/>
    <col min="3325" max="3325" width="5.33203125" customWidth="1"/>
    <col min="3326" max="3326" width="8.33203125" customWidth="1"/>
    <col min="3327" max="3327" width="5.88671875" customWidth="1"/>
    <col min="3328" max="3328" width="5" customWidth="1"/>
    <col min="3329" max="3329" width="9" customWidth="1"/>
    <col min="3330" max="3330" width="8.44140625" customWidth="1"/>
    <col min="3331" max="3331" width="11" customWidth="1"/>
    <col min="3332" max="3332" width="8.109375" customWidth="1"/>
    <col min="3333" max="3333" width="6.44140625" customWidth="1"/>
    <col min="3334" max="3334" width="7.44140625" customWidth="1"/>
    <col min="3335" max="3335" width="6.109375" customWidth="1"/>
    <col min="3336" max="3336" width="7.6640625" customWidth="1"/>
    <col min="3337" max="3337" width="9" customWidth="1"/>
    <col min="3338" max="3338" width="5.6640625" customWidth="1"/>
    <col min="3339" max="3339" width="5" customWidth="1"/>
    <col min="3340" max="3340" width="11.109375" customWidth="1"/>
    <col min="3341" max="3341" width="5.44140625" customWidth="1"/>
    <col min="3342" max="3342" width="5.88671875" customWidth="1"/>
    <col min="3343" max="3343" width="10" customWidth="1"/>
    <col min="3344" max="3344" width="6" customWidth="1"/>
    <col min="3345" max="3345" width="5" customWidth="1"/>
    <col min="3346" max="3346" width="5.109375" customWidth="1"/>
    <col min="3347" max="3347" width="6" customWidth="1"/>
    <col min="3348" max="3348" width="5" customWidth="1"/>
    <col min="3349" max="3349" width="8.109375" customWidth="1"/>
    <col min="3350" max="3350" width="7" customWidth="1"/>
    <col min="3351" max="3351" width="7.109375" customWidth="1"/>
    <col min="3352" max="3352" width="6.88671875" customWidth="1"/>
    <col min="3353" max="3353" width="5" customWidth="1"/>
    <col min="3354" max="3354" width="8.6640625" customWidth="1"/>
    <col min="3355" max="3355" width="8.109375" customWidth="1"/>
    <col min="3356" max="3357" width="5" customWidth="1"/>
    <col min="3358" max="3358" width="7.6640625" customWidth="1"/>
    <col min="3359" max="3359" width="5.44140625" customWidth="1"/>
    <col min="3360" max="3360" width="8.109375" customWidth="1"/>
    <col min="3361" max="3361" width="8" customWidth="1"/>
    <col min="3362" max="3362" width="5.88671875" customWidth="1"/>
    <col min="3363" max="3363" width="7" customWidth="1"/>
    <col min="3364" max="3364" width="10.5546875" customWidth="1"/>
    <col min="3365" max="3365" width="6.6640625" customWidth="1"/>
    <col min="3366" max="3366" width="8.109375" customWidth="1"/>
    <col min="3367" max="3367" width="5" customWidth="1"/>
    <col min="3368" max="3368" width="6.44140625" customWidth="1"/>
    <col min="3369" max="3369" width="8.109375" customWidth="1"/>
    <col min="3370" max="3370" width="10.88671875" customWidth="1"/>
    <col min="3371" max="3371" width="8.109375" customWidth="1"/>
    <col min="3372" max="3372" width="6.44140625" customWidth="1"/>
    <col min="3373" max="3373" width="6.88671875" customWidth="1"/>
    <col min="3374" max="3374" width="6" customWidth="1"/>
    <col min="3375" max="3375" width="9.6640625" customWidth="1"/>
    <col min="3376" max="3376" width="10.88671875" customWidth="1"/>
    <col min="3377" max="3377" width="6.88671875" customWidth="1"/>
    <col min="3378" max="3378" width="6.44140625" customWidth="1"/>
    <col min="3379" max="3379" width="5" customWidth="1"/>
    <col min="3380" max="3380" width="9.33203125" customWidth="1"/>
    <col min="3381" max="3381" width="12.88671875" customWidth="1"/>
    <col min="3382" max="3382" width="8.6640625" customWidth="1"/>
    <col min="3383" max="3383" width="6.88671875" customWidth="1"/>
    <col min="3384" max="3384" width="12.109375" customWidth="1"/>
    <col min="3385" max="3386" width="5" customWidth="1"/>
    <col min="3387" max="3387" width="6.109375" customWidth="1"/>
    <col min="3388" max="3388" width="7.33203125" customWidth="1"/>
    <col min="3389" max="3389" width="5.5546875" customWidth="1"/>
    <col min="3390" max="3390" width="5.88671875" customWidth="1"/>
    <col min="3391" max="3391" width="5.109375" customWidth="1"/>
    <col min="3392" max="3392" width="9.44140625" customWidth="1"/>
    <col min="3393" max="3393" width="7.109375" customWidth="1"/>
    <col min="3394" max="3394" width="8" customWidth="1"/>
    <col min="3395" max="3395" width="8.44140625" customWidth="1"/>
    <col min="3396" max="3396" width="6.44140625" customWidth="1"/>
    <col min="3397" max="3397" width="11.33203125" customWidth="1"/>
    <col min="3398" max="3398" width="7.109375" customWidth="1"/>
    <col min="3399" max="3399" width="5.88671875" customWidth="1"/>
    <col min="3400" max="3400" width="9.44140625" customWidth="1"/>
    <col min="3401" max="3401" width="8.5546875" customWidth="1"/>
    <col min="3402" max="3402" width="6.109375" customWidth="1"/>
    <col min="3403" max="3403" width="5" customWidth="1"/>
    <col min="3404" max="3404" width="6.6640625" customWidth="1"/>
    <col min="3405" max="3405" width="5.109375" customWidth="1"/>
    <col min="3406" max="3406" width="7.5546875" customWidth="1"/>
    <col min="3407" max="3407" width="5" customWidth="1"/>
    <col min="3408" max="3408" width="5.6640625" customWidth="1"/>
    <col min="3409" max="3409" width="10.109375" customWidth="1"/>
    <col min="3410" max="3410" width="5.5546875" customWidth="1"/>
    <col min="3411" max="3411" width="8.109375" customWidth="1"/>
    <col min="3412" max="3412" width="8.6640625" customWidth="1"/>
    <col min="3413" max="3414" width="5" customWidth="1"/>
    <col min="3415" max="3415" width="6.5546875" customWidth="1"/>
    <col min="3416" max="3416" width="6.6640625" customWidth="1"/>
    <col min="3417" max="3417" width="9.5546875" customWidth="1"/>
    <col min="3418" max="3418" width="6" customWidth="1"/>
    <col min="3419" max="3419" width="8.33203125" customWidth="1"/>
    <col min="3420" max="3420" width="5" customWidth="1"/>
    <col min="3421" max="3421" width="6.109375" customWidth="1"/>
    <col min="3422" max="3422" width="5.5546875" customWidth="1"/>
    <col min="3423" max="3423" width="6.109375" customWidth="1"/>
    <col min="3424" max="3424" width="5.5546875" customWidth="1"/>
    <col min="3425" max="3425" width="9.109375" customWidth="1"/>
    <col min="3426" max="3426" width="6.33203125" customWidth="1"/>
    <col min="3427" max="3427" width="6.6640625" customWidth="1"/>
    <col min="3428" max="3428" width="5.5546875" customWidth="1"/>
    <col min="3429" max="3429" width="13.5546875" customWidth="1"/>
    <col min="3430" max="3430" width="5.44140625" customWidth="1"/>
    <col min="3431" max="3431" width="5.88671875" customWidth="1"/>
    <col min="3432" max="3432" width="6.6640625" customWidth="1"/>
    <col min="3433" max="3433" width="6.33203125" customWidth="1"/>
    <col min="3434" max="3434" width="5.109375" customWidth="1"/>
    <col min="3435" max="3435" width="5.44140625" customWidth="1"/>
    <col min="3436" max="3436" width="10.109375" customWidth="1"/>
    <col min="3437" max="3437" width="5" customWidth="1"/>
    <col min="3438" max="3438" width="8.5546875" customWidth="1"/>
    <col min="3439" max="3439" width="7.6640625" customWidth="1"/>
    <col min="3440" max="3442" width="5" customWidth="1"/>
    <col min="3443" max="3443" width="7.109375" customWidth="1"/>
    <col min="3444" max="3444" width="6.6640625" customWidth="1"/>
    <col min="3445" max="3445" width="6.88671875" customWidth="1"/>
    <col min="3446" max="3446" width="7" customWidth="1"/>
    <col min="3447" max="3447" width="5.44140625" customWidth="1"/>
    <col min="3448" max="3448" width="5.5546875" customWidth="1"/>
    <col min="3449" max="3449" width="6.6640625" customWidth="1"/>
    <col min="3450" max="3450" width="8.44140625" customWidth="1"/>
    <col min="3451" max="3451" width="6.44140625" customWidth="1"/>
    <col min="3452" max="3452" width="6" customWidth="1"/>
    <col min="3453" max="3454" width="5" customWidth="1"/>
    <col min="3455" max="3455" width="5.109375" customWidth="1"/>
    <col min="3456" max="3456" width="8.44140625" customWidth="1"/>
    <col min="3457" max="3457" width="6.44140625" customWidth="1"/>
    <col min="3458" max="3458" width="5" customWidth="1"/>
    <col min="3459" max="3459" width="7" customWidth="1"/>
    <col min="3460" max="3460" width="10.33203125" customWidth="1"/>
    <col min="3461" max="3461" width="8.6640625" customWidth="1"/>
    <col min="3462" max="3462" width="12.6640625" customWidth="1"/>
    <col min="3463" max="3463" width="8.88671875" customWidth="1"/>
    <col min="3464" max="3464" width="7" customWidth="1"/>
    <col min="3465" max="3465" width="5" customWidth="1"/>
    <col min="3466" max="3466" width="6.6640625" customWidth="1"/>
    <col min="3467" max="3467" width="6" customWidth="1"/>
    <col min="3468" max="3468" width="6.5546875" customWidth="1"/>
    <col min="3469" max="3469" width="9.33203125" customWidth="1"/>
    <col min="3470" max="3470" width="5.33203125" customWidth="1"/>
    <col min="3471" max="3471" width="5" customWidth="1"/>
    <col min="3472" max="3472" width="8.109375" customWidth="1"/>
    <col min="3473" max="3473" width="10.88671875" customWidth="1"/>
    <col min="3474" max="3474" width="6.6640625" customWidth="1"/>
    <col min="3475" max="3475" width="5.5546875" customWidth="1"/>
    <col min="3476" max="3476" width="5.33203125" customWidth="1"/>
    <col min="3477" max="3477" width="8.5546875" customWidth="1"/>
    <col min="3478" max="3478" width="5" customWidth="1"/>
    <col min="3479" max="3479" width="5.88671875" customWidth="1"/>
    <col min="3480" max="3480" width="7.5546875" customWidth="1"/>
    <col min="3481" max="3481" width="6.44140625" customWidth="1"/>
    <col min="3482" max="3482" width="12.44140625" customWidth="1"/>
    <col min="3483" max="3483" width="5.44140625" customWidth="1"/>
    <col min="3484" max="3484" width="6.44140625" customWidth="1"/>
    <col min="3485" max="3485" width="5.109375" customWidth="1"/>
    <col min="3486" max="3486" width="5" customWidth="1"/>
    <col min="3487" max="3487" width="9.44140625" customWidth="1"/>
    <col min="3488" max="3488" width="5" customWidth="1"/>
    <col min="3489" max="3489" width="6.5546875" customWidth="1"/>
    <col min="3490" max="3490" width="6.33203125" customWidth="1"/>
    <col min="3491" max="3491" width="5.6640625" customWidth="1"/>
    <col min="3492" max="3493" width="8" customWidth="1"/>
    <col min="3494" max="3494" width="6.5546875" customWidth="1"/>
    <col min="3495" max="3495" width="8" customWidth="1"/>
    <col min="3496" max="3496" width="5" customWidth="1"/>
    <col min="3497" max="3497" width="6.33203125" customWidth="1"/>
    <col min="3498" max="3498" width="5" customWidth="1"/>
    <col min="3499" max="3499" width="5.6640625" customWidth="1"/>
    <col min="3500" max="3500" width="5.44140625" customWidth="1"/>
    <col min="3501" max="3501" width="5" customWidth="1"/>
    <col min="3502" max="3502" width="9.5546875" customWidth="1"/>
    <col min="3503" max="3503" width="7.33203125" customWidth="1"/>
    <col min="3504" max="3504" width="8.44140625" customWidth="1"/>
    <col min="3505" max="3505" width="6.44140625" customWidth="1"/>
    <col min="3506" max="3506" width="6.5546875" customWidth="1"/>
    <col min="3507" max="3507" width="6.33203125" customWidth="1"/>
    <col min="3508" max="3509" width="5" customWidth="1"/>
    <col min="3510" max="3510" width="15" customWidth="1"/>
    <col min="3511" max="3511" width="8.88671875" customWidth="1"/>
    <col min="3512" max="3512" width="8" customWidth="1"/>
    <col min="3513" max="3513" width="5.109375" customWidth="1"/>
    <col min="3514" max="3514" width="6.33203125" customWidth="1"/>
    <col min="3515" max="3516" width="5" customWidth="1"/>
    <col min="3517" max="3517" width="7.5546875" customWidth="1"/>
    <col min="3518" max="3518" width="12.5546875" customWidth="1"/>
    <col min="3519" max="3520" width="5" customWidth="1"/>
    <col min="3521" max="3521" width="6.6640625" customWidth="1"/>
    <col min="3522" max="3522" width="11.109375" customWidth="1"/>
    <col min="3523" max="3523" width="8.109375" customWidth="1"/>
    <col min="3524" max="3524" width="7.5546875" customWidth="1"/>
    <col min="3525" max="3525" width="10.88671875" customWidth="1"/>
    <col min="3526" max="3526" width="8.88671875" customWidth="1"/>
    <col min="3527" max="3527" width="5" customWidth="1"/>
    <col min="3528" max="3528" width="6.109375" customWidth="1"/>
    <col min="3529" max="3529" width="5.33203125" customWidth="1"/>
    <col min="3530" max="3530" width="5" customWidth="1"/>
    <col min="3531" max="3531" width="6.109375" customWidth="1"/>
    <col min="3532" max="3532" width="5" customWidth="1"/>
    <col min="3533" max="3533" width="5.5546875" customWidth="1"/>
    <col min="3534" max="3534" width="5.44140625" customWidth="1"/>
    <col min="3535" max="3535" width="6.33203125" customWidth="1"/>
    <col min="3536" max="3536" width="5.5546875" customWidth="1"/>
    <col min="3537" max="3537" width="7.33203125" customWidth="1"/>
    <col min="3538" max="3538" width="5" customWidth="1"/>
    <col min="3539" max="3539" width="6.5546875" customWidth="1"/>
    <col min="3540" max="3540" width="9" customWidth="1"/>
    <col min="3541" max="3541" width="5" customWidth="1"/>
    <col min="3542" max="3542" width="6.44140625" customWidth="1"/>
    <col min="3543" max="3543" width="5.6640625" customWidth="1"/>
    <col min="3544" max="3544" width="5.33203125" customWidth="1"/>
    <col min="3545" max="3545" width="6.109375" customWidth="1"/>
    <col min="3546" max="3546" width="5.88671875" customWidth="1"/>
    <col min="3547" max="3547" width="5.44140625" customWidth="1"/>
    <col min="3548" max="3548" width="6.44140625" customWidth="1"/>
    <col min="3549" max="3549" width="5" customWidth="1"/>
    <col min="3550" max="3550" width="5.44140625" customWidth="1"/>
    <col min="3551" max="3551" width="5" customWidth="1"/>
    <col min="3552" max="3552" width="5.109375" customWidth="1"/>
    <col min="3553" max="3553" width="9" customWidth="1"/>
    <col min="3554" max="3554" width="5.44140625" customWidth="1"/>
    <col min="3555" max="3556" width="5" customWidth="1"/>
    <col min="3557" max="3557" width="10.88671875" customWidth="1"/>
    <col min="3558" max="3558" width="5.109375" customWidth="1"/>
    <col min="3559" max="3559" width="5" customWidth="1"/>
    <col min="3560" max="3560" width="6.33203125" customWidth="1"/>
    <col min="3561" max="3561" width="5.109375" customWidth="1"/>
    <col min="3562" max="3563" width="5" customWidth="1"/>
    <col min="3564" max="3564" width="6.44140625" customWidth="1"/>
    <col min="3565" max="3565" width="5" customWidth="1"/>
    <col min="3566" max="3566" width="5.6640625" customWidth="1"/>
    <col min="3567" max="3567" width="8.44140625" customWidth="1"/>
    <col min="3568" max="3569" width="5" customWidth="1"/>
    <col min="3570" max="3570" width="7.33203125" customWidth="1"/>
    <col min="3571" max="3571" width="6" customWidth="1"/>
    <col min="3572" max="3572" width="8.109375" customWidth="1"/>
    <col min="3573" max="3573" width="5.6640625" customWidth="1"/>
    <col min="3574" max="3574" width="5.109375" customWidth="1"/>
    <col min="3575" max="3575" width="5.33203125" customWidth="1"/>
    <col min="3576" max="3576" width="5" customWidth="1"/>
    <col min="3577" max="3577" width="7.44140625" customWidth="1"/>
    <col min="3578" max="3578" width="6.109375" customWidth="1"/>
    <col min="3579" max="3579" width="7" customWidth="1"/>
    <col min="3580" max="3580" width="5.33203125" customWidth="1"/>
    <col min="3581" max="3581" width="6" customWidth="1"/>
    <col min="3582" max="3582" width="6.5546875" customWidth="1"/>
    <col min="3583" max="3583" width="11" customWidth="1"/>
    <col min="3584" max="3584" width="6.5546875" customWidth="1"/>
    <col min="3585" max="3585" width="9.33203125" customWidth="1"/>
    <col min="3586" max="3586" width="5" customWidth="1"/>
    <col min="3587" max="3587" width="8.88671875" customWidth="1"/>
    <col min="3588" max="3588" width="6.44140625" customWidth="1"/>
    <col min="3589" max="3589" width="5" customWidth="1"/>
    <col min="3590" max="3590" width="5.5546875" customWidth="1"/>
    <col min="3591" max="3591" width="6.88671875" customWidth="1"/>
    <col min="3592" max="3593" width="5" customWidth="1"/>
    <col min="3594" max="3594" width="5.6640625" customWidth="1"/>
    <col min="3595" max="3595" width="6.5546875" customWidth="1"/>
    <col min="3596" max="3596" width="5" customWidth="1"/>
    <col min="3597" max="3597" width="6.6640625" customWidth="1"/>
    <col min="3598" max="3598" width="7.33203125" customWidth="1"/>
    <col min="3599" max="3599" width="7.6640625" customWidth="1"/>
    <col min="3600" max="3600" width="8.44140625" customWidth="1"/>
    <col min="3601" max="3601" width="10.109375" customWidth="1"/>
    <col min="3602" max="3602" width="7.6640625" customWidth="1"/>
    <col min="3603" max="3603" width="5" customWidth="1"/>
    <col min="3604" max="3604" width="6.44140625" customWidth="1"/>
    <col min="3605" max="3605" width="5.44140625" customWidth="1"/>
    <col min="3606" max="3606" width="5" customWidth="1"/>
    <col min="3607" max="3607" width="5.6640625" customWidth="1"/>
    <col min="3608" max="3608" width="8.33203125" customWidth="1"/>
    <col min="3609" max="3609" width="7" customWidth="1"/>
    <col min="3610" max="3610" width="6.44140625" customWidth="1"/>
    <col min="3611" max="3611" width="5" customWidth="1"/>
    <col min="3612" max="3612" width="6.88671875" customWidth="1"/>
    <col min="3613" max="3613" width="5.6640625" customWidth="1"/>
    <col min="3614" max="3614" width="6.5546875" customWidth="1"/>
    <col min="3615" max="3615" width="7.6640625" customWidth="1"/>
    <col min="3616" max="3616" width="6.33203125" customWidth="1"/>
    <col min="3617" max="3617" width="5" customWidth="1"/>
    <col min="3618" max="3618" width="5.109375" customWidth="1"/>
    <col min="3619" max="3619" width="4" customWidth="1"/>
    <col min="3620" max="3620" width="5.88671875" customWidth="1"/>
    <col min="3621" max="3621" width="7" customWidth="1"/>
    <col min="3622" max="3622" width="7.44140625" customWidth="1"/>
    <col min="3623" max="3623" width="10.88671875" customWidth="1"/>
    <col min="3624" max="3624" width="8" customWidth="1"/>
    <col min="3625" max="3625" width="7.88671875" customWidth="1"/>
    <col min="3626" max="3626" width="6.44140625" customWidth="1"/>
    <col min="3627" max="3627" width="7.88671875" customWidth="1"/>
    <col min="3628" max="3628" width="7.6640625" customWidth="1"/>
    <col min="3629" max="3629" width="5.88671875" customWidth="1"/>
    <col min="3630" max="3630" width="5.5546875" customWidth="1"/>
    <col min="3631" max="3631" width="7.33203125" customWidth="1"/>
    <col min="3632" max="3632" width="5" customWidth="1"/>
    <col min="3633" max="3633" width="12" customWidth="1"/>
    <col min="3634" max="3637" width="7.33203125" customWidth="1"/>
    <col min="3638" max="3640" width="10" customWidth="1"/>
    <col min="3641" max="3641" width="7" customWidth="1"/>
    <col min="3642" max="3642" width="5.88671875" customWidth="1"/>
    <col min="3643" max="3643" width="9.33203125" customWidth="1"/>
    <col min="3644" max="3644" width="6" customWidth="1"/>
    <col min="3645" max="3645" width="7.5546875" customWidth="1"/>
    <col min="3646" max="3646" width="7.44140625" customWidth="1"/>
    <col min="3647" max="3647" width="7" customWidth="1"/>
    <col min="3648" max="3648" width="7.88671875" customWidth="1"/>
    <col min="3649" max="3649" width="10.88671875" customWidth="1"/>
    <col min="3650" max="3651" width="6.6640625" customWidth="1"/>
    <col min="3652" max="3652" width="9.6640625" customWidth="1"/>
    <col min="3653" max="3653" width="8.6640625" customWidth="1"/>
    <col min="3654" max="3654" width="6.109375" customWidth="1"/>
    <col min="3655" max="3655" width="5" customWidth="1"/>
    <col min="3656" max="3656" width="7.6640625" customWidth="1"/>
    <col min="3657" max="3657" width="5" customWidth="1"/>
    <col min="3658" max="3658" width="6.109375" customWidth="1"/>
    <col min="3659" max="3659" width="7.88671875" customWidth="1"/>
    <col min="3660" max="3660" width="5.88671875" customWidth="1"/>
    <col min="3661" max="3661" width="5" customWidth="1"/>
    <col min="3662" max="3662" width="7.33203125" customWidth="1"/>
    <col min="3663" max="3663" width="12.5546875" customWidth="1"/>
    <col min="3664" max="3664" width="7.44140625" customWidth="1"/>
    <col min="3665" max="3665" width="5" customWidth="1"/>
    <col min="3666" max="3666" width="6.44140625" customWidth="1"/>
    <col min="3667" max="3667" width="9" customWidth="1"/>
    <col min="3668" max="3668" width="6" customWidth="1"/>
    <col min="3669" max="3669" width="8.109375" customWidth="1"/>
    <col min="3670" max="3670" width="8" customWidth="1"/>
    <col min="3671" max="3671" width="8.44140625" customWidth="1"/>
    <col min="3672" max="3672" width="6.109375" customWidth="1"/>
    <col min="3673" max="3673" width="7.6640625" customWidth="1"/>
    <col min="3674" max="3675" width="7" customWidth="1"/>
    <col min="3676" max="3676" width="7.109375" customWidth="1"/>
    <col min="3677" max="3677" width="6.33203125" customWidth="1"/>
    <col min="3678" max="3678" width="5" customWidth="1"/>
    <col min="3679" max="3679" width="5.88671875" customWidth="1"/>
    <col min="3680" max="3680" width="5" customWidth="1"/>
    <col min="3681" max="3681" width="8.5546875" customWidth="1"/>
    <col min="3682" max="3682" width="6.5546875" customWidth="1"/>
    <col min="3683" max="3684" width="7.6640625" customWidth="1"/>
    <col min="3685" max="3685" width="5" customWidth="1"/>
    <col min="3686" max="3686" width="7" customWidth="1"/>
    <col min="3687" max="3687" width="5" customWidth="1"/>
    <col min="3688" max="3688" width="11.5546875" customWidth="1"/>
    <col min="3689" max="3690" width="7.33203125" customWidth="1"/>
    <col min="3691" max="3691" width="5.44140625" customWidth="1"/>
    <col min="3692" max="3693" width="5" customWidth="1"/>
    <col min="3694" max="3694" width="7.5546875" customWidth="1"/>
    <col min="3695" max="3695" width="5.5546875" customWidth="1"/>
    <col min="3696" max="3696" width="6.109375" customWidth="1"/>
    <col min="3697" max="3697" width="6.33203125" customWidth="1"/>
    <col min="3698" max="3698" width="5" customWidth="1"/>
    <col min="3699" max="3699" width="9.6640625" customWidth="1"/>
    <col min="3700" max="3700" width="8.5546875" customWidth="1"/>
    <col min="3701" max="3701" width="7.109375" customWidth="1"/>
    <col min="3702" max="3702" width="5" customWidth="1"/>
    <col min="3703" max="3703" width="5.33203125" customWidth="1"/>
    <col min="3704" max="3704" width="5.109375" customWidth="1"/>
    <col min="3705" max="3705" width="10.5546875" customWidth="1"/>
    <col min="3706" max="3706" width="5" customWidth="1"/>
    <col min="3707" max="3707" width="9" customWidth="1"/>
    <col min="3708" max="3708" width="5.44140625" customWidth="1"/>
    <col min="3709" max="3709" width="5.33203125" customWidth="1"/>
    <col min="3710" max="3710" width="7.109375" customWidth="1"/>
    <col min="3711" max="3711" width="6" customWidth="1"/>
    <col min="3712" max="3712" width="7" customWidth="1"/>
    <col min="3713" max="3713" width="5" customWidth="1"/>
    <col min="3714" max="3714" width="5.109375" customWidth="1"/>
    <col min="3715" max="3715" width="5.6640625" customWidth="1"/>
    <col min="3716" max="3716" width="5" customWidth="1"/>
    <col min="3717" max="3717" width="7.33203125" customWidth="1"/>
    <col min="3718" max="3718" width="6.5546875" customWidth="1"/>
    <col min="3719" max="3719" width="7.33203125" customWidth="1"/>
    <col min="3720" max="3720" width="9.33203125" customWidth="1"/>
    <col min="3721" max="3721" width="6.44140625" customWidth="1"/>
    <col min="3722" max="3722" width="7" customWidth="1"/>
    <col min="3723" max="3723" width="6.44140625" customWidth="1"/>
    <col min="3724" max="3724" width="7.44140625" customWidth="1"/>
    <col min="3725" max="3725" width="7.33203125" customWidth="1"/>
    <col min="3726" max="3726" width="5" customWidth="1"/>
    <col min="3727" max="3727" width="7.33203125" customWidth="1"/>
    <col min="3728" max="3728" width="7.44140625" customWidth="1"/>
    <col min="3729" max="3729" width="5.109375" customWidth="1"/>
    <col min="3730" max="3730" width="6.109375" customWidth="1"/>
    <col min="3731" max="3731" width="11.44140625" customWidth="1"/>
    <col min="3732" max="3732" width="5.44140625" customWidth="1"/>
    <col min="3733" max="3733" width="5.6640625" customWidth="1"/>
    <col min="3734" max="3734" width="8.33203125" customWidth="1"/>
    <col min="3735" max="3735" width="7.33203125" customWidth="1"/>
    <col min="3736" max="3736" width="7.6640625" customWidth="1"/>
    <col min="3737" max="3737" width="6" customWidth="1"/>
    <col min="3738" max="3738" width="11.88671875" customWidth="1"/>
    <col min="3739" max="3739" width="10.5546875" customWidth="1"/>
    <col min="3740" max="3740" width="5.33203125" customWidth="1"/>
    <col min="3741" max="3741" width="5" customWidth="1"/>
    <col min="3742" max="3742" width="6" customWidth="1"/>
    <col min="3743" max="3743" width="5.109375" customWidth="1"/>
    <col min="3744" max="3744" width="6.5546875" customWidth="1"/>
    <col min="3745" max="3745" width="8.5546875" customWidth="1"/>
    <col min="3746" max="3746" width="9.109375" customWidth="1"/>
    <col min="3747" max="3747" width="5" customWidth="1"/>
    <col min="3748" max="3748" width="5.109375" customWidth="1"/>
    <col min="3749" max="3749" width="7.33203125" customWidth="1"/>
    <col min="3750" max="3750" width="5.5546875" customWidth="1"/>
    <col min="3751" max="3751" width="5" customWidth="1"/>
    <col min="3752" max="3752" width="8.109375" customWidth="1"/>
    <col min="3753" max="3753" width="7.44140625" customWidth="1"/>
    <col min="3754" max="3754" width="6.33203125" customWidth="1"/>
    <col min="3755" max="3755" width="7" customWidth="1"/>
    <col min="3756" max="3756" width="6.109375" customWidth="1"/>
    <col min="3757" max="3757" width="5.44140625" customWidth="1"/>
    <col min="3758" max="3758" width="5" customWidth="1"/>
    <col min="3759" max="3759" width="8.33203125" customWidth="1"/>
    <col min="3760" max="3760" width="6.6640625" customWidth="1"/>
    <col min="3761" max="3761" width="7" customWidth="1"/>
    <col min="3762" max="3762" width="9" customWidth="1"/>
    <col min="3763" max="3763" width="7.109375" customWidth="1"/>
    <col min="3764" max="3764" width="8" customWidth="1"/>
    <col min="3765" max="3765" width="5" customWidth="1"/>
    <col min="3766" max="3766" width="7.109375" customWidth="1"/>
    <col min="3767" max="3768" width="5" customWidth="1"/>
    <col min="3769" max="3769" width="5.6640625" customWidth="1"/>
    <col min="3770" max="3770" width="10.109375" customWidth="1"/>
    <col min="3771" max="3772" width="5" customWidth="1"/>
    <col min="3773" max="3773" width="6.5546875" customWidth="1"/>
    <col min="3774" max="3774" width="5" customWidth="1"/>
    <col min="3775" max="3775" width="7.44140625" customWidth="1"/>
    <col min="3776" max="3776" width="8.5546875" customWidth="1"/>
    <col min="3777" max="3777" width="9.44140625" customWidth="1"/>
    <col min="3778" max="3778" width="5" customWidth="1"/>
    <col min="3779" max="3779" width="6.44140625" customWidth="1"/>
    <col min="3780" max="3780" width="5.44140625" customWidth="1"/>
    <col min="3781" max="3781" width="5.109375" customWidth="1"/>
    <col min="3782" max="3782" width="11" customWidth="1"/>
    <col min="3783" max="3783" width="6" customWidth="1"/>
    <col min="3784" max="3784" width="5.109375" customWidth="1"/>
    <col min="3785" max="3785" width="9.33203125" customWidth="1"/>
    <col min="3786" max="3786" width="5" customWidth="1"/>
    <col min="3787" max="3787" width="10.33203125" customWidth="1"/>
    <col min="3788" max="3788" width="6.109375" customWidth="1"/>
    <col min="3789" max="3789" width="12.33203125" customWidth="1"/>
    <col min="3790" max="3791" width="5" customWidth="1"/>
    <col min="3792" max="3792" width="7.44140625" customWidth="1"/>
    <col min="3793" max="3793" width="5.44140625" customWidth="1"/>
    <col min="3794" max="3794" width="8.88671875" customWidth="1"/>
    <col min="3795" max="3795" width="7.44140625" customWidth="1"/>
    <col min="3796" max="3796" width="6.88671875" customWidth="1"/>
    <col min="3797" max="3797" width="6.44140625" customWidth="1"/>
    <col min="3798" max="3798" width="6.6640625" customWidth="1"/>
    <col min="3799" max="3799" width="6.109375" customWidth="1"/>
    <col min="3800" max="3800" width="5.109375" customWidth="1"/>
    <col min="3801" max="3801" width="9.33203125" customWidth="1"/>
    <col min="3802" max="3802" width="5" customWidth="1"/>
    <col min="3803" max="3803" width="6.88671875" customWidth="1"/>
    <col min="3804" max="3804" width="5.88671875" customWidth="1"/>
    <col min="3805" max="3805" width="5.33203125" customWidth="1"/>
    <col min="3806" max="3806" width="5.6640625" customWidth="1"/>
    <col min="3807" max="3807" width="5" customWidth="1"/>
    <col min="3808" max="3808" width="6.33203125" customWidth="1"/>
    <col min="3809" max="3809" width="6.109375" customWidth="1"/>
    <col min="3810" max="3810" width="5" customWidth="1"/>
    <col min="3811" max="3811" width="8.6640625" customWidth="1"/>
    <col min="3812" max="3812" width="5" customWidth="1"/>
    <col min="3813" max="3813" width="6.33203125" customWidth="1"/>
    <col min="3814" max="3814" width="6.6640625" customWidth="1"/>
    <col min="3815" max="3815" width="6.88671875" customWidth="1"/>
    <col min="3816" max="3816" width="5" customWidth="1"/>
    <col min="3817" max="3817" width="7" customWidth="1"/>
    <col min="3818" max="3818" width="5" customWidth="1"/>
    <col min="3819" max="3819" width="8.109375" customWidth="1"/>
    <col min="3820" max="3820" width="6.6640625" customWidth="1"/>
    <col min="3821" max="3821" width="5.88671875" customWidth="1"/>
    <col min="3822" max="3822" width="6.109375" customWidth="1"/>
    <col min="3823" max="3823" width="6" customWidth="1"/>
    <col min="3824" max="3824" width="6.33203125" customWidth="1"/>
    <col min="3825" max="3825" width="5" customWidth="1"/>
    <col min="3826" max="3826" width="6.33203125" customWidth="1"/>
    <col min="3827" max="3827" width="5" customWidth="1"/>
    <col min="3828" max="3828" width="6.6640625" customWidth="1"/>
    <col min="3829" max="3829" width="7.44140625" customWidth="1"/>
    <col min="3830" max="3830" width="8.109375" customWidth="1"/>
    <col min="3831" max="3831" width="6.5546875" customWidth="1"/>
    <col min="3832" max="3832" width="12.109375" customWidth="1"/>
    <col min="3833" max="3833" width="6" customWidth="1"/>
    <col min="3834" max="3834" width="6.109375" customWidth="1"/>
    <col min="3835" max="3835" width="7.109375" customWidth="1"/>
    <col min="3836" max="3836" width="5" customWidth="1"/>
    <col min="3837" max="3837" width="7.5546875" customWidth="1"/>
    <col min="3838" max="3838" width="7" customWidth="1"/>
    <col min="3839" max="3839" width="5" customWidth="1"/>
    <col min="3840" max="3840" width="10.6640625" customWidth="1"/>
    <col min="3841" max="3841" width="5" customWidth="1"/>
    <col min="3842" max="3842" width="6.6640625" customWidth="1"/>
    <col min="3843" max="3844" width="8.88671875" customWidth="1"/>
    <col min="3845" max="3845" width="7.5546875" customWidth="1"/>
    <col min="3846" max="3846" width="7" customWidth="1"/>
    <col min="3847" max="3847" width="6.44140625" customWidth="1"/>
    <col min="3848" max="3848" width="6.33203125" customWidth="1"/>
    <col min="3849" max="3849" width="5.88671875" customWidth="1"/>
    <col min="3850" max="3850" width="9.109375" customWidth="1"/>
    <col min="3851" max="3851" width="11.5546875" customWidth="1"/>
    <col min="3852" max="3852" width="7.44140625" customWidth="1"/>
    <col min="3853" max="3853" width="5.88671875" customWidth="1"/>
    <col min="3854" max="3854" width="6" customWidth="1"/>
    <col min="3855" max="3855" width="7" customWidth="1"/>
    <col min="3856" max="3856" width="6" customWidth="1"/>
    <col min="3857" max="3857" width="12.5546875" customWidth="1"/>
    <col min="3858" max="3858" width="5.109375" customWidth="1"/>
    <col min="3859" max="3859" width="7.109375" customWidth="1"/>
    <col min="3860" max="3860" width="10" customWidth="1"/>
    <col min="3861" max="3863" width="5" customWidth="1"/>
    <col min="3864" max="3864" width="7" customWidth="1"/>
    <col min="3865" max="3865" width="6.44140625" customWidth="1"/>
    <col min="3866" max="3866" width="9.88671875" customWidth="1"/>
    <col min="3867" max="3867" width="5.6640625" customWidth="1"/>
    <col min="3868" max="3868" width="5.88671875" customWidth="1"/>
    <col min="3869" max="3869" width="6.6640625" customWidth="1"/>
    <col min="3870" max="3870" width="10.33203125" customWidth="1"/>
    <col min="3871" max="3871" width="5.5546875" customWidth="1"/>
    <col min="3872" max="3872" width="8.6640625" customWidth="1"/>
    <col min="3873" max="3873" width="6" customWidth="1"/>
    <col min="3874" max="3874" width="8.109375" customWidth="1"/>
    <col min="3875" max="3875" width="6" customWidth="1"/>
    <col min="3876" max="3876" width="8.33203125" customWidth="1"/>
    <col min="3877" max="3877" width="5" customWidth="1"/>
    <col min="3878" max="3878" width="6.33203125" customWidth="1"/>
    <col min="3879" max="3879" width="6.88671875" customWidth="1"/>
    <col min="3880" max="3880" width="8" customWidth="1"/>
    <col min="3881" max="3881" width="7.88671875" customWidth="1"/>
    <col min="3882" max="3882" width="7.109375" customWidth="1"/>
    <col min="3883" max="3883" width="7" customWidth="1"/>
    <col min="3884" max="3884" width="8.44140625" customWidth="1"/>
    <col min="3885" max="3885" width="5.109375" customWidth="1"/>
    <col min="3886" max="3886" width="6" customWidth="1"/>
    <col min="3887" max="3887" width="6.33203125" customWidth="1"/>
    <col min="3888" max="3888" width="6.6640625" customWidth="1"/>
    <col min="3889" max="3889" width="10.33203125" customWidth="1"/>
    <col min="3890" max="3890" width="5.6640625" customWidth="1"/>
    <col min="3891" max="3891" width="7.109375" customWidth="1"/>
    <col min="3892" max="3892" width="7" customWidth="1"/>
    <col min="3893" max="3893" width="6" customWidth="1"/>
    <col min="3894" max="3894" width="8.44140625" customWidth="1"/>
    <col min="3895" max="3895" width="8.5546875" customWidth="1"/>
    <col min="3896" max="3896" width="6" customWidth="1"/>
    <col min="3897" max="3897" width="6.44140625" customWidth="1"/>
    <col min="3898" max="3898" width="5.88671875" customWidth="1"/>
    <col min="3899" max="3899" width="9.5546875" customWidth="1"/>
    <col min="3900" max="3900" width="8.5546875" customWidth="1"/>
    <col min="3901" max="3901" width="10.109375" customWidth="1"/>
    <col min="3902" max="3902" width="8.109375" customWidth="1"/>
    <col min="3903" max="3903" width="9.33203125" customWidth="1"/>
    <col min="3904" max="3904" width="5.88671875" customWidth="1"/>
    <col min="3905" max="3905" width="5.6640625" customWidth="1"/>
    <col min="3906" max="3906" width="5.44140625" customWidth="1"/>
    <col min="3907" max="3907" width="6.5546875" customWidth="1"/>
    <col min="3908" max="3908" width="7.6640625" customWidth="1"/>
    <col min="3909" max="3909" width="9.33203125" customWidth="1"/>
    <col min="3910" max="3911" width="5" customWidth="1"/>
    <col min="3912" max="3912" width="7.44140625" customWidth="1"/>
    <col min="3913" max="3913" width="6.44140625" customWidth="1"/>
    <col min="3914" max="3914" width="6.6640625" customWidth="1"/>
    <col min="3915" max="3915" width="8" customWidth="1"/>
    <col min="3916" max="3916" width="8.44140625" customWidth="1"/>
    <col min="3917" max="3917" width="6.5546875" customWidth="1"/>
    <col min="3918" max="3918" width="5.88671875" customWidth="1"/>
    <col min="3919" max="3919" width="7.33203125" customWidth="1"/>
    <col min="3920" max="3920" width="5.5546875" customWidth="1"/>
    <col min="3921" max="3921" width="5.44140625" customWidth="1"/>
    <col min="3922" max="3922" width="6.88671875" customWidth="1"/>
    <col min="3923" max="3923" width="8" customWidth="1"/>
    <col min="3924" max="3924" width="5" customWidth="1"/>
    <col min="3925" max="3925" width="7.88671875" customWidth="1"/>
    <col min="3926" max="3926" width="6.109375" customWidth="1"/>
    <col min="3927" max="3927" width="7" customWidth="1"/>
    <col min="3928" max="3928" width="5.5546875" customWidth="1"/>
    <col min="3929" max="3929" width="7.6640625" customWidth="1"/>
    <col min="3930" max="3930" width="7.33203125" customWidth="1"/>
    <col min="3931" max="3931" width="5.88671875" customWidth="1"/>
    <col min="3932" max="3932" width="6.6640625" customWidth="1"/>
    <col min="3933" max="3933" width="5" customWidth="1"/>
    <col min="3934" max="3934" width="7" customWidth="1"/>
    <col min="3935" max="3936" width="5" customWidth="1"/>
    <col min="3937" max="3937" width="5.33203125" customWidth="1"/>
    <col min="3938" max="3938" width="7.109375" customWidth="1"/>
    <col min="3939" max="3939" width="6.33203125" customWidth="1"/>
    <col min="3940" max="3940" width="5.88671875" customWidth="1"/>
    <col min="3941" max="3941" width="9.6640625" customWidth="1"/>
    <col min="3942" max="3942" width="7.88671875" customWidth="1"/>
    <col min="3943" max="3943" width="5" customWidth="1"/>
    <col min="3944" max="3944" width="6.109375" customWidth="1"/>
    <col min="3945" max="3945" width="5" customWidth="1"/>
    <col min="3946" max="3946" width="7.33203125" customWidth="1"/>
    <col min="3947" max="3947" width="6.109375" customWidth="1"/>
    <col min="3948" max="3948" width="7.5546875" customWidth="1"/>
    <col min="3949" max="3949" width="9.5546875" customWidth="1"/>
    <col min="3950" max="3950" width="5" customWidth="1"/>
    <col min="3951" max="3951" width="7" customWidth="1"/>
    <col min="3952" max="3952" width="5.88671875" customWidth="1"/>
    <col min="3953" max="3953" width="7.33203125" customWidth="1"/>
    <col min="3954" max="3954" width="5" customWidth="1"/>
    <col min="3955" max="3955" width="5.44140625" customWidth="1"/>
    <col min="3956" max="3956" width="7.33203125" customWidth="1"/>
    <col min="3957" max="3957" width="5.5546875" customWidth="1"/>
    <col min="3958" max="3958" width="8.109375" customWidth="1"/>
    <col min="3959" max="3959" width="7.44140625" customWidth="1"/>
    <col min="3960" max="3960" width="5.44140625" customWidth="1"/>
    <col min="3961" max="3961" width="6.6640625" customWidth="1"/>
    <col min="3962" max="3962" width="7.44140625" customWidth="1"/>
    <col min="3963" max="3963" width="6.88671875" customWidth="1"/>
    <col min="3964" max="3964" width="7.6640625" customWidth="1"/>
    <col min="3965" max="3965" width="5.44140625" customWidth="1"/>
    <col min="3966" max="3966" width="5" customWidth="1"/>
    <col min="3967" max="3967" width="5.88671875" customWidth="1"/>
    <col min="3968" max="3968" width="7.33203125" customWidth="1"/>
    <col min="3969" max="3969" width="7.109375" customWidth="1"/>
    <col min="3970" max="3970" width="5.88671875" customWidth="1"/>
    <col min="3971" max="3971" width="8.5546875" customWidth="1"/>
    <col min="3972" max="3972" width="6.44140625" customWidth="1"/>
    <col min="3973" max="3977" width="5" customWidth="1"/>
    <col min="3978" max="3978" width="7.88671875" customWidth="1"/>
    <col min="3979" max="3980" width="5" customWidth="1"/>
    <col min="3981" max="3981" width="7.109375" customWidth="1"/>
    <col min="3982" max="3982" width="6.5546875" customWidth="1"/>
    <col min="3983" max="3983" width="9.44140625" customWidth="1"/>
    <col min="3984" max="3985" width="10.5546875" customWidth="1"/>
    <col min="3986" max="3986" width="5" customWidth="1"/>
    <col min="3987" max="3987" width="6.5546875" customWidth="1"/>
    <col min="3988" max="3988" width="8.109375" customWidth="1"/>
    <col min="3989" max="3989" width="10" customWidth="1"/>
    <col min="3990" max="3991" width="6.109375" customWidth="1"/>
    <col min="3992" max="3992" width="5.33203125" customWidth="1"/>
    <col min="3993" max="3993" width="10.33203125" customWidth="1"/>
    <col min="3994" max="3994" width="5.44140625" customWidth="1"/>
    <col min="3995" max="3995" width="8.44140625" customWidth="1"/>
    <col min="3996" max="3996" width="6.6640625" customWidth="1"/>
    <col min="3997" max="3997" width="8.33203125" customWidth="1"/>
    <col min="3998" max="3998" width="5.6640625" customWidth="1"/>
    <col min="3999" max="3999" width="9.109375" customWidth="1"/>
    <col min="4000" max="4000" width="5.109375" customWidth="1"/>
    <col min="4001" max="4003" width="5" customWidth="1"/>
    <col min="4004" max="4004" width="9.6640625" customWidth="1"/>
    <col min="4005" max="4005" width="7.5546875" customWidth="1"/>
    <col min="4006" max="4006" width="6.33203125" customWidth="1"/>
    <col min="4007" max="4008" width="5" customWidth="1"/>
    <col min="4009" max="4009" width="6.109375" customWidth="1"/>
    <col min="4010" max="4010" width="10" customWidth="1"/>
    <col min="4011" max="4012" width="5" customWidth="1"/>
    <col min="4013" max="4013" width="6.6640625" customWidth="1"/>
    <col min="4014" max="4014" width="6.88671875" customWidth="1"/>
    <col min="4015" max="4015" width="5" customWidth="1"/>
    <col min="4016" max="4016" width="5.5546875" customWidth="1"/>
    <col min="4017" max="4017" width="6.5546875" customWidth="1"/>
    <col min="4018" max="4018" width="6.44140625" customWidth="1"/>
    <col min="4019" max="4019" width="5.33203125" customWidth="1"/>
    <col min="4020" max="4020" width="5" customWidth="1"/>
    <col min="4021" max="4021" width="5.109375" customWidth="1"/>
    <col min="4022" max="4022" width="6.44140625" customWidth="1"/>
    <col min="4023" max="4023" width="8.109375" customWidth="1"/>
    <col min="4024" max="4024" width="5" customWidth="1"/>
    <col min="4025" max="4025" width="7.5546875" customWidth="1"/>
    <col min="4026" max="4026" width="6.5546875" customWidth="1"/>
    <col min="4027" max="4027" width="5.5546875" customWidth="1"/>
    <col min="4028" max="4029" width="5" customWidth="1"/>
    <col min="4030" max="4030" width="7.5546875" customWidth="1"/>
    <col min="4031" max="4031" width="7.109375" customWidth="1"/>
    <col min="4032" max="4032" width="22.88671875" bestFit="1" customWidth="1"/>
    <col min="4033" max="4033" width="22.44140625" bestFit="1" customWidth="1"/>
    <col min="4034" max="4034" width="24.33203125" bestFit="1" customWidth="1"/>
    <col min="4035" max="4035" width="22.33203125" bestFit="1" customWidth="1"/>
    <col min="4036" max="4036" width="23.6640625" bestFit="1" customWidth="1"/>
  </cols>
  <sheetData>
    <row r="1" spans="1:10" x14ac:dyDescent="0.3">
      <c r="A1" s="5" t="s">
        <v>3</v>
      </c>
      <c r="B1" t="s">
        <v>3448</v>
      </c>
    </row>
    <row r="2" spans="1:10" x14ac:dyDescent="0.3">
      <c r="A2" s="5" t="s">
        <v>1</v>
      </c>
      <c r="B2" t="s">
        <v>3448</v>
      </c>
    </row>
    <row r="3" spans="1:10" x14ac:dyDescent="0.3">
      <c r="A3" s="5" t="s">
        <v>9</v>
      </c>
      <c r="B3" t="s">
        <v>3448</v>
      </c>
    </row>
    <row r="5" spans="1:10" x14ac:dyDescent="0.3">
      <c r="A5" s="5" t="s">
        <v>3496</v>
      </c>
      <c r="B5" t="s">
        <v>3449</v>
      </c>
      <c r="C5" t="s">
        <v>3450</v>
      </c>
      <c r="D5" t="s">
        <v>3451</v>
      </c>
      <c r="E5" t="s">
        <v>3452</v>
      </c>
      <c r="F5" t="s">
        <v>3453</v>
      </c>
      <c r="I5" s="8"/>
      <c r="J5" s="8"/>
    </row>
    <row r="6" spans="1:10" x14ac:dyDescent="0.3">
      <c r="A6" s="6" t="s">
        <v>209</v>
      </c>
      <c r="B6" s="22">
        <v>235098</v>
      </c>
      <c r="C6" s="22">
        <v>32640</v>
      </c>
      <c r="D6" s="22">
        <v>25252</v>
      </c>
      <c r="E6" s="22">
        <v>62771</v>
      </c>
      <c r="F6" s="22">
        <v>3801</v>
      </c>
      <c r="I6" s="6"/>
    </row>
    <row r="7" spans="1:10" x14ac:dyDescent="0.3">
      <c r="A7" s="6" t="s">
        <v>3446</v>
      </c>
      <c r="B7" s="22">
        <v>235098</v>
      </c>
      <c r="C7" s="22">
        <v>32640</v>
      </c>
      <c r="D7" s="22">
        <v>25252</v>
      </c>
      <c r="E7" s="22">
        <v>62771</v>
      </c>
      <c r="F7" s="22">
        <v>3801</v>
      </c>
      <c r="I7" s="6"/>
    </row>
    <row r="8" spans="1:10" x14ac:dyDescent="0.3">
      <c r="I8" s="6"/>
    </row>
    <row r="9" spans="1:10" x14ac:dyDescent="0.3">
      <c r="I9" s="6"/>
    </row>
    <row r="10" spans="1:10" x14ac:dyDescent="0.3">
      <c r="I10" s="6"/>
    </row>
    <row r="11" spans="1:10" x14ac:dyDescent="0.3">
      <c r="I11" s="6"/>
    </row>
    <row r="12" spans="1:10" x14ac:dyDescent="0.3">
      <c r="I12" s="6"/>
    </row>
    <row r="13" spans="1:10" x14ac:dyDescent="0.3">
      <c r="I13" s="6"/>
    </row>
    <row r="14" spans="1:10" x14ac:dyDescent="0.3">
      <c r="I14" s="6"/>
    </row>
    <row r="15" spans="1:10" x14ac:dyDescent="0.3">
      <c r="I15" s="6"/>
    </row>
    <row r="16" spans="1:10" x14ac:dyDescent="0.3">
      <c r="I16" s="6"/>
    </row>
    <row r="17" spans="9:9" x14ac:dyDescent="0.3">
      <c r="I17" s="6"/>
    </row>
    <row r="18" spans="9:9" x14ac:dyDescent="0.3">
      <c r="I18" s="6"/>
    </row>
    <row r="19" spans="9:9" x14ac:dyDescent="0.3">
      <c r="I19" s="6"/>
    </row>
    <row r="20" spans="9:9" x14ac:dyDescent="0.3">
      <c r="I20" s="6"/>
    </row>
    <row r="21" spans="9:9" x14ac:dyDescent="0.3">
      <c r="I21" s="6"/>
    </row>
    <row r="22" spans="9:9" x14ac:dyDescent="0.3">
      <c r="I22" s="6"/>
    </row>
    <row r="23" spans="9:9" x14ac:dyDescent="0.3">
      <c r="I23" s="6"/>
    </row>
    <row r="24" spans="9:9" x14ac:dyDescent="0.3">
      <c r="I24" s="6"/>
    </row>
    <row r="25" spans="9:9" x14ac:dyDescent="0.3">
      <c r="I25" s="6"/>
    </row>
    <row r="26" spans="9:9" x14ac:dyDescent="0.3">
      <c r="I26" s="6"/>
    </row>
    <row r="27" spans="9:9" x14ac:dyDescent="0.3">
      <c r="I27" s="6"/>
    </row>
    <row r="28" spans="9:9" x14ac:dyDescent="0.3">
      <c r="I28" s="6"/>
    </row>
    <row r="29" spans="9:9" x14ac:dyDescent="0.3">
      <c r="I29" s="6"/>
    </row>
    <row r="30" spans="9:9" x14ac:dyDescent="0.3">
      <c r="I30" s="6"/>
    </row>
    <row r="31" spans="9:9" x14ac:dyDescent="0.3">
      <c r="I31" s="6"/>
    </row>
    <row r="32" spans="9:9" x14ac:dyDescent="0.3">
      <c r="I32" s="6"/>
    </row>
    <row r="33" spans="9:9" x14ac:dyDescent="0.3">
      <c r="I33" s="6"/>
    </row>
    <row r="34" spans="9:9" x14ac:dyDescent="0.3">
      <c r="I34" s="6"/>
    </row>
    <row r="35" spans="9:9" x14ac:dyDescent="0.3">
      <c r="I35" s="6"/>
    </row>
    <row r="36" spans="9:9" x14ac:dyDescent="0.3">
      <c r="I36" s="6"/>
    </row>
    <row r="37" spans="9:9" x14ac:dyDescent="0.3">
      <c r="I37" s="6"/>
    </row>
    <row r="38" spans="9:9" x14ac:dyDescent="0.3">
      <c r="I38" s="6"/>
    </row>
    <row r="39" spans="9:9" x14ac:dyDescent="0.3">
      <c r="I39" s="6"/>
    </row>
    <row r="40" spans="9:9" x14ac:dyDescent="0.3">
      <c r="I40" s="6"/>
    </row>
    <row r="41" spans="9:9" x14ac:dyDescent="0.3">
      <c r="I41" s="6"/>
    </row>
    <row r="42" spans="9:9" x14ac:dyDescent="0.3">
      <c r="I42" s="6"/>
    </row>
    <row r="43" spans="9:9" x14ac:dyDescent="0.3">
      <c r="I43" s="6"/>
    </row>
    <row r="44" spans="9:9" x14ac:dyDescent="0.3">
      <c r="I44" s="6"/>
    </row>
    <row r="45" spans="9:9" x14ac:dyDescent="0.3">
      <c r="I45" s="6"/>
    </row>
    <row r="46" spans="9:9" x14ac:dyDescent="0.3">
      <c r="I46" s="6"/>
    </row>
    <row r="47" spans="9:9" x14ac:dyDescent="0.3">
      <c r="I47" s="6"/>
    </row>
    <row r="48" spans="9:9" x14ac:dyDescent="0.3">
      <c r="I48" s="6"/>
    </row>
    <row r="49" spans="9:9" x14ac:dyDescent="0.3">
      <c r="I49" s="6"/>
    </row>
    <row r="50" spans="9:9" x14ac:dyDescent="0.3">
      <c r="I50" s="6"/>
    </row>
    <row r="51" spans="9:9" x14ac:dyDescent="0.3">
      <c r="I51" s="6"/>
    </row>
    <row r="52" spans="9:9" x14ac:dyDescent="0.3">
      <c r="I52" s="6"/>
    </row>
    <row r="53" spans="9:9" x14ac:dyDescent="0.3">
      <c r="I53" s="6"/>
    </row>
    <row r="54" spans="9:9" x14ac:dyDescent="0.3">
      <c r="I54" s="6"/>
    </row>
    <row r="55" spans="9:9" x14ac:dyDescent="0.3">
      <c r="I55" s="6"/>
    </row>
    <row r="56" spans="9:9" x14ac:dyDescent="0.3">
      <c r="I56" s="6"/>
    </row>
    <row r="57" spans="9:9" x14ac:dyDescent="0.3">
      <c r="I57" s="6"/>
    </row>
    <row r="58" spans="9:9" x14ac:dyDescent="0.3">
      <c r="I58" s="6"/>
    </row>
    <row r="59" spans="9:9" x14ac:dyDescent="0.3">
      <c r="I59" s="6"/>
    </row>
    <row r="60" spans="9:9" x14ac:dyDescent="0.3">
      <c r="I60" s="6"/>
    </row>
    <row r="61" spans="9:9" x14ac:dyDescent="0.3">
      <c r="I61" s="6"/>
    </row>
    <row r="62" spans="9:9" x14ac:dyDescent="0.3">
      <c r="I62" s="6"/>
    </row>
    <row r="63" spans="9:9" x14ac:dyDescent="0.3">
      <c r="I63" s="6"/>
    </row>
    <row r="64" spans="9:9" x14ac:dyDescent="0.3">
      <c r="I64" s="6"/>
    </row>
    <row r="65" spans="9:9" x14ac:dyDescent="0.3">
      <c r="I65" s="6"/>
    </row>
    <row r="66" spans="9:9" x14ac:dyDescent="0.3">
      <c r="I66" s="6"/>
    </row>
    <row r="67" spans="9:9" x14ac:dyDescent="0.3">
      <c r="I67" s="6"/>
    </row>
    <row r="68" spans="9:9" x14ac:dyDescent="0.3">
      <c r="I68" s="6"/>
    </row>
    <row r="69" spans="9:9" x14ac:dyDescent="0.3">
      <c r="I69" s="6"/>
    </row>
    <row r="70" spans="9:9" x14ac:dyDescent="0.3">
      <c r="I70" s="6"/>
    </row>
    <row r="71" spans="9:9" x14ac:dyDescent="0.3">
      <c r="I71" s="6"/>
    </row>
    <row r="72" spans="9:9" x14ac:dyDescent="0.3">
      <c r="I72" s="6"/>
    </row>
    <row r="73" spans="9:9" x14ac:dyDescent="0.3">
      <c r="I73" s="6"/>
    </row>
    <row r="74" spans="9:9" x14ac:dyDescent="0.3">
      <c r="I74" s="6"/>
    </row>
    <row r="75" spans="9:9" x14ac:dyDescent="0.3">
      <c r="I75" s="6"/>
    </row>
    <row r="76" spans="9:9" x14ac:dyDescent="0.3">
      <c r="I76" s="6"/>
    </row>
    <row r="77" spans="9:9" x14ac:dyDescent="0.3">
      <c r="I77" s="6"/>
    </row>
    <row r="78" spans="9:9" x14ac:dyDescent="0.3">
      <c r="I78" s="6"/>
    </row>
    <row r="79" spans="9:9" x14ac:dyDescent="0.3">
      <c r="I79" s="6"/>
    </row>
    <row r="80" spans="9:9" x14ac:dyDescent="0.3">
      <c r="I80" s="6"/>
    </row>
    <row r="81" spans="9:9" x14ac:dyDescent="0.3">
      <c r="I81" s="6"/>
    </row>
    <row r="82" spans="9:9" x14ac:dyDescent="0.3">
      <c r="I82" s="6"/>
    </row>
    <row r="83" spans="9:9" x14ac:dyDescent="0.3">
      <c r="I83" s="6"/>
    </row>
    <row r="84" spans="9:9" x14ac:dyDescent="0.3">
      <c r="I84" s="6"/>
    </row>
    <row r="85" spans="9:9" x14ac:dyDescent="0.3">
      <c r="I85" s="6"/>
    </row>
    <row r="86" spans="9:9" x14ac:dyDescent="0.3">
      <c r="I86" s="6"/>
    </row>
    <row r="87" spans="9:9" x14ac:dyDescent="0.3">
      <c r="I87" s="6"/>
    </row>
    <row r="88" spans="9:9" x14ac:dyDescent="0.3">
      <c r="I88" s="6"/>
    </row>
    <row r="89" spans="9:9" x14ac:dyDescent="0.3">
      <c r="I89" s="6"/>
    </row>
    <row r="90" spans="9:9" x14ac:dyDescent="0.3">
      <c r="I90" s="6"/>
    </row>
    <row r="91" spans="9:9" x14ac:dyDescent="0.3">
      <c r="I91" s="6"/>
    </row>
    <row r="92" spans="9:9" x14ac:dyDescent="0.3">
      <c r="I92" s="6"/>
    </row>
    <row r="93" spans="9:9" x14ac:dyDescent="0.3">
      <c r="I93" s="6"/>
    </row>
    <row r="94" spans="9:9" x14ac:dyDescent="0.3">
      <c r="I94" s="6"/>
    </row>
    <row r="95" spans="9:9" x14ac:dyDescent="0.3">
      <c r="I95" s="6"/>
    </row>
    <row r="96" spans="9:9" x14ac:dyDescent="0.3">
      <c r="I96" s="6"/>
    </row>
    <row r="97" spans="9:9" x14ac:dyDescent="0.3">
      <c r="I97" s="6"/>
    </row>
    <row r="98" spans="9:9" x14ac:dyDescent="0.3">
      <c r="I98" s="6"/>
    </row>
    <row r="99" spans="9:9" x14ac:dyDescent="0.3">
      <c r="I99" s="6"/>
    </row>
    <row r="100" spans="9:9" x14ac:dyDescent="0.3">
      <c r="I100" s="6"/>
    </row>
    <row r="101" spans="9:9" x14ac:dyDescent="0.3">
      <c r="I101" s="6"/>
    </row>
    <row r="102" spans="9:9" x14ac:dyDescent="0.3">
      <c r="I102" s="6"/>
    </row>
    <row r="103" spans="9:9" x14ac:dyDescent="0.3">
      <c r="I103" s="6"/>
    </row>
    <row r="104" spans="9:9" x14ac:dyDescent="0.3">
      <c r="I104" s="6"/>
    </row>
    <row r="105" spans="9:9" x14ac:dyDescent="0.3">
      <c r="I105" s="6"/>
    </row>
    <row r="106" spans="9:9" x14ac:dyDescent="0.3">
      <c r="I106" s="6"/>
    </row>
    <row r="107" spans="9:9" x14ac:dyDescent="0.3">
      <c r="I107" s="6"/>
    </row>
    <row r="108" spans="9:9" x14ac:dyDescent="0.3">
      <c r="I108" s="6"/>
    </row>
    <row r="109" spans="9:9" x14ac:dyDescent="0.3">
      <c r="I109" s="6"/>
    </row>
    <row r="110" spans="9:9" x14ac:dyDescent="0.3">
      <c r="I110" s="6"/>
    </row>
    <row r="111" spans="9:9" x14ac:dyDescent="0.3">
      <c r="I111" s="6"/>
    </row>
    <row r="112" spans="9:9" x14ac:dyDescent="0.3">
      <c r="I112" s="6"/>
    </row>
    <row r="113" spans="9:9" x14ac:dyDescent="0.3">
      <c r="I113" s="6"/>
    </row>
    <row r="114" spans="9:9" x14ac:dyDescent="0.3">
      <c r="I114" s="6"/>
    </row>
    <row r="115" spans="9:9" x14ac:dyDescent="0.3">
      <c r="I115" s="6"/>
    </row>
    <row r="116" spans="9:9" x14ac:dyDescent="0.3">
      <c r="I116" s="6"/>
    </row>
    <row r="117" spans="9:9" x14ac:dyDescent="0.3">
      <c r="I117" s="6"/>
    </row>
    <row r="118" spans="9:9" x14ac:dyDescent="0.3">
      <c r="I118" s="6"/>
    </row>
    <row r="119" spans="9:9" x14ac:dyDescent="0.3">
      <c r="I119" s="6"/>
    </row>
    <row r="120" spans="9:9" x14ac:dyDescent="0.3">
      <c r="I120" s="6"/>
    </row>
    <row r="121" spans="9:9" x14ac:dyDescent="0.3">
      <c r="I121" s="6"/>
    </row>
    <row r="122" spans="9:9" x14ac:dyDescent="0.3">
      <c r="I122" s="6"/>
    </row>
    <row r="123" spans="9:9" x14ac:dyDescent="0.3">
      <c r="I123" s="6"/>
    </row>
    <row r="124" spans="9:9" x14ac:dyDescent="0.3">
      <c r="I124" s="6"/>
    </row>
    <row r="125" spans="9:9" x14ac:dyDescent="0.3">
      <c r="I125" s="6"/>
    </row>
    <row r="126" spans="9:9" x14ac:dyDescent="0.3">
      <c r="I126" s="6"/>
    </row>
    <row r="127" spans="9:9" x14ac:dyDescent="0.3">
      <c r="I127" s="6"/>
    </row>
    <row r="128" spans="9:9" x14ac:dyDescent="0.3">
      <c r="I128" s="6"/>
    </row>
    <row r="129" spans="9:9" x14ac:dyDescent="0.3">
      <c r="I129" s="6"/>
    </row>
    <row r="130" spans="9:9" x14ac:dyDescent="0.3">
      <c r="I130" s="6"/>
    </row>
    <row r="131" spans="9:9" x14ac:dyDescent="0.3">
      <c r="I131" s="6"/>
    </row>
    <row r="132" spans="9:9" x14ac:dyDescent="0.3">
      <c r="I132" s="6"/>
    </row>
    <row r="133" spans="9:9" x14ac:dyDescent="0.3">
      <c r="I133" s="6"/>
    </row>
    <row r="134" spans="9:9" x14ac:dyDescent="0.3">
      <c r="I134" s="6"/>
    </row>
    <row r="135" spans="9:9" x14ac:dyDescent="0.3">
      <c r="I135" s="6"/>
    </row>
    <row r="136" spans="9:9" x14ac:dyDescent="0.3">
      <c r="I136" s="6"/>
    </row>
    <row r="137" spans="9:9" x14ac:dyDescent="0.3">
      <c r="I137" s="6"/>
    </row>
    <row r="138" spans="9:9" x14ac:dyDescent="0.3">
      <c r="I138" s="6"/>
    </row>
    <row r="139" spans="9:9" x14ac:dyDescent="0.3">
      <c r="I139" s="6"/>
    </row>
    <row r="140" spans="9:9" x14ac:dyDescent="0.3">
      <c r="I140" s="6"/>
    </row>
    <row r="141" spans="9:9" x14ac:dyDescent="0.3">
      <c r="I141" s="6"/>
    </row>
    <row r="142" spans="9:9" x14ac:dyDescent="0.3">
      <c r="I142" s="6"/>
    </row>
    <row r="143" spans="9:9" x14ac:dyDescent="0.3">
      <c r="I143" s="6"/>
    </row>
    <row r="144" spans="9:9" x14ac:dyDescent="0.3">
      <c r="I144" s="6"/>
    </row>
    <row r="145" spans="9:9" x14ac:dyDescent="0.3">
      <c r="I145" s="6"/>
    </row>
    <row r="146" spans="9:9" x14ac:dyDescent="0.3">
      <c r="I146" s="6"/>
    </row>
    <row r="147" spans="9:9" x14ac:dyDescent="0.3">
      <c r="I147" s="6"/>
    </row>
    <row r="148" spans="9:9" x14ac:dyDescent="0.3">
      <c r="I148" s="6"/>
    </row>
    <row r="149" spans="9:9" x14ac:dyDescent="0.3">
      <c r="I149" s="6"/>
    </row>
    <row r="150" spans="9:9" x14ac:dyDescent="0.3">
      <c r="I150" s="6"/>
    </row>
    <row r="151" spans="9:9" x14ac:dyDescent="0.3">
      <c r="I151" s="6"/>
    </row>
    <row r="152" spans="9:9" x14ac:dyDescent="0.3">
      <c r="I152" s="6"/>
    </row>
    <row r="153" spans="9:9" x14ac:dyDescent="0.3">
      <c r="I153" s="6"/>
    </row>
    <row r="154" spans="9:9" x14ac:dyDescent="0.3">
      <c r="I154" s="6"/>
    </row>
    <row r="155" spans="9:9" x14ac:dyDescent="0.3">
      <c r="I155" s="6"/>
    </row>
    <row r="156" spans="9:9" x14ac:dyDescent="0.3">
      <c r="I156" s="6"/>
    </row>
    <row r="157" spans="9:9" x14ac:dyDescent="0.3">
      <c r="I157" s="6"/>
    </row>
    <row r="158" spans="9:9" x14ac:dyDescent="0.3">
      <c r="I158" s="6"/>
    </row>
    <row r="159" spans="9:9" x14ac:dyDescent="0.3">
      <c r="I159" s="6"/>
    </row>
    <row r="160" spans="9:9" x14ac:dyDescent="0.3">
      <c r="I160" s="6"/>
    </row>
    <row r="161" spans="9:9" x14ac:dyDescent="0.3">
      <c r="I161" s="6"/>
    </row>
    <row r="162" spans="9:9" x14ac:dyDescent="0.3">
      <c r="I162" s="6"/>
    </row>
    <row r="163" spans="9:9" x14ac:dyDescent="0.3">
      <c r="I163" s="6"/>
    </row>
    <row r="164" spans="9:9" x14ac:dyDescent="0.3">
      <c r="I164" s="6"/>
    </row>
    <row r="165" spans="9:9" x14ac:dyDescent="0.3">
      <c r="I165" s="6"/>
    </row>
    <row r="166" spans="9:9" x14ac:dyDescent="0.3">
      <c r="I166" s="6"/>
    </row>
    <row r="167" spans="9:9" x14ac:dyDescent="0.3">
      <c r="I167" s="6"/>
    </row>
    <row r="168" spans="9:9" x14ac:dyDescent="0.3">
      <c r="I168" s="6"/>
    </row>
    <row r="169" spans="9:9" x14ac:dyDescent="0.3">
      <c r="I169" s="6"/>
    </row>
    <row r="170" spans="9:9" x14ac:dyDescent="0.3">
      <c r="I170" s="6"/>
    </row>
    <row r="171" spans="9:9" x14ac:dyDescent="0.3">
      <c r="I171" s="6"/>
    </row>
    <row r="172" spans="9:9" x14ac:dyDescent="0.3">
      <c r="I172" s="6"/>
    </row>
    <row r="173" spans="9:9" x14ac:dyDescent="0.3">
      <c r="I173" s="6"/>
    </row>
    <row r="174" spans="9:9" x14ac:dyDescent="0.3">
      <c r="I174" s="6"/>
    </row>
    <row r="175" spans="9:9" x14ac:dyDescent="0.3">
      <c r="I175" s="6"/>
    </row>
    <row r="176" spans="9:9" x14ac:dyDescent="0.3">
      <c r="I176" s="6"/>
    </row>
    <row r="177" spans="9:9" x14ac:dyDescent="0.3">
      <c r="I177" s="6"/>
    </row>
    <row r="178" spans="9:9" x14ac:dyDescent="0.3">
      <c r="I178" s="6"/>
    </row>
    <row r="179" spans="9:9" x14ac:dyDescent="0.3">
      <c r="I179" s="6"/>
    </row>
    <row r="180" spans="9:9" x14ac:dyDescent="0.3">
      <c r="I180" s="6"/>
    </row>
    <row r="181" spans="9:9" x14ac:dyDescent="0.3">
      <c r="I181" s="6"/>
    </row>
    <row r="182" spans="9:9" x14ac:dyDescent="0.3">
      <c r="I182" s="6"/>
    </row>
    <row r="183" spans="9:9" x14ac:dyDescent="0.3">
      <c r="I183" s="6"/>
    </row>
    <row r="184" spans="9:9" x14ac:dyDescent="0.3">
      <c r="I184" s="6"/>
    </row>
    <row r="185" spans="9:9" x14ac:dyDescent="0.3">
      <c r="I185" s="6"/>
    </row>
    <row r="186" spans="9:9" x14ac:dyDescent="0.3">
      <c r="I186" s="6"/>
    </row>
    <row r="187" spans="9:9" x14ac:dyDescent="0.3">
      <c r="I187" s="6"/>
    </row>
    <row r="188" spans="9:9" x14ac:dyDescent="0.3">
      <c r="I188" s="6"/>
    </row>
    <row r="189" spans="9:9" x14ac:dyDescent="0.3">
      <c r="I189" s="6"/>
    </row>
    <row r="190" spans="9:9" x14ac:dyDescent="0.3">
      <c r="I190" s="6"/>
    </row>
    <row r="191" spans="9:9" x14ac:dyDescent="0.3">
      <c r="I191" s="6"/>
    </row>
    <row r="192" spans="9:9" x14ac:dyDescent="0.3">
      <c r="I192" s="6"/>
    </row>
    <row r="193" spans="9:9" x14ac:dyDescent="0.3">
      <c r="I193" s="6"/>
    </row>
    <row r="194" spans="9:9" x14ac:dyDescent="0.3">
      <c r="I194" s="6"/>
    </row>
    <row r="195" spans="9:9" x14ac:dyDescent="0.3">
      <c r="I195" s="6"/>
    </row>
    <row r="196" spans="9:9" x14ac:dyDescent="0.3">
      <c r="I196" s="6"/>
    </row>
    <row r="197" spans="9:9" x14ac:dyDescent="0.3">
      <c r="I197" s="6"/>
    </row>
    <row r="198" spans="9:9" x14ac:dyDescent="0.3">
      <c r="I198" s="6"/>
    </row>
    <row r="199" spans="9:9" x14ac:dyDescent="0.3">
      <c r="I199" s="6"/>
    </row>
    <row r="200" spans="9:9" x14ac:dyDescent="0.3">
      <c r="I200" s="6"/>
    </row>
    <row r="201" spans="9:9" x14ac:dyDescent="0.3">
      <c r="I201" s="6"/>
    </row>
    <row r="202" spans="9:9" x14ac:dyDescent="0.3">
      <c r="I202" s="6"/>
    </row>
    <row r="203" spans="9:9" x14ac:dyDescent="0.3">
      <c r="I203" s="6"/>
    </row>
    <row r="204" spans="9:9" x14ac:dyDescent="0.3">
      <c r="I204" s="6"/>
    </row>
    <row r="205" spans="9:9" x14ac:dyDescent="0.3">
      <c r="I205" s="6"/>
    </row>
    <row r="206" spans="9:9" x14ac:dyDescent="0.3">
      <c r="I206" s="6"/>
    </row>
    <row r="207" spans="9:9" x14ac:dyDescent="0.3">
      <c r="I207" s="6"/>
    </row>
    <row r="208" spans="9:9" x14ac:dyDescent="0.3">
      <c r="I208" s="6"/>
    </row>
    <row r="209" spans="9:9" x14ac:dyDescent="0.3">
      <c r="I209" s="6"/>
    </row>
    <row r="210" spans="9:9" x14ac:dyDescent="0.3">
      <c r="I210" s="6"/>
    </row>
    <row r="211" spans="9:9" x14ac:dyDescent="0.3">
      <c r="I211" s="6"/>
    </row>
    <row r="212" spans="9:9" x14ac:dyDescent="0.3">
      <c r="I212" s="6"/>
    </row>
    <row r="213" spans="9:9" x14ac:dyDescent="0.3">
      <c r="I213" s="6"/>
    </row>
    <row r="214" spans="9:9" x14ac:dyDescent="0.3">
      <c r="I214" s="6"/>
    </row>
    <row r="215" spans="9:9" x14ac:dyDescent="0.3">
      <c r="I215" s="6"/>
    </row>
    <row r="216" spans="9:9" x14ac:dyDescent="0.3">
      <c r="I216" s="6"/>
    </row>
    <row r="217" spans="9:9" x14ac:dyDescent="0.3">
      <c r="I217" s="6"/>
    </row>
    <row r="218" spans="9:9" x14ac:dyDescent="0.3">
      <c r="I218" s="6"/>
    </row>
    <row r="219" spans="9:9" x14ac:dyDescent="0.3">
      <c r="I219" s="6"/>
    </row>
    <row r="220" spans="9:9" x14ac:dyDescent="0.3">
      <c r="I220" s="6"/>
    </row>
    <row r="221" spans="9:9" x14ac:dyDescent="0.3">
      <c r="I221" s="6"/>
    </row>
    <row r="222" spans="9:9" x14ac:dyDescent="0.3">
      <c r="I222" s="6"/>
    </row>
    <row r="223" spans="9:9" x14ac:dyDescent="0.3">
      <c r="I223" s="6"/>
    </row>
    <row r="224" spans="9:9" x14ac:dyDescent="0.3">
      <c r="I224" s="6"/>
    </row>
    <row r="225" spans="9:9" x14ac:dyDescent="0.3">
      <c r="I225" s="6"/>
    </row>
    <row r="226" spans="9:9" x14ac:dyDescent="0.3">
      <c r="I226" s="6"/>
    </row>
    <row r="227" spans="9:9" x14ac:dyDescent="0.3">
      <c r="I227" s="6"/>
    </row>
    <row r="228" spans="9:9" x14ac:dyDescent="0.3">
      <c r="I228" s="6"/>
    </row>
    <row r="229" spans="9:9" x14ac:dyDescent="0.3">
      <c r="I229" s="6"/>
    </row>
    <row r="230" spans="9:9" x14ac:dyDescent="0.3">
      <c r="I230" s="6"/>
    </row>
    <row r="231" spans="9:9" x14ac:dyDescent="0.3">
      <c r="I231" s="6"/>
    </row>
    <row r="232" spans="9:9" x14ac:dyDescent="0.3">
      <c r="I232" s="6"/>
    </row>
    <row r="233" spans="9:9" x14ac:dyDescent="0.3">
      <c r="I233" s="6"/>
    </row>
    <row r="234" spans="9:9" x14ac:dyDescent="0.3">
      <c r="I234" s="6"/>
    </row>
    <row r="235" spans="9:9" x14ac:dyDescent="0.3">
      <c r="I235" s="6"/>
    </row>
    <row r="236" spans="9:9" x14ac:dyDescent="0.3">
      <c r="I236" s="6"/>
    </row>
    <row r="237" spans="9:9" x14ac:dyDescent="0.3">
      <c r="I237" s="6"/>
    </row>
    <row r="238" spans="9:9" x14ac:dyDescent="0.3">
      <c r="I238" s="6"/>
    </row>
    <row r="239" spans="9:9" x14ac:dyDescent="0.3">
      <c r="I239" s="6"/>
    </row>
    <row r="240" spans="9:9" x14ac:dyDescent="0.3">
      <c r="I240" s="6"/>
    </row>
    <row r="241" spans="9:9" x14ac:dyDescent="0.3">
      <c r="I241" s="6"/>
    </row>
    <row r="242" spans="9:9" x14ac:dyDescent="0.3">
      <c r="I242" s="6"/>
    </row>
    <row r="243" spans="9:9" x14ac:dyDescent="0.3">
      <c r="I243" s="6"/>
    </row>
    <row r="244" spans="9:9" x14ac:dyDescent="0.3">
      <c r="I244" s="6"/>
    </row>
    <row r="245" spans="9:9" x14ac:dyDescent="0.3">
      <c r="I245" s="6"/>
    </row>
    <row r="246" spans="9:9" x14ac:dyDescent="0.3">
      <c r="I246" s="6"/>
    </row>
    <row r="247" spans="9:9" x14ac:dyDescent="0.3">
      <c r="I247" s="6"/>
    </row>
    <row r="248" spans="9:9" x14ac:dyDescent="0.3">
      <c r="I248" s="6"/>
    </row>
    <row r="249" spans="9:9" x14ac:dyDescent="0.3">
      <c r="I249" s="6"/>
    </row>
    <row r="250" spans="9:9" x14ac:dyDescent="0.3">
      <c r="I250" s="6"/>
    </row>
    <row r="251" spans="9:9" x14ac:dyDescent="0.3">
      <c r="I251" s="6"/>
    </row>
    <row r="252" spans="9:9" x14ac:dyDescent="0.3">
      <c r="I252" s="6"/>
    </row>
    <row r="253" spans="9:9" x14ac:dyDescent="0.3">
      <c r="I253" s="6"/>
    </row>
    <row r="254" spans="9:9" x14ac:dyDescent="0.3">
      <c r="I254" s="6"/>
    </row>
    <row r="255" spans="9:9" x14ac:dyDescent="0.3">
      <c r="I255" s="6"/>
    </row>
    <row r="256" spans="9:9" x14ac:dyDescent="0.3">
      <c r="I256" s="6"/>
    </row>
    <row r="257" spans="9:9" x14ac:dyDescent="0.3">
      <c r="I257" s="6"/>
    </row>
    <row r="258" spans="9:9" x14ac:dyDescent="0.3">
      <c r="I258" s="6"/>
    </row>
    <row r="259" spans="9:9" x14ac:dyDescent="0.3">
      <c r="I259" s="6"/>
    </row>
    <row r="260" spans="9:9" x14ac:dyDescent="0.3">
      <c r="I260" s="6"/>
    </row>
    <row r="261" spans="9:9" x14ac:dyDescent="0.3">
      <c r="I261" s="6"/>
    </row>
    <row r="262" spans="9:9" x14ac:dyDescent="0.3">
      <c r="I262" s="6"/>
    </row>
    <row r="263" spans="9:9" x14ac:dyDescent="0.3">
      <c r="I263" s="6"/>
    </row>
    <row r="264" spans="9:9" x14ac:dyDescent="0.3">
      <c r="I264" s="6"/>
    </row>
    <row r="265" spans="9:9" x14ac:dyDescent="0.3">
      <c r="I265" s="6"/>
    </row>
    <row r="266" spans="9:9" x14ac:dyDescent="0.3">
      <c r="I266" s="6"/>
    </row>
    <row r="267" spans="9:9" x14ac:dyDescent="0.3">
      <c r="I267" s="6"/>
    </row>
    <row r="268" spans="9:9" x14ac:dyDescent="0.3">
      <c r="I268" s="6"/>
    </row>
    <row r="269" spans="9:9" x14ac:dyDescent="0.3">
      <c r="I269" s="6"/>
    </row>
    <row r="270" spans="9:9" x14ac:dyDescent="0.3">
      <c r="I270" s="6"/>
    </row>
    <row r="271" spans="9:9" x14ac:dyDescent="0.3">
      <c r="I271" s="6"/>
    </row>
    <row r="272" spans="9:9" x14ac:dyDescent="0.3">
      <c r="I272" s="6"/>
    </row>
    <row r="273" spans="9:9" x14ac:dyDescent="0.3">
      <c r="I273" s="6"/>
    </row>
    <row r="274" spans="9:9" x14ac:dyDescent="0.3">
      <c r="I274" s="6"/>
    </row>
    <row r="275" spans="9:9" x14ac:dyDescent="0.3">
      <c r="I275" s="6"/>
    </row>
    <row r="276" spans="9:9" x14ac:dyDescent="0.3">
      <c r="I276" s="6"/>
    </row>
    <row r="277" spans="9:9" x14ac:dyDescent="0.3">
      <c r="I277" s="6"/>
    </row>
    <row r="278" spans="9:9" x14ac:dyDescent="0.3">
      <c r="I278" s="6"/>
    </row>
    <row r="279" spans="9:9" x14ac:dyDescent="0.3">
      <c r="I279" s="6"/>
    </row>
    <row r="280" spans="9:9" x14ac:dyDescent="0.3">
      <c r="I280" s="6"/>
    </row>
    <row r="281" spans="9:9" x14ac:dyDescent="0.3">
      <c r="I281" s="6"/>
    </row>
    <row r="282" spans="9:9" x14ac:dyDescent="0.3">
      <c r="I282" s="6"/>
    </row>
    <row r="283" spans="9:9" x14ac:dyDescent="0.3">
      <c r="I283" s="6"/>
    </row>
    <row r="284" spans="9:9" x14ac:dyDescent="0.3">
      <c r="I284" s="6"/>
    </row>
    <row r="285" spans="9:9" x14ac:dyDescent="0.3">
      <c r="I285" s="6"/>
    </row>
    <row r="286" spans="9:9" x14ac:dyDescent="0.3">
      <c r="I286" s="6"/>
    </row>
    <row r="287" spans="9:9" x14ac:dyDescent="0.3">
      <c r="I287" s="6"/>
    </row>
    <row r="288" spans="9:9" x14ac:dyDescent="0.3">
      <c r="I288" s="6"/>
    </row>
    <row r="289" spans="9:9" x14ac:dyDescent="0.3">
      <c r="I289" s="6"/>
    </row>
    <row r="290" spans="9:9" x14ac:dyDescent="0.3">
      <c r="I290" s="6"/>
    </row>
    <row r="291" spans="9:9" x14ac:dyDescent="0.3">
      <c r="I291" s="6"/>
    </row>
    <row r="292" spans="9:9" x14ac:dyDescent="0.3">
      <c r="I292" s="6"/>
    </row>
    <row r="293" spans="9:9" x14ac:dyDescent="0.3">
      <c r="I293" s="6"/>
    </row>
    <row r="294" spans="9:9" x14ac:dyDescent="0.3">
      <c r="I294" s="6"/>
    </row>
    <row r="295" spans="9:9" x14ac:dyDescent="0.3">
      <c r="I295" s="6"/>
    </row>
    <row r="296" spans="9:9" x14ac:dyDescent="0.3">
      <c r="I296" s="6"/>
    </row>
    <row r="297" spans="9:9" x14ac:dyDescent="0.3">
      <c r="I297" s="6"/>
    </row>
    <row r="298" spans="9:9" x14ac:dyDescent="0.3">
      <c r="I298" s="6"/>
    </row>
    <row r="299" spans="9:9" x14ac:dyDescent="0.3">
      <c r="I299" s="6"/>
    </row>
    <row r="300" spans="9:9" x14ac:dyDescent="0.3">
      <c r="I300" s="6"/>
    </row>
    <row r="301" spans="9:9" x14ac:dyDescent="0.3">
      <c r="I301" s="6"/>
    </row>
    <row r="302" spans="9:9" x14ac:dyDescent="0.3">
      <c r="I302" s="6"/>
    </row>
    <row r="303" spans="9:9" x14ac:dyDescent="0.3">
      <c r="I303" s="6"/>
    </row>
    <row r="304" spans="9:9" x14ac:dyDescent="0.3">
      <c r="I304" s="6"/>
    </row>
    <row r="305" spans="9:10" x14ac:dyDescent="0.3">
      <c r="I305" s="6"/>
    </row>
    <row r="306" spans="9:10" x14ac:dyDescent="0.3">
      <c r="I306" s="6"/>
    </row>
    <row r="307" spans="9:10" x14ac:dyDescent="0.3">
      <c r="I307" s="6"/>
    </row>
    <row r="308" spans="9:10" x14ac:dyDescent="0.3">
      <c r="I308" s="9"/>
      <c r="J308" s="10"/>
    </row>
  </sheetData>
  <conditionalFormatting pivot="1" sqref="B6:F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75"/>
  <sheetViews>
    <sheetView workbookViewId="0">
      <selection activeCell="K12" sqref="K12"/>
    </sheetView>
  </sheetViews>
  <sheetFormatPr baseColWidth="10" defaultRowHeight="14.4" x14ac:dyDescent="0.3"/>
  <cols>
    <col min="1" max="1" width="12.21875" bestFit="1" customWidth="1"/>
    <col min="2" max="2" width="17.33203125" bestFit="1" customWidth="1"/>
    <col min="3" max="3" width="19.6640625" bestFit="1" customWidth="1"/>
    <col min="4" max="4" width="13.33203125" bestFit="1" customWidth="1"/>
    <col min="8" max="8" width="12.21875" bestFit="1" customWidth="1"/>
    <col min="9" max="9" width="20.44140625" style="22" bestFit="1" customWidth="1"/>
  </cols>
  <sheetData>
    <row r="3" spans="1:9" x14ac:dyDescent="0.3">
      <c r="A3" s="5" t="s">
        <v>3496</v>
      </c>
      <c r="B3" t="s">
        <v>3447</v>
      </c>
      <c r="C3" t="s">
        <v>3456</v>
      </c>
      <c r="H3" s="5" t="s">
        <v>3496</v>
      </c>
      <c r="I3" s="22" t="s">
        <v>3500</v>
      </c>
    </row>
    <row r="4" spans="1:9" x14ac:dyDescent="0.3">
      <c r="A4" s="6" t="s">
        <v>209</v>
      </c>
      <c r="B4" s="22">
        <v>360586</v>
      </c>
      <c r="C4" s="22">
        <v>342463</v>
      </c>
      <c r="H4" s="6" t="s">
        <v>209</v>
      </c>
      <c r="I4" s="35">
        <v>28</v>
      </c>
    </row>
    <row r="5" spans="1:9" x14ac:dyDescent="0.3">
      <c r="A5" s="6" t="s">
        <v>3446</v>
      </c>
      <c r="B5" s="22">
        <v>360586</v>
      </c>
      <c r="C5" s="22">
        <v>342463</v>
      </c>
      <c r="H5" s="6" t="s">
        <v>3446</v>
      </c>
      <c r="I5" s="35">
        <v>28</v>
      </c>
    </row>
    <row r="6" spans="1:9" x14ac:dyDescent="0.3">
      <c r="I6"/>
    </row>
    <row r="7" spans="1:9" x14ac:dyDescent="0.3">
      <c r="I7"/>
    </row>
    <row r="8" spans="1:9" x14ac:dyDescent="0.3">
      <c r="I8"/>
    </row>
    <row r="9" spans="1:9" x14ac:dyDescent="0.3">
      <c r="I9"/>
    </row>
    <row r="10" spans="1:9" x14ac:dyDescent="0.3">
      <c r="I10"/>
    </row>
    <row r="11" spans="1:9" x14ac:dyDescent="0.3">
      <c r="I11"/>
    </row>
    <row r="12" spans="1:9" x14ac:dyDescent="0.3">
      <c r="I12"/>
    </row>
    <row r="13" spans="1:9" x14ac:dyDescent="0.3">
      <c r="I13"/>
    </row>
    <row r="14" spans="1:9" x14ac:dyDescent="0.3">
      <c r="I14"/>
    </row>
    <row r="15" spans="1:9" x14ac:dyDescent="0.3">
      <c r="I15"/>
    </row>
    <row r="16" spans="1:9" x14ac:dyDescent="0.3">
      <c r="I16"/>
    </row>
    <row r="17" spans="9:9" x14ac:dyDescent="0.3">
      <c r="I17"/>
    </row>
    <row r="18" spans="9:9" x14ac:dyDescent="0.3">
      <c r="I18"/>
    </row>
    <row r="19" spans="9:9" x14ac:dyDescent="0.3">
      <c r="I19"/>
    </row>
    <row r="20" spans="9:9" x14ac:dyDescent="0.3">
      <c r="I20"/>
    </row>
    <row r="21" spans="9:9" x14ac:dyDescent="0.3">
      <c r="I21"/>
    </row>
    <row r="22" spans="9:9" x14ac:dyDescent="0.3">
      <c r="I22"/>
    </row>
    <row r="23" spans="9:9" x14ac:dyDescent="0.3">
      <c r="I23"/>
    </row>
    <row r="24" spans="9:9" x14ac:dyDescent="0.3">
      <c r="I24"/>
    </row>
    <row r="25" spans="9:9" x14ac:dyDescent="0.3">
      <c r="I25"/>
    </row>
    <row r="26" spans="9:9" x14ac:dyDescent="0.3">
      <c r="I26"/>
    </row>
    <row r="27" spans="9:9" x14ac:dyDescent="0.3">
      <c r="I27"/>
    </row>
    <row r="28" spans="9:9" x14ac:dyDescent="0.3">
      <c r="I28"/>
    </row>
    <row r="29" spans="9:9" x14ac:dyDescent="0.3">
      <c r="I29"/>
    </row>
    <row r="30" spans="9:9" x14ac:dyDescent="0.3">
      <c r="I30"/>
    </row>
    <row r="31" spans="9:9" x14ac:dyDescent="0.3">
      <c r="I31"/>
    </row>
    <row r="32" spans="9:9" x14ac:dyDescent="0.3">
      <c r="I32"/>
    </row>
    <row r="33" spans="9:9" x14ac:dyDescent="0.3">
      <c r="I33"/>
    </row>
    <row r="34" spans="9:9" x14ac:dyDescent="0.3">
      <c r="I34"/>
    </row>
    <row r="35" spans="9:9" x14ac:dyDescent="0.3">
      <c r="I35"/>
    </row>
    <row r="36" spans="9:9" x14ac:dyDescent="0.3">
      <c r="I36"/>
    </row>
    <row r="37" spans="9:9" x14ac:dyDescent="0.3">
      <c r="I37"/>
    </row>
    <row r="38" spans="9:9" x14ac:dyDescent="0.3">
      <c r="I38"/>
    </row>
    <row r="39" spans="9:9" x14ac:dyDescent="0.3">
      <c r="I39"/>
    </row>
    <row r="40" spans="9:9" x14ac:dyDescent="0.3">
      <c r="I40"/>
    </row>
    <row r="41" spans="9:9" x14ac:dyDescent="0.3">
      <c r="I41"/>
    </row>
    <row r="42" spans="9:9" x14ac:dyDescent="0.3">
      <c r="I42"/>
    </row>
    <row r="43" spans="9:9" x14ac:dyDescent="0.3">
      <c r="I43"/>
    </row>
    <row r="44" spans="9:9" x14ac:dyDescent="0.3">
      <c r="I44"/>
    </row>
    <row r="45" spans="9:9" x14ac:dyDescent="0.3">
      <c r="I45"/>
    </row>
    <row r="46" spans="9:9" x14ac:dyDescent="0.3">
      <c r="I46"/>
    </row>
    <row r="47" spans="9:9" x14ac:dyDescent="0.3">
      <c r="I47"/>
    </row>
    <row r="48" spans="9:9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  <row r="53" spans="9:9" x14ac:dyDescent="0.3">
      <c r="I53"/>
    </row>
    <row r="54" spans="9:9" x14ac:dyDescent="0.3">
      <c r="I54"/>
    </row>
    <row r="55" spans="9:9" x14ac:dyDescent="0.3">
      <c r="I55"/>
    </row>
    <row r="56" spans="9:9" x14ac:dyDescent="0.3">
      <c r="I56"/>
    </row>
    <row r="57" spans="9:9" x14ac:dyDescent="0.3">
      <c r="I57"/>
    </row>
    <row r="58" spans="9:9" x14ac:dyDescent="0.3">
      <c r="I58" s="34"/>
    </row>
    <row r="59" spans="9:9" x14ac:dyDescent="0.3">
      <c r="I59" s="34"/>
    </row>
    <row r="60" spans="9:9" x14ac:dyDescent="0.3">
      <c r="I60" s="34"/>
    </row>
    <row r="61" spans="9:9" x14ac:dyDescent="0.3">
      <c r="I61" s="34"/>
    </row>
    <row r="62" spans="9:9" x14ac:dyDescent="0.3">
      <c r="I62" s="34"/>
    </row>
    <row r="63" spans="9:9" x14ac:dyDescent="0.3">
      <c r="I63" s="34"/>
    </row>
    <row r="64" spans="9:9" x14ac:dyDescent="0.3">
      <c r="I64" s="34"/>
    </row>
    <row r="65" spans="9:9" x14ac:dyDescent="0.3">
      <c r="I65" s="34"/>
    </row>
    <row r="66" spans="9:9" x14ac:dyDescent="0.3">
      <c r="I66" s="34"/>
    </row>
    <row r="67" spans="9:9" x14ac:dyDescent="0.3">
      <c r="I67" s="34"/>
    </row>
    <row r="68" spans="9:9" x14ac:dyDescent="0.3">
      <c r="I68" s="34"/>
    </row>
    <row r="69" spans="9:9" x14ac:dyDescent="0.3">
      <c r="I69" s="34"/>
    </row>
    <row r="70" spans="9:9" x14ac:dyDescent="0.3">
      <c r="I70" s="34"/>
    </row>
    <row r="71" spans="9:9" x14ac:dyDescent="0.3">
      <c r="I71" s="34"/>
    </row>
    <row r="72" spans="9:9" x14ac:dyDescent="0.3">
      <c r="I72" s="34"/>
    </row>
    <row r="73" spans="9:9" x14ac:dyDescent="0.3">
      <c r="I73" s="34"/>
    </row>
    <row r="74" spans="9:9" x14ac:dyDescent="0.3">
      <c r="I74" s="34"/>
    </row>
    <row r="75" spans="9:9" x14ac:dyDescent="0.3">
      <c r="I75" s="34"/>
    </row>
  </sheetData>
  <conditionalFormatting pivot="1" sqref="C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{DD3222DB-ADD4-4CF1-8971-63A6AF838FB5}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3222DB-ADD4-4CF1-8971-63A6AF838F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03C7-03E4-46CD-AFC8-B0198173E72C}">
  <dimension ref="D1:J6"/>
  <sheetViews>
    <sheetView workbookViewId="0">
      <selection activeCell="B44" sqref="B44"/>
    </sheetView>
  </sheetViews>
  <sheetFormatPr baseColWidth="10" defaultRowHeight="14.4" x14ac:dyDescent="0.3"/>
  <cols>
    <col min="1" max="16384" width="11.5546875" style="24"/>
  </cols>
  <sheetData>
    <row r="1" spans="4:10" ht="14.4" customHeight="1" x14ac:dyDescent="0.3">
      <c r="D1" s="120" t="s">
        <v>3502</v>
      </c>
      <c r="E1" s="121"/>
      <c r="F1" s="122"/>
      <c r="H1" s="135" t="s">
        <v>3483</v>
      </c>
      <c r="I1" s="136"/>
      <c r="J1" s="137"/>
    </row>
    <row r="2" spans="4:10" x14ac:dyDescent="0.3">
      <c r="D2" s="123"/>
      <c r="E2" s="124"/>
      <c r="F2" s="125"/>
      <c r="H2" s="138"/>
      <c r="I2" s="139"/>
      <c r="J2" s="140"/>
    </row>
    <row r="3" spans="4:10" ht="14.4" customHeight="1" x14ac:dyDescent="0.3">
      <c r="D3" s="126">
        <f>GETPIVOTDATA("country",'Tabla dinamica 3|4'!$P$18)</f>
        <v>8</v>
      </c>
      <c r="E3" s="127"/>
      <c r="F3" s="128"/>
      <c r="H3" s="141">
        <f>GETPIVOTDATA("Suma de KPI",'Tabla dinamica 3|4'!$A$20)</f>
        <v>28415.223684210527</v>
      </c>
      <c r="I3" s="142"/>
      <c r="J3" s="143"/>
    </row>
    <row r="4" spans="4:10" ht="14.4" customHeight="1" x14ac:dyDescent="0.3">
      <c r="D4" s="129"/>
      <c r="E4" s="130"/>
      <c r="F4" s="131"/>
      <c r="H4" s="144"/>
      <c r="I4" s="145"/>
      <c r="J4" s="146"/>
    </row>
    <row r="5" spans="4:10" ht="14.4" customHeight="1" x14ac:dyDescent="0.3">
      <c r="D5" s="129"/>
      <c r="E5" s="130"/>
      <c r="F5" s="131"/>
      <c r="H5" s="144"/>
      <c r="I5" s="145"/>
      <c r="J5" s="146"/>
    </row>
    <row r="6" spans="4:10" ht="14.4" customHeight="1" x14ac:dyDescent="0.3">
      <c r="D6" s="132"/>
      <c r="E6" s="133"/>
      <c r="F6" s="134"/>
      <c r="H6" s="147"/>
      <c r="I6" s="148"/>
      <c r="J6" s="149"/>
    </row>
  </sheetData>
  <mergeCells count="4">
    <mergeCell ref="D1:F2"/>
    <mergeCell ref="D3:F6"/>
    <mergeCell ref="H1:J2"/>
    <mergeCell ref="H3:J6"/>
  </mergeCells>
  <conditionalFormatting sqref="H3:J6">
    <cfRule type="cellIs" dxfId="2" priority="1" operator="greaterThan">
      <formula>30000</formula>
    </cfRule>
    <cfRule type="cellIs" dxfId="1" priority="2" operator="between">
      <formula>15000</formula>
      <formula>30000</formula>
    </cfRule>
    <cfRule type="cellIs" dxfId="0" priority="3" operator="lessThan">
      <formula>150000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5129-7580-43A0-89C6-08D75E319AD0}">
  <dimension ref="A3:Q36"/>
  <sheetViews>
    <sheetView topLeftCell="B1" workbookViewId="0">
      <selection activeCell="Q25" sqref="Q25"/>
    </sheetView>
  </sheetViews>
  <sheetFormatPr baseColWidth="10" defaultRowHeight="14.4" x14ac:dyDescent="0.3"/>
  <cols>
    <col min="1" max="1" width="12.21875" bestFit="1" customWidth="1"/>
    <col min="2" max="2" width="12" bestFit="1" customWidth="1"/>
    <col min="3" max="3" width="12.5546875" bestFit="1" customWidth="1"/>
    <col min="4" max="4" width="16.33203125" bestFit="1" customWidth="1"/>
    <col min="5" max="5" width="11.77734375" bestFit="1" customWidth="1"/>
    <col min="16" max="16" width="12.21875" bestFit="1" customWidth="1"/>
    <col min="17" max="17" width="21" bestFit="1" customWidth="1"/>
    <col min="18" max="36" width="3" bestFit="1" customWidth="1"/>
    <col min="37" max="37" width="12.21875" bestFit="1" customWidth="1"/>
  </cols>
  <sheetData>
    <row r="3" spans="1:5" x14ac:dyDescent="0.3">
      <c r="A3" s="5" t="s">
        <v>3457</v>
      </c>
      <c r="B3" t="s">
        <v>3490</v>
      </c>
      <c r="C3" t="s">
        <v>3493</v>
      </c>
      <c r="D3" t="s">
        <v>3492</v>
      </c>
      <c r="E3" t="s">
        <v>3494</v>
      </c>
    </row>
    <row r="4" spans="1:5" x14ac:dyDescent="0.3">
      <c r="A4" s="6" t="s">
        <v>3487</v>
      </c>
      <c r="B4" s="22">
        <v>5152.1578947368425</v>
      </c>
      <c r="C4" s="22">
        <v>5152.1578947368425</v>
      </c>
      <c r="D4" s="22">
        <v>5152.1578947368425</v>
      </c>
      <c r="E4" s="22">
        <v>5152.1578947368425</v>
      </c>
    </row>
    <row r="5" spans="1:5" x14ac:dyDescent="0.3">
      <c r="A5" s="6" t="s">
        <v>3485</v>
      </c>
      <c r="B5" s="22">
        <v>11520.96052631579</v>
      </c>
      <c r="C5" s="22">
        <v>3188.9473684210525</v>
      </c>
      <c r="D5" s="22">
        <v>2880.2401315789475</v>
      </c>
      <c r="E5" s="22">
        <v>2626.75</v>
      </c>
    </row>
    <row r="6" spans="1:5" x14ac:dyDescent="0.3">
      <c r="A6" s="6" t="s">
        <v>3486</v>
      </c>
      <c r="B6" s="22">
        <v>11742.105263157895</v>
      </c>
      <c r="C6" s="22">
        <v>4016.1578947368421</v>
      </c>
      <c r="D6" s="22">
        <v>3914.0350877192982</v>
      </c>
      <c r="E6" s="22">
        <v>3861.2105263157896</v>
      </c>
    </row>
    <row r="7" spans="1:5" x14ac:dyDescent="0.3">
      <c r="A7" s="6" t="s">
        <v>3446</v>
      </c>
      <c r="B7" s="22">
        <v>28415.22368421053</v>
      </c>
      <c r="C7" s="22">
        <v>5152.1578947368425</v>
      </c>
      <c r="D7" s="22">
        <v>3551.9029605263163</v>
      </c>
      <c r="E7" s="22">
        <v>2626.75</v>
      </c>
    </row>
    <row r="18" spans="1:17" x14ac:dyDescent="0.3">
      <c r="P18" s="5" t="s">
        <v>3496</v>
      </c>
      <c r="Q18" t="s">
        <v>3495</v>
      </c>
    </row>
    <row r="19" spans="1:17" x14ac:dyDescent="0.3">
      <c r="P19" s="6" t="s">
        <v>1012</v>
      </c>
      <c r="Q19">
        <v>8</v>
      </c>
    </row>
    <row r="20" spans="1:17" x14ac:dyDescent="0.3">
      <c r="A20" s="5" t="s">
        <v>3496</v>
      </c>
      <c r="B20" t="s">
        <v>3490</v>
      </c>
      <c r="C20" t="s">
        <v>3491</v>
      </c>
      <c r="P20" s="6" t="s">
        <v>3446</v>
      </c>
      <c r="Q20">
        <v>8</v>
      </c>
    </row>
    <row r="21" spans="1:17" x14ac:dyDescent="0.3">
      <c r="A21" s="6" t="s">
        <v>1012</v>
      </c>
      <c r="B21">
        <v>28415.223684210527</v>
      </c>
      <c r="C21" s="21">
        <v>1</v>
      </c>
    </row>
    <row r="22" spans="1:17" x14ac:dyDescent="0.3">
      <c r="A22" s="6" t="s">
        <v>3446</v>
      </c>
      <c r="B22">
        <v>28415.223684210527</v>
      </c>
      <c r="C22" s="21"/>
    </row>
    <row r="28" spans="1:17" x14ac:dyDescent="0.3">
      <c r="K28" s="8"/>
    </row>
    <row r="29" spans="1:17" x14ac:dyDescent="0.3">
      <c r="K29" s="6"/>
    </row>
    <row r="30" spans="1:17" x14ac:dyDescent="0.3">
      <c r="K30" s="6"/>
    </row>
    <row r="31" spans="1:17" x14ac:dyDescent="0.3">
      <c r="K31" s="6"/>
    </row>
    <row r="32" spans="1:17" x14ac:dyDescent="0.3">
      <c r="K32" s="6"/>
    </row>
    <row r="33" spans="11:11" x14ac:dyDescent="0.3">
      <c r="K33" s="6"/>
    </row>
    <row r="34" spans="11:11" x14ac:dyDescent="0.3">
      <c r="K34" s="6"/>
    </row>
    <row r="35" spans="11:11" x14ac:dyDescent="0.3">
      <c r="K35" s="6"/>
    </row>
    <row r="36" spans="11:11" x14ac:dyDescent="0.3">
      <c r="K36" s="6"/>
    </row>
  </sheetData>
  <conditionalFormatting sqref="P19:P7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E6">
    <cfRule type="colorScale" priority="9">
      <colorScale>
        <cfvo type="min"/>
        <cfvo type="max"/>
        <color rgb="FFFFEF9C"/>
        <color rgb="FF63BE7B"/>
      </colorScale>
    </cfRule>
  </conditionalFormatting>
  <conditionalFormatting sqref="P18:Q18 P19:P7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:P7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:A7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:Q18 P19:P7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9:K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8:K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9:K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8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>
      <selection activeCell="K9" sqref="K9"/>
    </sheetView>
  </sheetViews>
  <sheetFormatPr baseColWidth="10" defaultRowHeight="14.4" x14ac:dyDescent="0.3"/>
  <cols>
    <col min="1" max="1" width="37.88671875" customWidth="1"/>
    <col min="2" max="2" width="17.21875" customWidth="1"/>
    <col min="4" max="4" width="16.21875" customWidth="1"/>
    <col min="5" max="5" width="33.6640625" customWidth="1"/>
    <col min="7" max="7" width="14.6640625" customWidth="1"/>
    <col min="8" max="8" width="28.109375" customWidth="1"/>
    <col min="9" max="9" width="14.44140625" customWidth="1"/>
    <col min="10" max="10" width="12.6640625" customWidth="1"/>
    <col min="11" max="11" width="21.44140625" customWidth="1"/>
    <col min="12" max="12" width="15.109375" customWidth="1"/>
  </cols>
  <sheetData>
    <row r="1" spans="1:11" x14ac:dyDescent="0.3">
      <c r="D1" s="153" t="s">
        <v>3458</v>
      </c>
      <c r="E1" s="153"/>
      <c r="F1" s="20"/>
    </row>
    <row r="2" spans="1:11" ht="15" thickBot="1" x14ac:dyDescent="0.35">
      <c r="A2" s="155" t="s">
        <v>3454</v>
      </c>
      <c r="B2" s="155"/>
      <c r="C2" s="49"/>
      <c r="D2" s="44" t="s">
        <v>3497</v>
      </c>
      <c r="E2" s="45" t="s">
        <v>3498</v>
      </c>
      <c r="F2" s="20"/>
    </row>
    <row r="3" spans="1:11" ht="24" thickBot="1" x14ac:dyDescent="0.5">
      <c r="A3" s="156">
        <v>811</v>
      </c>
      <c r="B3" s="157"/>
      <c r="C3" s="48"/>
      <c r="D3" s="1">
        <v>17</v>
      </c>
      <c r="E3" s="36">
        <f>COUNTIF(Dataset_original!D2:D812,Preguntas!D3)</f>
        <v>1</v>
      </c>
    </row>
    <row r="4" spans="1:11" x14ac:dyDescent="0.3">
      <c r="A4" s="158" t="s">
        <v>3513</v>
      </c>
      <c r="B4" s="158"/>
      <c r="D4" s="1">
        <v>18</v>
      </c>
      <c r="E4" s="40">
        <f>COUNTIF(Dataset_original!D3:D813,Preguntas!D4)</f>
        <v>5</v>
      </c>
    </row>
    <row r="5" spans="1:11" ht="15" thickBot="1" x14ac:dyDescent="0.35">
      <c r="A5" s="17" t="s">
        <v>3468</v>
      </c>
      <c r="B5" t="s">
        <v>3469</v>
      </c>
      <c r="D5" s="1">
        <v>19</v>
      </c>
      <c r="E5" s="40">
        <f>COUNTIF(Dataset_original!D4:D814,Preguntas!D5)</f>
        <v>15</v>
      </c>
      <c r="G5" s="150" t="s">
        <v>3479</v>
      </c>
      <c r="H5" s="150"/>
      <c r="I5" s="49"/>
      <c r="J5" s="150" t="s">
        <v>3515</v>
      </c>
      <c r="K5" s="150"/>
    </row>
    <row r="6" spans="1:11" ht="24" thickBot="1" x14ac:dyDescent="0.5">
      <c r="A6" s="17" t="s">
        <v>1012</v>
      </c>
      <c r="B6">
        <f>COUNTIF(Dataset_original!E23:E833,Preguntas!A27)</f>
        <v>16</v>
      </c>
      <c r="D6" s="1">
        <v>20</v>
      </c>
      <c r="E6" s="40">
        <f>COUNTIF(Dataset_original!D5:D815,Preguntas!D6)</f>
        <v>32</v>
      </c>
      <c r="G6" s="150" t="s">
        <v>3480</v>
      </c>
      <c r="H6" s="150"/>
      <c r="J6" s="151">
        <v>257</v>
      </c>
      <c r="K6" s="152"/>
    </row>
    <row r="7" spans="1:11" x14ac:dyDescent="0.3">
      <c r="A7" s="17" t="s">
        <v>299</v>
      </c>
      <c r="B7">
        <f>COUNTIF(Dataset_original!E48:E858,Preguntas!A52)</f>
        <v>10</v>
      </c>
      <c r="D7" s="1">
        <v>21</v>
      </c>
      <c r="E7" s="40">
        <f>COUNTIF(Dataset_original!D6:D816,Preguntas!D7)</f>
        <v>44</v>
      </c>
      <c r="G7" s="56" t="s">
        <v>3470</v>
      </c>
      <c r="H7" s="57" t="s">
        <v>3473</v>
      </c>
    </row>
    <row r="8" spans="1:11" x14ac:dyDescent="0.3">
      <c r="A8" s="17" t="s">
        <v>742</v>
      </c>
      <c r="B8">
        <f>COUNTIF(Dataset_original!E33:E843,Preguntas!A37)</f>
        <v>5</v>
      </c>
      <c r="D8" s="1">
        <v>22</v>
      </c>
      <c r="E8" s="40">
        <f>COUNTIF(Dataset_original!D7:D817,Preguntas!D8)</f>
        <v>59</v>
      </c>
      <c r="G8" s="58" t="s">
        <v>790</v>
      </c>
      <c r="H8" s="59" t="s">
        <v>3474</v>
      </c>
      <c r="J8" s="153" t="s">
        <v>3516</v>
      </c>
      <c r="K8" s="154"/>
    </row>
    <row r="9" spans="1:11" x14ac:dyDescent="0.3">
      <c r="A9" s="17" t="s">
        <v>792</v>
      </c>
      <c r="B9">
        <f>COUNTIF(Dataset_original!E27:E837,Preguntas!A31)</f>
        <v>6</v>
      </c>
      <c r="D9" s="1">
        <v>23</v>
      </c>
      <c r="E9" s="40">
        <f>COUNTIF(Dataset_original!D8:D818,Preguntas!D9)</f>
        <v>64</v>
      </c>
      <c r="G9" s="58" t="s">
        <v>1210</v>
      </c>
      <c r="H9" s="59" t="s">
        <v>3475</v>
      </c>
      <c r="J9" t="s">
        <v>3518</v>
      </c>
      <c r="K9" t="s">
        <v>3519</v>
      </c>
    </row>
    <row r="10" spans="1:11" x14ac:dyDescent="0.3">
      <c r="A10" s="17" t="s">
        <v>220</v>
      </c>
      <c r="B10">
        <f>COUNTIF(Dataset_original!E19:E829,Preguntas!A23)</f>
        <v>8</v>
      </c>
      <c r="D10" s="1">
        <v>24</v>
      </c>
      <c r="E10" s="40">
        <f>COUNTIF(Dataset_original!D9:D819,Preguntas!D10)</f>
        <v>84</v>
      </c>
      <c r="G10" s="58" t="s">
        <v>2141</v>
      </c>
      <c r="H10" s="59" t="s">
        <v>3476</v>
      </c>
      <c r="J10" t="s">
        <v>3514</v>
      </c>
      <c r="K10">
        <f>COUNTIF(Tabla2[current_team],Preguntas!J10)</f>
        <v>297</v>
      </c>
    </row>
    <row r="11" spans="1:11" x14ac:dyDescent="0.3">
      <c r="A11" s="17" t="s">
        <v>104</v>
      </c>
      <c r="B11">
        <f>COUNTIF(Dataset_original!E49:E859,Preguntas!A53)</f>
        <v>6</v>
      </c>
      <c r="D11" s="1">
        <v>25</v>
      </c>
      <c r="E11" s="40">
        <f>COUNTIF(Dataset_original!D10:D820,Preguntas!D11)</f>
        <v>90</v>
      </c>
      <c r="G11" s="58" t="s">
        <v>2057</v>
      </c>
      <c r="H11" s="59" t="s">
        <v>3477</v>
      </c>
      <c r="J11" t="s">
        <v>483</v>
      </c>
      <c r="K11">
        <f>COUNTIF(Tabla2[current_team],Preguntas!J11)</f>
        <v>3</v>
      </c>
    </row>
    <row r="12" spans="1:11" x14ac:dyDescent="0.3">
      <c r="A12" s="17" t="s">
        <v>467</v>
      </c>
      <c r="B12">
        <f>COUNTIF(Dataset_original!E45:E855,Preguntas!A49)</f>
        <v>53</v>
      </c>
      <c r="D12" s="1">
        <v>26</v>
      </c>
      <c r="E12" s="40">
        <f>COUNTIF(Dataset_original!D11:D821,Preguntas!D12)</f>
        <v>83</v>
      </c>
      <c r="G12" s="60" t="s">
        <v>3035</v>
      </c>
      <c r="H12" s="61" t="s">
        <v>3478</v>
      </c>
      <c r="J12" t="s">
        <v>1831</v>
      </c>
      <c r="K12">
        <f>COUNTIF(Tabla2[current_team],Preguntas!J12)</f>
        <v>1</v>
      </c>
    </row>
    <row r="13" spans="1:11" x14ac:dyDescent="0.3">
      <c r="A13" s="17" t="s">
        <v>500</v>
      </c>
      <c r="B13">
        <f>COUNTIF(Dataset_original!E41:E851,Preguntas!A45)</f>
        <v>3</v>
      </c>
      <c r="D13" s="1">
        <v>27</v>
      </c>
      <c r="E13" s="40">
        <f>COUNTIF(Dataset_original!D12:D822,Preguntas!D13)</f>
        <v>73</v>
      </c>
      <c r="G13" s="19"/>
      <c r="J13" t="s">
        <v>308</v>
      </c>
      <c r="K13">
        <f>COUNTIF(Tabla2[current_team],Preguntas!J13)</f>
        <v>5</v>
      </c>
    </row>
    <row r="14" spans="1:11" x14ac:dyDescent="0.3">
      <c r="A14" s="17" t="s">
        <v>209</v>
      </c>
      <c r="B14">
        <f>COUNTIF(Dataset_original!E43:E853,Preguntas!A47)</f>
        <v>5</v>
      </c>
      <c r="D14" s="1">
        <v>28</v>
      </c>
      <c r="E14" s="40">
        <f>COUNTIF(Dataset_original!D13:D823,Preguntas!D14)</f>
        <v>71</v>
      </c>
      <c r="G14" s="19"/>
      <c r="J14" t="s">
        <v>537</v>
      </c>
      <c r="K14">
        <f>COUNTIF(Tabla2[current_team],Preguntas!J14)</f>
        <v>8</v>
      </c>
    </row>
    <row r="15" spans="1:11" x14ac:dyDescent="0.3">
      <c r="A15" s="17" t="s">
        <v>337</v>
      </c>
      <c r="B15">
        <f>COUNTIF(Dataset_original!E30:E840,Preguntas!A34)</f>
        <v>7</v>
      </c>
      <c r="D15" s="1">
        <v>29</v>
      </c>
      <c r="E15" s="40">
        <f>COUNTIF(Dataset_original!D14:D824,Preguntas!D15)</f>
        <v>47</v>
      </c>
      <c r="G15" s="19"/>
      <c r="J15" t="s">
        <v>1023</v>
      </c>
      <c r="K15">
        <f>COUNTIF(Tabla2[current_team],Preguntas!J15)</f>
        <v>3</v>
      </c>
    </row>
    <row r="16" spans="1:11" x14ac:dyDescent="0.3">
      <c r="A16" s="17" t="s">
        <v>196</v>
      </c>
      <c r="B16">
        <f>COUNTIF(Dataset_original!E54:E864,Preguntas!A58)</f>
        <v>1</v>
      </c>
      <c r="D16" s="1">
        <v>30</v>
      </c>
      <c r="E16" s="40">
        <f>COUNTIF(Dataset_original!D15:D825,Preguntas!D16)</f>
        <v>38</v>
      </c>
      <c r="J16" t="s">
        <v>344</v>
      </c>
      <c r="K16">
        <f>COUNTIF(Tabla2[current_team],Preguntas!J16)</f>
        <v>6</v>
      </c>
    </row>
    <row r="17" spans="1:11" x14ac:dyDescent="0.3">
      <c r="A17" s="17" t="s">
        <v>446</v>
      </c>
      <c r="B17">
        <f>COUNTIF(Dataset_original!E31:E841,Preguntas!A35)</f>
        <v>1</v>
      </c>
      <c r="D17" s="1">
        <v>31</v>
      </c>
      <c r="E17" s="40">
        <f>COUNTIF(Dataset_original!D16:D826,Preguntas!D17)</f>
        <v>28</v>
      </c>
      <c r="G17" s="159" t="s">
        <v>3482</v>
      </c>
      <c r="H17" s="159"/>
      <c r="I17" s="20"/>
      <c r="J17" t="s">
        <v>1859</v>
      </c>
      <c r="K17">
        <f>COUNTIF(Tabla2[current_team],Preguntas!J17)</f>
        <v>2</v>
      </c>
    </row>
    <row r="18" spans="1:11" x14ac:dyDescent="0.3">
      <c r="A18" s="17" t="s">
        <v>452</v>
      </c>
      <c r="B18">
        <f>COUNTIF(Dataset_original!E44:E854,Preguntas!A48)</f>
        <v>9</v>
      </c>
      <c r="D18" s="1">
        <v>32</v>
      </c>
      <c r="E18" s="40">
        <f>COUNTIF(Dataset_original!D17:D827,Preguntas!D18)</f>
        <v>33</v>
      </c>
      <c r="G18" s="56" t="s">
        <v>3470</v>
      </c>
      <c r="H18" s="57" t="s">
        <v>3481</v>
      </c>
      <c r="J18" t="s">
        <v>1330</v>
      </c>
      <c r="K18">
        <f>COUNTIF(Tabla2[current_team],Preguntas!J18)</f>
        <v>1</v>
      </c>
    </row>
    <row r="19" spans="1:11" x14ac:dyDescent="0.3">
      <c r="A19" s="17" t="s">
        <v>42</v>
      </c>
      <c r="B19">
        <f>COUNTIF(Dataset_original!E47:E857,Preguntas!A51)</f>
        <v>1</v>
      </c>
      <c r="D19" s="1">
        <v>33</v>
      </c>
      <c r="E19" s="40">
        <f>COUNTIF(Dataset_original!D18:D828,Preguntas!D19)</f>
        <v>15</v>
      </c>
      <c r="G19" s="58" t="s">
        <v>40</v>
      </c>
      <c r="H19" s="59" t="s">
        <v>56</v>
      </c>
      <c r="J19" t="s">
        <v>1396</v>
      </c>
      <c r="K19">
        <f>COUNTIF(Tabla2[current_team],Preguntas!J19)</f>
        <v>7</v>
      </c>
    </row>
    <row r="20" spans="1:11" x14ac:dyDescent="0.3">
      <c r="A20" s="17" t="s">
        <v>708</v>
      </c>
      <c r="B20">
        <f>COUNTIF(Dataset_original!E46:E856,Preguntas!A50)</f>
        <v>2</v>
      </c>
      <c r="D20" s="1">
        <v>34</v>
      </c>
      <c r="E20" s="40">
        <f>COUNTIF(Dataset_original!D19:D829,Preguntas!D20)</f>
        <v>13</v>
      </c>
      <c r="G20" s="58" t="s">
        <v>73</v>
      </c>
      <c r="H20" s="59" t="s">
        <v>87</v>
      </c>
      <c r="J20" t="s">
        <v>1744</v>
      </c>
      <c r="K20">
        <f>COUNTIF(Tabla2[current_team],Preguntas!J20)</f>
        <v>4</v>
      </c>
    </row>
    <row r="21" spans="1:11" x14ac:dyDescent="0.3">
      <c r="A21" s="17" t="s">
        <v>1296</v>
      </c>
      <c r="B21">
        <f>COUNTIF(Dataset_original!E3:E813,Preguntas!A7)</f>
        <v>44</v>
      </c>
      <c r="D21" s="1">
        <v>35</v>
      </c>
      <c r="E21" s="40">
        <f>COUNTIF(Dataset_original!D20:D830,Preguntas!D21)</f>
        <v>9</v>
      </c>
      <c r="G21" s="58" t="s">
        <v>57</v>
      </c>
      <c r="H21" s="59" t="s">
        <v>72</v>
      </c>
      <c r="J21" t="s">
        <v>421</v>
      </c>
      <c r="K21">
        <f>COUNTIF(Tabla2[current_team],Preguntas!J21)</f>
        <v>1</v>
      </c>
    </row>
    <row r="22" spans="1:11" ht="29.25" customHeight="1" x14ac:dyDescent="0.3">
      <c r="A22" s="17" t="s">
        <v>357</v>
      </c>
      <c r="B22">
        <f>COUNTIF(Dataset_original!E7:E817,Preguntas!A11)</f>
        <v>60</v>
      </c>
      <c r="D22" s="1">
        <v>36</v>
      </c>
      <c r="E22" s="40">
        <f>COUNTIF(Dataset_original!D21:D831,Preguntas!D22)</f>
        <v>1</v>
      </c>
      <c r="G22" s="58" t="s">
        <v>88</v>
      </c>
      <c r="H22" s="59" t="s">
        <v>101</v>
      </c>
      <c r="J22" t="s">
        <v>76</v>
      </c>
      <c r="K22">
        <f>COUNTIF(Tabla2[current_team],Preguntas!J22)</f>
        <v>5</v>
      </c>
    </row>
    <row r="23" spans="1:11" x14ac:dyDescent="0.3">
      <c r="A23" s="17" t="s">
        <v>187</v>
      </c>
      <c r="B23">
        <f>COUNTIF(Dataset_original!E26:E836,Preguntas!A30)</f>
        <v>5</v>
      </c>
      <c r="D23" s="46" t="s">
        <v>3499</v>
      </c>
      <c r="E23" s="47">
        <f>AVERAGE(Dataset_original!D2:D812)</f>
        <v>25.852034525277436</v>
      </c>
      <c r="G23" s="60" t="s">
        <v>227</v>
      </c>
      <c r="H23" s="61" t="s">
        <v>114</v>
      </c>
      <c r="J23" t="s">
        <v>557</v>
      </c>
      <c r="K23">
        <f>COUNTIF(Tabla2[current_team],Preguntas!J23)</f>
        <v>4</v>
      </c>
    </row>
    <row r="24" spans="1:11" x14ac:dyDescent="0.3">
      <c r="A24" s="17" t="s">
        <v>241</v>
      </c>
      <c r="B24">
        <f>COUNTIF(Dataset_original!E16:E826,Preguntas!A20)</f>
        <v>25</v>
      </c>
      <c r="G24" s="19"/>
      <c r="J24" t="s">
        <v>328</v>
      </c>
      <c r="K24">
        <f>COUNTIF(Tabla2[current_team],Preguntas!J24)</f>
        <v>3</v>
      </c>
    </row>
    <row r="25" spans="1:11" x14ac:dyDescent="0.3">
      <c r="A25" s="17" t="s">
        <v>700</v>
      </c>
      <c r="B25">
        <f>COUNTIF(Dataset_original!E14:E824,Preguntas!A18)</f>
        <v>26</v>
      </c>
      <c r="D25" s="159" t="s">
        <v>3467</v>
      </c>
      <c r="E25" s="162"/>
      <c r="F25" s="162"/>
      <c r="G25" s="19"/>
      <c r="J25" t="s">
        <v>621</v>
      </c>
      <c r="K25">
        <f>COUNTIF(Tabla2[current_team],Preguntas!J25)</f>
        <v>2</v>
      </c>
    </row>
    <row r="26" spans="1:11" x14ac:dyDescent="0.3">
      <c r="A26" s="17" t="s">
        <v>1335</v>
      </c>
      <c r="B26">
        <f>COUNTIF(Dataset_original!E8:E818,Preguntas!A12)</f>
        <v>23</v>
      </c>
      <c r="D26" s="14" t="s">
        <v>3459</v>
      </c>
      <c r="E26" s="14" t="s">
        <v>3460</v>
      </c>
      <c r="G26" s="19"/>
      <c r="J26" t="s">
        <v>690</v>
      </c>
      <c r="K26">
        <f>COUNTIF(Tabla2[current_team],Preguntas!J26)</f>
        <v>5</v>
      </c>
    </row>
    <row r="27" spans="1:11" ht="15.6" x14ac:dyDescent="0.3">
      <c r="A27" s="17" t="s">
        <v>1144</v>
      </c>
      <c r="B27">
        <f>COUNTIF(Dataset_original!E40:E850,Preguntas!A44)</f>
        <v>10</v>
      </c>
      <c r="D27" s="15" t="s">
        <v>3461</v>
      </c>
      <c r="E27" s="16">
        <f>AVERAGE(Tabla2[rifle_kills])</f>
        <v>9498.584463625155</v>
      </c>
      <c r="G27" s="160" t="s">
        <v>3507</v>
      </c>
      <c r="H27" s="161"/>
      <c r="J27" t="s">
        <v>571</v>
      </c>
      <c r="K27">
        <f>COUNTIF(Tabla2[current_team],Preguntas!J27)</f>
        <v>3</v>
      </c>
    </row>
    <row r="28" spans="1:11" x14ac:dyDescent="0.3">
      <c r="A28" s="17" t="s">
        <v>270</v>
      </c>
      <c r="B28">
        <f>COUNTIF(Dataset_original!E15:E825,Preguntas!A19)</f>
        <v>25</v>
      </c>
      <c r="D28" s="15" t="s">
        <v>3462</v>
      </c>
      <c r="E28" s="16">
        <f>AVERAGE(Tabla2[sniper_kills])</f>
        <v>2115.8360049321823</v>
      </c>
      <c r="G28" s="39" t="s">
        <v>3511</v>
      </c>
      <c r="H28" s="40" t="s">
        <v>3512</v>
      </c>
      <c r="J28" t="s">
        <v>1892</v>
      </c>
      <c r="K28">
        <f>COUNTIF(Tabla2[current_team],Preguntas!J28)</f>
        <v>4</v>
      </c>
    </row>
    <row r="29" spans="1:11" x14ac:dyDescent="0.3">
      <c r="A29" s="17" t="s">
        <v>1422</v>
      </c>
      <c r="B29">
        <f>COUNTIF(Dataset_original!E13:E823,Preguntas!A17)</f>
        <v>6</v>
      </c>
      <c r="D29" s="15" t="s">
        <v>3463</v>
      </c>
      <c r="E29" s="54">
        <f>AVERAGE(Tabla2[smg_kills])</f>
        <v>840.59432799013564</v>
      </c>
      <c r="G29" s="37"/>
      <c r="H29" s="38" t="s">
        <v>3510</v>
      </c>
      <c r="J29" t="s">
        <v>1819</v>
      </c>
      <c r="K29">
        <f>COUNTIF(Tabla2[current_team],Preguntas!J29)</f>
        <v>2</v>
      </c>
    </row>
    <row r="30" spans="1:11" x14ac:dyDescent="0.3">
      <c r="A30" s="17" t="s">
        <v>1033</v>
      </c>
      <c r="B30">
        <f>COUNTIF(Dataset_original!E20:E830,Preguntas!A24)</f>
        <v>2</v>
      </c>
      <c r="D30" s="15" t="s">
        <v>3464</v>
      </c>
      <c r="E30" s="16">
        <f>AVERAGE(Tabla2[pistol_kills])</f>
        <v>2643.2712700369912</v>
      </c>
      <c r="G30" s="37" t="s">
        <v>3508</v>
      </c>
      <c r="H30" s="43">
        <f>AVERAGE(Tabla2[maps_played])</f>
        <v>843.34771886559804</v>
      </c>
      <c r="J30" t="s">
        <v>2021</v>
      </c>
      <c r="K30">
        <f>COUNTIF(Tabla2[current_team],Preguntas!J30)</f>
        <v>3</v>
      </c>
    </row>
    <row r="31" spans="1:11" x14ac:dyDescent="0.3">
      <c r="A31" s="17" t="s">
        <v>841</v>
      </c>
      <c r="B31">
        <f>COUNTIF(Dataset_original!E21:E831,Preguntas!A25)</f>
        <v>3</v>
      </c>
      <c r="D31" s="15" t="s">
        <v>3465</v>
      </c>
      <c r="E31" s="54">
        <f>AVERAGE(Tabla2[grenade_kills])</f>
        <v>197.34895191122072</v>
      </c>
      <c r="G31" s="41" t="s">
        <v>3509</v>
      </c>
      <c r="H31" s="42">
        <f>AVERAGE(Tabla2[rounds_played])</f>
        <v>22172.04069050555</v>
      </c>
      <c r="J31" t="s">
        <v>1093</v>
      </c>
      <c r="K31">
        <f>COUNTIF(Tabla2[current_team],Preguntas!J31)</f>
        <v>4</v>
      </c>
    </row>
    <row r="32" spans="1:11" x14ac:dyDescent="0.3">
      <c r="A32" s="17" t="s">
        <v>117</v>
      </c>
      <c r="B32">
        <f>COUNTIF(Dataset_original!E10:E820,Preguntas!A14)</f>
        <v>28</v>
      </c>
      <c r="D32" s="15" t="s">
        <v>3466</v>
      </c>
      <c r="E32" s="54">
        <f>AVERAGE(Tabla2[other_kills])</f>
        <v>65.076448828606658</v>
      </c>
      <c r="J32" t="s">
        <v>188</v>
      </c>
      <c r="K32">
        <f>COUNTIF(Tabla2[current_team],Preguntas!J32)</f>
        <v>8</v>
      </c>
    </row>
    <row r="33" spans="1:11" x14ac:dyDescent="0.3">
      <c r="A33" s="17" t="s">
        <v>1479</v>
      </c>
      <c r="B33">
        <f>COUNTIF(Dataset_original!E9:E819,Preguntas!A13)</f>
        <v>25</v>
      </c>
      <c r="J33" t="s">
        <v>1125</v>
      </c>
      <c r="K33">
        <f>COUNTIF(Tabla2[current_team],Preguntas!J33)</f>
        <v>6</v>
      </c>
    </row>
    <row r="34" spans="1:11" x14ac:dyDescent="0.3">
      <c r="A34" s="17" t="s">
        <v>403</v>
      </c>
      <c r="B34">
        <f>COUNTIF(Dataset_original!E24:E834,Preguntas!A28)</f>
        <v>3</v>
      </c>
      <c r="J34" t="s">
        <v>936</v>
      </c>
      <c r="K34">
        <f>COUNTIF(Tabla2[current_team],Preguntas!J34)</f>
        <v>4</v>
      </c>
    </row>
    <row r="35" spans="1:11" x14ac:dyDescent="0.3">
      <c r="A35" s="17" t="s">
        <v>1703</v>
      </c>
      <c r="B35">
        <f>COUNTIF(Dataset_original!E6:E816,Preguntas!A10)</f>
        <v>2</v>
      </c>
      <c r="D35" s="153" t="s">
        <v>3472</v>
      </c>
      <c r="E35" s="154"/>
      <c r="J35" t="s">
        <v>709</v>
      </c>
      <c r="K35">
        <f>COUNTIF(Tabla2[current_team],Preguntas!J35)</f>
        <v>6</v>
      </c>
    </row>
    <row r="36" spans="1:11" x14ac:dyDescent="0.3">
      <c r="A36" s="17" t="s">
        <v>1092</v>
      </c>
      <c r="B36">
        <f>COUNTIF(Dataset_original!E22:E832,Preguntas!A26)</f>
        <v>1</v>
      </c>
      <c r="D36" s="14" t="s">
        <v>3470</v>
      </c>
      <c r="E36" s="14" t="s">
        <v>3471</v>
      </c>
      <c r="J36" t="s">
        <v>812</v>
      </c>
      <c r="K36">
        <f>COUNTIF(Tabla2[current_team],Preguntas!J36)</f>
        <v>7</v>
      </c>
    </row>
    <row r="37" spans="1:11" x14ac:dyDescent="0.3">
      <c r="A37" s="17" t="s">
        <v>150</v>
      </c>
      <c r="B37">
        <f>COUNTIF(Dataset_original!E28:E838,Preguntas!A32)</f>
        <v>0</v>
      </c>
      <c r="D37" s="15" t="s">
        <v>584</v>
      </c>
      <c r="E37" s="16">
        <v>40979</v>
      </c>
      <c r="J37" t="s">
        <v>1086</v>
      </c>
      <c r="K37">
        <f>COUNTIF(Tabla2[current_team],Preguntas!J37)</f>
        <v>4</v>
      </c>
    </row>
    <row r="38" spans="1:11" x14ac:dyDescent="0.3">
      <c r="A38" s="17" t="s">
        <v>1967</v>
      </c>
      <c r="B38">
        <f>COUNTIF(Dataset_original!E4:E814,Preguntas!A8)</f>
        <v>9</v>
      </c>
      <c r="D38" s="15" t="s">
        <v>1557</v>
      </c>
      <c r="E38" s="16">
        <v>39509</v>
      </c>
      <c r="J38" t="s">
        <v>521</v>
      </c>
      <c r="K38">
        <f>COUNTIF(Tabla2[current_team],Preguntas!J38)</f>
        <v>1</v>
      </c>
    </row>
    <row r="39" spans="1:11" x14ac:dyDescent="0.3">
      <c r="A39" s="17" t="s">
        <v>1070</v>
      </c>
      <c r="B39">
        <f>COUNTIF(Dataset_original!E39:E849,Preguntas!A43)</f>
        <v>62</v>
      </c>
      <c r="D39" s="15" t="s">
        <v>2545</v>
      </c>
      <c r="E39" s="16">
        <v>38738</v>
      </c>
      <c r="J39" t="s">
        <v>1408</v>
      </c>
      <c r="K39">
        <f>COUNTIF(Tabla2[current_team],Preguntas!J39)</f>
        <v>3</v>
      </c>
    </row>
    <row r="40" spans="1:11" x14ac:dyDescent="0.3">
      <c r="A40" s="17" t="s">
        <v>327</v>
      </c>
      <c r="B40">
        <f>COUNTIF(Dataset_original!E50:E860,Preguntas!A54)</f>
        <v>22</v>
      </c>
      <c r="D40" s="15" t="s">
        <v>1059</v>
      </c>
      <c r="E40" s="16">
        <v>38675</v>
      </c>
      <c r="J40" t="s">
        <v>701</v>
      </c>
      <c r="K40">
        <f>COUNTIF(Tabla2[current_team],Preguntas!J40)</f>
        <v>6</v>
      </c>
    </row>
    <row r="41" spans="1:11" x14ac:dyDescent="0.3">
      <c r="A41" s="17" t="s">
        <v>1643</v>
      </c>
      <c r="B41">
        <f>COUNTIF(Dataset_original!E32:E842,Preguntas!A36)</f>
        <v>3</v>
      </c>
      <c r="D41" s="15" t="s">
        <v>2584</v>
      </c>
      <c r="E41" s="16">
        <v>37890</v>
      </c>
      <c r="J41" t="s">
        <v>896</v>
      </c>
      <c r="K41">
        <f>COUNTIF(Tabla2[current_team],Preguntas!J41)</f>
        <v>1</v>
      </c>
    </row>
    <row r="42" spans="1:11" x14ac:dyDescent="0.3">
      <c r="A42" s="17" t="s">
        <v>318</v>
      </c>
      <c r="B42">
        <f>COUNTIF(Dataset_original!E25:E835,Preguntas!A29)</f>
        <v>3</v>
      </c>
      <c r="J42" t="s">
        <v>1488</v>
      </c>
      <c r="K42">
        <f>COUNTIF(Tabla2[current_team],Preguntas!J42)</f>
        <v>6</v>
      </c>
    </row>
    <row r="43" spans="1:11" x14ac:dyDescent="0.3">
      <c r="A43" s="17" t="s">
        <v>75</v>
      </c>
      <c r="B43">
        <f>COUNTIF(Dataset_original!E52:E862,Preguntas!A56)</f>
        <v>81</v>
      </c>
      <c r="J43" t="s">
        <v>749</v>
      </c>
      <c r="K43">
        <f>COUNTIF(Tabla2[current_team],Preguntas!J43)</f>
        <v>3</v>
      </c>
    </row>
    <row r="44" spans="1:11" x14ac:dyDescent="0.3">
      <c r="A44" s="17" t="s">
        <v>895</v>
      </c>
      <c r="B44">
        <f>COUNTIF(Dataset_original!E34:E844,Preguntas!A38)</f>
        <v>1</v>
      </c>
      <c r="J44" t="s">
        <v>118</v>
      </c>
      <c r="K44">
        <f>COUNTIF(Tabla2[current_team],Preguntas!J44)</f>
        <v>2</v>
      </c>
    </row>
    <row r="45" spans="1:11" x14ac:dyDescent="0.3">
      <c r="A45" s="17" t="s">
        <v>290</v>
      </c>
      <c r="B45">
        <f>COUNTIF(Dataset_original!E17:E827,Preguntas!A21)</f>
        <v>1</v>
      </c>
      <c r="J45" t="s">
        <v>338</v>
      </c>
      <c r="K45">
        <f>COUNTIF(Tabla2[current_team],Preguntas!J45)</f>
        <v>5</v>
      </c>
    </row>
    <row r="46" spans="1:11" x14ac:dyDescent="0.3">
      <c r="A46" s="17" t="s">
        <v>379</v>
      </c>
      <c r="B46">
        <f>COUNTIF(Dataset_original!E36:E846,Preguntas!A40)</f>
        <v>48</v>
      </c>
      <c r="J46" t="s">
        <v>2175</v>
      </c>
      <c r="K46">
        <f>COUNTIF(Tabla2[current_team],Preguntas!J46)</f>
        <v>1</v>
      </c>
    </row>
    <row r="47" spans="1:11" x14ac:dyDescent="0.3">
      <c r="A47" s="17" t="s">
        <v>758</v>
      </c>
      <c r="B47">
        <f>COUNTIF(Dataset_original!E18:E828,Preguntas!A22)</f>
        <v>1</v>
      </c>
      <c r="J47" t="s">
        <v>1065</v>
      </c>
      <c r="K47">
        <f>COUNTIF(Tabla2[current_team],Preguntas!J47)</f>
        <v>5</v>
      </c>
    </row>
    <row r="48" spans="1:11" x14ac:dyDescent="0.3">
      <c r="A48" s="17" t="s">
        <v>683</v>
      </c>
      <c r="B48">
        <f>COUNTIF(Dataset_original!E35:E845,Preguntas!A39)</f>
        <v>12</v>
      </c>
      <c r="J48" t="s">
        <v>855</v>
      </c>
      <c r="K48">
        <f>COUNTIF(Tabla2[current_team],Preguntas!J48)</f>
        <v>5</v>
      </c>
    </row>
    <row r="49" spans="1:11" x14ac:dyDescent="0.3">
      <c r="A49" s="17" t="s">
        <v>545</v>
      </c>
      <c r="B49">
        <f>COUNTIF(Dataset_original!E51:E861,Preguntas!A55)</f>
        <v>8</v>
      </c>
      <c r="J49" t="s">
        <v>105</v>
      </c>
      <c r="K49">
        <f>COUNTIF(Tabla2[current_team],Preguntas!J49)</f>
        <v>4</v>
      </c>
    </row>
    <row r="50" spans="1:11" x14ac:dyDescent="0.3">
      <c r="A50" s="17" t="s">
        <v>1250</v>
      </c>
      <c r="B50">
        <f>COUNTIF(Dataset_original!E12:E822,Preguntas!A16)</f>
        <v>73</v>
      </c>
      <c r="J50" t="s">
        <v>914</v>
      </c>
      <c r="K50">
        <f>COUNTIF(Tabla2[current_team],Preguntas!J50)</f>
        <v>3</v>
      </c>
    </row>
    <row r="51" spans="1:11" x14ac:dyDescent="0.3">
      <c r="A51" s="17" t="s">
        <v>2865</v>
      </c>
      <c r="B51">
        <f>COUNTIF(Dataset_original!E2:E812,Preguntas!A6)</f>
        <v>8</v>
      </c>
      <c r="J51" t="s">
        <v>1180</v>
      </c>
      <c r="K51">
        <f>COUNTIF(Tabla2[current_team],Preguntas!J51)</f>
        <v>4</v>
      </c>
    </row>
    <row r="52" spans="1:11" x14ac:dyDescent="0.3">
      <c r="A52" s="17" t="s">
        <v>477</v>
      </c>
      <c r="B52">
        <f>COUNTIF(Dataset_original!E29:E839,Preguntas!A33)</f>
        <v>1</v>
      </c>
      <c r="J52" t="s">
        <v>221</v>
      </c>
      <c r="K52">
        <f>COUNTIF(Tabla2[current_team],Preguntas!J52)</f>
        <v>5</v>
      </c>
    </row>
    <row r="53" spans="1:11" x14ac:dyDescent="0.3">
      <c r="A53" s="17" t="s">
        <v>159</v>
      </c>
      <c r="B53">
        <f>COUNTIF(Dataset_original!E38:E848,Preguntas!A42)</f>
        <v>5</v>
      </c>
      <c r="J53" t="s">
        <v>271</v>
      </c>
      <c r="K53">
        <f>COUNTIF(Tabla2[current_team],Preguntas!J53)</f>
        <v>5</v>
      </c>
    </row>
    <row r="54" spans="1:11" x14ac:dyDescent="0.3">
      <c r="A54" s="17" t="s">
        <v>59</v>
      </c>
      <c r="B54">
        <f>COUNTIF(Dataset_original!E42:E852,Preguntas!A46)</f>
        <v>6</v>
      </c>
      <c r="J54" t="s">
        <v>1372</v>
      </c>
      <c r="K54">
        <f>COUNTIF(Tabla2[current_team],Preguntas!J54)</f>
        <v>2</v>
      </c>
    </row>
    <row r="55" spans="1:11" x14ac:dyDescent="0.3">
      <c r="A55" s="18" t="s">
        <v>141</v>
      </c>
      <c r="B55">
        <f>COUNTIF(Dataset_original!E37:E847,Preguntas!A41)</f>
        <v>8</v>
      </c>
      <c r="J55" t="s">
        <v>175</v>
      </c>
      <c r="K55">
        <f>COUNTIF(Tabla2[current_team],Preguntas!J55)</f>
        <v>1</v>
      </c>
    </row>
    <row r="56" spans="1:11" x14ac:dyDescent="0.3">
      <c r="A56" s="17" t="s">
        <v>459</v>
      </c>
      <c r="B56">
        <f>COUNTIF(Dataset_original!E53:E863,Preguntas!A57)</f>
        <v>1</v>
      </c>
      <c r="J56" t="s">
        <v>468</v>
      </c>
      <c r="K56">
        <f>COUNTIF(Tabla2[current_team],Preguntas!J56)</f>
        <v>5</v>
      </c>
    </row>
    <row r="57" spans="1:11" x14ac:dyDescent="0.3">
      <c r="A57" s="17" t="s">
        <v>512</v>
      </c>
      <c r="B57">
        <f>COUNTIF(Dataset_original!E11:E821,Preguntas!A15)</f>
        <v>6</v>
      </c>
      <c r="J57" t="s">
        <v>151</v>
      </c>
      <c r="K57">
        <f>COUNTIF(Tabla2[current_team],Preguntas!J57)</f>
        <v>3</v>
      </c>
    </row>
    <row r="58" spans="1:11" x14ac:dyDescent="0.3">
      <c r="A58" s="17" t="s">
        <v>3229</v>
      </c>
      <c r="B58">
        <f>COUNTIF(Dataset_original!E5:E815,Preguntas!A9)</f>
        <v>5</v>
      </c>
      <c r="J58" t="s">
        <v>605</v>
      </c>
      <c r="K58">
        <f>COUNTIF(Tabla2[current_team],Preguntas!J58)</f>
        <v>6</v>
      </c>
    </row>
    <row r="59" spans="1:11" x14ac:dyDescent="0.3">
      <c r="J59" t="s">
        <v>1962</v>
      </c>
      <c r="K59">
        <f>COUNTIF(Tabla2[current_team],Preguntas!J59)</f>
        <v>2</v>
      </c>
    </row>
    <row r="60" spans="1:11" x14ac:dyDescent="0.3">
      <c r="J60" t="s">
        <v>528</v>
      </c>
      <c r="K60">
        <f>COUNTIF(Tabla2[current_team],Preguntas!J60)</f>
        <v>7</v>
      </c>
    </row>
    <row r="61" spans="1:11" x14ac:dyDescent="0.3">
      <c r="J61" t="s">
        <v>715</v>
      </c>
      <c r="K61">
        <f>COUNTIF(Tabla2[current_team],Preguntas!J61)</f>
        <v>4</v>
      </c>
    </row>
    <row r="62" spans="1:11" x14ac:dyDescent="0.3">
      <c r="J62" t="s">
        <v>1301</v>
      </c>
      <c r="K62">
        <f>COUNTIF(Tabla2[current_team],Preguntas!J62)</f>
        <v>1</v>
      </c>
    </row>
    <row r="63" spans="1:11" x14ac:dyDescent="0.3">
      <c r="J63" t="s">
        <v>160</v>
      </c>
      <c r="K63">
        <f>COUNTIF(Tabla2[current_team],Preguntas!J63)</f>
        <v>5</v>
      </c>
    </row>
    <row r="64" spans="1:11" x14ac:dyDescent="0.3">
      <c r="J64" t="s">
        <v>1497</v>
      </c>
      <c r="K64">
        <f>COUNTIF(Tabla2[current_team],Preguntas!J64)</f>
        <v>2</v>
      </c>
    </row>
    <row r="65" spans="10:11" x14ac:dyDescent="0.3">
      <c r="J65" t="s">
        <v>2451</v>
      </c>
      <c r="K65">
        <f>COUNTIF(Tabla2[current_team],Preguntas!J65)</f>
        <v>1</v>
      </c>
    </row>
    <row r="66" spans="10:11" x14ac:dyDescent="0.3">
      <c r="J66" t="s">
        <v>972</v>
      </c>
      <c r="K66">
        <f>COUNTIF(Tabla2[current_team],Preguntas!J66)</f>
        <v>1</v>
      </c>
    </row>
    <row r="67" spans="10:11" x14ac:dyDescent="0.3">
      <c r="J67" t="s">
        <v>1055</v>
      </c>
      <c r="K67">
        <f>COUNTIF(Tabla2[current_team],Preguntas!J67)</f>
        <v>1</v>
      </c>
    </row>
    <row r="68" spans="10:11" x14ac:dyDescent="0.3">
      <c r="J68" t="s">
        <v>1617</v>
      </c>
      <c r="K68">
        <f>COUNTIF(Tabla2[current_team],Preguntas!J68)</f>
        <v>2</v>
      </c>
    </row>
    <row r="69" spans="10:11" x14ac:dyDescent="0.3">
      <c r="J69" t="s">
        <v>1544</v>
      </c>
      <c r="K69">
        <f>COUNTIF(Tabla2[current_team],Preguntas!J69)</f>
        <v>4</v>
      </c>
    </row>
    <row r="70" spans="10:11" x14ac:dyDescent="0.3">
      <c r="J70" t="s">
        <v>1600</v>
      </c>
      <c r="K70">
        <f>COUNTIF(Tabla2[current_team],Preguntas!J70)</f>
        <v>2</v>
      </c>
    </row>
    <row r="71" spans="10:11" x14ac:dyDescent="0.3">
      <c r="J71" t="s">
        <v>229</v>
      </c>
      <c r="K71">
        <f>COUNTIF(Tabla2[current_team],Preguntas!J71)</f>
        <v>5</v>
      </c>
    </row>
    <row r="72" spans="10:11" x14ac:dyDescent="0.3">
      <c r="J72" t="s">
        <v>1361</v>
      </c>
      <c r="K72">
        <f>COUNTIF(Tabla2[current_team],Preguntas!J72)</f>
        <v>2</v>
      </c>
    </row>
    <row r="73" spans="10:11" x14ac:dyDescent="0.3">
      <c r="J73" t="s">
        <v>2183</v>
      </c>
      <c r="K73">
        <f>COUNTIF(Tabla2[current_team],Preguntas!J73)</f>
        <v>2</v>
      </c>
    </row>
    <row r="74" spans="10:11" x14ac:dyDescent="0.3">
      <c r="J74" t="s">
        <v>1013</v>
      </c>
      <c r="K74">
        <f>COUNTIF(Tabla2[current_team],Preguntas!J74)</f>
        <v>4</v>
      </c>
    </row>
    <row r="75" spans="10:11" x14ac:dyDescent="0.3">
      <c r="J75" t="s">
        <v>130</v>
      </c>
      <c r="K75">
        <f>COUNTIF(Tabla2[current_team],Preguntas!J75)</f>
        <v>7</v>
      </c>
    </row>
    <row r="76" spans="10:11" x14ac:dyDescent="0.3">
      <c r="J76" t="s">
        <v>319</v>
      </c>
      <c r="K76">
        <f>COUNTIF(Tabla2[current_team],Preguntas!J76)</f>
        <v>5</v>
      </c>
    </row>
    <row r="77" spans="10:11" x14ac:dyDescent="0.3">
      <c r="J77" t="s">
        <v>1348</v>
      </c>
      <c r="K77">
        <f>COUNTIF(Tabla2[current_team],Preguntas!J77)</f>
        <v>4</v>
      </c>
    </row>
    <row r="78" spans="10:11" x14ac:dyDescent="0.3">
      <c r="J78" t="s">
        <v>197</v>
      </c>
      <c r="K78">
        <f>COUNTIF(Tabla2[current_team],Preguntas!J78)</f>
        <v>7</v>
      </c>
    </row>
    <row r="79" spans="10:11" x14ac:dyDescent="0.3">
      <c r="J79" t="s">
        <v>260</v>
      </c>
      <c r="K79">
        <f>COUNTIF(Tabla2[current_team],Preguntas!J79)</f>
        <v>5</v>
      </c>
    </row>
    <row r="80" spans="10:11" x14ac:dyDescent="0.3">
      <c r="J80" t="s">
        <v>599</v>
      </c>
      <c r="K80">
        <f>COUNTIF(Tabla2[current_team],Preguntas!J80)</f>
        <v>6</v>
      </c>
    </row>
    <row r="81" spans="10:11" x14ac:dyDescent="0.3">
      <c r="J81" t="s">
        <v>1040</v>
      </c>
      <c r="K81">
        <f>COUNTIF(Tabla2[current_team],Preguntas!J81)</f>
        <v>3</v>
      </c>
    </row>
    <row r="82" spans="10:11" x14ac:dyDescent="0.3">
      <c r="J82" t="s">
        <v>1604</v>
      </c>
      <c r="K82">
        <f>COUNTIF(Tabla2[current_team],Preguntas!J82)</f>
        <v>2</v>
      </c>
    </row>
    <row r="83" spans="10:11" x14ac:dyDescent="0.3">
      <c r="J83" t="s">
        <v>981</v>
      </c>
      <c r="K83">
        <f>COUNTIF(Tabla2[current_team],Preguntas!J83)</f>
        <v>3</v>
      </c>
    </row>
    <row r="84" spans="10:11" x14ac:dyDescent="0.3">
      <c r="J84" t="s">
        <v>491</v>
      </c>
      <c r="K84">
        <f>COUNTIF(Tabla2[current_team],Preguntas!J84)</f>
        <v>5</v>
      </c>
    </row>
    <row r="85" spans="10:11" x14ac:dyDescent="0.3">
      <c r="J85" t="s">
        <v>825</v>
      </c>
      <c r="K85">
        <f>COUNTIF(Tabla2[current_team],Preguntas!J85)</f>
        <v>5</v>
      </c>
    </row>
    <row r="86" spans="10:11" x14ac:dyDescent="0.3">
      <c r="J86" t="s">
        <v>1340</v>
      </c>
      <c r="K86">
        <f>COUNTIF(Tabla2[current_team],Preguntas!J86)</f>
        <v>3</v>
      </c>
    </row>
    <row r="87" spans="10:11" x14ac:dyDescent="0.3">
      <c r="J87" t="s">
        <v>1446</v>
      </c>
      <c r="K87">
        <f>COUNTIF(Tabla2[current_team],Preguntas!J87)</f>
        <v>2</v>
      </c>
    </row>
    <row r="88" spans="10:11" x14ac:dyDescent="0.3">
      <c r="J88" t="s">
        <v>90</v>
      </c>
      <c r="K88">
        <f>COUNTIF(Tabla2[current_team],Preguntas!J88)</f>
        <v>5</v>
      </c>
    </row>
    <row r="89" spans="10:11" x14ac:dyDescent="0.3">
      <c r="J89" t="s">
        <v>1728</v>
      </c>
      <c r="K89">
        <f>COUNTIF(Tabla2[current_team],Preguntas!J89)</f>
        <v>1</v>
      </c>
    </row>
    <row r="90" spans="10:11" x14ac:dyDescent="0.3">
      <c r="J90" t="s">
        <v>593</v>
      </c>
      <c r="K90">
        <f>COUNTIF(Tabla2[current_team],Preguntas!J90)</f>
        <v>4</v>
      </c>
    </row>
    <row r="91" spans="10:11" x14ac:dyDescent="0.3">
      <c r="J91" t="s">
        <v>880</v>
      </c>
      <c r="K91">
        <f>COUNTIF(Tabla2[current_team],Preguntas!J91)</f>
        <v>1</v>
      </c>
    </row>
    <row r="92" spans="10:11" x14ac:dyDescent="0.3">
      <c r="J92" t="s">
        <v>1826</v>
      </c>
      <c r="K92">
        <f>COUNTIF(Tabla2[current_team],Preguntas!J92)</f>
        <v>2</v>
      </c>
    </row>
    <row r="93" spans="10:11" x14ac:dyDescent="0.3">
      <c r="J93" t="s">
        <v>662</v>
      </c>
      <c r="K93">
        <f>COUNTIF(Tabla2[current_team],Preguntas!J93)</f>
        <v>5</v>
      </c>
    </row>
    <row r="94" spans="10:11" x14ac:dyDescent="0.3">
      <c r="J94" t="s">
        <v>986</v>
      </c>
      <c r="K94">
        <f>COUNTIF(Tabla2[current_team],Preguntas!J94)</f>
        <v>3</v>
      </c>
    </row>
    <row r="95" spans="10:11" x14ac:dyDescent="0.3">
      <c r="J95" t="s">
        <v>1699</v>
      </c>
      <c r="K95">
        <f>COUNTIF(Tabla2[current_team],Preguntas!J95)</f>
        <v>2</v>
      </c>
    </row>
    <row r="96" spans="10:11" x14ac:dyDescent="0.3">
      <c r="J96" t="s">
        <v>1343</v>
      </c>
      <c r="K96">
        <f>COUNTIF(Tabla2[current_team],Preguntas!J96)</f>
        <v>3</v>
      </c>
    </row>
    <row r="97" spans="10:11" x14ac:dyDescent="0.3">
      <c r="J97" t="s">
        <v>447</v>
      </c>
      <c r="K97">
        <f>COUNTIF(Tabla2[current_team],Preguntas!J97)</f>
        <v>6</v>
      </c>
    </row>
    <row r="98" spans="10:11" x14ac:dyDescent="0.3">
      <c r="J98" t="s">
        <v>3030</v>
      </c>
      <c r="K98">
        <f>COUNTIF(Tabla2[current_team],Preguntas!J98)</f>
        <v>1</v>
      </c>
    </row>
    <row r="99" spans="10:11" x14ac:dyDescent="0.3">
      <c r="J99" t="s">
        <v>2410</v>
      </c>
      <c r="K99">
        <f>COUNTIF(Tabla2[current_team],Preguntas!J99)</f>
        <v>1</v>
      </c>
    </row>
    <row r="100" spans="10:11" x14ac:dyDescent="0.3">
      <c r="J100" t="s">
        <v>2276</v>
      </c>
      <c r="K100">
        <f>COUNTIF(Tabla2[current_team],Preguntas!J100)</f>
        <v>2</v>
      </c>
    </row>
    <row r="101" spans="10:11" x14ac:dyDescent="0.3">
      <c r="J101" t="s">
        <v>2193</v>
      </c>
      <c r="K101">
        <f>COUNTIF(Tabla2[current_team],Preguntas!J101)</f>
        <v>2</v>
      </c>
    </row>
    <row r="102" spans="10:11" x14ac:dyDescent="0.3">
      <c r="J102" t="s">
        <v>1888</v>
      </c>
      <c r="K102">
        <f>COUNTIF(Tabla2[current_team],Preguntas!J102)</f>
        <v>3</v>
      </c>
    </row>
    <row r="103" spans="10:11" x14ac:dyDescent="0.3">
      <c r="J103" t="s">
        <v>210</v>
      </c>
      <c r="K103">
        <f>COUNTIF(Tabla2[current_team],Preguntas!J103)</f>
        <v>6</v>
      </c>
    </row>
    <row r="104" spans="10:11" x14ac:dyDescent="0.3">
      <c r="J104" t="s">
        <v>2374</v>
      </c>
      <c r="K104">
        <f>COUNTIF(Tabla2[current_team],Preguntas!J104)</f>
        <v>1</v>
      </c>
    </row>
    <row r="105" spans="10:11" x14ac:dyDescent="0.3">
      <c r="J105" t="s">
        <v>1589</v>
      </c>
      <c r="K105">
        <f>COUNTIF(Tabla2[current_team],Preguntas!J105)</f>
        <v>2</v>
      </c>
    </row>
    <row r="106" spans="10:11" x14ac:dyDescent="0.3">
      <c r="J106" t="s">
        <v>1707</v>
      </c>
      <c r="K106">
        <f>COUNTIF(Tabla2[current_team],Preguntas!J106)</f>
        <v>2</v>
      </c>
    </row>
    <row r="107" spans="10:11" x14ac:dyDescent="0.3">
      <c r="J107" t="s">
        <v>3372</v>
      </c>
      <c r="K107">
        <f>COUNTIF(Tabla2[current_team],Preguntas!J107)</f>
        <v>1</v>
      </c>
    </row>
    <row r="108" spans="10:11" x14ac:dyDescent="0.3">
      <c r="J108" t="s">
        <v>2125</v>
      </c>
      <c r="K108">
        <f>COUNTIF(Tabla2[current_team],Preguntas!J108)</f>
        <v>1</v>
      </c>
    </row>
    <row r="109" spans="10:11" x14ac:dyDescent="0.3">
      <c r="J109" t="s">
        <v>2150</v>
      </c>
      <c r="K109">
        <f>COUNTIF(Tabla2[current_team],Preguntas!J109)</f>
        <v>1</v>
      </c>
    </row>
    <row r="110" spans="10:11" x14ac:dyDescent="0.3">
      <c r="J110" t="s">
        <v>1117</v>
      </c>
      <c r="K110">
        <f>COUNTIF(Tabla2[current_team],Preguntas!J110)</f>
        <v>2</v>
      </c>
    </row>
    <row r="111" spans="10:11" x14ac:dyDescent="0.3">
      <c r="J111" t="s">
        <v>2896</v>
      </c>
      <c r="K111">
        <f>COUNTIF(Tabla2[current_team],Preguntas!J111)</f>
        <v>2</v>
      </c>
    </row>
    <row r="112" spans="10:11" x14ac:dyDescent="0.3">
      <c r="J112" t="s">
        <v>1714</v>
      </c>
      <c r="K112">
        <f>COUNTIF(Tabla2[current_team],Preguntas!J112)</f>
        <v>2</v>
      </c>
    </row>
    <row r="113" spans="10:11" x14ac:dyDescent="0.3">
      <c r="J113" t="s">
        <v>1376</v>
      </c>
      <c r="K113">
        <f>COUNTIF(Tabla2[current_team],Preguntas!J113)</f>
        <v>2</v>
      </c>
    </row>
    <row r="114" spans="10:11" x14ac:dyDescent="0.3">
      <c r="J114" t="s">
        <v>43</v>
      </c>
      <c r="K114">
        <f>COUNTIF(Tabla2[current_team],Preguntas!J114)</f>
        <v>5</v>
      </c>
    </row>
    <row r="115" spans="10:11" x14ac:dyDescent="0.3">
      <c r="J115" t="s">
        <v>60</v>
      </c>
      <c r="K115">
        <f>COUNTIF(Tabla2[current_team],Preguntas!J115)</f>
        <v>7</v>
      </c>
    </row>
    <row r="116" spans="10:11" x14ac:dyDescent="0.3">
      <c r="J116" t="s">
        <v>250</v>
      </c>
      <c r="K116">
        <f>COUNTIF(Tabla2[current_team],Preguntas!J116)</f>
        <v>6</v>
      </c>
    </row>
    <row r="117" spans="10:11" x14ac:dyDescent="0.3">
      <c r="J117" t="s">
        <v>866</v>
      </c>
      <c r="K117">
        <f>COUNTIF(Tabla2[current_team],Preguntas!J117)</f>
        <v>5</v>
      </c>
    </row>
    <row r="118" spans="10:11" x14ac:dyDescent="0.3">
      <c r="J118" t="s">
        <v>3055</v>
      </c>
      <c r="K118">
        <f>COUNTIF(Tabla2[current_team],Preguntas!J118)</f>
        <v>1</v>
      </c>
    </row>
    <row r="119" spans="10:11" x14ac:dyDescent="0.3">
      <c r="J119" t="s">
        <v>1259</v>
      </c>
      <c r="K119">
        <f>COUNTIF(Tabla2[current_team],Preguntas!J119)</f>
        <v>3</v>
      </c>
    </row>
    <row r="120" spans="10:11" x14ac:dyDescent="0.3">
      <c r="J120" t="s">
        <v>2118</v>
      </c>
      <c r="K120">
        <f>COUNTIF(Tabla2[current_team],Preguntas!J120)</f>
        <v>1</v>
      </c>
    </row>
    <row r="121" spans="10:11" x14ac:dyDescent="0.3">
      <c r="J121" t="s">
        <v>2040</v>
      </c>
      <c r="K121">
        <f>COUNTIF(Tabla2[current_team],Preguntas!J121)</f>
        <v>5</v>
      </c>
    </row>
    <row r="122" spans="10:11" x14ac:dyDescent="0.3">
      <c r="J122" t="s">
        <v>1903</v>
      </c>
      <c r="K122">
        <f>COUNTIF(Tabla2[current_team],Preguntas!J122)</f>
        <v>2</v>
      </c>
    </row>
    <row r="123" spans="10:11" x14ac:dyDescent="0.3">
      <c r="J123" t="s">
        <v>1968</v>
      </c>
      <c r="K123">
        <f>COUNTIF(Tabla2[current_team],Preguntas!J123)</f>
        <v>1</v>
      </c>
    </row>
    <row r="124" spans="10:11" x14ac:dyDescent="0.3">
      <c r="J124" t="s">
        <v>2780</v>
      </c>
      <c r="K124">
        <f>COUNTIF(Tabla2[current_team],Preguntas!J124)</f>
        <v>1</v>
      </c>
    </row>
    <row r="125" spans="10:11" x14ac:dyDescent="0.3">
      <c r="J125" t="s">
        <v>3194</v>
      </c>
      <c r="K125">
        <f>COUNTIF(Tabla2[current_team],Preguntas!J125)</f>
        <v>1</v>
      </c>
    </row>
    <row r="126" spans="10:11" x14ac:dyDescent="0.3">
      <c r="J126" t="s">
        <v>2432</v>
      </c>
      <c r="K126">
        <f>COUNTIF(Tabla2[current_team],Preguntas!J126)</f>
        <v>1</v>
      </c>
    </row>
    <row r="127" spans="10:11" x14ac:dyDescent="0.3">
      <c r="J127" t="s">
        <v>2128</v>
      </c>
      <c r="K127">
        <f>COUNTIF(Tabla2[current_team],Preguntas!J127)</f>
        <v>1</v>
      </c>
    </row>
    <row r="128" spans="10:11" x14ac:dyDescent="0.3">
      <c r="J128" t="s">
        <v>2859</v>
      </c>
      <c r="K128">
        <f>COUNTIF(Tabla2[current_team],Preguntas!J128)</f>
        <v>1</v>
      </c>
    </row>
    <row r="129" spans="10:11" x14ac:dyDescent="0.3">
      <c r="J129" t="s">
        <v>2966</v>
      </c>
      <c r="K129">
        <f>COUNTIF(Tabla2[current_team],Preguntas!J129)</f>
        <v>2</v>
      </c>
    </row>
    <row r="130" spans="10:11" x14ac:dyDescent="0.3">
      <c r="J130" t="s">
        <v>2892</v>
      </c>
      <c r="K130">
        <f>COUNTIF(Tabla2[current_team],Preguntas!J130)</f>
        <v>1</v>
      </c>
    </row>
    <row r="131" spans="10:11" x14ac:dyDescent="0.3">
      <c r="J131" t="s">
        <v>1242</v>
      </c>
      <c r="K131">
        <f>COUNTIF(Tabla2[current_team],Preguntas!J131)</f>
        <v>3</v>
      </c>
    </row>
    <row r="132" spans="10:11" x14ac:dyDescent="0.3">
      <c r="J132" t="s">
        <v>1674</v>
      </c>
      <c r="K132">
        <f>COUNTIF(Tabla2[current_team],Preguntas!J132)</f>
        <v>3</v>
      </c>
    </row>
    <row r="133" spans="10:11" x14ac:dyDescent="0.3">
      <c r="J133" t="s">
        <v>513</v>
      </c>
      <c r="K133">
        <f>COUNTIF(Tabla2[current_team],Preguntas!J133)</f>
        <v>2</v>
      </c>
    </row>
    <row r="134" spans="10:11" x14ac:dyDescent="0.3">
      <c r="J134" t="s">
        <v>2798</v>
      </c>
      <c r="K134">
        <f>COUNTIF(Tabla2[current_team],Preguntas!J134)</f>
        <v>1</v>
      </c>
    </row>
    <row r="135" spans="10:11" x14ac:dyDescent="0.3">
      <c r="J135" t="s">
        <v>2236</v>
      </c>
      <c r="K135">
        <f>COUNTIF(Tabla2[current_team],Preguntas!J135)</f>
        <v>3</v>
      </c>
    </row>
    <row r="136" spans="10:11" x14ac:dyDescent="0.3">
      <c r="J136" t="s">
        <v>3161</v>
      </c>
      <c r="K136">
        <f>COUNTIF(Tabla2[current_team],Preguntas!J136)</f>
        <v>1</v>
      </c>
    </row>
    <row r="137" spans="10:11" x14ac:dyDescent="0.3">
      <c r="J137" t="s">
        <v>1098</v>
      </c>
      <c r="K137">
        <f>COUNTIF(Tabla2[current_team],Preguntas!J137)</f>
        <v>2</v>
      </c>
    </row>
    <row r="138" spans="10:11" x14ac:dyDescent="0.3">
      <c r="J138" t="s">
        <v>2487</v>
      </c>
      <c r="K138">
        <f>COUNTIF(Tabla2[current_team],Preguntas!J138)</f>
        <v>2</v>
      </c>
    </row>
    <row r="139" spans="10:11" x14ac:dyDescent="0.3">
      <c r="J139" t="s">
        <v>1168</v>
      </c>
      <c r="K139">
        <f>COUNTIF(Tabla2[current_team],Preguntas!J139)</f>
        <v>1</v>
      </c>
    </row>
    <row r="140" spans="10:11" x14ac:dyDescent="0.3">
      <c r="J140" t="s">
        <v>2881</v>
      </c>
      <c r="K140">
        <f>COUNTIF(Tabla2[current_team],Preguntas!J140)</f>
        <v>2</v>
      </c>
    </row>
    <row r="141" spans="10:11" x14ac:dyDescent="0.3">
      <c r="J141" t="s">
        <v>2473</v>
      </c>
      <c r="K141">
        <f>COUNTIF(Tabla2[current_team],Preguntas!J141)</f>
        <v>2</v>
      </c>
    </row>
    <row r="142" spans="10:11" x14ac:dyDescent="0.3">
      <c r="J142" t="s">
        <v>1401</v>
      </c>
      <c r="K142">
        <f>COUNTIF(Tabla2[current_team],Preguntas!J142)</f>
        <v>2</v>
      </c>
    </row>
    <row r="143" spans="10:11" x14ac:dyDescent="0.3">
      <c r="J143" t="s">
        <v>2638</v>
      </c>
      <c r="K143">
        <f>COUNTIF(Tabla2[current_team],Preguntas!J143)</f>
        <v>1</v>
      </c>
    </row>
    <row r="144" spans="10:11" x14ac:dyDescent="0.3">
      <c r="J144" t="s">
        <v>3094</v>
      </c>
      <c r="K144">
        <f>COUNTIF(Tabla2[current_team],Preguntas!J144)</f>
        <v>1</v>
      </c>
    </row>
    <row r="145" spans="10:11" x14ac:dyDescent="0.3">
      <c r="J145" t="s">
        <v>1880</v>
      </c>
      <c r="K145">
        <f>COUNTIF(Tabla2[current_team],Preguntas!J145)</f>
        <v>3</v>
      </c>
    </row>
    <row r="146" spans="10:11" x14ac:dyDescent="0.3">
      <c r="J146" t="s">
        <v>1034</v>
      </c>
      <c r="K146">
        <f>COUNTIF(Tabla2[current_team],Preguntas!J146)</f>
        <v>3</v>
      </c>
    </row>
    <row r="147" spans="10:11" x14ac:dyDescent="0.3">
      <c r="J147" t="s">
        <v>3437</v>
      </c>
      <c r="K147">
        <f>COUNTIF(Tabla2[current_team],Preguntas!J147)</f>
        <v>1</v>
      </c>
    </row>
    <row r="148" spans="10:11" x14ac:dyDescent="0.3">
      <c r="J148" t="s">
        <v>2384</v>
      </c>
      <c r="K148">
        <f>COUNTIF(Tabla2[current_team],Preguntas!J148)</f>
        <v>2</v>
      </c>
    </row>
    <row r="149" spans="10:11" x14ac:dyDescent="0.3">
      <c r="J149" t="s">
        <v>929</v>
      </c>
      <c r="K149">
        <f>COUNTIF(Tabla2[current_team],Preguntas!J149)</f>
        <v>1</v>
      </c>
    </row>
    <row r="150" spans="10:11" x14ac:dyDescent="0.3">
      <c r="J150" t="s">
        <v>2794</v>
      </c>
      <c r="K150">
        <f>COUNTIF(Tabla2[current_team],Preguntas!J150)</f>
        <v>1</v>
      </c>
    </row>
    <row r="151" spans="10:11" x14ac:dyDescent="0.3">
      <c r="J151" t="s">
        <v>3428</v>
      </c>
      <c r="K151">
        <f>COUNTIF(Tabla2[current_team],Preguntas!J151)</f>
        <v>1</v>
      </c>
    </row>
    <row r="152" spans="10:11" x14ac:dyDescent="0.3">
      <c r="J152" t="s">
        <v>2443</v>
      </c>
      <c r="K152">
        <f>COUNTIF(Tabla2[current_team],Preguntas!J152)</f>
        <v>1</v>
      </c>
    </row>
    <row r="153" spans="10:11" x14ac:dyDescent="0.3">
      <c r="J153" t="s">
        <v>1388</v>
      </c>
      <c r="K153">
        <f>COUNTIF(Tabla2[current_team],Preguntas!J153)</f>
        <v>1</v>
      </c>
    </row>
    <row r="154" spans="10:11" x14ac:dyDescent="0.3">
      <c r="J154" t="s">
        <v>2501</v>
      </c>
      <c r="K154">
        <f>COUNTIF(Tabla2[current_team],Preguntas!J154)</f>
        <v>1</v>
      </c>
    </row>
    <row r="155" spans="10:11" x14ac:dyDescent="0.3">
      <c r="J155" t="s">
        <v>1979</v>
      </c>
      <c r="K155">
        <f>COUNTIF(Tabla2[current_team],Preguntas!J155)</f>
        <v>1</v>
      </c>
    </row>
    <row r="156" spans="10:11" x14ac:dyDescent="0.3">
      <c r="J156" t="s">
        <v>3106</v>
      </c>
      <c r="K156">
        <f>COUNTIF(Tabla2[current_team],Preguntas!J156)</f>
        <v>1</v>
      </c>
    </row>
    <row r="157" spans="10:11" x14ac:dyDescent="0.3">
      <c r="J157" t="s">
        <v>1355</v>
      </c>
      <c r="K157">
        <f>COUNTIF(Tabla2[current_team],Preguntas!J157)</f>
        <v>2</v>
      </c>
    </row>
    <row r="158" spans="10:11" x14ac:dyDescent="0.3">
      <c r="J158" t="s">
        <v>2692</v>
      </c>
      <c r="K158">
        <f>COUNTIF(Tabla2[current_team],Preguntas!J158)</f>
        <v>3</v>
      </c>
    </row>
    <row r="159" spans="10:11" x14ac:dyDescent="0.3">
      <c r="J159" t="s">
        <v>3212</v>
      </c>
      <c r="K159">
        <f>COUNTIF(Tabla2[current_team],Preguntas!J159)</f>
        <v>1</v>
      </c>
    </row>
    <row r="160" spans="10:11" x14ac:dyDescent="0.3">
      <c r="J160" t="s">
        <v>358</v>
      </c>
      <c r="K160">
        <f>COUNTIF(Tabla2[current_team],Preguntas!J160)</f>
        <v>3</v>
      </c>
    </row>
    <row r="161" spans="10:11" x14ac:dyDescent="0.3">
      <c r="J161" t="s">
        <v>2208</v>
      </c>
      <c r="K161">
        <f>COUNTIF(Tabla2[current_team],Preguntas!J161)</f>
        <v>3</v>
      </c>
    </row>
    <row r="162" spans="10:11" x14ac:dyDescent="0.3">
      <c r="J162" t="s">
        <v>550</v>
      </c>
      <c r="K162">
        <f>COUNTIF(Tabla2[current_team],Preguntas!J162)</f>
        <v>4</v>
      </c>
    </row>
    <row r="163" spans="10:11" x14ac:dyDescent="0.3">
      <c r="J163" t="s">
        <v>2221</v>
      </c>
      <c r="K163">
        <f>COUNTIF(Tabla2[current_team],Preguntas!J163)</f>
        <v>3</v>
      </c>
    </row>
    <row r="164" spans="10:11" x14ac:dyDescent="0.3">
      <c r="J164" t="s">
        <v>2524</v>
      </c>
      <c r="K164">
        <f>COUNTIF(Tabla2[current_team],Preguntas!J164)</f>
        <v>1</v>
      </c>
    </row>
    <row r="165" spans="10:11" x14ac:dyDescent="0.3">
      <c r="J165" t="s">
        <v>2300</v>
      </c>
      <c r="K165">
        <f>COUNTIF(Tabla2[current_team],Preguntas!J165)</f>
        <v>2</v>
      </c>
    </row>
    <row r="166" spans="10:11" x14ac:dyDescent="0.3">
      <c r="J166" t="s">
        <v>3205</v>
      </c>
      <c r="K166">
        <f>COUNTIF(Tabla2[current_team],Preguntas!J166)</f>
        <v>1</v>
      </c>
    </row>
    <row r="167" spans="10:11" x14ac:dyDescent="0.3">
      <c r="J167" t="s">
        <v>2267</v>
      </c>
      <c r="K167">
        <f>COUNTIF(Tabla2[current_team],Preguntas!J167)</f>
        <v>2</v>
      </c>
    </row>
    <row r="168" spans="10:11" x14ac:dyDescent="0.3">
      <c r="J168" t="s">
        <v>2665</v>
      </c>
      <c r="K168">
        <f>COUNTIF(Tabla2[current_team],Preguntas!J168)</f>
        <v>1</v>
      </c>
    </row>
    <row r="169" spans="10:11" x14ac:dyDescent="0.3">
      <c r="J169" t="s">
        <v>320</v>
      </c>
      <c r="K169">
        <f>COUNTIF(Tabla2[current_team],Preguntas!J169)</f>
        <v>2</v>
      </c>
    </row>
    <row r="170" spans="10:11" x14ac:dyDescent="0.3">
      <c r="J170" t="s">
        <v>1367</v>
      </c>
      <c r="K170">
        <f>COUNTIF(Tabla2[current_team],Preguntas!J170)</f>
        <v>1</v>
      </c>
    </row>
    <row r="171" spans="10:11" x14ac:dyDescent="0.3">
      <c r="J171" t="s">
        <v>2398</v>
      </c>
      <c r="K171">
        <f>COUNTIF(Tabla2[current_team],Preguntas!J171)</f>
        <v>1</v>
      </c>
    </row>
    <row r="172" spans="10:11" x14ac:dyDescent="0.3">
      <c r="J172" t="s">
        <v>2784</v>
      </c>
      <c r="K172">
        <f>COUNTIF(Tabla2[current_team],Preguntas!J172)</f>
        <v>3</v>
      </c>
    </row>
    <row r="173" spans="10:11" x14ac:dyDescent="0.3">
      <c r="J173" t="s">
        <v>992</v>
      </c>
      <c r="K173">
        <f>COUNTIF(Tabla2[current_team],Preguntas!J173)</f>
        <v>2</v>
      </c>
    </row>
    <row r="174" spans="10:11" x14ac:dyDescent="0.3">
      <c r="J174" t="s">
        <v>2284</v>
      </c>
      <c r="K174">
        <f>COUNTIF(Tabla2[current_team],Preguntas!J174)</f>
        <v>1</v>
      </c>
    </row>
    <row r="175" spans="10:11" x14ac:dyDescent="0.3">
      <c r="J175">
        <v>777</v>
      </c>
      <c r="K175">
        <f>COUNTIF(Tabla2[current_team],Preguntas!J175)</f>
        <v>2</v>
      </c>
    </row>
    <row r="176" spans="10:11" x14ac:dyDescent="0.3">
      <c r="J176" t="s">
        <v>1644</v>
      </c>
      <c r="K176">
        <f>COUNTIF(Tabla2[current_team],Preguntas!J176)</f>
        <v>4</v>
      </c>
    </row>
    <row r="177" spans="10:11" x14ac:dyDescent="0.3">
      <c r="J177" t="s">
        <v>1471</v>
      </c>
      <c r="K177">
        <f>COUNTIF(Tabla2[current_team],Preguntas!J177)</f>
        <v>1</v>
      </c>
    </row>
    <row r="178" spans="10:11" x14ac:dyDescent="0.3">
      <c r="J178" t="s">
        <v>878</v>
      </c>
      <c r="K178">
        <f>COUNTIF(Tabla2[current_team],Preguntas!J178)</f>
        <v>5</v>
      </c>
    </row>
    <row r="179" spans="10:11" x14ac:dyDescent="0.3">
      <c r="J179" t="s">
        <v>1740</v>
      </c>
      <c r="K179">
        <f>COUNTIF(Tabla2[current_team],Preguntas!J179)</f>
        <v>2</v>
      </c>
    </row>
    <row r="180" spans="10:11" x14ac:dyDescent="0.3">
      <c r="J180" t="s">
        <v>2944</v>
      </c>
      <c r="K180">
        <f>COUNTIF(Tabla2[current_team],Preguntas!J180)</f>
        <v>1</v>
      </c>
    </row>
    <row r="181" spans="10:11" x14ac:dyDescent="0.3">
      <c r="J181" t="s">
        <v>2708</v>
      </c>
      <c r="K181">
        <f>COUNTIF(Tabla2[current_team],Preguntas!J181)</f>
        <v>1</v>
      </c>
    </row>
    <row r="182" spans="10:11" x14ac:dyDescent="0.3">
      <c r="J182" t="s">
        <v>1912</v>
      </c>
      <c r="K182">
        <f>COUNTIF(Tabla2[current_team],Preguntas!J182)</f>
        <v>1</v>
      </c>
    </row>
    <row r="183" spans="10:11" x14ac:dyDescent="0.3">
      <c r="J183" t="s">
        <v>3121</v>
      </c>
      <c r="K183">
        <f>COUNTIF(Tabla2[current_team],Preguntas!J183)</f>
        <v>1</v>
      </c>
    </row>
    <row r="184" spans="10:11" x14ac:dyDescent="0.3">
      <c r="J184" t="s">
        <v>2869</v>
      </c>
      <c r="K184">
        <f>COUNTIF(Tabla2[current_team],Preguntas!J184)</f>
        <v>1</v>
      </c>
    </row>
    <row r="185" spans="10:11" x14ac:dyDescent="0.3">
      <c r="J185" t="s">
        <v>1755</v>
      </c>
      <c r="K185">
        <f>COUNTIF(Tabla2[current_team],Preguntas!J185)</f>
        <v>1</v>
      </c>
    </row>
    <row r="186" spans="10:11" x14ac:dyDescent="0.3">
      <c r="J186" t="s">
        <v>2349</v>
      </c>
      <c r="K186">
        <f>COUNTIF(Tabla2[current_team],Preguntas!J186)</f>
        <v>1</v>
      </c>
    </row>
    <row r="187" spans="10:11" x14ac:dyDescent="0.3">
      <c r="J187" t="s">
        <v>3306</v>
      </c>
      <c r="K187">
        <f>COUNTIF(Tabla2[current_team],Preguntas!J187)</f>
        <v>1</v>
      </c>
    </row>
    <row r="188" spans="10:11" x14ac:dyDescent="0.3">
      <c r="J188" t="s">
        <v>2243</v>
      </c>
      <c r="K188">
        <f>COUNTIF(Tabla2[current_team],Preguntas!J188)</f>
        <v>1</v>
      </c>
    </row>
    <row r="189" spans="10:11" x14ac:dyDescent="0.3">
      <c r="J189" t="s">
        <v>1251</v>
      </c>
      <c r="K189">
        <f>COUNTIF(Tabla2[current_team],Preguntas!J189)</f>
        <v>4</v>
      </c>
    </row>
    <row r="190" spans="10:11" x14ac:dyDescent="0.3">
      <c r="J190" t="s">
        <v>2637</v>
      </c>
      <c r="K190">
        <f>COUNTIF(Tabla2[current_team],Preguntas!J190)</f>
        <v>1</v>
      </c>
    </row>
    <row r="191" spans="10:11" x14ac:dyDescent="0.3">
      <c r="J191" t="s">
        <v>2511</v>
      </c>
      <c r="K191">
        <f>COUNTIF(Tabla2[current_team],Preguntas!J191)</f>
        <v>1</v>
      </c>
    </row>
    <row r="192" spans="10:11" x14ac:dyDescent="0.3">
      <c r="J192" t="s">
        <v>2826</v>
      </c>
      <c r="K192">
        <f>COUNTIF(Tabla2[current_team],Preguntas!J192)</f>
        <v>1</v>
      </c>
    </row>
    <row r="193" spans="10:11" x14ac:dyDescent="0.3">
      <c r="J193" t="s">
        <v>2981</v>
      </c>
      <c r="K193">
        <f>COUNTIF(Tabla2[current_team],Preguntas!J193)</f>
        <v>1</v>
      </c>
    </row>
    <row r="194" spans="10:11" x14ac:dyDescent="0.3">
      <c r="J194" t="s">
        <v>3026</v>
      </c>
      <c r="K194">
        <f>COUNTIF(Tabla2[current_team],Preguntas!J194)</f>
        <v>1</v>
      </c>
    </row>
    <row r="195" spans="10:11" x14ac:dyDescent="0.3">
      <c r="J195" t="s">
        <v>3044</v>
      </c>
      <c r="K195">
        <f>COUNTIF(Tabla2[current_team],Preguntas!J195)</f>
        <v>2</v>
      </c>
    </row>
    <row r="196" spans="10:11" x14ac:dyDescent="0.3">
      <c r="J196" t="s">
        <v>1465</v>
      </c>
      <c r="K196">
        <f>COUNTIF(Tabla2[current_team],Preguntas!J196)</f>
        <v>1</v>
      </c>
    </row>
    <row r="197" spans="10:11" x14ac:dyDescent="0.3">
      <c r="J197" t="s">
        <v>3084</v>
      </c>
      <c r="K197">
        <f>COUNTIF(Tabla2[current_team],Preguntas!J197)</f>
        <v>1</v>
      </c>
    </row>
    <row r="198" spans="10:11" x14ac:dyDescent="0.3">
      <c r="J198" t="s">
        <v>2947</v>
      </c>
      <c r="K198">
        <f>COUNTIF(Tabla2[current_team],Preguntas!J198)</f>
        <v>1</v>
      </c>
    </row>
    <row r="199" spans="10:11" x14ac:dyDescent="0.3">
      <c r="J199" t="s">
        <v>2477</v>
      </c>
      <c r="K199">
        <f>COUNTIF(Tabla2[current_team],Preguntas!J199)</f>
        <v>1</v>
      </c>
    </row>
    <row r="200" spans="10:11" x14ac:dyDescent="0.3">
      <c r="J200" t="s">
        <v>731</v>
      </c>
      <c r="K200">
        <f>COUNTIF(Tabla2[current_team],Preguntas!J200)</f>
        <v>1</v>
      </c>
    </row>
  </sheetData>
  <mergeCells count="13">
    <mergeCell ref="D35:E35"/>
    <mergeCell ref="G6:H6"/>
    <mergeCell ref="G17:H17"/>
    <mergeCell ref="G27:H27"/>
    <mergeCell ref="G5:H5"/>
    <mergeCell ref="D25:F25"/>
    <mergeCell ref="J5:K5"/>
    <mergeCell ref="J6:K6"/>
    <mergeCell ref="J8:K8"/>
    <mergeCell ref="A2:B2"/>
    <mergeCell ref="D1:E1"/>
    <mergeCell ref="A3:B3"/>
    <mergeCell ref="A4:B4"/>
  </mergeCells>
  <conditionalFormatting sqref="B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B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812"/>
  <sheetViews>
    <sheetView topLeftCell="A784" workbookViewId="0">
      <selection activeCell="G1" sqref="G1"/>
    </sheetView>
  </sheetViews>
  <sheetFormatPr baseColWidth="10" defaultRowHeight="15.6" x14ac:dyDescent="0.3"/>
  <cols>
    <col min="2" max="2" width="19.109375" customWidth="1"/>
    <col min="3" max="3" width="16.109375" customWidth="1"/>
    <col min="5" max="5" width="27.6640625" customWidth="1"/>
    <col min="6" max="6" width="18.88671875" style="53" customWidth="1"/>
    <col min="7" max="7" width="27" customWidth="1"/>
    <col min="9" max="9" width="18.109375" customWidth="1"/>
    <col min="10" max="10" width="28.6640625" customWidth="1"/>
    <col min="11" max="11" width="32.33203125" customWidth="1"/>
    <col min="12" max="12" width="30.5546875" customWidth="1"/>
    <col min="13" max="13" width="25.6640625" customWidth="1"/>
    <col min="14" max="14" width="19.5546875" customWidth="1"/>
    <col min="15" max="15" width="19.44140625" customWidth="1"/>
    <col min="16" max="16" width="23.5546875" customWidth="1"/>
    <col min="17" max="17" width="21.109375" customWidth="1"/>
    <col min="18" max="18" width="38" customWidth="1"/>
    <col min="19" max="19" width="33.6640625" customWidth="1"/>
    <col min="20" max="20" width="20.33203125" customWidth="1"/>
    <col min="21" max="21" width="27.33203125" customWidth="1"/>
    <col min="23" max="23" width="31.44140625" customWidth="1"/>
    <col min="24" max="24" width="21.6640625" customWidth="1"/>
    <col min="25" max="25" width="22" customWidth="1"/>
    <col min="26" max="26" width="43" customWidth="1"/>
    <col min="27" max="27" width="30.44140625" customWidth="1"/>
    <col min="28" max="28" width="16" customWidth="1"/>
    <col min="29" max="29" width="17" customWidth="1"/>
    <col min="30" max="30" width="16.33203125" customWidth="1"/>
    <col min="31" max="31" width="15.6640625" customWidth="1"/>
    <col min="32" max="32" width="18.109375" customWidth="1"/>
    <col min="33" max="33" width="16.44140625" customWidth="1"/>
    <col min="35" max="35" width="14.44140625" customWidth="1"/>
    <col min="37" max="37" width="14" customWidth="1"/>
    <col min="38" max="38" width="17.6640625" customWidth="1"/>
    <col min="39" max="39" width="14.88671875" customWidth="1"/>
  </cols>
  <sheetData>
    <row r="1" spans="1:40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 x14ac:dyDescent="0.3">
      <c r="A2" s="1">
        <v>11893</v>
      </c>
      <c r="B2" s="2" t="s">
        <v>40</v>
      </c>
      <c r="C2" s="2" t="s">
        <v>41</v>
      </c>
      <c r="D2" s="1">
        <v>21</v>
      </c>
      <c r="E2" s="2" t="s">
        <v>42</v>
      </c>
      <c r="F2" s="50" t="s">
        <v>43</v>
      </c>
      <c r="G2" s="2" t="s">
        <v>44</v>
      </c>
      <c r="H2" s="1">
        <v>22622</v>
      </c>
      <c r="I2" s="1">
        <v>16458</v>
      </c>
      <c r="J2" s="2" t="s">
        <v>45</v>
      </c>
      <c r="K2" s="2">
        <v>88</v>
      </c>
      <c r="L2" s="2" t="s">
        <v>46</v>
      </c>
      <c r="M2" s="1">
        <v>1020</v>
      </c>
      <c r="N2" s="1">
        <v>26803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48</v>
      </c>
      <c r="T2" s="1">
        <v>14196</v>
      </c>
      <c r="U2" s="2" t="s">
        <v>51</v>
      </c>
      <c r="V2" s="1">
        <v>4152</v>
      </c>
      <c r="W2" s="1">
        <v>2592</v>
      </c>
      <c r="X2" s="2" t="s">
        <v>52</v>
      </c>
      <c r="Y2" s="2" t="s">
        <v>53</v>
      </c>
      <c r="Z2" s="2" t="s">
        <v>54</v>
      </c>
      <c r="AA2" s="2" t="s">
        <v>55</v>
      </c>
      <c r="AB2" s="1">
        <v>12607</v>
      </c>
      <c r="AC2" s="1">
        <v>8195</v>
      </c>
      <c r="AD2" s="1">
        <v>4087</v>
      </c>
      <c r="AE2" s="1">
        <v>1474</v>
      </c>
      <c r="AF2" s="1">
        <v>369</v>
      </c>
      <c r="AG2" s="1">
        <v>71</v>
      </c>
      <c r="AH2" s="1">
        <v>8261</v>
      </c>
      <c r="AI2" s="1">
        <v>8552</v>
      </c>
      <c r="AJ2" s="1">
        <v>1290</v>
      </c>
      <c r="AK2" s="1">
        <v>4262</v>
      </c>
      <c r="AL2" s="1">
        <v>260</v>
      </c>
      <c r="AM2" s="1">
        <v>49</v>
      </c>
      <c r="AN2" s="2" t="s">
        <v>56</v>
      </c>
    </row>
    <row r="3" spans="1:40" ht="28.2" x14ac:dyDescent="0.3">
      <c r="A3" s="1">
        <v>7998</v>
      </c>
      <c r="B3" s="2" t="s">
        <v>57</v>
      </c>
      <c r="C3" s="2" t="s">
        <v>58</v>
      </c>
      <c r="D3" s="1">
        <v>24</v>
      </c>
      <c r="E3" s="2" t="s">
        <v>59</v>
      </c>
      <c r="F3" s="50" t="s">
        <v>60</v>
      </c>
      <c r="G3" s="2" t="s">
        <v>60</v>
      </c>
      <c r="H3" s="1">
        <v>35512</v>
      </c>
      <c r="I3" s="1">
        <v>26413</v>
      </c>
      <c r="J3" s="2" t="s">
        <v>61</v>
      </c>
      <c r="K3" s="2" t="s">
        <v>62</v>
      </c>
      <c r="L3" s="2" t="s">
        <v>63</v>
      </c>
      <c r="M3" s="1">
        <v>1571</v>
      </c>
      <c r="N3" s="1">
        <v>41491</v>
      </c>
      <c r="O3" s="2" t="s">
        <v>64</v>
      </c>
      <c r="P3" s="2" t="s">
        <v>50</v>
      </c>
      <c r="Q3" s="2" t="s">
        <v>65</v>
      </c>
      <c r="R3" s="2" t="s">
        <v>66</v>
      </c>
      <c r="S3" s="2" t="s">
        <v>67</v>
      </c>
      <c r="T3" s="1">
        <v>22559</v>
      </c>
      <c r="U3" s="2" t="s">
        <v>51</v>
      </c>
      <c r="V3" s="1">
        <v>6014</v>
      </c>
      <c r="W3" s="1">
        <v>3734</v>
      </c>
      <c r="X3" s="2" t="s">
        <v>68</v>
      </c>
      <c r="Y3" s="2" t="s">
        <v>69</v>
      </c>
      <c r="Z3" s="2" t="s">
        <v>70</v>
      </c>
      <c r="AA3" s="2" t="s">
        <v>71</v>
      </c>
      <c r="AB3" s="1">
        <v>18932</v>
      </c>
      <c r="AC3" s="1">
        <v>13085</v>
      </c>
      <c r="AD3" s="1">
        <v>6644</v>
      </c>
      <c r="AE3" s="1">
        <v>2262</v>
      </c>
      <c r="AF3" s="1">
        <v>504</v>
      </c>
      <c r="AG3" s="1">
        <v>64</v>
      </c>
      <c r="AH3" s="1">
        <v>14717</v>
      </c>
      <c r="AI3" s="1">
        <v>13451</v>
      </c>
      <c r="AJ3" s="1">
        <v>901</v>
      </c>
      <c r="AK3" s="1">
        <v>6057</v>
      </c>
      <c r="AL3" s="1">
        <v>199</v>
      </c>
      <c r="AM3" s="1">
        <v>254</v>
      </c>
      <c r="AN3" s="2" t="s">
        <v>72</v>
      </c>
    </row>
    <row r="4" spans="1:40" x14ac:dyDescent="0.3">
      <c r="A4" s="1">
        <v>16920</v>
      </c>
      <c r="B4" s="2" t="s">
        <v>73</v>
      </c>
      <c r="C4" s="2" t="s">
        <v>74</v>
      </c>
      <c r="D4" s="1">
        <v>21</v>
      </c>
      <c r="E4" s="2" t="s">
        <v>75</v>
      </c>
      <c r="F4" s="50" t="s">
        <v>76</v>
      </c>
      <c r="G4" s="2" t="s">
        <v>77</v>
      </c>
      <c r="H4" s="1">
        <v>18091</v>
      </c>
      <c r="I4" s="1">
        <v>12492</v>
      </c>
      <c r="J4" s="2" t="s">
        <v>78</v>
      </c>
      <c r="K4" s="2" t="s">
        <v>79</v>
      </c>
      <c r="L4" s="2" t="s">
        <v>80</v>
      </c>
      <c r="M4" s="1">
        <v>884</v>
      </c>
      <c r="N4" s="1">
        <v>23451</v>
      </c>
      <c r="O4" s="2" t="s">
        <v>81</v>
      </c>
      <c r="P4" s="2" t="s">
        <v>67</v>
      </c>
      <c r="Q4" s="2" t="s">
        <v>82</v>
      </c>
      <c r="R4" s="2" t="s">
        <v>66</v>
      </c>
      <c r="S4" s="2" t="s">
        <v>67</v>
      </c>
      <c r="T4" s="1">
        <v>11950</v>
      </c>
      <c r="U4" s="2" t="s">
        <v>51</v>
      </c>
      <c r="V4" s="1">
        <v>2705</v>
      </c>
      <c r="W4" s="1">
        <v>1383</v>
      </c>
      <c r="X4" s="2" t="s">
        <v>83</v>
      </c>
      <c r="Y4" s="2" t="s">
        <v>84</v>
      </c>
      <c r="Z4" s="2" t="s">
        <v>85</v>
      </c>
      <c r="AA4" s="2" t="s">
        <v>86</v>
      </c>
      <c r="AB4" s="1">
        <v>11501</v>
      </c>
      <c r="AC4" s="1">
        <v>7416</v>
      </c>
      <c r="AD4" s="1">
        <v>3208</v>
      </c>
      <c r="AE4" s="1">
        <v>1075</v>
      </c>
      <c r="AF4" s="1">
        <v>221</v>
      </c>
      <c r="AG4" s="1">
        <v>30</v>
      </c>
      <c r="AH4" s="1">
        <v>3791</v>
      </c>
      <c r="AI4" s="1">
        <v>10580</v>
      </c>
      <c r="AJ4" s="1">
        <v>550</v>
      </c>
      <c r="AK4" s="1">
        <v>3008</v>
      </c>
      <c r="AL4" s="1">
        <v>175</v>
      </c>
      <c r="AM4" s="1">
        <v>70</v>
      </c>
      <c r="AN4" s="2" t="s">
        <v>87</v>
      </c>
    </row>
    <row r="5" spans="1:40" x14ac:dyDescent="0.3">
      <c r="A5" s="1">
        <v>20113</v>
      </c>
      <c r="B5" s="2" t="s">
        <v>88</v>
      </c>
      <c r="C5" s="2" t="s">
        <v>89</v>
      </c>
      <c r="D5" s="1">
        <v>21</v>
      </c>
      <c r="E5" s="2" t="s">
        <v>75</v>
      </c>
      <c r="F5" s="50" t="s">
        <v>90</v>
      </c>
      <c r="G5" s="2" t="s">
        <v>90</v>
      </c>
      <c r="H5" s="1">
        <v>8738</v>
      </c>
      <c r="I5" s="1">
        <v>6397</v>
      </c>
      <c r="J5" s="2" t="s">
        <v>91</v>
      </c>
      <c r="K5" s="2" t="s">
        <v>92</v>
      </c>
      <c r="L5" s="2" t="s">
        <v>93</v>
      </c>
      <c r="M5" s="1">
        <v>404</v>
      </c>
      <c r="N5" s="1">
        <v>10913</v>
      </c>
      <c r="O5" s="2" t="s">
        <v>94</v>
      </c>
      <c r="P5" s="2" t="s">
        <v>50</v>
      </c>
      <c r="Q5" s="2" t="s">
        <v>95</v>
      </c>
      <c r="R5" s="2" t="s">
        <v>96</v>
      </c>
      <c r="S5" s="2" t="s">
        <v>67</v>
      </c>
      <c r="T5" s="1">
        <v>5785</v>
      </c>
      <c r="U5" s="2" t="s">
        <v>51</v>
      </c>
      <c r="V5" s="1">
        <v>1261</v>
      </c>
      <c r="W5" s="1">
        <v>727</v>
      </c>
      <c r="X5" s="2" t="s">
        <v>97</v>
      </c>
      <c r="Y5" s="2" t="s">
        <v>98</v>
      </c>
      <c r="Z5" s="2" t="s">
        <v>99</v>
      </c>
      <c r="AA5" s="2" t="s">
        <v>100</v>
      </c>
      <c r="AB5" s="1">
        <v>5128</v>
      </c>
      <c r="AC5" s="1">
        <v>3598</v>
      </c>
      <c r="AD5" s="1">
        <v>1549</v>
      </c>
      <c r="AE5" s="1">
        <v>518</v>
      </c>
      <c r="AF5" s="1">
        <v>112</v>
      </c>
      <c r="AG5" s="1">
        <v>8</v>
      </c>
      <c r="AH5" s="1">
        <v>2664</v>
      </c>
      <c r="AI5" s="1">
        <v>4348</v>
      </c>
      <c r="AJ5" s="1">
        <v>181</v>
      </c>
      <c r="AK5" s="1">
        <v>1459</v>
      </c>
      <c r="AL5" s="1">
        <v>86</v>
      </c>
      <c r="AM5" s="1">
        <v>40</v>
      </c>
      <c r="AN5" s="2" t="s">
        <v>101</v>
      </c>
    </row>
    <row r="6" spans="1:40" x14ac:dyDescent="0.3">
      <c r="A6" s="1">
        <v>18835</v>
      </c>
      <c r="B6" s="2" t="s">
        <v>102</v>
      </c>
      <c r="C6" s="2" t="s">
        <v>103</v>
      </c>
      <c r="D6" s="1">
        <v>27</v>
      </c>
      <c r="E6" s="2" t="s">
        <v>104</v>
      </c>
      <c r="F6" s="50" t="s">
        <v>105</v>
      </c>
      <c r="G6" s="2" t="s">
        <v>106</v>
      </c>
      <c r="H6" s="1">
        <v>8482</v>
      </c>
      <c r="I6" s="1">
        <v>6517</v>
      </c>
      <c r="J6" s="2" t="s">
        <v>107</v>
      </c>
      <c r="K6" s="2" t="s">
        <v>108</v>
      </c>
      <c r="L6" s="2">
        <v>3</v>
      </c>
      <c r="M6" s="1">
        <v>404</v>
      </c>
      <c r="N6" s="1">
        <v>10701</v>
      </c>
      <c r="O6" s="2" t="s">
        <v>109</v>
      </c>
      <c r="P6" s="2" t="s">
        <v>50</v>
      </c>
      <c r="Q6" s="2" t="s">
        <v>49</v>
      </c>
      <c r="R6" s="2" t="s">
        <v>66</v>
      </c>
      <c r="S6" s="2" t="s">
        <v>50</v>
      </c>
      <c r="T6" s="1">
        <v>5488</v>
      </c>
      <c r="U6" s="2" t="s">
        <v>51</v>
      </c>
      <c r="V6" s="1">
        <v>1309</v>
      </c>
      <c r="W6" s="1">
        <v>892</v>
      </c>
      <c r="X6" s="2" t="s">
        <v>110</v>
      </c>
      <c r="Y6" s="2" t="s">
        <v>111</v>
      </c>
      <c r="Z6" s="2" t="s">
        <v>112</v>
      </c>
      <c r="AA6" s="2" t="s">
        <v>113</v>
      </c>
      <c r="AB6" s="1">
        <v>5213</v>
      </c>
      <c r="AC6" s="1">
        <v>3288</v>
      </c>
      <c r="AD6" s="1">
        <v>1548</v>
      </c>
      <c r="AE6" s="1">
        <v>524</v>
      </c>
      <c r="AF6" s="1">
        <v>114</v>
      </c>
      <c r="AG6" s="1">
        <v>14</v>
      </c>
      <c r="AH6" s="1">
        <v>2545</v>
      </c>
      <c r="AI6" s="1">
        <v>4412</v>
      </c>
      <c r="AJ6" s="1">
        <v>264</v>
      </c>
      <c r="AK6" s="1">
        <v>1209</v>
      </c>
      <c r="AL6" s="1">
        <v>52</v>
      </c>
      <c r="AM6" s="1">
        <v>28</v>
      </c>
      <c r="AN6" s="2" t="s">
        <v>114</v>
      </c>
    </row>
    <row r="7" spans="1:40" x14ac:dyDescent="0.3">
      <c r="A7" s="1">
        <v>8950</v>
      </c>
      <c r="B7" s="2" t="s">
        <v>115</v>
      </c>
      <c r="C7" s="2" t="s">
        <v>116</v>
      </c>
      <c r="D7" s="1">
        <v>28</v>
      </c>
      <c r="E7" s="2" t="s">
        <v>117</v>
      </c>
      <c r="F7" s="50" t="s">
        <v>118</v>
      </c>
      <c r="G7" s="2" t="s">
        <v>119</v>
      </c>
      <c r="H7" s="1">
        <v>17675</v>
      </c>
      <c r="I7" s="1">
        <v>13384</v>
      </c>
      <c r="J7" s="2" t="s">
        <v>120</v>
      </c>
      <c r="K7" s="2" t="s">
        <v>121</v>
      </c>
      <c r="L7" s="2" t="s">
        <v>122</v>
      </c>
      <c r="M7" s="1">
        <v>864</v>
      </c>
      <c r="N7" s="1">
        <v>22588</v>
      </c>
      <c r="O7" s="2" t="s">
        <v>123</v>
      </c>
      <c r="P7" s="2" t="s">
        <v>67</v>
      </c>
      <c r="Q7" s="2" t="s">
        <v>95</v>
      </c>
      <c r="R7" s="2" t="s">
        <v>66</v>
      </c>
      <c r="S7" s="2" t="s">
        <v>50</v>
      </c>
      <c r="T7" s="1">
        <v>11485</v>
      </c>
      <c r="U7" s="2" t="s">
        <v>51</v>
      </c>
      <c r="V7" s="1">
        <v>2688</v>
      </c>
      <c r="W7" s="1">
        <v>1586</v>
      </c>
      <c r="X7" s="2" t="s">
        <v>124</v>
      </c>
      <c r="Y7" s="2" t="s">
        <v>111</v>
      </c>
      <c r="Z7" s="2" t="s">
        <v>125</v>
      </c>
      <c r="AA7" s="2" t="s">
        <v>126</v>
      </c>
      <c r="AB7" s="1">
        <v>11103</v>
      </c>
      <c r="AC7" s="1">
        <v>6900</v>
      </c>
      <c r="AD7" s="1">
        <v>3249</v>
      </c>
      <c r="AE7" s="1">
        <v>1094</v>
      </c>
      <c r="AF7" s="1">
        <v>216</v>
      </c>
      <c r="AG7" s="1">
        <v>26</v>
      </c>
      <c r="AH7" s="1">
        <v>4893</v>
      </c>
      <c r="AI7" s="1">
        <v>9053</v>
      </c>
      <c r="AJ7" s="1">
        <v>577</v>
      </c>
      <c r="AK7" s="1">
        <v>2834</v>
      </c>
      <c r="AL7" s="1">
        <v>172</v>
      </c>
      <c r="AM7" s="1">
        <v>203</v>
      </c>
      <c r="AN7" s="2" t="s">
        <v>127</v>
      </c>
    </row>
    <row r="8" spans="1:40" x14ac:dyDescent="0.3">
      <c r="A8" s="1">
        <v>17306</v>
      </c>
      <c r="B8" s="2" t="s">
        <v>128</v>
      </c>
      <c r="C8" s="2" t="s">
        <v>129</v>
      </c>
      <c r="D8" s="1">
        <v>21</v>
      </c>
      <c r="E8" s="2" t="s">
        <v>75</v>
      </c>
      <c r="F8" s="50" t="s">
        <v>130</v>
      </c>
      <c r="G8" s="2" t="s">
        <v>131</v>
      </c>
      <c r="H8" s="1">
        <v>14351</v>
      </c>
      <c r="I8" s="1">
        <v>10988</v>
      </c>
      <c r="J8" s="2" t="s">
        <v>132</v>
      </c>
      <c r="K8" s="2" t="s">
        <v>133</v>
      </c>
      <c r="L8" s="2" t="s">
        <v>122</v>
      </c>
      <c r="M8" s="1">
        <v>686</v>
      </c>
      <c r="N8" s="1">
        <v>18284</v>
      </c>
      <c r="O8" s="2" t="s">
        <v>123</v>
      </c>
      <c r="P8" s="2" t="s">
        <v>96</v>
      </c>
      <c r="Q8" s="2" t="s">
        <v>134</v>
      </c>
      <c r="R8" s="2" t="s">
        <v>135</v>
      </c>
      <c r="S8" s="2" t="s">
        <v>50</v>
      </c>
      <c r="T8" s="1">
        <v>9383</v>
      </c>
      <c r="U8" s="2" t="s">
        <v>51</v>
      </c>
      <c r="V8" s="1">
        <v>2480</v>
      </c>
      <c r="W8" s="1">
        <v>1469</v>
      </c>
      <c r="X8" s="2" t="s">
        <v>124</v>
      </c>
      <c r="Y8" s="2" t="s">
        <v>136</v>
      </c>
      <c r="Z8" s="2" t="s">
        <v>137</v>
      </c>
      <c r="AA8" s="2" t="s">
        <v>138</v>
      </c>
      <c r="AB8" s="1">
        <v>8901</v>
      </c>
      <c r="AC8" s="1">
        <v>5669</v>
      </c>
      <c r="AD8" s="1">
        <v>2677</v>
      </c>
      <c r="AE8" s="1">
        <v>841</v>
      </c>
      <c r="AF8" s="1">
        <v>175</v>
      </c>
      <c r="AG8" s="1">
        <v>21</v>
      </c>
      <c r="AH8" s="1">
        <v>4118</v>
      </c>
      <c r="AI8" s="1">
        <v>7544</v>
      </c>
      <c r="AJ8" s="1">
        <v>253</v>
      </c>
      <c r="AK8" s="1">
        <v>2266</v>
      </c>
      <c r="AL8" s="1">
        <v>181</v>
      </c>
      <c r="AM8" s="1">
        <v>49</v>
      </c>
      <c r="AN8" s="2" t="s">
        <v>136</v>
      </c>
    </row>
    <row r="9" spans="1:40" ht="28.2" x14ac:dyDescent="0.3">
      <c r="A9" s="1">
        <v>11271</v>
      </c>
      <c r="B9" s="2" t="s">
        <v>139</v>
      </c>
      <c r="C9" s="2" t="s">
        <v>140</v>
      </c>
      <c r="D9" s="1">
        <v>22</v>
      </c>
      <c r="E9" s="3" t="s">
        <v>141</v>
      </c>
      <c r="F9" s="50" t="s">
        <v>3514</v>
      </c>
      <c r="G9" s="2" t="s">
        <v>142</v>
      </c>
      <c r="H9" s="1">
        <v>18466</v>
      </c>
      <c r="I9" s="1">
        <v>14617</v>
      </c>
      <c r="J9" s="2" t="s">
        <v>78</v>
      </c>
      <c r="K9" s="2" t="s">
        <v>133</v>
      </c>
      <c r="L9" s="2" t="s">
        <v>143</v>
      </c>
      <c r="M9" s="1">
        <v>888</v>
      </c>
      <c r="N9" s="1">
        <v>23515</v>
      </c>
      <c r="O9" s="2" t="s">
        <v>109</v>
      </c>
      <c r="P9" s="2" t="s">
        <v>50</v>
      </c>
      <c r="Q9" s="2" t="s">
        <v>144</v>
      </c>
      <c r="R9" s="2" t="s">
        <v>66</v>
      </c>
      <c r="S9" s="2" t="s">
        <v>50</v>
      </c>
      <c r="T9" s="1">
        <v>11971</v>
      </c>
      <c r="U9" s="2" t="s">
        <v>51</v>
      </c>
      <c r="V9" s="1">
        <v>3187</v>
      </c>
      <c r="W9" s="1">
        <v>2183</v>
      </c>
      <c r="X9" s="2" t="s">
        <v>145</v>
      </c>
      <c r="Y9" s="2" t="s">
        <v>127</v>
      </c>
      <c r="Z9" s="2" t="s">
        <v>112</v>
      </c>
      <c r="AA9" s="2" t="s">
        <v>146</v>
      </c>
      <c r="AB9" s="1">
        <v>11544</v>
      </c>
      <c r="AC9" s="1">
        <v>7188</v>
      </c>
      <c r="AD9" s="1">
        <v>3367</v>
      </c>
      <c r="AE9" s="1">
        <v>1141</v>
      </c>
      <c r="AF9" s="1">
        <v>254</v>
      </c>
      <c r="AG9" s="1">
        <v>21</v>
      </c>
      <c r="AH9" s="1">
        <v>4786</v>
      </c>
      <c r="AI9" s="1">
        <v>9692</v>
      </c>
      <c r="AJ9" s="1">
        <v>584</v>
      </c>
      <c r="AK9" s="1">
        <v>3283</v>
      </c>
      <c r="AL9" s="1">
        <v>141</v>
      </c>
      <c r="AM9" s="1">
        <v>31</v>
      </c>
      <c r="AN9" s="2" t="s">
        <v>147</v>
      </c>
    </row>
    <row r="10" spans="1:40" ht="28.2" x14ac:dyDescent="0.3">
      <c r="A10" s="1">
        <v>12591</v>
      </c>
      <c r="B10" s="2" t="s">
        <v>148</v>
      </c>
      <c r="C10" s="2" t="s">
        <v>149</v>
      </c>
      <c r="D10" s="1">
        <v>24</v>
      </c>
      <c r="E10" s="2" t="s">
        <v>150</v>
      </c>
      <c r="F10" s="50" t="s">
        <v>151</v>
      </c>
      <c r="G10" s="2" t="s">
        <v>152</v>
      </c>
      <c r="H10" s="1">
        <v>17063</v>
      </c>
      <c r="I10" s="1">
        <v>13103</v>
      </c>
      <c r="J10" s="2" t="s">
        <v>153</v>
      </c>
      <c r="K10" s="2" t="s">
        <v>154</v>
      </c>
      <c r="L10" s="2">
        <v>4</v>
      </c>
      <c r="M10" s="1">
        <v>861</v>
      </c>
      <c r="N10" s="1">
        <v>22023</v>
      </c>
      <c r="O10" s="2" t="s">
        <v>81</v>
      </c>
      <c r="P10" s="2" t="s">
        <v>50</v>
      </c>
      <c r="Q10" s="2" t="s">
        <v>95</v>
      </c>
      <c r="R10" s="2" t="s">
        <v>66</v>
      </c>
      <c r="S10" s="2" t="s">
        <v>67</v>
      </c>
      <c r="T10" s="1">
        <v>11405</v>
      </c>
      <c r="U10" s="2" t="s">
        <v>51</v>
      </c>
      <c r="V10" s="1">
        <v>2599</v>
      </c>
      <c r="W10" s="1">
        <v>1390</v>
      </c>
      <c r="X10" s="2" t="s">
        <v>155</v>
      </c>
      <c r="Y10" s="2" t="s">
        <v>84</v>
      </c>
      <c r="Z10" s="2" t="s">
        <v>156</v>
      </c>
      <c r="AA10" s="2" t="s">
        <v>126</v>
      </c>
      <c r="AB10" s="1">
        <v>10618</v>
      </c>
      <c r="AC10" s="1">
        <v>7146</v>
      </c>
      <c r="AD10" s="1">
        <v>3098</v>
      </c>
      <c r="AE10" s="1">
        <v>945</v>
      </c>
      <c r="AF10" s="1">
        <v>194</v>
      </c>
      <c r="AG10" s="1">
        <v>22</v>
      </c>
      <c r="AH10" s="1">
        <v>5037</v>
      </c>
      <c r="AI10" s="1">
        <v>8539</v>
      </c>
      <c r="AJ10" s="1">
        <v>437</v>
      </c>
      <c r="AK10" s="1">
        <v>2848</v>
      </c>
      <c r="AL10" s="1">
        <v>198</v>
      </c>
      <c r="AM10" s="1">
        <v>41</v>
      </c>
      <c r="AN10" s="2" t="s">
        <v>147</v>
      </c>
    </row>
    <row r="11" spans="1:40" ht="28.2" x14ac:dyDescent="0.3">
      <c r="A11" s="1">
        <v>7938</v>
      </c>
      <c r="B11" s="2" t="s">
        <v>157</v>
      </c>
      <c r="C11" s="2" t="s">
        <v>158</v>
      </c>
      <c r="D11" s="1">
        <v>26</v>
      </c>
      <c r="E11" s="2" t="s">
        <v>159</v>
      </c>
      <c r="F11" s="50" t="s">
        <v>160</v>
      </c>
      <c r="G11" s="2" t="s">
        <v>161</v>
      </c>
      <c r="H11" s="1">
        <v>37879</v>
      </c>
      <c r="I11" s="1">
        <v>31623</v>
      </c>
      <c r="J11" s="2" t="s">
        <v>162</v>
      </c>
      <c r="K11" s="2" t="s">
        <v>163</v>
      </c>
      <c r="L11" s="2" t="s">
        <v>164</v>
      </c>
      <c r="M11" s="1">
        <v>1772</v>
      </c>
      <c r="N11" s="1">
        <v>46706</v>
      </c>
      <c r="O11" s="2" t="s">
        <v>165</v>
      </c>
      <c r="P11" s="2" t="s">
        <v>166</v>
      </c>
      <c r="Q11" s="2" t="s">
        <v>167</v>
      </c>
      <c r="R11" s="2" t="s">
        <v>50</v>
      </c>
      <c r="S11" s="2" t="s">
        <v>50</v>
      </c>
      <c r="T11" s="1">
        <v>24117</v>
      </c>
      <c r="U11" s="2" t="s">
        <v>51</v>
      </c>
      <c r="V11" s="1">
        <v>6449</v>
      </c>
      <c r="W11" s="1">
        <v>5003</v>
      </c>
      <c r="X11" s="2" t="s">
        <v>168</v>
      </c>
      <c r="Y11" s="2" t="s">
        <v>169</v>
      </c>
      <c r="Z11" s="2" t="s">
        <v>170</v>
      </c>
      <c r="AA11" s="2" t="s">
        <v>171</v>
      </c>
      <c r="AB11" s="1">
        <v>22589</v>
      </c>
      <c r="AC11" s="1">
        <v>14081</v>
      </c>
      <c r="AD11" s="1">
        <v>6997</v>
      </c>
      <c r="AE11" s="1">
        <v>2414</v>
      </c>
      <c r="AF11" s="1">
        <v>564</v>
      </c>
      <c r="AG11" s="1">
        <v>61</v>
      </c>
      <c r="AH11" s="1">
        <v>30174</v>
      </c>
      <c r="AI11" s="1">
        <v>355</v>
      </c>
      <c r="AJ11" s="1">
        <v>857</v>
      </c>
      <c r="AK11" s="1">
        <v>6127</v>
      </c>
      <c r="AL11" s="1">
        <v>394</v>
      </c>
      <c r="AM11" s="1">
        <v>50</v>
      </c>
      <c r="AN11" s="2" t="s">
        <v>172</v>
      </c>
    </row>
    <row r="12" spans="1:40" ht="28.2" x14ac:dyDescent="0.3">
      <c r="A12" s="1">
        <v>18227</v>
      </c>
      <c r="B12" s="2" t="s">
        <v>173</v>
      </c>
      <c r="C12" s="2" t="s">
        <v>174</v>
      </c>
      <c r="D12" s="1">
        <v>23</v>
      </c>
      <c r="E12" s="2" t="s">
        <v>59</v>
      </c>
      <c r="F12" s="50" t="s">
        <v>175</v>
      </c>
      <c r="G12" s="2" t="s">
        <v>176</v>
      </c>
      <c r="H12" s="1">
        <v>9369</v>
      </c>
      <c r="I12" s="1">
        <v>6979</v>
      </c>
      <c r="J12" s="2" t="s">
        <v>177</v>
      </c>
      <c r="K12" s="2" t="s">
        <v>178</v>
      </c>
      <c r="L12" s="2" t="s">
        <v>179</v>
      </c>
      <c r="M12" s="1">
        <v>474</v>
      </c>
      <c r="N12" s="1">
        <v>12537</v>
      </c>
      <c r="O12" s="2" t="s">
        <v>180</v>
      </c>
      <c r="P12" s="2" t="s">
        <v>96</v>
      </c>
      <c r="Q12" s="2" t="s">
        <v>181</v>
      </c>
      <c r="R12" s="2" t="s">
        <v>135</v>
      </c>
      <c r="S12" s="2" t="s">
        <v>96</v>
      </c>
      <c r="T12" s="1">
        <v>6358</v>
      </c>
      <c r="U12" s="2" t="s">
        <v>51</v>
      </c>
      <c r="V12" s="1">
        <v>1612</v>
      </c>
      <c r="W12" s="1">
        <v>812</v>
      </c>
      <c r="X12" s="2" t="s">
        <v>182</v>
      </c>
      <c r="Y12" s="2" t="s">
        <v>147</v>
      </c>
      <c r="Z12" s="2" t="s">
        <v>183</v>
      </c>
      <c r="AA12" s="2" t="s">
        <v>184</v>
      </c>
      <c r="AB12" s="1">
        <v>6179</v>
      </c>
      <c r="AC12" s="1">
        <v>4062</v>
      </c>
      <c r="AD12" s="1">
        <v>1715</v>
      </c>
      <c r="AE12" s="1">
        <v>461</v>
      </c>
      <c r="AF12" s="1">
        <v>106</v>
      </c>
      <c r="AG12" s="1">
        <v>14</v>
      </c>
      <c r="AH12" s="1">
        <v>2118</v>
      </c>
      <c r="AI12" s="1">
        <v>5533</v>
      </c>
      <c r="AJ12" s="1">
        <v>202</v>
      </c>
      <c r="AK12" s="1">
        <v>1440</v>
      </c>
      <c r="AL12" s="1">
        <v>73</v>
      </c>
      <c r="AM12" s="1">
        <v>28</v>
      </c>
      <c r="AN12" s="2" t="s">
        <v>136</v>
      </c>
    </row>
    <row r="13" spans="1:40" ht="28.2" x14ac:dyDescent="0.3">
      <c r="A13" s="1">
        <v>18072</v>
      </c>
      <c r="B13" s="2" t="s">
        <v>185</v>
      </c>
      <c r="C13" s="2" t="s">
        <v>186</v>
      </c>
      <c r="D13" s="1">
        <v>20</v>
      </c>
      <c r="E13" s="2" t="s">
        <v>187</v>
      </c>
      <c r="F13" s="50" t="s">
        <v>188</v>
      </c>
      <c r="G13" s="2" t="s">
        <v>189</v>
      </c>
      <c r="H13" s="1">
        <v>9904</v>
      </c>
      <c r="I13" s="1">
        <v>7896</v>
      </c>
      <c r="J13" s="2" t="s">
        <v>190</v>
      </c>
      <c r="K13" s="2">
        <v>78</v>
      </c>
      <c r="L13" s="2" t="s">
        <v>143</v>
      </c>
      <c r="M13" s="1">
        <v>478</v>
      </c>
      <c r="N13" s="1">
        <v>12776</v>
      </c>
      <c r="O13" s="2" t="s">
        <v>123</v>
      </c>
      <c r="P13" s="2" t="s">
        <v>96</v>
      </c>
      <c r="Q13" s="2" t="s">
        <v>144</v>
      </c>
      <c r="R13" s="2" t="s">
        <v>66</v>
      </c>
      <c r="S13" s="2" t="s">
        <v>67</v>
      </c>
      <c r="T13" s="1">
        <v>6499</v>
      </c>
      <c r="U13" s="2" t="s">
        <v>51</v>
      </c>
      <c r="V13" s="1">
        <v>1578</v>
      </c>
      <c r="W13" s="1">
        <v>1028</v>
      </c>
      <c r="X13" s="2" t="s">
        <v>191</v>
      </c>
      <c r="Y13" s="2" t="s">
        <v>84</v>
      </c>
      <c r="Z13" s="2" t="s">
        <v>192</v>
      </c>
      <c r="AA13" s="2" t="s">
        <v>193</v>
      </c>
      <c r="AB13" s="1">
        <v>6277</v>
      </c>
      <c r="AC13" s="1">
        <v>4001</v>
      </c>
      <c r="AD13" s="1">
        <v>1751</v>
      </c>
      <c r="AE13" s="1">
        <v>603</v>
      </c>
      <c r="AF13" s="1">
        <v>128</v>
      </c>
      <c r="AG13" s="1">
        <v>16</v>
      </c>
      <c r="AH13" s="1">
        <v>2352</v>
      </c>
      <c r="AI13" s="1">
        <v>5696</v>
      </c>
      <c r="AJ13" s="1">
        <v>183</v>
      </c>
      <c r="AK13" s="1">
        <v>1606</v>
      </c>
      <c r="AL13" s="1">
        <v>83</v>
      </c>
      <c r="AM13" s="1">
        <v>39</v>
      </c>
      <c r="AN13" s="2" t="s">
        <v>169</v>
      </c>
    </row>
    <row r="14" spans="1:40" x14ac:dyDescent="0.3">
      <c r="A14" s="1">
        <v>7592</v>
      </c>
      <c r="B14" s="2" t="s">
        <v>194</v>
      </c>
      <c r="C14" s="2" t="s">
        <v>195</v>
      </c>
      <c r="D14" s="1">
        <v>26</v>
      </c>
      <c r="E14" s="2" t="s">
        <v>196</v>
      </c>
      <c r="F14" s="50" t="s">
        <v>197</v>
      </c>
      <c r="G14" s="2" t="s">
        <v>198</v>
      </c>
      <c r="H14" s="1">
        <v>36293</v>
      </c>
      <c r="I14" s="1">
        <v>29085</v>
      </c>
      <c r="J14" s="2" t="s">
        <v>199</v>
      </c>
      <c r="K14" s="2" t="s">
        <v>200</v>
      </c>
      <c r="L14" s="2" t="s">
        <v>201</v>
      </c>
      <c r="M14" s="1">
        <v>1793</v>
      </c>
      <c r="N14" s="1">
        <v>46666</v>
      </c>
      <c r="O14" s="2" t="s">
        <v>123</v>
      </c>
      <c r="P14" s="2" t="s">
        <v>202</v>
      </c>
      <c r="Q14" s="2" t="s">
        <v>144</v>
      </c>
      <c r="R14" s="2" t="s">
        <v>135</v>
      </c>
      <c r="S14" s="2" t="s">
        <v>66</v>
      </c>
      <c r="T14" s="1">
        <v>23693</v>
      </c>
      <c r="U14" s="2" t="s">
        <v>51</v>
      </c>
      <c r="V14" s="1">
        <v>6207</v>
      </c>
      <c r="W14" s="1">
        <v>4437</v>
      </c>
      <c r="X14" s="2" t="s">
        <v>203</v>
      </c>
      <c r="Y14" s="2" t="s">
        <v>172</v>
      </c>
      <c r="Z14" s="2" t="s">
        <v>204</v>
      </c>
      <c r="AA14" s="2" t="s">
        <v>205</v>
      </c>
      <c r="AB14" s="1">
        <v>22973</v>
      </c>
      <c r="AC14" s="1">
        <v>14353</v>
      </c>
      <c r="AD14" s="1">
        <v>6700</v>
      </c>
      <c r="AE14" s="1">
        <v>2125</v>
      </c>
      <c r="AF14" s="1">
        <v>467</v>
      </c>
      <c r="AG14" s="1">
        <v>48</v>
      </c>
      <c r="AH14" s="1">
        <v>14483</v>
      </c>
      <c r="AI14" s="1">
        <v>12758</v>
      </c>
      <c r="AJ14" s="1">
        <v>1566</v>
      </c>
      <c r="AK14" s="1">
        <v>6978</v>
      </c>
      <c r="AL14" s="1">
        <v>431</v>
      </c>
      <c r="AM14" s="1">
        <v>121</v>
      </c>
      <c r="AN14" s="2" t="s">
        <v>206</v>
      </c>
    </row>
    <row r="15" spans="1:40" x14ac:dyDescent="0.3">
      <c r="A15" s="1">
        <v>16207</v>
      </c>
      <c r="B15" s="2" t="s">
        <v>207</v>
      </c>
      <c r="C15" s="2" t="s">
        <v>208</v>
      </c>
      <c r="D15" s="1">
        <v>22</v>
      </c>
      <c r="E15" s="2" t="s">
        <v>209</v>
      </c>
      <c r="F15" s="50" t="s">
        <v>210</v>
      </c>
      <c r="G15" s="2" t="s">
        <v>211</v>
      </c>
      <c r="H15" s="1">
        <v>8149</v>
      </c>
      <c r="I15" s="1">
        <v>6556</v>
      </c>
      <c r="J15" s="2" t="s">
        <v>212</v>
      </c>
      <c r="K15" s="2" t="s">
        <v>213</v>
      </c>
      <c r="L15" s="2" t="s">
        <v>214</v>
      </c>
      <c r="M15" s="1">
        <v>391</v>
      </c>
      <c r="N15" s="1">
        <v>10366</v>
      </c>
      <c r="O15" s="2" t="s">
        <v>109</v>
      </c>
      <c r="P15" s="2" t="s">
        <v>50</v>
      </c>
      <c r="Q15" s="2" t="s">
        <v>215</v>
      </c>
      <c r="R15" s="2" t="s">
        <v>96</v>
      </c>
      <c r="S15" s="2" t="s">
        <v>50</v>
      </c>
      <c r="T15" s="1">
        <v>5400</v>
      </c>
      <c r="U15" s="2" t="s">
        <v>51</v>
      </c>
      <c r="V15" s="1">
        <v>1384</v>
      </c>
      <c r="W15" s="1">
        <v>921</v>
      </c>
      <c r="X15" s="2" t="s">
        <v>216</v>
      </c>
      <c r="Y15" s="2" t="s">
        <v>127</v>
      </c>
      <c r="Z15" s="2" t="s">
        <v>217</v>
      </c>
      <c r="AA15" s="2" t="s">
        <v>193</v>
      </c>
      <c r="AB15" s="1">
        <v>4966</v>
      </c>
      <c r="AC15" s="1">
        <v>3335</v>
      </c>
      <c r="AD15" s="1">
        <v>1499</v>
      </c>
      <c r="AE15" s="1">
        <v>458</v>
      </c>
      <c r="AF15" s="1">
        <v>98</v>
      </c>
      <c r="AG15" s="1">
        <v>10</v>
      </c>
      <c r="AH15" s="1">
        <v>3124</v>
      </c>
      <c r="AI15" s="1">
        <v>3177</v>
      </c>
      <c r="AJ15" s="1">
        <v>318</v>
      </c>
      <c r="AK15" s="1">
        <v>1435</v>
      </c>
      <c r="AL15" s="1">
        <v>64</v>
      </c>
      <c r="AM15" s="1">
        <v>66</v>
      </c>
      <c r="AN15" s="2" t="s">
        <v>147</v>
      </c>
    </row>
    <row r="16" spans="1:40" x14ac:dyDescent="0.3">
      <c r="A16" s="1">
        <v>3741</v>
      </c>
      <c r="B16" s="2" t="s">
        <v>218</v>
      </c>
      <c r="C16" s="2" t="s">
        <v>219</v>
      </c>
      <c r="D16" s="1">
        <v>25</v>
      </c>
      <c r="E16" s="2" t="s">
        <v>220</v>
      </c>
      <c r="F16" s="50" t="s">
        <v>221</v>
      </c>
      <c r="G16" s="2" t="s">
        <v>222</v>
      </c>
      <c r="H16" s="1">
        <v>34634</v>
      </c>
      <c r="I16" s="1">
        <v>29087</v>
      </c>
      <c r="J16" s="2" t="s">
        <v>223</v>
      </c>
      <c r="K16" s="2">
        <v>86</v>
      </c>
      <c r="L16" s="2" t="s">
        <v>224</v>
      </c>
      <c r="M16" s="1">
        <v>1637</v>
      </c>
      <c r="N16" s="1">
        <v>43526</v>
      </c>
      <c r="O16" s="2" t="s">
        <v>94</v>
      </c>
      <c r="P16" s="2" t="s">
        <v>202</v>
      </c>
      <c r="Q16" s="2" t="s">
        <v>225</v>
      </c>
      <c r="R16" s="2" t="s">
        <v>66</v>
      </c>
      <c r="S16" s="2" t="s">
        <v>50</v>
      </c>
      <c r="T16" s="1">
        <v>22258</v>
      </c>
      <c r="U16" s="2" t="s">
        <v>51</v>
      </c>
      <c r="V16" s="1">
        <v>6195</v>
      </c>
      <c r="W16" s="1">
        <v>5049</v>
      </c>
      <c r="X16" s="2" t="s">
        <v>101</v>
      </c>
      <c r="Y16" s="2" t="s">
        <v>169</v>
      </c>
      <c r="Z16" s="2" t="s">
        <v>54</v>
      </c>
      <c r="AA16" s="2" t="s">
        <v>226</v>
      </c>
      <c r="AB16" s="1">
        <v>21268</v>
      </c>
      <c r="AC16" s="1">
        <v>13294</v>
      </c>
      <c r="AD16" s="1">
        <v>6231</v>
      </c>
      <c r="AE16" s="1">
        <v>2146</v>
      </c>
      <c r="AF16" s="1">
        <v>519</v>
      </c>
      <c r="AG16" s="1">
        <v>68</v>
      </c>
      <c r="AH16" s="1">
        <v>23581</v>
      </c>
      <c r="AI16" s="1">
        <v>3296</v>
      </c>
      <c r="AJ16" s="1">
        <v>1138</v>
      </c>
      <c r="AK16" s="1">
        <v>6308</v>
      </c>
      <c r="AL16" s="1">
        <v>297</v>
      </c>
      <c r="AM16" s="1">
        <v>89</v>
      </c>
      <c r="AN16" s="2" t="s">
        <v>84</v>
      </c>
    </row>
    <row r="17" spans="1:40" ht="28.2" x14ac:dyDescent="0.3">
      <c r="A17" s="1">
        <v>15165</v>
      </c>
      <c r="B17" s="2" t="s">
        <v>227</v>
      </c>
      <c r="C17" s="2" t="s">
        <v>228</v>
      </c>
      <c r="D17" s="1">
        <v>25</v>
      </c>
      <c r="E17" s="2" t="s">
        <v>196</v>
      </c>
      <c r="F17" s="50" t="s">
        <v>229</v>
      </c>
      <c r="G17" s="2" t="s">
        <v>230</v>
      </c>
      <c r="H17" s="1">
        <v>18058</v>
      </c>
      <c r="I17" s="1">
        <v>14312</v>
      </c>
      <c r="J17" s="2" t="s">
        <v>231</v>
      </c>
      <c r="K17" s="2" t="s">
        <v>232</v>
      </c>
      <c r="L17" s="2" t="s">
        <v>233</v>
      </c>
      <c r="M17" s="1">
        <v>884</v>
      </c>
      <c r="N17" s="1">
        <v>23631</v>
      </c>
      <c r="O17" s="2" t="s">
        <v>234</v>
      </c>
      <c r="P17" s="2" t="s">
        <v>235</v>
      </c>
      <c r="Q17" s="2" t="s">
        <v>49</v>
      </c>
      <c r="R17" s="2" t="s">
        <v>135</v>
      </c>
      <c r="S17" s="2" t="s">
        <v>96</v>
      </c>
      <c r="T17" s="1">
        <v>12024</v>
      </c>
      <c r="U17" s="2" t="s">
        <v>51</v>
      </c>
      <c r="V17" s="1">
        <v>2857</v>
      </c>
      <c r="W17" s="1">
        <v>1995</v>
      </c>
      <c r="X17" s="2" t="s">
        <v>236</v>
      </c>
      <c r="Y17" s="2" t="s">
        <v>98</v>
      </c>
      <c r="Z17" s="2" t="s">
        <v>237</v>
      </c>
      <c r="AA17" s="2" t="s">
        <v>238</v>
      </c>
      <c r="AB17" s="1">
        <v>11607</v>
      </c>
      <c r="AC17" s="1">
        <v>7531</v>
      </c>
      <c r="AD17" s="1">
        <v>3222</v>
      </c>
      <c r="AE17" s="1">
        <v>1024</v>
      </c>
      <c r="AF17" s="1">
        <v>224</v>
      </c>
      <c r="AG17" s="1">
        <v>23</v>
      </c>
      <c r="AH17" s="1">
        <v>14032</v>
      </c>
      <c r="AI17" s="1">
        <v>164</v>
      </c>
      <c r="AJ17" s="1">
        <v>827</v>
      </c>
      <c r="AK17" s="1">
        <v>2661</v>
      </c>
      <c r="AL17" s="1">
        <v>397</v>
      </c>
      <c r="AM17" s="1">
        <v>64</v>
      </c>
      <c r="AN17" s="2" t="s">
        <v>114</v>
      </c>
    </row>
    <row r="18" spans="1:40" ht="28.2" x14ac:dyDescent="0.3">
      <c r="A18" s="1">
        <v>7131</v>
      </c>
      <c r="B18" s="2" t="s">
        <v>239</v>
      </c>
      <c r="C18" s="2" t="s">
        <v>240</v>
      </c>
      <c r="D18" s="1">
        <v>26</v>
      </c>
      <c r="E18" s="2" t="s">
        <v>241</v>
      </c>
      <c r="F18" s="50" t="s">
        <v>210</v>
      </c>
      <c r="G18" s="2" t="s">
        <v>242</v>
      </c>
      <c r="H18" s="1">
        <v>20591</v>
      </c>
      <c r="I18" s="1">
        <v>16796</v>
      </c>
      <c r="J18" s="2" t="s">
        <v>243</v>
      </c>
      <c r="K18" s="2">
        <v>83</v>
      </c>
      <c r="L18" s="2" t="s">
        <v>244</v>
      </c>
      <c r="M18" s="1">
        <v>1033</v>
      </c>
      <c r="N18" s="1">
        <v>26924</v>
      </c>
      <c r="O18" s="2" t="s">
        <v>234</v>
      </c>
      <c r="P18" s="2" t="s">
        <v>235</v>
      </c>
      <c r="Q18" s="2" t="s">
        <v>144</v>
      </c>
      <c r="R18" s="2" t="s">
        <v>50</v>
      </c>
      <c r="S18" s="2" t="s">
        <v>48</v>
      </c>
      <c r="T18" s="1">
        <v>13454</v>
      </c>
      <c r="U18" s="2" t="s">
        <v>51</v>
      </c>
      <c r="V18" s="1">
        <v>2330</v>
      </c>
      <c r="W18" s="1">
        <v>1934</v>
      </c>
      <c r="X18" s="2" t="s">
        <v>147</v>
      </c>
      <c r="Y18" s="2" t="s">
        <v>245</v>
      </c>
      <c r="Z18" s="2" t="s">
        <v>246</v>
      </c>
      <c r="AA18" s="2" t="s">
        <v>247</v>
      </c>
      <c r="AB18" s="1">
        <v>13470</v>
      </c>
      <c r="AC18" s="1">
        <v>8251</v>
      </c>
      <c r="AD18" s="1">
        <v>3628</v>
      </c>
      <c r="AE18" s="1">
        <v>1255</v>
      </c>
      <c r="AF18" s="1">
        <v>281</v>
      </c>
      <c r="AG18" s="1">
        <v>39</v>
      </c>
      <c r="AH18" s="1">
        <v>15155</v>
      </c>
      <c r="AI18" s="1">
        <v>728</v>
      </c>
      <c r="AJ18" s="1">
        <v>1169</v>
      </c>
      <c r="AK18" s="1">
        <v>3259</v>
      </c>
      <c r="AL18" s="1">
        <v>305</v>
      </c>
      <c r="AM18" s="1">
        <v>45</v>
      </c>
      <c r="AN18" s="2" t="s">
        <v>84</v>
      </c>
    </row>
    <row r="19" spans="1:40" x14ac:dyDescent="0.3">
      <c r="A19" s="1">
        <v>9216</v>
      </c>
      <c r="B19" s="2" t="s">
        <v>248</v>
      </c>
      <c r="C19" s="2" t="s">
        <v>249</v>
      </c>
      <c r="D19" s="1">
        <v>27</v>
      </c>
      <c r="E19" s="2" t="s">
        <v>104</v>
      </c>
      <c r="F19" s="50" t="s">
        <v>250</v>
      </c>
      <c r="G19" s="2" t="s">
        <v>251</v>
      </c>
      <c r="H19" s="1">
        <v>28576</v>
      </c>
      <c r="I19" s="1">
        <v>22946</v>
      </c>
      <c r="J19" s="2" t="s">
        <v>252</v>
      </c>
      <c r="K19" s="2" t="s">
        <v>253</v>
      </c>
      <c r="L19" s="2" t="s">
        <v>63</v>
      </c>
      <c r="M19" s="1">
        <v>1426</v>
      </c>
      <c r="N19" s="1">
        <v>37264</v>
      </c>
      <c r="O19" s="2" t="s">
        <v>81</v>
      </c>
      <c r="P19" s="2" t="s">
        <v>67</v>
      </c>
      <c r="Q19" s="2" t="s">
        <v>144</v>
      </c>
      <c r="R19" s="2" t="s">
        <v>66</v>
      </c>
      <c r="S19" s="2" t="s">
        <v>50</v>
      </c>
      <c r="T19" s="1">
        <v>19016</v>
      </c>
      <c r="U19" s="2" t="s">
        <v>51</v>
      </c>
      <c r="V19" s="1">
        <v>3355</v>
      </c>
      <c r="W19" s="1">
        <v>2453</v>
      </c>
      <c r="X19" s="2" t="s">
        <v>254</v>
      </c>
      <c r="Y19" s="2" t="s">
        <v>255</v>
      </c>
      <c r="Z19" s="2" t="s">
        <v>256</v>
      </c>
      <c r="AA19" s="2" t="s">
        <v>257</v>
      </c>
      <c r="AB19" s="1">
        <v>18248</v>
      </c>
      <c r="AC19" s="1">
        <v>11854</v>
      </c>
      <c r="AD19" s="1">
        <v>5167</v>
      </c>
      <c r="AE19" s="1">
        <v>1623</v>
      </c>
      <c r="AF19" s="1">
        <v>341</v>
      </c>
      <c r="AG19" s="1">
        <v>31</v>
      </c>
      <c r="AH19" s="1">
        <v>17732</v>
      </c>
      <c r="AI19" s="1">
        <v>3229</v>
      </c>
      <c r="AJ19" s="1">
        <v>2161</v>
      </c>
      <c r="AK19" s="1">
        <v>5249</v>
      </c>
      <c r="AL19" s="1">
        <v>205</v>
      </c>
      <c r="AM19" s="1">
        <v>60</v>
      </c>
      <c r="AN19" s="2" t="s">
        <v>84</v>
      </c>
    </row>
    <row r="20" spans="1:40" ht="28.2" x14ac:dyDescent="0.3">
      <c r="A20" s="1">
        <v>9102</v>
      </c>
      <c r="B20" s="2" t="s">
        <v>258</v>
      </c>
      <c r="C20" s="2" t="s">
        <v>259</v>
      </c>
      <c r="D20" s="1">
        <v>27</v>
      </c>
      <c r="E20" s="2" t="s">
        <v>150</v>
      </c>
      <c r="F20" s="50" t="s">
        <v>260</v>
      </c>
      <c r="G20" s="2" t="s">
        <v>261</v>
      </c>
      <c r="H20" s="1">
        <v>17188</v>
      </c>
      <c r="I20" s="1">
        <v>13437</v>
      </c>
      <c r="J20" s="2" t="s">
        <v>262</v>
      </c>
      <c r="K20" s="2" t="s">
        <v>263</v>
      </c>
      <c r="L20" s="2" t="s">
        <v>264</v>
      </c>
      <c r="M20" s="1">
        <v>902</v>
      </c>
      <c r="N20" s="1">
        <v>22858</v>
      </c>
      <c r="O20" s="2" t="s">
        <v>180</v>
      </c>
      <c r="P20" s="2" t="s">
        <v>235</v>
      </c>
      <c r="Q20" s="2" t="s">
        <v>95</v>
      </c>
      <c r="R20" s="2" t="s">
        <v>96</v>
      </c>
      <c r="S20" s="2" t="s">
        <v>50</v>
      </c>
      <c r="T20" s="1">
        <v>11611</v>
      </c>
      <c r="U20" s="2" t="s">
        <v>51</v>
      </c>
      <c r="V20" s="1">
        <v>2600</v>
      </c>
      <c r="W20" s="1">
        <v>1399</v>
      </c>
      <c r="X20" s="2" t="s">
        <v>265</v>
      </c>
      <c r="Y20" s="2" t="s">
        <v>98</v>
      </c>
      <c r="Z20" s="2" t="s">
        <v>266</v>
      </c>
      <c r="AA20" s="2" t="s">
        <v>267</v>
      </c>
      <c r="AB20" s="1">
        <v>11247</v>
      </c>
      <c r="AC20" s="1">
        <v>7366</v>
      </c>
      <c r="AD20" s="1">
        <v>3111</v>
      </c>
      <c r="AE20" s="1">
        <v>954</v>
      </c>
      <c r="AF20" s="1">
        <v>162</v>
      </c>
      <c r="AG20" s="1">
        <v>18</v>
      </c>
      <c r="AH20" s="1">
        <v>5220</v>
      </c>
      <c r="AI20" s="1">
        <v>7131</v>
      </c>
      <c r="AJ20" s="1">
        <v>982</v>
      </c>
      <c r="AK20" s="1">
        <v>3423</v>
      </c>
      <c r="AL20" s="1">
        <v>439</v>
      </c>
      <c r="AM20" s="1">
        <v>29</v>
      </c>
      <c r="AN20" s="2" t="s">
        <v>84</v>
      </c>
    </row>
    <row r="21" spans="1:40" x14ac:dyDescent="0.3">
      <c r="A21" s="1">
        <v>9172</v>
      </c>
      <c r="B21" s="2" t="s">
        <v>268</v>
      </c>
      <c r="C21" s="2" t="s">
        <v>269</v>
      </c>
      <c r="D21" s="1">
        <v>25</v>
      </c>
      <c r="E21" s="2" t="s">
        <v>270</v>
      </c>
      <c r="F21" s="50" t="s">
        <v>271</v>
      </c>
      <c r="G21" s="2" t="s">
        <v>272</v>
      </c>
      <c r="H21" s="1">
        <v>14756</v>
      </c>
      <c r="I21" s="1">
        <v>12329</v>
      </c>
      <c r="J21" s="2" t="s">
        <v>273</v>
      </c>
      <c r="K21" s="2" t="s">
        <v>274</v>
      </c>
      <c r="L21" s="2" t="s">
        <v>275</v>
      </c>
      <c r="M21" s="1">
        <v>727</v>
      </c>
      <c r="N21" s="1">
        <v>18859</v>
      </c>
      <c r="O21" s="2" t="s">
        <v>123</v>
      </c>
      <c r="P21" s="2" t="s">
        <v>48</v>
      </c>
      <c r="Q21" s="2" t="s">
        <v>276</v>
      </c>
      <c r="R21" s="2" t="s">
        <v>96</v>
      </c>
      <c r="S21" s="2" t="s">
        <v>50</v>
      </c>
      <c r="T21" s="1">
        <v>9608</v>
      </c>
      <c r="U21" s="2" t="s">
        <v>51</v>
      </c>
      <c r="V21" s="1">
        <v>2189</v>
      </c>
      <c r="W21" s="1">
        <v>1915</v>
      </c>
      <c r="X21" s="2" t="s">
        <v>111</v>
      </c>
      <c r="Y21" s="2" t="s">
        <v>277</v>
      </c>
      <c r="Z21" s="2" t="s">
        <v>278</v>
      </c>
      <c r="AA21" s="2" t="s">
        <v>279</v>
      </c>
      <c r="AB21" s="1">
        <v>9251</v>
      </c>
      <c r="AC21" s="1">
        <v>5822</v>
      </c>
      <c r="AD21" s="1">
        <v>2662</v>
      </c>
      <c r="AE21" s="1">
        <v>912</v>
      </c>
      <c r="AF21" s="1">
        <v>186</v>
      </c>
      <c r="AG21" s="1">
        <v>26</v>
      </c>
      <c r="AH21" s="1">
        <v>10598</v>
      </c>
      <c r="AI21" s="1">
        <v>371</v>
      </c>
      <c r="AJ21" s="1">
        <v>1087</v>
      </c>
      <c r="AK21" s="1">
        <v>2569</v>
      </c>
      <c r="AL21" s="1">
        <v>113</v>
      </c>
      <c r="AM21" s="1">
        <v>47</v>
      </c>
      <c r="AN21" s="2" t="s">
        <v>111</v>
      </c>
    </row>
    <row r="22" spans="1:40" x14ac:dyDescent="0.3">
      <c r="A22" s="1">
        <v>15631</v>
      </c>
      <c r="B22" s="2" t="s">
        <v>280</v>
      </c>
      <c r="C22" s="2" t="s">
        <v>281</v>
      </c>
      <c r="D22" s="1">
        <v>22</v>
      </c>
      <c r="E22" s="2" t="s">
        <v>104</v>
      </c>
      <c r="F22" s="50" t="s">
        <v>105</v>
      </c>
      <c r="G22" s="2" t="s">
        <v>105</v>
      </c>
      <c r="H22" s="1">
        <v>17821</v>
      </c>
      <c r="I22" s="1">
        <v>14059</v>
      </c>
      <c r="J22" s="2" t="s">
        <v>252</v>
      </c>
      <c r="K22" s="2" t="s">
        <v>253</v>
      </c>
      <c r="L22" s="2" t="s">
        <v>282</v>
      </c>
      <c r="M22" s="1">
        <v>930</v>
      </c>
      <c r="N22" s="1">
        <v>24208</v>
      </c>
      <c r="O22" s="2" t="s">
        <v>283</v>
      </c>
      <c r="P22" s="2" t="s">
        <v>202</v>
      </c>
      <c r="Q22" s="2" t="s">
        <v>284</v>
      </c>
      <c r="R22" s="2" t="s">
        <v>66</v>
      </c>
      <c r="S22" s="2" t="s">
        <v>50</v>
      </c>
      <c r="T22" s="1">
        <v>11907</v>
      </c>
      <c r="U22" s="2" t="s">
        <v>51</v>
      </c>
      <c r="V22" s="1">
        <v>2047</v>
      </c>
      <c r="W22" s="1">
        <v>1497</v>
      </c>
      <c r="X22" s="2" t="s">
        <v>254</v>
      </c>
      <c r="Y22" s="2" t="s">
        <v>285</v>
      </c>
      <c r="Z22" s="2" t="s">
        <v>286</v>
      </c>
      <c r="AA22" s="2" t="s">
        <v>287</v>
      </c>
      <c r="AB22" s="1">
        <v>12301</v>
      </c>
      <c r="AC22" s="1">
        <v>7473</v>
      </c>
      <c r="AD22" s="1">
        <v>3205</v>
      </c>
      <c r="AE22" s="1">
        <v>1006</v>
      </c>
      <c r="AF22" s="1">
        <v>195</v>
      </c>
      <c r="AG22" s="1">
        <v>28</v>
      </c>
      <c r="AH22" s="1">
        <v>12854</v>
      </c>
      <c r="AI22" s="1">
        <v>551</v>
      </c>
      <c r="AJ22" s="1">
        <v>1355</v>
      </c>
      <c r="AK22" s="1">
        <v>2739</v>
      </c>
      <c r="AL22" s="1">
        <v>326</v>
      </c>
      <c r="AM22" s="1">
        <v>101</v>
      </c>
      <c r="AN22" s="2" t="s">
        <v>169</v>
      </c>
    </row>
    <row r="23" spans="1:40" ht="28.2" x14ac:dyDescent="0.3">
      <c r="A23" s="1">
        <v>8944</v>
      </c>
      <c r="B23" s="2" t="s">
        <v>288</v>
      </c>
      <c r="C23" s="2" t="s">
        <v>289</v>
      </c>
      <c r="D23" s="1">
        <v>25</v>
      </c>
      <c r="E23" s="2" t="s">
        <v>290</v>
      </c>
      <c r="F23" s="50" t="s">
        <v>3514</v>
      </c>
      <c r="G23" s="2" t="s">
        <v>291</v>
      </c>
      <c r="H23" s="1">
        <v>12164</v>
      </c>
      <c r="I23" s="1">
        <v>10118</v>
      </c>
      <c r="J23" s="2" t="s">
        <v>292</v>
      </c>
      <c r="K23" s="2" t="s">
        <v>293</v>
      </c>
      <c r="L23" s="2" t="s">
        <v>294</v>
      </c>
      <c r="M23" s="1">
        <v>603</v>
      </c>
      <c r="N23" s="1">
        <v>15560</v>
      </c>
      <c r="O23" s="2" t="s">
        <v>123</v>
      </c>
      <c r="P23" s="2" t="s">
        <v>235</v>
      </c>
      <c r="Q23" s="2" t="s">
        <v>276</v>
      </c>
      <c r="R23" s="2" t="s">
        <v>135</v>
      </c>
      <c r="S23" s="2" t="s">
        <v>50</v>
      </c>
      <c r="T23" s="1">
        <v>7983</v>
      </c>
      <c r="U23" s="2" t="s">
        <v>51</v>
      </c>
      <c r="V23" s="1">
        <v>1838</v>
      </c>
      <c r="W23" s="1">
        <v>1550</v>
      </c>
      <c r="X23" s="2" t="s">
        <v>127</v>
      </c>
      <c r="Y23" s="2" t="s">
        <v>295</v>
      </c>
      <c r="Z23" s="2" t="s">
        <v>296</v>
      </c>
      <c r="AA23" s="2" t="s">
        <v>126</v>
      </c>
      <c r="AB23" s="1">
        <v>7577</v>
      </c>
      <c r="AC23" s="1">
        <v>4863</v>
      </c>
      <c r="AD23" s="1">
        <v>2231</v>
      </c>
      <c r="AE23" s="1">
        <v>732</v>
      </c>
      <c r="AF23" s="1">
        <v>142</v>
      </c>
      <c r="AG23" s="1">
        <v>15</v>
      </c>
      <c r="AH23" s="1">
        <v>8704</v>
      </c>
      <c r="AI23" s="1">
        <v>427</v>
      </c>
      <c r="AJ23" s="1">
        <v>826</v>
      </c>
      <c r="AK23" s="1">
        <v>1973</v>
      </c>
      <c r="AL23" s="1">
        <v>157</v>
      </c>
      <c r="AM23" s="1">
        <v>101</v>
      </c>
      <c r="AN23" s="2" t="s">
        <v>111</v>
      </c>
    </row>
    <row r="24" spans="1:40" ht="28.2" x14ac:dyDescent="0.3">
      <c r="A24" s="1">
        <v>11847</v>
      </c>
      <c r="B24" s="2" t="s">
        <v>297</v>
      </c>
      <c r="C24" s="2" t="s">
        <v>298</v>
      </c>
      <c r="D24" s="1">
        <v>21</v>
      </c>
      <c r="E24" s="2" t="s">
        <v>299</v>
      </c>
      <c r="F24" s="50" t="s">
        <v>3514</v>
      </c>
      <c r="G24" s="2" t="s">
        <v>300</v>
      </c>
      <c r="H24" s="1">
        <v>12510</v>
      </c>
      <c r="I24" s="1">
        <v>10760</v>
      </c>
      <c r="J24" s="2" t="s">
        <v>301</v>
      </c>
      <c r="K24" s="2" t="s">
        <v>302</v>
      </c>
      <c r="L24" s="2" t="s">
        <v>46</v>
      </c>
      <c r="M24" s="1">
        <v>625</v>
      </c>
      <c r="N24" s="1">
        <v>15713</v>
      </c>
      <c r="O24" s="2" t="s">
        <v>94</v>
      </c>
      <c r="P24" s="2" t="s">
        <v>303</v>
      </c>
      <c r="Q24" s="2" t="s">
        <v>167</v>
      </c>
      <c r="R24" s="2" t="s">
        <v>50</v>
      </c>
      <c r="S24" s="2" t="s">
        <v>202</v>
      </c>
      <c r="T24" s="1">
        <v>8125</v>
      </c>
      <c r="U24" s="2" t="s">
        <v>51</v>
      </c>
      <c r="V24" s="1">
        <v>1908</v>
      </c>
      <c r="W24" s="1">
        <v>1825</v>
      </c>
      <c r="X24" s="2" t="s">
        <v>304</v>
      </c>
      <c r="Y24" s="2" t="s">
        <v>277</v>
      </c>
      <c r="Z24" s="2" t="s">
        <v>296</v>
      </c>
      <c r="AA24" s="2" t="s">
        <v>305</v>
      </c>
      <c r="AB24" s="1">
        <v>7588</v>
      </c>
      <c r="AC24" s="1">
        <v>4887</v>
      </c>
      <c r="AD24" s="1">
        <v>2284</v>
      </c>
      <c r="AE24" s="1">
        <v>775</v>
      </c>
      <c r="AF24" s="1">
        <v>165</v>
      </c>
      <c r="AG24" s="1">
        <v>14</v>
      </c>
      <c r="AH24" s="1">
        <v>9814</v>
      </c>
      <c r="AI24" s="1">
        <v>148</v>
      </c>
      <c r="AJ24" s="1">
        <v>264</v>
      </c>
      <c r="AK24" s="1">
        <v>2192</v>
      </c>
      <c r="AL24" s="1">
        <v>109</v>
      </c>
      <c r="AM24" s="1">
        <v>6</v>
      </c>
      <c r="AN24" s="2" t="s">
        <v>136</v>
      </c>
    </row>
    <row r="25" spans="1:40" x14ac:dyDescent="0.3">
      <c r="A25" s="1">
        <v>13776</v>
      </c>
      <c r="B25" s="2" t="s">
        <v>306</v>
      </c>
      <c r="C25" s="2" t="s">
        <v>307</v>
      </c>
      <c r="D25" s="1">
        <v>23</v>
      </c>
      <c r="E25" s="2" t="s">
        <v>75</v>
      </c>
      <c r="F25" s="50" t="s">
        <v>308</v>
      </c>
      <c r="G25" s="2" t="s">
        <v>309</v>
      </c>
      <c r="H25" s="1">
        <v>22608</v>
      </c>
      <c r="I25" s="1">
        <v>17316</v>
      </c>
      <c r="J25" s="2" t="s">
        <v>310</v>
      </c>
      <c r="K25" s="2">
        <v>73</v>
      </c>
      <c r="L25" s="2" t="s">
        <v>80</v>
      </c>
      <c r="M25" s="1">
        <v>1189</v>
      </c>
      <c r="N25" s="1">
        <v>31521</v>
      </c>
      <c r="O25" s="2" t="s">
        <v>311</v>
      </c>
      <c r="P25" s="2" t="s">
        <v>96</v>
      </c>
      <c r="Q25" s="2" t="s">
        <v>312</v>
      </c>
      <c r="R25" s="2" t="s">
        <v>135</v>
      </c>
      <c r="S25" s="2" t="s">
        <v>96</v>
      </c>
      <c r="T25" s="1">
        <v>15469</v>
      </c>
      <c r="U25" s="2" t="s">
        <v>51</v>
      </c>
      <c r="V25" s="1">
        <v>3753</v>
      </c>
      <c r="W25" s="1">
        <v>2089</v>
      </c>
      <c r="X25" s="2" t="s">
        <v>313</v>
      </c>
      <c r="Y25" s="2" t="s">
        <v>84</v>
      </c>
      <c r="Z25" s="2" t="s">
        <v>314</v>
      </c>
      <c r="AA25" s="2" t="s">
        <v>315</v>
      </c>
      <c r="AB25" s="1">
        <v>16052</v>
      </c>
      <c r="AC25" s="1">
        <v>10001</v>
      </c>
      <c r="AD25" s="1">
        <v>4041</v>
      </c>
      <c r="AE25" s="1">
        <v>1202</v>
      </c>
      <c r="AF25" s="1">
        <v>206</v>
      </c>
      <c r="AG25" s="1">
        <v>19</v>
      </c>
      <c r="AH25" s="1">
        <v>3061</v>
      </c>
      <c r="AI25" s="1">
        <v>14965</v>
      </c>
      <c r="AJ25" s="1">
        <v>1081</v>
      </c>
      <c r="AK25" s="1">
        <v>3198</v>
      </c>
      <c r="AL25" s="1">
        <v>252</v>
      </c>
      <c r="AM25" s="1">
        <v>137</v>
      </c>
      <c r="AN25" s="2" t="s">
        <v>172</v>
      </c>
    </row>
    <row r="26" spans="1:40" x14ac:dyDescent="0.3">
      <c r="A26" s="1">
        <v>9626</v>
      </c>
      <c r="B26" s="2" t="s">
        <v>316</v>
      </c>
      <c r="C26" s="2" t="s">
        <v>317</v>
      </c>
      <c r="D26" s="1">
        <v>21</v>
      </c>
      <c r="E26" s="2" t="s">
        <v>318</v>
      </c>
      <c r="F26" s="50" t="s">
        <v>319</v>
      </c>
      <c r="G26" s="2" t="s">
        <v>320</v>
      </c>
      <c r="H26" s="1">
        <v>22423</v>
      </c>
      <c r="I26" s="1">
        <v>19052</v>
      </c>
      <c r="J26" s="2" t="s">
        <v>321</v>
      </c>
      <c r="K26" s="2">
        <v>80</v>
      </c>
      <c r="L26" s="2" t="s">
        <v>313</v>
      </c>
      <c r="M26" s="1">
        <v>1097</v>
      </c>
      <c r="N26" s="1">
        <v>28850</v>
      </c>
      <c r="O26" s="2" t="s">
        <v>123</v>
      </c>
      <c r="P26" s="2" t="s">
        <v>67</v>
      </c>
      <c r="Q26" s="2" t="s">
        <v>322</v>
      </c>
      <c r="R26" s="2" t="s">
        <v>96</v>
      </c>
      <c r="S26" s="2" t="s">
        <v>67</v>
      </c>
      <c r="T26" s="1">
        <v>14611</v>
      </c>
      <c r="U26" s="2" t="s">
        <v>51</v>
      </c>
      <c r="V26" s="1">
        <v>3983</v>
      </c>
      <c r="W26" s="1">
        <v>2960</v>
      </c>
      <c r="X26" s="2" t="s">
        <v>323</v>
      </c>
      <c r="Y26" s="2" t="s">
        <v>127</v>
      </c>
      <c r="Z26" s="2" t="s">
        <v>324</v>
      </c>
      <c r="AA26" s="2" t="s">
        <v>146</v>
      </c>
      <c r="AB26" s="1">
        <v>14239</v>
      </c>
      <c r="AC26" s="1">
        <v>8851</v>
      </c>
      <c r="AD26" s="1">
        <v>4086</v>
      </c>
      <c r="AE26" s="1">
        <v>1327</v>
      </c>
      <c r="AF26" s="1">
        <v>316</v>
      </c>
      <c r="AG26" s="1">
        <v>31</v>
      </c>
      <c r="AH26" s="1">
        <v>8583</v>
      </c>
      <c r="AI26" s="1">
        <v>9211</v>
      </c>
      <c r="AJ26" s="1">
        <v>507</v>
      </c>
      <c r="AK26" s="1">
        <v>3998</v>
      </c>
      <c r="AL26" s="1">
        <v>133</v>
      </c>
      <c r="AM26" s="1">
        <v>50</v>
      </c>
      <c r="AN26" s="2" t="s">
        <v>98</v>
      </c>
    </row>
    <row r="27" spans="1:40" x14ac:dyDescent="0.3">
      <c r="A27" s="1">
        <v>16847</v>
      </c>
      <c r="B27" s="2" t="s">
        <v>325</v>
      </c>
      <c r="C27" s="2" t="s">
        <v>326</v>
      </c>
      <c r="D27" s="1">
        <v>20</v>
      </c>
      <c r="E27" s="2" t="s">
        <v>327</v>
      </c>
      <c r="F27" s="50" t="s">
        <v>328</v>
      </c>
      <c r="G27" s="2" t="s">
        <v>329</v>
      </c>
      <c r="H27" s="1">
        <v>10241</v>
      </c>
      <c r="I27" s="1">
        <v>8484</v>
      </c>
      <c r="J27" s="2" t="s">
        <v>330</v>
      </c>
      <c r="K27" s="2">
        <v>80</v>
      </c>
      <c r="L27" s="2" t="s">
        <v>331</v>
      </c>
      <c r="M27" s="1">
        <v>498</v>
      </c>
      <c r="N27" s="1">
        <v>13378</v>
      </c>
      <c r="O27" s="2" t="s">
        <v>81</v>
      </c>
      <c r="P27" s="2" t="s">
        <v>48</v>
      </c>
      <c r="Q27" s="2" t="s">
        <v>215</v>
      </c>
      <c r="R27" s="2" t="s">
        <v>50</v>
      </c>
      <c r="S27" s="2" t="s">
        <v>67</v>
      </c>
      <c r="T27" s="1">
        <v>6773</v>
      </c>
      <c r="U27" s="2" t="s">
        <v>51</v>
      </c>
      <c r="V27" s="1">
        <v>1656</v>
      </c>
      <c r="W27" s="1">
        <v>1114</v>
      </c>
      <c r="X27" s="2" t="s">
        <v>332</v>
      </c>
      <c r="Y27" s="2" t="s">
        <v>84</v>
      </c>
      <c r="Z27" s="2" t="s">
        <v>333</v>
      </c>
      <c r="AA27" s="2" t="s">
        <v>334</v>
      </c>
      <c r="AB27" s="1">
        <v>6605</v>
      </c>
      <c r="AC27" s="1">
        <v>4156</v>
      </c>
      <c r="AD27" s="1">
        <v>1896</v>
      </c>
      <c r="AE27" s="1">
        <v>596</v>
      </c>
      <c r="AF27" s="1">
        <v>120</v>
      </c>
      <c r="AG27" s="1">
        <v>5</v>
      </c>
      <c r="AH27" s="1">
        <v>2444</v>
      </c>
      <c r="AI27" s="1">
        <v>5801</v>
      </c>
      <c r="AJ27" s="1">
        <v>181</v>
      </c>
      <c r="AK27" s="1">
        <v>1687</v>
      </c>
      <c r="AL27" s="1">
        <v>153</v>
      </c>
      <c r="AM27" s="1">
        <v>16</v>
      </c>
      <c r="AN27" s="2" t="s">
        <v>172</v>
      </c>
    </row>
    <row r="28" spans="1:40" ht="28.2" x14ac:dyDescent="0.3">
      <c r="A28" s="1">
        <v>798</v>
      </c>
      <c r="B28" s="2" t="s">
        <v>335</v>
      </c>
      <c r="C28" s="2" t="s">
        <v>336</v>
      </c>
      <c r="D28" s="1">
        <v>31</v>
      </c>
      <c r="E28" s="2" t="s">
        <v>337</v>
      </c>
      <c r="F28" s="50" t="s">
        <v>338</v>
      </c>
      <c r="G28" s="2" t="s">
        <v>339</v>
      </c>
      <c r="H28" s="1">
        <v>29371</v>
      </c>
      <c r="I28" s="1">
        <v>24509</v>
      </c>
      <c r="J28" s="2" t="s">
        <v>340</v>
      </c>
      <c r="K28" s="2" t="s">
        <v>341</v>
      </c>
      <c r="L28" s="2" t="s">
        <v>93</v>
      </c>
      <c r="M28" s="1">
        <v>1460</v>
      </c>
      <c r="N28" s="1">
        <v>38504</v>
      </c>
      <c r="O28" s="2" t="s">
        <v>234</v>
      </c>
      <c r="P28" s="2" t="s">
        <v>50</v>
      </c>
      <c r="Q28" s="2" t="s">
        <v>65</v>
      </c>
      <c r="R28" s="2" t="s">
        <v>135</v>
      </c>
      <c r="S28" s="2" t="s">
        <v>66</v>
      </c>
      <c r="T28" s="1">
        <v>19306</v>
      </c>
      <c r="U28" s="2" t="s">
        <v>51</v>
      </c>
      <c r="V28" s="1">
        <v>5123</v>
      </c>
      <c r="W28" s="1">
        <v>3652</v>
      </c>
      <c r="X28" s="2" t="s">
        <v>203</v>
      </c>
      <c r="Y28" s="2" t="s">
        <v>172</v>
      </c>
      <c r="Z28" s="2" t="s">
        <v>324</v>
      </c>
      <c r="AA28" s="2" t="s">
        <v>205</v>
      </c>
      <c r="AB28" s="1">
        <v>19198</v>
      </c>
      <c r="AC28" s="1">
        <v>11802</v>
      </c>
      <c r="AD28" s="1">
        <v>5377</v>
      </c>
      <c r="AE28" s="1">
        <v>1731</v>
      </c>
      <c r="AF28" s="1">
        <v>363</v>
      </c>
      <c r="AG28" s="1">
        <v>33</v>
      </c>
      <c r="AH28" s="1">
        <v>5625</v>
      </c>
      <c r="AI28" s="1">
        <v>16854</v>
      </c>
      <c r="AJ28" s="1">
        <v>1023</v>
      </c>
      <c r="AK28" s="1">
        <v>5191</v>
      </c>
      <c r="AL28" s="1">
        <v>335</v>
      </c>
      <c r="AM28" s="1">
        <v>406</v>
      </c>
      <c r="AN28" s="2" t="s">
        <v>98</v>
      </c>
    </row>
    <row r="29" spans="1:40" x14ac:dyDescent="0.3">
      <c r="A29" s="1">
        <v>13281</v>
      </c>
      <c r="B29" s="2" t="s">
        <v>342</v>
      </c>
      <c r="C29" s="2" t="s">
        <v>343</v>
      </c>
      <c r="D29" s="1">
        <v>23</v>
      </c>
      <c r="E29" s="2" t="s">
        <v>75</v>
      </c>
      <c r="F29" s="50" t="s">
        <v>344</v>
      </c>
      <c r="G29" s="2" t="s">
        <v>345</v>
      </c>
      <c r="H29" s="1">
        <v>26132</v>
      </c>
      <c r="I29" s="1">
        <v>21336</v>
      </c>
      <c r="J29" s="2" t="s">
        <v>346</v>
      </c>
      <c r="K29" s="2" t="s">
        <v>154</v>
      </c>
      <c r="L29" s="2" t="s">
        <v>179</v>
      </c>
      <c r="M29" s="1">
        <v>1304</v>
      </c>
      <c r="N29" s="1">
        <v>34783</v>
      </c>
      <c r="O29" s="2" t="s">
        <v>180</v>
      </c>
      <c r="P29" s="2" t="s">
        <v>67</v>
      </c>
      <c r="Q29" s="2" t="s">
        <v>49</v>
      </c>
      <c r="R29" s="2" t="s">
        <v>135</v>
      </c>
      <c r="S29" s="2" t="s">
        <v>66</v>
      </c>
      <c r="T29" s="1">
        <v>17472</v>
      </c>
      <c r="U29" s="2" t="s">
        <v>51</v>
      </c>
      <c r="V29" s="1">
        <v>4718</v>
      </c>
      <c r="W29" s="1">
        <v>2938</v>
      </c>
      <c r="X29" s="2" t="s">
        <v>68</v>
      </c>
      <c r="Y29" s="2" t="s">
        <v>147</v>
      </c>
      <c r="Z29" s="2" t="s">
        <v>347</v>
      </c>
      <c r="AA29" s="2" t="s">
        <v>348</v>
      </c>
      <c r="AB29" s="1">
        <v>17311</v>
      </c>
      <c r="AC29" s="1">
        <v>10958</v>
      </c>
      <c r="AD29" s="1">
        <v>4691</v>
      </c>
      <c r="AE29" s="1">
        <v>1525</v>
      </c>
      <c r="AF29" s="1">
        <v>273</v>
      </c>
      <c r="AG29" s="1">
        <v>25</v>
      </c>
      <c r="AH29" s="1">
        <v>5031</v>
      </c>
      <c r="AI29" s="1">
        <v>16248</v>
      </c>
      <c r="AJ29" s="1">
        <v>396</v>
      </c>
      <c r="AK29" s="1">
        <v>4164</v>
      </c>
      <c r="AL29" s="1">
        <v>233</v>
      </c>
      <c r="AM29" s="1">
        <v>122</v>
      </c>
      <c r="AN29" s="2" t="s">
        <v>172</v>
      </c>
    </row>
    <row r="30" spans="1:40" x14ac:dyDescent="0.3">
      <c r="A30" s="1">
        <v>7167</v>
      </c>
      <c r="B30" s="2" t="s">
        <v>349</v>
      </c>
      <c r="C30" s="2" t="s">
        <v>350</v>
      </c>
      <c r="D30" s="1">
        <v>27</v>
      </c>
      <c r="E30" s="2" t="s">
        <v>42</v>
      </c>
      <c r="F30" s="50" t="s">
        <v>221</v>
      </c>
      <c r="G30" s="2" t="s">
        <v>351</v>
      </c>
      <c r="H30" s="1">
        <v>37067</v>
      </c>
      <c r="I30" s="1">
        <v>30736</v>
      </c>
      <c r="J30" s="2" t="s">
        <v>352</v>
      </c>
      <c r="K30" s="2" t="s">
        <v>353</v>
      </c>
      <c r="L30" s="2" t="s">
        <v>93</v>
      </c>
      <c r="M30" s="1">
        <v>1852</v>
      </c>
      <c r="N30" s="1">
        <v>48898</v>
      </c>
      <c r="O30" s="2" t="s">
        <v>234</v>
      </c>
      <c r="P30" s="2" t="s">
        <v>67</v>
      </c>
      <c r="Q30" s="2" t="s">
        <v>215</v>
      </c>
      <c r="R30" s="2" t="s">
        <v>96</v>
      </c>
      <c r="S30" s="2" t="s">
        <v>67</v>
      </c>
      <c r="T30" s="1">
        <v>24567</v>
      </c>
      <c r="U30" s="2" t="s">
        <v>51</v>
      </c>
      <c r="V30" s="1">
        <v>5847</v>
      </c>
      <c r="W30" s="1">
        <v>3969</v>
      </c>
      <c r="X30" s="2" t="s">
        <v>110</v>
      </c>
      <c r="Y30" s="2" t="s">
        <v>98</v>
      </c>
      <c r="Z30" s="2" t="s">
        <v>125</v>
      </c>
      <c r="AA30" s="2" t="s">
        <v>354</v>
      </c>
      <c r="AB30" s="1">
        <v>24331</v>
      </c>
      <c r="AC30" s="1">
        <v>15241</v>
      </c>
      <c r="AD30" s="1">
        <v>6747</v>
      </c>
      <c r="AE30" s="1">
        <v>2120</v>
      </c>
      <c r="AF30" s="1">
        <v>412</v>
      </c>
      <c r="AG30" s="1">
        <v>47</v>
      </c>
      <c r="AH30" s="1">
        <v>8533</v>
      </c>
      <c r="AI30" s="1">
        <v>19544</v>
      </c>
      <c r="AJ30" s="1">
        <v>843</v>
      </c>
      <c r="AK30" s="1">
        <v>7423</v>
      </c>
      <c r="AL30" s="1">
        <v>707</v>
      </c>
      <c r="AM30" s="1">
        <v>80</v>
      </c>
      <c r="AN30" s="2" t="s">
        <v>98</v>
      </c>
    </row>
    <row r="31" spans="1:40" ht="28.2" x14ac:dyDescent="0.3">
      <c r="A31" s="1">
        <v>10774</v>
      </c>
      <c r="B31" s="2" t="s">
        <v>355</v>
      </c>
      <c r="C31" s="2" t="s">
        <v>356</v>
      </c>
      <c r="D31" s="1">
        <v>23</v>
      </c>
      <c r="E31" s="2" t="s">
        <v>357</v>
      </c>
      <c r="F31" s="50" t="s">
        <v>358</v>
      </c>
      <c r="G31" s="2" t="s">
        <v>359</v>
      </c>
      <c r="H31" s="1">
        <v>15040</v>
      </c>
      <c r="I31" s="1">
        <v>12743</v>
      </c>
      <c r="J31" s="2" t="s">
        <v>360</v>
      </c>
      <c r="K31" s="2" t="s">
        <v>361</v>
      </c>
      <c r="L31" s="2" t="s">
        <v>122</v>
      </c>
      <c r="M31" s="1">
        <v>773</v>
      </c>
      <c r="N31" s="1">
        <v>19766</v>
      </c>
      <c r="O31" s="2" t="s">
        <v>234</v>
      </c>
      <c r="P31" s="2" t="s">
        <v>202</v>
      </c>
      <c r="Q31" s="2" t="s">
        <v>65</v>
      </c>
      <c r="R31" s="2" t="s">
        <v>96</v>
      </c>
      <c r="S31" s="2" t="s">
        <v>67</v>
      </c>
      <c r="T31" s="1">
        <v>9837</v>
      </c>
      <c r="U31" s="2" t="s">
        <v>51</v>
      </c>
      <c r="V31" s="1">
        <v>1902</v>
      </c>
      <c r="W31" s="1">
        <v>1717</v>
      </c>
      <c r="X31" s="2" t="s">
        <v>362</v>
      </c>
      <c r="Y31" s="2">
        <v>1</v>
      </c>
      <c r="Z31" s="2" t="s">
        <v>246</v>
      </c>
      <c r="AA31" s="2" t="s">
        <v>363</v>
      </c>
      <c r="AB31" s="1">
        <v>9929</v>
      </c>
      <c r="AC31" s="1">
        <v>5988</v>
      </c>
      <c r="AD31" s="1">
        <v>2725</v>
      </c>
      <c r="AE31" s="1">
        <v>918</v>
      </c>
      <c r="AF31" s="1">
        <v>182</v>
      </c>
      <c r="AG31" s="1">
        <v>24</v>
      </c>
      <c r="AH31" s="1">
        <v>10686</v>
      </c>
      <c r="AI31" s="1">
        <v>690</v>
      </c>
      <c r="AJ31" s="1">
        <v>766</v>
      </c>
      <c r="AK31" s="1">
        <v>2735</v>
      </c>
      <c r="AL31" s="1">
        <v>158</v>
      </c>
      <c r="AM31" s="1">
        <v>32</v>
      </c>
      <c r="AN31" s="2" t="s">
        <v>206</v>
      </c>
    </row>
    <row r="32" spans="1:40" ht="28.2" x14ac:dyDescent="0.3">
      <c r="A32" s="1">
        <v>10981</v>
      </c>
      <c r="B32" s="2" t="s">
        <v>364</v>
      </c>
      <c r="C32" s="2" t="s">
        <v>365</v>
      </c>
      <c r="D32" s="1">
        <v>24</v>
      </c>
      <c r="E32" s="2" t="s">
        <v>327</v>
      </c>
      <c r="F32" s="50" t="s">
        <v>3514</v>
      </c>
      <c r="G32" s="2" t="s">
        <v>366</v>
      </c>
      <c r="H32" s="1">
        <v>13904</v>
      </c>
      <c r="I32" s="1">
        <v>11530</v>
      </c>
      <c r="J32" s="2" t="s">
        <v>367</v>
      </c>
      <c r="K32" s="2" t="s">
        <v>368</v>
      </c>
      <c r="L32" s="2" t="s">
        <v>93</v>
      </c>
      <c r="M32" s="1">
        <v>696</v>
      </c>
      <c r="N32" s="1">
        <v>18646</v>
      </c>
      <c r="O32" s="2" t="s">
        <v>180</v>
      </c>
      <c r="P32" s="2" t="s">
        <v>67</v>
      </c>
      <c r="Q32" s="2" t="s">
        <v>144</v>
      </c>
      <c r="R32" s="2" t="s">
        <v>96</v>
      </c>
      <c r="S32" s="2" t="s">
        <v>48</v>
      </c>
      <c r="T32" s="1">
        <v>9247</v>
      </c>
      <c r="U32" s="2" t="s">
        <v>51</v>
      </c>
      <c r="V32" s="1">
        <v>2203</v>
      </c>
      <c r="W32" s="1">
        <v>1553</v>
      </c>
      <c r="X32" s="2" t="s">
        <v>369</v>
      </c>
      <c r="Y32" s="2" t="s">
        <v>370</v>
      </c>
      <c r="Z32" s="2" t="s">
        <v>324</v>
      </c>
      <c r="AA32" s="2" t="s">
        <v>113</v>
      </c>
      <c r="AB32" s="1">
        <v>9399</v>
      </c>
      <c r="AC32" s="1">
        <v>5767</v>
      </c>
      <c r="AD32" s="1">
        <v>2516</v>
      </c>
      <c r="AE32" s="1">
        <v>774</v>
      </c>
      <c r="AF32" s="1">
        <v>167</v>
      </c>
      <c r="AG32" s="1">
        <v>23</v>
      </c>
      <c r="AH32" s="1">
        <v>5626</v>
      </c>
      <c r="AI32" s="1">
        <v>5438</v>
      </c>
      <c r="AJ32" s="1">
        <v>448</v>
      </c>
      <c r="AK32" s="1">
        <v>2252</v>
      </c>
      <c r="AL32" s="1">
        <v>151</v>
      </c>
      <c r="AM32" s="1">
        <v>31</v>
      </c>
      <c r="AN32" s="2" t="s">
        <v>206</v>
      </c>
    </row>
    <row r="33" spans="1:40" ht="28.2" x14ac:dyDescent="0.3">
      <c r="A33" s="1">
        <v>3972</v>
      </c>
      <c r="B33" s="2" t="s">
        <v>371</v>
      </c>
      <c r="C33" s="2" t="s">
        <v>372</v>
      </c>
      <c r="D33" s="1">
        <v>26</v>
      </c>
      <c r="E33" s="2" t="s">
        <v>220</v>
      </c>
      <c r="F33" s="50" t="s">
        <v>221</v>
      </c>
      <c r="G33" s="2" t="s">
        <v>373</v>
      </c>
      <c r="H33" s="1">
        <v>30144</v>
      </c>
      <c r="I33" s="1">
        <v>25923</v>
      </c>
      <c r="J33" s="2" t="s">
        <v>252</v>
      </c>
      <c r="K33" s="2" t="s">
        <v>374</v>
      </c>
      <c r="L33" s="2" t="s">
        <v>375</v>
      </c>
      <c r="M33" s="1">
        <v>1474</v>
      </c>
      <c r="N33" s="1">
        <v>38947</v>
      </c>
      <c r="O33" s="2" t="s">
        <v>81</v>
      </c>
      <c r="P33" s="2" t="s">
        <v>235</v>
      </c>
      <c r="Q33" s="2" t="s">
        <v>225</v>
      </c>
      <c r="R33" s="2" t="s">
        <v>50</v>
      </c>
      <c r="S33" s="2" t="s">
        <v>67</v>
      </c>
      <c r="T33" s="1">
        <v>19652</v>
      </c>
      <c r="U33" s="2" t="s">
        <v>51</v>
      </c>
      <c r="V33" s="1">
        <v>4536</v>
      </c>
      <c r="W33" s="1">
        <v>3818</v>
      </c>
      <c r="X33" s="2" t="s">
        <v>127</v>
      </c>
      <c r="Y33" s="2" t="s">
        <v>295</v>
      </c>
      <c r="Z33" s="2" t="s">
        <v>112</v>
      </c>
      <c r="AA33" s="2" t="s">
        <v>376</v>
      </c>
      <c r="AB33" s="1">
        <v>19295</v>
      </c>
      <c r="AC33" s="1">
        <v>11861</v>
      </c>
      <c r="AD33" s="1">
        <v>5534</v>
      </c>
      <c r="AE33" s="1">
        <v>1846</v>
      </c>
      <c r="AF33" s="1">
        <v>378</v>
      </c>
      <c r="AG33" s="1">
        <v>33</v>
      </c>
      <c r="AH33" s="1">
        <v>21272</v>
      </c>
      <c r="AI33" s="1">
        <v>344</v>
      </c>
      <c r="AJ33" s="1">
        <v>3190</v>
      </c>
      <c r="AK33" s="1">
        <v>4826</v>
      </c>
      <c r="AL33" s="1">
        <v>422</v>
      </c>
      <c r="AM33" s="1">
        <v>156</v>
      </c>
      <c r="AN33" s="2" t="s">
        <v>370</v>
      </c>
    </row>
    <row r="34" spans="1:40" ht="28.2" x14ac:dyDescent="0.3">
      <c r="A34" s="1">
        <v>9960</v>
      </c>
      <c r="B34" s="2" t="s">
        <v>377</v>
      </c>
      <c r="C34" s="2" t="s">
        <v>378</v>
      </c>
      <c r="D34" s="1">
        <v>20</v>
      </c>
      <c r="E34" s="2" t="s">
        <v>379</v>
      </c>
      <c r="F34" s="50" t="s">
        <v>188</v>
      </c>
      <c r="G34" s="2" t="s">
        <v>380</v>
      </c>
      <c r="H34" s="1">
        <v>24136</v>
      </c>
      <c r="I34" s="1">
        <v>20574</v>
      </c>
      <c r="J34" s="2" t="s">
        <v>381</v>
      </c>
      <c r="K34" s="2" t="s">
        <v>382</v>
      </c>
      <c r="L34" s="2" t="s">
        <v>244</v>
      </c>
      <c r="M34" s="1">
        <v>1218</v>
      </c>
      <c r="N34" s="1">
        <v>31866</v>
      </c>
      <c r="O34" s="2" t="s">
        <v>234</v>
      </c>
      <c r="P34" s="2" t="s">
        <v>202</v>
      </c>
      <c r="Q34" s="2" t="s">
        <v>276</v>
      </c>
      <c r="R34" s="2" t="s">
        <v>96</v>
      </c>
      <c r="S34" s="2" t="s">
        <v>67</v>
      </c>
      <c r="T34" s="1">
        <v>15834</v>
      </c>
      <c r="U34" s="2" t="s">
        <v>51</v>
      </c>
      <c r="V34" s="1">
        <v>3463</v>
      </c>
      <c r="W34" s="1">
        <v>3098</v>
      </c>
      <c r="X34" s="2" t="s">
        <v>370</v>
      </c>
      <c r="Y34" s="2" t="s">
        <v>304</v>
      </c>
      <c r="Z34" s="2" t="s">
        <v>383</v>
      </c>
      <c r="AA34" s="2" t="s">
        <v>384</v>
      </c>
      <c r="AB34" s="1">
        <v>16032</v>
      </c>
      <c r="AC34" s="1">
        <v>9799</v>
      </c>
      <c r="AD34" s="1">
        <v>4184</v>
      </c>
      <c r="AE34" s="1">
        <v>1471</v>
      </c>
      <c r="AF34" s="1">
        <v>344</v>
      </c>
      <c r="AG34" s="1">
        <v>36</v>
      </c>
      <c r="AH34" s="1">
        <v>17384</v>
      </c>
      <c r="AI34" s="1">
        <v>1178</v>
      </c>
      <c r="AJ34" s="1">
        <v>849</v>
      </c>
      <c r="AK34" s="1">
        <v>4379</v>
      </c>
      <c r="AL34" s="1">
        <v>333</v>
      </c>
      <c r="AM34" s="1">
        <v>100</v>
      </c>
      <c r="AN34" s="2" t="s">
        <v>370</v>
      </c>
    </row>
    <row r="35" spans="1:40" x14ac:dyDescent="0.3">
      <c r="A35" s="1">
        <v>16816</v>
      </c>
      <c r="B35" s="2" t="s">
        <v>385</v>
      </c>
      <c r="C35" s="2" t="s">
        <v>386</v>
      </c>
      <c r="D35" s="1">
        <v>23</v>
      </c>
      <c r="E35" s="2" t="s">
        <v>104</v>
      </c>
      <c r="F35" s="50" t="s">
        <v>250</v>
      </c>
      <c r="G35" s="2" t="s">
        <v>387</v>
      </c>
      <c r="H35" s="1">
        <v>10883</v>
      </c>
      <c r="I35" s="1">
        <v>9398</v>
      </c>
      <c r="J35" s="2" t="s">
        <v>388</v>
      </c>
      <c r="K35" s="2" t="s">
        <v>389</v>
      </c>
      <c r="L35" s="2" t="s">
        <v>390</v>
      </c>
      <c r="M35" s="1">
        <v>533</v>
      </c>
      <c r="N35" s="1">
        <v>14130</v>
      </c>
      <c r="O35" s="2" t="s">
        <v>81</v>
      </c>
      <c r="P35" s="2" t="s">
        <v>202</v>
      </c>
      <c r="Q35" s="2" t="s">
        <v>225</v>
      </c>
      <c r="R35" s="2" t="s">
        <v>96</v>
      </c>
      <c r="S35" s="2" t="s">
        <v>50</v>
      </c>
      <c r="T35" s="1">
        <v>7098</v>
      </c>
      <c r="U35" s="2" t="s">
        <v>51</v>
      </c>
      <c r="V35" s="1">
        <v>1806</v>
      </c>
      <c r="W35" s="1">
        <v>1548</v>
      </c>
      <c r="X35" s="2" t="s">
        <v>172</v>
      </c>
      <c r="Y35" s="2" t="s">
        <v>370</v>
      </c>
      <c r="Z35" s="2" t="s">
        <v>391</v>
      </c>
      <c r="AA35" s="2" t="s">
        <v>392</v>
      </c>
      <c r="AB35" s="1">
        <v>7032</v>
      </c>
      <c r="AC35" s="1">
        <v>4315</v>
      </c>
      <c r="AD35" s="1">
        <v>1963</v>
      </c>
      <c r="AE35" s="1">
        <v>647</v>
      </c>
      <c r="AF35" s="1">
        <v>164</v>
      </c>
      <c r="AG35" s="1">
        <v>9</v>
      </c>
      <c r="AH35" s="1">
        <v>7544</v>
      </c>
      <c r="AI35" s="1">
        <v>1047</v>
      </c>
      <c r="AJ35" s="1">
        <v>404</v>
      </c>
      <c r="AK35" s="1">
        <v>1800</v>
      </c>
      <c r="AL35" s="1">
        <v>99</v>
      </c>
      <c r="AM35" s="1">
        <v>32</v>
      </c>
      <c r="AN35" s="2" t="s">
        <v>169</v>
      </c>
    </row>
    <row r="36" spans="1:40" ht="28.2" x14ac:dyDescent="0.3">
      <c r="A36" s="1">
        <v>12877</v>
      </c>
      <c r="B36" s="2" t="s">
        <v>393</v>
      </c>
      <c r="C36" s="2" t="s">
        <v>394</v>
      </c>
      <c r="D36" s="1">
        <v>22</v>
      </c>
      <c r="E36" s="2" t="s">
        <v>150</v>
      </c>
      <c r="F36" s="50" t="s">
        <v>3514</v>
      </c>
      <c r="G36" s="2" t="s">
        <v>395</v>
      </c>
      <c r="H36" s="1">
        <v>11270</v>
      </c>
      <c r="I36" s="1">
        <v>9818</v>
      </c>
      <c r="J36" s="2" t="s">
        <v>396</v>
      </c>
      <c r="K36" s="2" t="s">
        <v>397</v>
      </c>
      <c r="L36" s="2" t="s">
        <v>398</v>
      </c>
      <c r="M36" s="1">
        <v>560</v>
      </c>
      <c r="N36" s="1">
        <v>14454</v>
      </c>
      <c r="O36" s="2" t="s">
        <v>123</v>
      </c>
      <c r="P36" s="2" t="s">
        <v>202</v>
      </c>
      <c r="Q36" s="2" t="s">
        <v>167</v>
      </c>
      <c r="R36" s="2" t="s">
        <v>50</v>
      </c>
      <c r="S36" s="2" t="s">
        <v>96</v>
      </c>
      <c r="T36" s="1">
        <v>7347</v>
      </c>
      <c r="U36" s="2" t="s">
        <v>51</v>
      </c>
      <c r="V36" s="1">
        <v>2574</v>
      </c>
      <c r="W36" s="1">
        <v>2036</v>
      </c>
      <c r="X36" s="2" t="s">
        <v>87</v>
      </c>
      <c r="Y36" s="2" t="s">
        <v>56</v>
      </c>
      <c r="Z36" s="2" t="s">
        <v>399</v>
      </c>
      <c r="AA36" s="2" t="s">
        <v>400</v>
      </c>
      <c r="AB36" s="1">
        <v>7107</v>
      </c>
      <c r="AC36" s="1">
        <v>4471</v>
      </c>
      <c r="AD36" s="1">
        <v>2021</v>
      </c>
      <c r="AE36" s="1">
        <v>679</v>
      </c>
      <c r="AF36" s="1">
        <v>160</v>
      </c>
      <c r="AG36" s="1">
        <v>16</v>
      </c>
      <c r="AH36" s="1">
        <v>3548</v>
      </c>
      <c r="AI36" s="1">
        <v>5692</v>
      </c>
      <c r="AJ36" s="1">
        <v>260</v>
      </c>
      <c r="AK36" s="1">
        <v>1601</v>
      </c>
      <c r="AL36" s="1">
        <v>160</v>
      </c>
      <c r="AM36" s="1">
        <v>35</v>
      </c>
      <c r="AN36" s="2" t="s">
        <v>147</v>
      </c>
    </row>
    <row r="37" spans="1:40" ht="28.2" x14ac:dyDescent="0.3">
      <c r="A37" s="1">
        <v>11141</v>
      </c>
      <c r="B37" s="2" t="s">
        <v>401</v>
      </c>
      <c r="C37" s="2" t="s">
        <v>402</v>
      </c>
      <c r="D37" s="1">
        <v>27</v>
      </c>
      <c r="E37" s="2" t="s">
        <v>403</v>
      </c>
      <c r="F37" s="50" t="s">
        <v>271</v>
      </c>
      <c r="G37" s="2" t="s">
        <v>404</v>
      </c>
      <c r="H37" s="1">
        <v>17397</v>
      </c>
      <c r="I37" s="1">
        <v>14889</v>
      </c>
      <c r="J37" s="2" t="s">
        <v>405</v>
      </c>
      <c r="K37" s="2" t="s">
        <v>406</v>
      </c>
      <c r="L37" s="2" t="s">
        <v>244</v>
      </c>
      <c r="M37" s="1">
        <v>869</v>
      </c>
      <c r="N37" s="1">
        <v>22571</v>
      </c>
      <c r="O37" s="2" t="s">
        <v>81</v>
      </c>
      <c r="P37" s="2" t="s">
        <v>166</v>
      </c>
      <c r="Q37" s="2" t="s">
        <v>322</v>
      </c>
      <c r="R37" s="2" t="s">
        <v>96</v>
      </c>
      <c r="S37" s="2" t="s">
        <v>96</v>
      </c>
      <c r="T37" s="1">
        <v>11431</v>
      </c>
      <c r="U37" s="2" t="s">
        <v>51</v>
      </c>
      <c r="V37" s="1">
        <v>2385</v>
      </c>
      <c r="W37" s="1">
        <v>2041</v>
      </c>
      <c r="X37" s="2" t="s">
        <v>172</v>
      </c>
      <c r="Y37" s="2" t="s">
        <v>407</v>
      </c>
      <c r="Z37" s="2" t="s">
        <v>70</v>
      </c>
      <c r="AA37" s="2" t="s">
        <v>408</v>
      </c>
      <c r="AB37" s="1">
        <v>11140</v>
      </c>
      <c r="AC37" s="1">
        <v>6979</v>
      </c>
      <c r="AD37" s="1">
        <v>3187</v>
      </c>
      <c r="AE37" s="1">
        <v>1032</v>
      </c>
      <c r="AF37" s="1">
        <v>217</v>
      </c>
      <c r="AG37" s="1">
        <v>16</v>
      </c>
      <c r="AH37" s="1">
        <v>12309</v>
      </c>
      <c r="AI37" s="1">
        <v>384</v>
      </c>
      <c r="AJ37" s="1">
        <v>1608</v>
      </c>
      <c r="AK37" s="1">
        <v>2838</v>
      </c>
      <c r="AL37" s="1">
        <v>247</v>
      </c>
      <c r="AM37" s="1">
        <v>52</v>
      </c>
      <c r="AN37" s="2" t="s">
        <v>172</v>
      </c>
    </row>
    <row r="38" spans="1:40" x14ac:dyDescent="0.3">
      <c r="A38" s="1">
        <v>12553</v>
      </c>
      <c r="B38" s="2" t="s">
        <v>409</v>
      </c>
      <c r="C38" s="2" t="s">
        <v>410</v>
      </c>
      <c r="D38" s="1">
        <v>22</v>
      </c>
      <c r="E38" s="2" t="s">
        <v>104</v>
      </c>
      <c r="F38" s="50" t="s">
        <v>105</v>
      </c>
      <c r="G38" s="2" t="s">
        <v>105</v>
      </c>
      <c r="H38" s="1">
        <v>20149</v>
      </c>
      <c r="I38" s="1">
        <v>16995</v>
      </c>
      <c r="J38" s="2" t="s">
        <v>411</v>
      </c>
      <c r="K38" s="2" t="s">
        <v>397</v>
      </c>
      <c r="L38" s="2">
        <v>5</v>
      </c>
      <c r="M38" s="1">
        <v>1022</v>
      </c>
      <c r="N38" s="1">
        <v>26677</v>
      </c>
      <c r="O38" s="2" t="s">
        <v>234</v>
      </c>
      <c r="P38" s="2" t="s">
        <v>166</v>
      </c>
      <c r="Q38" s="2" t="s">
        <v>65</v>
      </c>
      <c r="R38" s="2" t="s">
        <v>96</v>
      </c>
      <c r="S38" s="2" t="s">
        <v>67</v>
      </c>
      <c r="T38" s="1">
        <v>13336</v>
      </c>
      <c r="U38" s="2" t="s">
        <v>51</v>
      </c>
      <c r="V38" s="1">
        <v>2580</v>
      </c>
      <c r="W38" s="1">
        <v>1877</v>
      </c>
      <c r="X38" s="2" t="s">
        <v>254</v>
      </c>
      <c r="Y38" s="2" t="s">
        <v>412</v>
      </c>
      <c r="Z38" s="2" t="s">
        <v>99</v>
      </c>
      <c r="AA38" s="2" t="s">
        <v>413</v>
      </c>
      <c r="AB38" s="1">
        <v>13341</v>
      </c>
      <c r="AC38" s="1">
        <v>8292</v>
      </c>
      <c r="AD38" s="1">
        <v>3570</v>
      </c>
      <c r="AE38" s="1">
        <v>1201</v>
      </c>
      <c r="AF38" s="1">
        <v>251</v>
      </c>
      <c r="AG38" s="1">
        <v>22</v>
      </c>
      <c r="AH38" s="1">
        <v>15471</v>
      </c>
      <c r="AI38" s="1">
        <v>453</v>
      </c>
      <c r="AJ38" s="1">
        <v>744</v>
      </c>
      <c r="AK38" s="1">
        <v>3219</v>
      </c>
      <c r="AL38" s="1">
        <v>286</v>
      </c>
      <c r="AM38" s="1">
        <v>43</v>
      </c>
      <c r="AN38" s="2" t="s">
        <v>169</v>
      </c>
    </row>
    <row r="39" spans="1:40" ht="28.2" x14ac:dyDescent="0.3">
      <c r="A39" s="1">
        <v>8574</v>
      </c>
      <c r="B39" s="2" t="s">
        <v>414</v>
      </c>
      <c r="C39" s="2" t="s">
        <v>415</v>
      </c>
      <c r="D39" s="1">
        <v>23</v>
      </c>
      <c r="E39" s="2" t="s">
        <v>159</v>
      </c>
      <c r="F39" s="50" t="s">
        <v>160</v>
      </c>
      <c r="G39" s="2" t="s">
        <v>416</v>
      </c>
      <c r="H39" s="1">
        <v>22815</v>
      </c>
      <c r="I39" s="1">
        <v>18947</v>
      </c>
      <c r="J39" s="2" t="s">
        <v>417</v>
      </c>
      <c r="K39" s="2" t="s">
        <v>418</v>
      </c>
      <c r="L39" s="2" t="s">
        <v>63</v>
      </c>
      <c r="M39" s="1">
        <v>1178</v>
      </c>
      <c r="N39" s="1">
        <v>30952</v>
      </c>
      <c r="O39" s="2" t="s">
        <v>283</v>
      </c>
      <c r="P39" s="2" t="s">
        <v>67</v>
      </c>
      <c r="Q39" s="2" t="s">
        <v>49</v>
      </c>
      <c r="R39" s="2" t="s">
        <v>66</v>
      </c>
      <c r="S39" s="2" t="s">
        <v>50</v>
      </c>
      <c r="T39" s="1">
        <v>15130</v>
      </c>
      <c r="U39" s="2" t="s">
        <v>51</v>
      </c>
      <c r="V39" s="1">
        <v>3693</v>
      </c>
      <c r="W39" s="1">
        <v>2485</v>
      </c>
      <c r="X39" s="2" t="s">
        <v>332</v>
      </c>
      <c r="Y39" s="2" t="s">
        <v>98</v>
      </c>
      <c r="Z39" s="2" t="s">
        <v>112</v>
      </c>
      <c r="AA39" s="2" t="s">
        <v>113</v>
      </c>
      <c r="AB39" s="1">
        <v>15822</v>
      </c>
      <c r="AC39" s="1">
        <v>9398</v>
      </c>
      <c r="AD39" s="1">
        <v>4130</v>
      </c>
      <c r="AE39" s="1">
        <v>1287</v>
      </c>
      <c r="AF39" s="1">
        <v>279</v>
      </c>
      <c r="AG39" s="1">
        <v>36</v>
      </c>
      <c r="AH39" s="1">
        <v>6232</v>
      </c>
      <c r="AI39" s="1">
        <v>12438</v>
      </c>
      <c r="AJ39" s="1">
        <v>462</v>
      </c>
      <c r="AK39" s="1">
        <v>3472</v>
      </c>
      <c r="AL39" s="1">
        <v>214</v>
      </c>
      <c r="AM39" s="1">
        <v>84</v>
      </c>
      <c r="AN39" s="2" t="s">
        <v>370</v>
      </c>
    </row>
    <row r="40" spans="1:40" ht="28.2" x14ac:dyDescent="0.3">
      <c r="A40" s="1">
        <v>1088</v>
      </c>
      <c r="B40" s="2" t="s">
        <v>419</v>
      </c>
      <c r="C40" s="2" t="s">
        <v>420</v>
      </c>
      <c r="D40" s="1">
        <v>33</v>
      </c>
      <c r="E40" s="2" t="s">
        <v>75</v>
      </c>
      <c r="F40" s="50" t="s">
        <v>421</v>
      </c>
      <c r="G40" s="2" t="s">
        <v>422</v>
      </c>
      <c r="H40" s="1">
        <v>9317</v>
      </c>
      <c r="I40" s="1">
        <v>7766</v>
      </c>
      <c r="J40" s="2" t="s">
        <v>423</v>
      </c>
      <c r="K40" s="2" t="s">
        <v>424</v>
      </c>
      <c r="L40" s="2" t="s">
        <v>425</v>
      </c>
      <c r="M40" s="1">
        <v>457</v>
      </c>
      <c r="N40" s="1">
        <v>12154</v>
      </c>
      <c r="O40" s="2" t="s">
        <v>81</v>
      </c>
      <c r="P40" s="2" t="s">
        <v>50</v>
      </c>
      <c r="Q40" s="2" t="s">
        <v>65</v>
      </c>
      <c r="R40" s="2" t="s">
        <v>135</v>
      </c>
      <c r="S40" s="2" t="s">
        <v>96</v>
      </c>
      <c r="T40" s="1">
        <v>6279</v>
      </c>
      <c r="U40" s="2" t="s">
        <v>51</v>
      </c>
      <c r="V40" s="1">
        <v>1595</v>
      </c>
      <c r="W40" s="1">
        <v>1041</v>
      </c>
      <c r="X40" s="2" t="s">
        <v>426</v>
      </c>
      <c r="Y40" s="2" t="s">
        <v>169</v>
      </c>
      <c r="Z40" s="2" t="s">
        <v>427</v>
      </c>
      <c r="AA40" s="2" t="s">
        <v>428</v>
      </c>
      <c r="AB40" s="1">
        <v>5875</v>
      </c>
      <c r="AC40" s="1">
        <v>3952</v>
      </c>
      <c r="AD40" s="1">
        <v>1735</v>
      </c>
      <c r="AE40" s="1">
        <v>484</v>
      </c>
      <c r="AF40" s="1">
        <v>99</v>
      </c>
      <c r="AG40" s="1">
        <v>9</v>
      </c>
      <c r="AH40" s="1">
        <v>1248</v>
      </c>
      <c r="AI40" s="1">
        <v>5656</v>
      </c>
      <c r="AJ40" s="1">
        <v>105</v>
      </c>
      <c r="AK40" s="1">
        <v>2206</v>
      </c>
      <c r="AL40" s="1">
        <v>112</v>
      </c>
      <c r="AM40" s="1">
        <v>7</v>
      </c>
      <c r="AN40" s="2" t="s">
        <v>370</v>
      </c>
    </row>
    <row r="41" spans="1:40" ht="28.2" x14ac:dyDescent="0.3">
      <c r="A41" s="1">
        <v>11140</v>
      </c>
      <c r="B41" s="2" t="s">
        <v>429</v>
      </c>
      <c r="C41" s="2" t="s">
        <v>430</v>
      </c>
      <c r="D41" s="1">
        <v>23</v>
      </c>
      <c r="E41" s="2" t="s">
        <v>299</v>
      </c>
      <c r="F41" s="50" t="s">
        <v>260</v>
      </c>
      <c r="G41" s="2" t="s">
        <v>431</v>
      </c>
      <c r="H41" s="1">
        <v>18179</v>
      </c>
      <c r="I41" s="1">
        <v>15568</v>
      </c>
      <c r="J41" s="2" t="s">
        <v>432</v>
      </c>
      <c r="K41" s="2" t="s">
        <v>232</v>
      </c>
      <c r="L41" s="2" t="s">
        <v>433</v>
      </c>
      <c r="M41" s="1">
        <v>946</v>
      </c>
      <c r="N41" s="1">
        <v>23988</v>
      </c>
      <c r="O41" s="2" t="s">
        <v>234</v>
      </c>
      <c r="P41" s="2" t="s">
        <v>434</v>
      </c>
      <c r="Q41" s="2" t="s">
        <v>276</v>
      </c>
      <c r="R41" s="2" t="s">
        <v>50</v>
      </c>
      <c r="S41" s="2" t="s">
        <v>96</v>
      </c>
      <c r="T41" s="1">
        <v>11887</v>
      </c>
      <c r="U41" s="2" t="s">
        <v>51</v>
      </c>
      <c r="V41" s="1">
        <v>2792</v>
      </c>
      <c r="W41" s="1">
        <v>2439</v>
      </c>
      <c r="X41" s="2" t="s">
        <v>111</v>
      </c>
      <c r="Y41" s="2" t="s">
        <v>277</v>
      </c>
      <c r="Z41" s="2" t="s">
        <v>435</v>
      </c>
      <c r="AA41" s="2" t="s">
        <v>436</v>
      </c>
      <c r="AB41" s="1">
        <v>12101</v>
      </c>
      <c r="AC41" s="1">
        <v>7199</v>
      </c>
      <c r="AD41" s="1">
        <v>3368</v>
      </c>
      <c r="AE41" s="1">
        <v>1063</v>
      </c>
      <c r="AF41" s="1">
        <v>230</v>
      </c>
      <c r="AG41" s="1">
        <v>27</v>
      </c>
      <c r="AH41" s="1">
        <v>12322</v>
      </c>
      <c r="AI41" s="1">
        <v>825</v>
      </c>
      <c r="AJ41" s="1">
        <v>1492</v>
      </c>
      <c r="AK41" s="1">
        <v>3018</v>
      </c>
      <c r="AL41" s="1">
        <v>490</v>
      </c>
      <c r="AM41" s="1">
        <v>77</v>
      </c>
      <c r="AN41" s="2" t="s">
        <v>127</v>
      </c>
    </row>
    <row r="42" spans="1:40" x14ac:dyDescent="0.3">
      <c r="A42" s="1">
        <v>5736</v>
      </c>
      <c r="B42" s="2" t="s">
        <v>437</v>
      </c>
      <c r="C42" s="2" t="s">
        <v>438</v>
      </c>
      <c r="D42" s="1">
        <v>29</v>
      </c>
      <c r="E42" s="2" t="s">
        <v>104</v>
      </c>
      <c r="F42" s="50" t="s">
        <v>3514</v>
      </c>
      <c r="G42" s="2" t="s">
        <v>439</v>
      </c>
      <c r="H42" s="1">
        <v>16548</v>
      </c>
      <c r="I42" s="1">
        <v>14142</v>
      </c>
      <c r="J42" s="2" t="s">
        <v>440</v>
      </c>
      <c r="K42" s="2" t="s">
        <v>424</v>
      </c>
      <c r="L42" s="2" t="s">
        <v>441</v>
      </c>
      <c r="M42" s="1">
        <v>827</v>
      </c>
      <c r="N42" s="1">
        <v>21606</v>
      </c>
      <c r="O42" s="2" t="s">
        <v>81</v>
      </c>
      <c r="P42" s="2" t="s">
        <v>50</v>
      </c>
      <c r="Q42" s="2" t="s">
        <v>276</v>
      </c>
      <c r="R42" s="2" t="s">
        <v>66</v>
      </c>
      <c r="S42" s="2" t="s">
        <v>96</v>
      </c>
      <c r="T42" s="1">
        <v>10956</v>
      </c>
      <c r="U42" s="2" t="s">
        <v>51</v>
      </c>
      <c r="V42" s="1">
        <v>2929</v>
      </c>
      <c r="W42" s="1">
        <v>2200</v>
      </c>
      <c r="X42" s="2" t="s">
        <v>442</v>
      </c>
      <c r="Y42" s="2" t="s">
        <v>172</v>
      </c>
      <c r="Z42" s="2" t="s">
        <v>443</v>
      </c>
      <c r="AA42" s="2" t="s">
        <v>171</v>
      </c>
      <c r="AB42" s="1">
        <v>10650</v>
      </c>
      <c r="AC42" s="1">
        <v>6792</v>
      </c>
      <c r="AD42" s="1">
        <v>2989</v>
      </c>
      <c r="AE42" s="1">
        <v>945</v>
      </c>
      <c r="AF42" s="1">
        <v>207</v>
      </c>
      <c r="AG42" s="1">
        <v>23</v>
      </c>
      <c r="AH42" s="1">
        <v>5082</v>
      </c>
      <c r="AI42" s="1">
        <v>7983</v>
      </c>
      <c r="AJ42" s="1">
        <v>732</v>
      </c>
      <c r="AK42" s="1">
        <v>2586</v>
      </c>
      <c r="AL42" s="1">
        <v>142</v>
      </c>
      <c r="AM42" s="1">
        <v>48</v>
      </c>
      <c r="AN42" s="2" t="s">
        <v>370</v>
      </c>
    </row>
    <row r="43" spans="1:40" x14ac:dyDescent="0.3">
      <c r="A43" s="1">
        <v>11816</v>
      </c>
      <c r="B43" s="2" t="s">
        <v>444</v>
      </c>
      <c r="C43" s="2" t="s">
        <v>445</v>
      </c>
      <c r="D43" s="1">
        <v>22</v>
      </c>
      <c r="E43" s="2" t="s">
        <v>446</v>
      </c>
      <c r="F43" s="50" t="s">
        <v>447</v>
      </c>
      <c r="G43" s="2" t="s">
        <v>188</v>
      </c>
      <c r="H43" s="1">
        <v>22490</v>
      </c>
      <c r="I43" s="1">
        <v>18697</v>
      </c>
      <c r="J43" s="2" t="s">
        <v>448</v>
      </c>
      <c r="K43" s="2" t="s">
        <v>424</v>
      </c>
      <c r="L43" s="2" t="s">
        <v>63</v>
      </c>
      <c r="M43" s="1">
        <v>1149</v>
      </c>
      <c r="N43" s="1">
        <v>30413</v>
      </c>
      <c r="O43" s="2" t="s">
        <v>283</v>
      </c>
      <c r="P43" s="2" t="s">
        <v>67</v>
      </c>
      <c r="Q43" s="2" t="s">
        <v>49</v>
      </c>
      <c r="R43" s="2" t="s">
        <v>135</v>
      </c>
      <c r="S43" s="2" t="s">
        <v>96</v>
      </c>
      <c r="T43" s="1">
        <v>14993</v>
      </c>
      <c r="U43" s="2" t="s">
        <v>51</v>
      </c>
      <c r="V43" s="1">
        <v>2943</v>
      </c>
      <c r="W43" s="1">
        <v>2410</v>
      </c>
      <c r="X43" s="2" t="s">
        <v>114</v>
      </c>
      <c r="Y43" s="2" t="s">
        <v>449</v>
      </c>
      <c r="Z43" s="2" t="s">
        <v>54</v>
      </c>
      <c r="AA43" s="2" t="s">
        <v>363</v>
      </c>
      <c r="AB43" s="1">
        <v>15420</v>
      </c>
      <c r="AC43" s="1">
        <v>9347</v>
      </c>
      <c r="AD43" s="1">
        <v>4109</v>
      </c>
      <c r="AE43" s="1">
        <v>1251</v>
      </c>
      <c r="AF43" s="1">
        <v>258</v>
      </c>
      <c r="AG43" s="1">
        <v>28</v>
      </c>
      <c r="AH43" s="1">
        <v>16807</v>
      </c>
      <c r="AI43" s="1">
        <v>1080</v>
      </c>
      <c r="AJ43" s="1">
        <v>738</v>
      </c>
      <c r="AK43" s="1">
        <v>3679</v>
      </c>
      <c r="AL43" s="1">
        <v>131</v>
      </c>
      <c r="AM43" s="1">
        <v>117</v>
      </c>
      <c r="AN43" s="2" t="s">
        <v>84</v>
      </c>
    </row>
    <row r="44" spans="1:40" x14ac:dyDescent="0.3">
      <c r="A44" s="1">
        <v>14087</v>
      </c>
      <c r="B44" s="2" t="s">
        <v>450</v>
      </c>
      <c r="C44" s="2" t="s">
        <v>451</v>
      </c>
      <c r="D44" s="1">
        <v>21</v>
      </c>
      <c r="E44" s="2" t="s">
        <v>452</v>
      </c>
      <c r="F44" s="50" t="s">
        <v>3514</v>
      </c>
      <c r="G44" s="2" t="s">
        <v>453</v>
      </c>
      <c r="H44" s="1">
        <v>10302</v>
      </c>
      <c r="I44" s="1">
        <v>8894</v>
      </c>
      <c r="J44" s="2" t="s">
        <v>454</v>
      </c>
      <c r="K44" s="2" t="s">
        <v>341</v>
      </c>
      <c r="L44" s="2" t="s">
        <v>275</v>
      </c>
      <c r="M44" s="1">
        <v>503</v>
      </c>
      <c r="N44" s="1">
        <v>13449</v>
      </c>
      <c r="O44" s="2" t="s">
        <v>81</v>
      </c>
      <c r="P44" s="2" t="s">
        <v>50</v>
      </c>
      <c r="Q44" s="2" t="s">
        <v>322</v>
      </c>
      <c r="R44" s="2" t="s">
        <v>66</v>
      </c>
      <c r="S44" s="2" t="s">
        <v>96</v>
      </c>
      <c r="T44" s="1">
        <v>6747</v>
      </c>
      <c r="U44" s="2" t="s">
        <v>51</v>
      </c>
      <c r="V44" s="1">
        <v>2050</v>
      </c>
      <c r="W44" s="1">
        <v>1538</v>
      </c>
      <c r="X44" s="2" t="s">
        <v>442</v>
      </c>
      <c r="Y44" s="2" t="s">
        <v>69</v>
      </c>
      <c r="Z44" s="2" t="s">
        <v>455</v>
      </c>
      <c r="AA44" s="2" t="s">
        <v>456</v>
      </c>
      <c r="AB44" s="1">
        <v>6702</v>
      </c>
      <c r="AC44" s="1">
        <v>4128</v>
      </c>
      <c r="AD44" s="1">
        <v>1826</v>
      </c>
      <c r="AE44" s="1">
        <v>658</v>
      </c>
      <c r="AF44" s="1">
        <v>127</v>
      </c>
      <c r="AG44" s="1">
        <v>8</v>
      </c>
      <c r="AH44" s="1">
        <v>2872</v>
      </c>
      <c r="AI44" s="1">
        <v>5073</v>
      </c>
      <c r="AJ44" s="1">
        <v>421</v>
      </c>
      <c r="AK44" s="1">
        <v>1835</v>
      </c>
      <c r="AL44" s="1">
        <v>83</v>
      </c>
      <c r="AM44" s="1">
        <v>46</v>
      </c>
      <c r="AN44" s="2" t="s">
        <v>84</v>
      </c>
    </row>
    <row r="45" spans="1:40" ht="28.2" x14ac:dyDescent="0.3">
      <c r="A45" s="1">
        <v>9884</v>
      </c>
      <c r="B45" s="2" t="s">
        <v>457</v>
      </c>
      <c r="C45" s="2" t="s">
        <v>458</v>
      </c>
      <c r="D45" s="1">
        <v>20</v>
      </c>
      <c r="E45" s="2" t="s">
        <v>459</v>
      </c>
      <c r="F45" s="50" t="s">
        <v>3514</v>
      </c>
      <c r="G45" s="2" t="s">
        <v>460</v>
      </c>
      <c r="H45" s="1">
        <v>10634</v>
      </c>
      <c r="I45" s="1">
        <v>9395</v>
      </c>
      <c r="J45" s="2" t="s">
        <v>405</v>
      </c>
      <c r="K45" s="2" t="s">
        <v>461</v>
      </c>
      <c r="L45" s="2" t="s">
        <v>462</v>
      </c>
      <c r="M45" s="1">
        <v>525</v>
      </c>
      <c r="N45" s="1">
        <v>13568</v>
      </c>
      <c r="O45" s="2" t="s">
        <v>123</v>
      </c>
      <c r="P45" s="2" t="s">
        <v>235</v>
      </c>
      <c r="Q45" s="2" t="s">
        <v>463</v>
      </c>
      <c r="R45" s="2" t="s">
        <v>67</v>
      </c>
      <c r="S45" s="2" t="s">
        <v>235</v>
      </c>
      <c r="T45" s="1">
        <v>6906</v>
      </c>
      <c r="U45" s="2" t="s">
        <v>51</v>
      </c>
      <c r="V45" s="1">
        <v>1518</v>
      </c>
      <c r="W45" s="1">
        <v>1276</v>
      </c>
      <c r="X45" s="2" t="s">
        <v>127</v>
      </c>
      <c r="Y45" s="2" t="s">
        <v>464</v>
      </c>
      <c r="Z45" s="2" t="s">
        <v>170</v>
      </c>
      <c r="AA45" s="2" t="s">
        <v>86</v>
      </c>
      <c r="AB45" s="1">
        <v>6662</v>
      </c>
      <c r="AC45" s="1">
        <v>4167</v>
      </c>
      <c r="AD45" s="1">
        <v>1920</v>
      </c>
      <c r="AE45" s="1">
        <v>672</v>
      </c>
      <c r="AF45" s="1">
        <v>124</v>
      </c>
      <c r="AG45" s="1">
        <v>23</v>
      </c>
      <c r="AH45" s="1">
        <v>8173</v>
      </c>
      <c r="AI45" s="1">
        <v>205</v>
      </c>
      <c r="AJ45" s="1">
        <v>404</v>
      </c>
      <c r="AK45" s="1">
        <v>1766</v>
      </c>
      <c r="AL45" s="1">
        <v>91</v>
      </c>
      <c r="AM45" s="1">
        <v>16</v>
      </c>
      <c r="AN45" s="2" t="s">
        <v>370</v>
      </c>
    </row>
    <row r="46" spans="1:40" x14ac:dyDescent="0.3">
      <c r="A46" s="1">
        <v>8412</v>
      </c>
      <c r="B46" s="2" t="s">
        <v>465</v>
      </c>
      <c r="C46" s="2" t="s">
        <v>466</v>
      </c>
      <c r="D46" s="1">
        <v>25</v>
      </c>
      <c r="E46" s="2" t="s">
        <v>467</v>
      </c>
      <c r="F46" s="50" t="s">
        <v>468</v>
      </c>
      <c r="G46" s="2" t="s">
        <v>469</v>
      </c>
      <c r="H46" s="1">
        <v>24903</v>
      </c>
      <c r="I46" s="1">
        <v>20679</v>
      </c>
      <c r="J46" s="2" t="s">
        <v>470</v>
      </c>
      <c r="K46" s="2">
        <v>77</v>
      </c>
      <c r="L46" s="2" t="s">
        <v>471</v>
      </c>
      <c r="M46" s="1">
        <v>1283</v>
      </c>
      <c r="N46" s="1">
        <v>33620</v>
      </c>
      <c r="O46" s="2" t="s">
        <v>283</v>
      </c>
      <c r="P46" s="2" t="s">
        <v>48</v>
      </c>
      <c r="Q46" s="2" t="s">
        <v>144</v>
      </c>
      <c r="R46" s="2" t="s">
        <v>66</v>
      </c>
      <c r="S46" s="2" t="s">
        <v>67</v>
      </c>
      <c r="T46" s="1">
        <v>16695</v>
      </c>
      <c r="U46" s="2" t="s">
        <v>51</v>
      </c>
      <c r="V46" s="1">
        <v>2721</v>
      </c>
      <c r="W46" s="1">
        <v>2236</v>
      </c>
      <c r="X46" s="2" t="s">
        <v>114</v>
      </c>
      <c r="Y46" s="2" t="s">
        <v>472</v>
      </c>
      <c r="Z46" s="2" t="s">
        <v>473</v>
      </c>
      <c r="AA46" s="2" t="s">
        <v>474</v>
      </c>
      <c r="AB46" s="1">
        <v>16925</v>
      </c>
      <c r="AC46" s="1">
        <v>10474</v>
      </c>
      <c r="AD46" s="1">
        <v>4539</v>
      </c>
      <c r="AE46" s="1">
        <v>1418</v>
      </c>
      <c r="AF46" s="1">
        <v>237</v>
      </c>
      <c r="AG46" s="1">
        <v>27</v>
      </c>
      <c r="AH46" s="1">
        <v>19438</v>
      </c>
      <c r="AI46" s="1">
        <v>349</v>
      </c>
      <c r="AJ46" s="1">
        <v>272</v>
      </c>
      <c r="AK46" s="1">
        <v>4561</v>
      </c>
      <c r="AL46" s="1">
        <v>296</v>
      </c>
      <c r="AM46" s="1">
        <v>45</v>
      </c>
      <c r="AN46" s="2" t="s">
        <v>362</v>
      </c>
    </row>
    <row r="47" spans="1:40" ht="28.2" x14ac:dyDescent="0.3">
      <c r="A47" s="1">
        <v>13238</v>
      </c>
      <c r="B47" s="2" t="s">
        <v>475</v>
      </c>
      <c r="C47" s="2" t="s">
        <v>476</v>
      </c>
      <c r="D47" s="1">
        <v>23</v>
      </c>
      <c r="E47" s="2" t="s">
        <v>477</v>
      </c>
      <c r="F47" s="50" t="s">
        <v>3514</v>
      </c>
      <c r="G47" s="2" t="s">
        <v>478</v>
      </c>
      <c r="H47" s="1">
        <v>9304</v>
      </c>
      <c r="I47" s="1">
        <v>7896</v>
      </c>
      <c r="J47" s="2" t="s">
        <v>479</v>
      </c>
      <c r="K47" s="2" t="s">
        <v>480</v>
      </c>
      <c r="L47" s="2">
        <v>2</v>
      </c>
      <c r="M47" s="1">
        <v>476</v>
      </c>
      <c r="N47" s="1">
        <v>12393</v>
      </c>
      <c r="O47" s="2" t="s">
        <v>180</v>
      </c>
      <c r="P47" s="2" t="s">
        <v>50</v>
      </c>
      <c r="Q47" s="2" t="s">
        <v>65</v>
      </c>
      <c r="R47" s="2" t="s">
        <v>66</v>
      </c>
      <c r="S47" s="2" t="s">
        <v>96</v>
      </c>
      <c r="T47" s="1">
        <v>6199</v>
      </c>
      <c r="U47" s="2" t="s">
        <v>51</v>
      </c>
      <c r="V47" s="1">
        <v>1542</v>
      </c>
      <c r="W47" s="1">
        <v>1102</v>
      </c>
      <c r="X47" s="2" t="s">
        <v>203</v>
      </c>
      <c r="Y47" s="2" t="s">
        <v>111</v>
      </c>
      <c r="Z47" s="2" t="s">
        <v>54</v>
      </c>
      <c r="AA47" s="2" t="s">
        <v>354</v>
      </c>
      <c r="AB47" s="1">
        <v>6194</v>
      </c>
      <c r="AC47" s="1">
        <v>3885</v>
      </c>
      <c r="AD47" s="1">
        <v>1655</v>
      </c>
      <c r="AE47" s="1">
        <v>538</v>
      </c>
      <c r="AF47" s="1">
        <v>110</v>
      </c>
      <c r="AG47" s="1">
        <v>11</v>
      </c>
      <c r="AH47" s="1">
        <v>3249</v>
      </c>
      <c r="AI47" s="1">
        <v>3987</v>
      </c>
      <c r="AJ47" s="1">
        <v>349</v>
      </c>
      <c r="AK47" s="1">
        <v>1649</v>
      </c>
      <c r="AL47" s="1">
        <v>63</v>
      </c>
      <c r="AM47" s="1">
        <v>27</v>
      </c>
      <c r="AN47" s="2" t="s">
        <v>111</v>
      </c>
    </row>
    <row r="48" spans="1:40" ht="28.2" x14ac:dyDescent="0.3">
      <c r="A48" s="1">
        <v>12733</v>
      </c>
      <c r="B48" s="2" t="s">
        <v>481</v>
      </c>
      <c r="C48" s="2" t="s">
        <v>482</v>
      </c>
      <c r="D48" s="1">
        <v>24</v>
      </c>
      <c r="E48" s="2" t="s">
        <v>75</v>
      </c>
      <c r="F48" s="50" t="s">
        <v>483</v>
      </c>
      <c r="G48" s="2" t="s">
        <v>484</v>
      </c>
      <c r="H48" s="1">
        <v>24769</v>
      </c>
      <c r="I48" s="1">
        <v>20066</v>
      </c>
      <c r="J48" s="2" t="s">
        <v>485</v>
      </c>
      <c r="K48" s="2" t="s">
        <v>486</v>
      </c>
      <c r="L48" s="2" t="s">
        <v>487</v>
      </c>
      <c r="M48" s="1">
        <v>1282</v>
      </c>
      <c r="N48" s="1">
        <v>34452</v>
      </c>
      <c r="O48" s="2" t="s">
        <v>311</v>
      </c>
      <c r="P48" s="2" t="s">
        <v>66</v>
      </c>
      <c r="Q48" s="2" t="s">
        <v>284</v>
      </c>
      <c r="R48" s="2" t="s">
        <v>135</v>
      </c>
      <c r="S48" s="2" t="s">
        <v>66</v>
      </c>
      <c r="T48" s="1">
        <v>16798</v>
      </c>
      <c r="U48" s="2" t="s">
        <v>51</v>
      </c>
      <c r="V48" s="1">
        <v>5002</v>
      </c>
      <c r="W48" s="1">
        <v>3073</v>
      </c>
      <c r="X48" s="2" t="s">
        <v>488</v>
      </c>
      <c r="Y48" s="2" t="s">
        <v>69</v>
      </c>
      <c r="Z48" s="2" t="s">
        <v>256</v>
      </c>
      <c r="AA48" s="2" t="s">
        <v>71</v>
      </c>
      <c r="AB48" s="1">
        <v>17654</v>
      </c>
      <c r="AC48" s="1">
        <v>10662</v>
      </c>
      <c r="AD48" s="1">
        <v>4559</v>
      </c>
      <c r="AE48" s="1">
        <v>1337</v>
      </c>
      <c r="AF48" s="1">
        <v>222</v>
      </c>
      <c r="AG48" s="1">
        <v>18</v>
      </c>
      <c r="AH48" s="1">
        <v>2339</v>
      </c>
      <c r="AI48" s="1">
        <v>17549</v>
      </c>
      <c r="AJ48" s="1">
        <v>825</v>
      </c>
      <c r="AK48" s="1">
        <v>3919</v>
      </c>
      <c r="AL48" s="1">
        <v>175</v>
      </c>
      <c r="AM48" s="1">
        <v>47</v>
      </c>
      <c r="AN48" s="2" t="s">
        <v>84</v>
      </c>
    </row>
    <row r="49" spans="1:40" ht="28.2" x14ac:dyDescent="0.3">
      <c r="A49" s="1">
        <v>15662</v>
      </c>
      <c r="B49" s="2" t="s">
        <v>489</v>
      </c>
      <c r="C49" s="2" t="s">
        <v>490</v>
      </c>
      <c r="D49" s="1">
        <v>24</v>
      </c>
      <c r="E49" s="2" t="s">
        <v>75</v>
      </c>
      <c r="F49" s="50" t="s">
        <v>491</v>
      </c>
      <c r="G49" s="2" t="s">
        <v>492</v>
      </c>
      <c r="H49" s="1">
        <v>14696</v>
      </c>
      <c r="I49" s="1">
        <v>12200</v>
      </c>
      <c r="J49" s="2" t="s">
        <v>493</v>
      </c>
      <c r="K49" s="2" t="s">
        <v>494</v>
      </c>
      <c r="L49" s="2" t="s">
        <v>179</v>
      </c>
      <c r="M49" s="1">
        <v>754</v>
      </c>
      <c r="N49" s="1">
        <v>20154</v>
      </c>
      <c r="O49" s="2" t="s">
        <v>495</v>
      </c>
      <c r="P49" s="2" t="s">
        <v>96</v>
      </c>
      <c r="Q49" s="2" t="s">
        <v>49</v>
      </c>
      <c r="R49" s="2" t="s">
        <v>96</v>
      </c>
      <c r="S49" s="2" t="s">
        <v>67</v>
      </c>
      <c r="T49" s="1">
        <v>9854</v>
      </c>
      <c r="U49" s="2" t="s">
        <v>51</v>
      </c>
      <c r="V49" s="1">
        <v>2584</v>
      </c>
      <c r="W49" s="1">
        <v>1670</v>
      </c>
      <c r="X49" s="2" t="s">
        <v>496</v>
      </c>
      <c r="Y49" s="2" t="s">
        <v>172</v>
      </c>
      <c r="Z49" s="2" t="s">
        <v>237</v>
      </c>
      <c r="AA49" s="2" t="s">
        <v>497</v>
      </c>
      <c r="AB49" s="1">
        <v>10300</v>
      </c>
      <c r="AC49" s="1">
        <v>6195</v>
      </c>
      <c r="AD49" s="1">
        <v>2676</v>
      </c>
      <c r="AE49" s="1">
        <v>805</v>
      </c>
      <c r="AF49" s="1">
        <v>156</v>
      </c>
      <c r="AG49" s="1">
        <v>22</v>
      </c>
      <c r="AH49" s="1">
        <v>4279</v>
      </c>
      <c r="AI49" s="1">
        <v>7548</v>
      </c>
      <c r="AJ49" s="1">
        <v>239</v>
      </c>
      <c r="AK49" s="1">
        <v>2509</v>
      </c>
      <c r="AL49" s="1">
        <v>139</v>
      </c>
      <c r="AM49" s="1">
        <v>27</v>
      </c>
      <c r="AN49" s="2" t="s">
        <v>84</v>
      </c>
    </row>
    <row r="50" spans="1:40" ht="28.2" x14ac:dyDescent="0.3">
      <c r="A50" s="1">
        <v>10394</v>
      </c>
      <c r="B50" s="2" t="s">
        <v>498</v>
      </c>
      <c r="C50" s="2" t="s">
        <v>499</v>
      </c>
      <c r="D50" s="1">
        <v>22</v>
      </c>
      <c r="E50" s="2" t="s">
        <v>500</v>
      </c>
      <c r="F50" s="50" t="s">
        <v>447</v>
      </c>
      <c r="G50" s="2" t="s">
        <v>501</v>
      </c>
      <c r="H50" s="1">
        <v>26811</v>
      </c>
      <c r="I50" s="1">
        <v>22783</v>
      </c>
      <c r="J50" s="2" t="s">
        <v>502</v>
      </c>
      <c r="K50" s="2" t="s">
        <v>480</v>
      </c>
      <c r="L50" s="2" t="s">
        <v>93</v>
      </c>
      <c r="M50" s="1">
        <v>1394</v>
      </c>
      <c r="N50" s="1">
        <v>36637</v>
      </c>
      <c r="O50" s="2" t="s">
        <v>495</v>
      </c>
      <c r="P50" s="2" t="s">
        <v>67</v>
      </c>
      <c r="Q50" s="2" t="s">
        <v>144</v>
      </c>
      <c r="R50" s="2" t="s">
        <v>50</v>
      </c>
      <c r="S50" s="2" t="s">
        <v>48</v>
      </c>
      <c r="T50" s="1">
        <v>17685</v>
      </c>
      <c r="U50" s="2" t="s">
        <v>51</v>
      </c>
      <c r="V50" s="1">
        <v>3212</v>
      </c>
      <c r="W50" s="1">
        <v>2943</v>
      </c>
      <c r="X50" s="2" t="s">
        <v>295</v>
      </c>
      <c r="Y50" s="2" t="s">
        <v>503</v>
      </c>
      <c r="Z50" s="2" t="s">
        <v>137</v>
      </c>
      <c r="AA50" s="2" t="s">
        <v>247</v>
      </c>
      <c r="AB50" s="1">
        <v>18952</v>
      </c>
      <c r="AC50" s="1">
        <v>10984</v>
      </c>
      <c r="AD50" s="1">
        <v>4732</v>
      </c>
      <c r="AE50" s="1">
        <v>1563</v>
      </c>
      <c r="AF50" s="1">
        <v>356</v>
      </c>
      <c r="AG50" s="1">
        <v>50</v>
      </c>
      <c r="AH50" s="1">
        <v>19443</v>
      </c>
      <c r="AI50" s="1">
        <v>782</v>
      </c>
      <c r="AJ50" s="1">
        <v>1240</v>
      </c>
      <c r="AK50" s="1">
        <v>5120</v>
      </c>
      <c r="AL50" s="1">
        <v>239</v>
      </c>
      <c r="AM50" s="1">
        <v>65</v>
      </c>
      <c r="AN50" s="2" t="s">
        <v>362</v>
      </c>
    </row>
    <row r="51" spans="1:40" ht="28.2" x14ac:dyDescent="0.3">
      <c r="A51" s="1">
        <v>8943</v>
      </c>
      <c r="B51" s="2" t="s">
        <v>504</v>
      </c>
      <c r="C51" s="2" t="s">
        <v>505</v>
      </c>
      <c r="D51" s="1">
        <v>23</v>
      </c>
      <c r="E51" s="2" t="s">
        <v>290</v>
      </c>
      <c r="F51" s="50" t="s">
        <v>3514</v>
      </c>
      <c r="G51" s="2" t="s">
        <v>506</v>
      </c>
      <c r="H51" s="1">
        <v>14145</v>
      </c>
      <c r="I51" s="1">
        <v>12334</v>
      </c>
      <c r="J51" s="2" t="s">
        <v>507</v>
      </c>
      <c r="K51" s="2" t="s">
        <v>424</v>
      </c>
      <c r="L51" s="2" t="s">
        <v>462</v>
      </c>
      <c r="M51" s="1">
        <v>722</v>
      </c>
      <c r="N51" s="1">
        <v>18651</v>
      </c>
      <c r="O51" s="2" t="s">
        <v>234</v>
      </c>
      <c r="P51" s="2" t="s">
        <v>67</v>
      </c>
      <c r="Q51" s="2" t="s">
        <v>322</v>
      </c>
      <c r="R51" s="2" t="s">
        <v>96</v>
      </c>
      <c r="S51" s="2" t="s">
        <v>96</v>
      </c>
      <c r="T51" s="1">
        <v>9213</v>
      </c>
      <c r="U51" s="2" t="s">
        <v>51</v>
      </c>
      <c r="V51" s="1">
        <v>2658</v>
      </c>
      <c r="W51" s="1">
        <v>1858</v>
      </c>
      <c r="X51" s="2" t="s">
        <v>236</v>
      </c>
      <c r="Y51" s="2" t="s">
        <v>136</v>
      </c>
      <c r="Z51" s="2" t="s">
        <v>508</v>
      </c>
      <c r="AA51" s="2" t="s">
        <v>509</v>
      </c>
      <c r="AB51" s="1">
        <v>9438</v>
      </c>
      <c r="AC51" s="1">
        <v>5577</v>
      </c>
      <c r="AD51" s="1">
        <v>2549</v>
      </c>
      <c r="AE51" s="1">
        <v>897</v>
      </c>
      <c r="AF51" s="1">
        <v>171</v>
      </c>
      <c r="AG51" s="1">
        <v>19</v>
      </c>
      <c r="AH51" s="1">
        <v>4741</v>
      </c>
      <c r="AI51" s="1">
        <v>6178</v>
      </c>
      <c r="AJ51" s="1">
        <v>525</v>
      </c>
      <c r="AK51" s="1">
        <v>2539</v>
      </c>
      <c r="AL51" s="1">
        <v>167</v>
      </c>
      <c r="AM51" s="1">
        <v>24</v>
      </c>
      <c r="AN51" s="2" t="s">
        <v>362</v>
      </c>
    </row>
    <row r="52" spans="1:40" x14ac:dyDescent="0.3">
      <c r="A52" s="1">
        <v>14736</v>
      </c>
      <c r="B52" s="2" t="s">
        <v>510</v>
      </c>
      <c r="C52" s="2" t="s">
        <v>511</v>
      </c>
      <c r="D52" s="1">
        <v>21</v>
      </c>
      <c r="E52" s="2" t="s">
        <v>512</v>
      </c>
      <c r="F52" s="50" t="s">
        <v>513</v>
      </c>
      <c r="G52" s="2" t="s">
        <v>513</v>
      </c>
      <c r="H52" s="1">
        <v>8304</v>
      </c>
      <c r="I52" s="1">
        <v>6898</v>
      </c>
      <c r="J52" s="2" t="s">
        <v>514</v>
      </c>
      <c r="K52" s="2" t="s">
        <v>515</v>
      </c>
      <c r="L52" s="2" t="s">
        <v>462</v>
      </c>
      <c r="M52" s="1">
        <v>426</v>
      </c>
      <c r="N52" s="1">
        <v>11279</v>
      </c>
      <c r="O52" s="2" t="s">
        <v>283</v>
      </c>
      <c r="P52" s="2" t="s">
        <v>48</v>
      </c>
      <c r="Q52" s="2" t="s">
        <v>49</v>
      </c>
      <c r="R52" s="2" t="s">
        <v>96</v>
      </c>
      <c r="S52" s="2" t="s">
        <v>48</v>
      </c>
      <c r="T52" s="1">
        <v>5602</v>
      </c>
      <c r="U52" s="2" t="s">
        <v>51</v>
      </c>
      <c r="V52" s="1">
        <v>1008</v>
      </c>
      <c r="W52" s="1">
        <v>777</v>
      </c>
      <c r="X52" s="2" t="s">
        <v>516</v>
      </c>
      <c r="Y52" s="2">
        <v>1</v>
      </c>
      <c r="Z52" s="2" t="s">
        <v>517</v>
      </c>
      <c r="AA52" s="2" t="s">
        <v>518</v>
      </c>
      <c r="AB52" s="1">
        <v>5677</v>
      </c>
      <c r="AC52" s="1">
        <v>3557</v>
      </c>
      <c r="AD52" s="1">
        <v>1494</v>
      </c>
      <c r="AE52" s="1">
        <v>452</v>
      </c>
      <c r="AF52" s="1">
        <v>92</v>
      </c>
      <c r="AG52" s="1">
        <v>7</v>
      </c>
      <c r="AH52" s="1">
        <v>6750</v>
      </c>
      <c r="AI52" s="1">
        <v>50</v>
      </c>
      <c r="AJ52" s="1">
        <v>201</v>
      </c>
      <c r="AK52" s="1">
        <v>1217</v>
      </c>
      <c r="AL52" s="1">
        <v>97</v>
      </c>
      <c r="AM52" s="1">
        <v>29</v>
      </c>
      <c r="AN52" s="2" t="s">
        <v>84</v>
      </c>
    </row>
    <row r="53" spans="1:40" ht="28.2" x14ac:dyDescent="0.3">
      <c r="A53" s="1">
        <v>2757</v>
      </c>
      <c r="B53" s="2" t="s">
        <v>519</v>
      </c>
      <c r="C53" s="2" t="s">
        <v>520</v>
      </c>
      <c r="D53" s="1">
        <v>31</v>
      </c>
      <c r="E53" s="2" t="s">
        <v>379</v>
      </c>
      <c r="F53" s="50" t="s">
        <v>521</v>
      </c>
      <c r="G53" s="2" t="s">
        <v>522</v>
      </c>
      <c r="H53" s="1">
        <v>30535</v>
      </c>
      <c r="I53" s="1">
        <v>25774</v>
      </c>
      <c r="J53" s="2" t="s">
        <v>523</v>
      </c>
      <c r="K53" s="2" t="s">
        <v>524</v>
      </c>
      <c r="L53" s="2" t="s">
        <v>275</v>
      </c>
      <c r="M53" s="1">
        <v>1578</v>
      </c>
      <c r="N53" s="1">
        <v>41357</v>
      </c>
      <c r="O53" s="2" t="s">
        <v>283</v>
      </c>
      <c r="P53" s="2" t="s">
        <v>67</v>
      </c>
      <c r="Q53" s="2" t="s">
        <v>144</v>
      </c>
      <c r="R53" s="2" t="s">
        <v>66</v>
      </c>
      <c r="S53" s="2" t="s">
        <v>96</v>
      </c>
      <c r="T53" s="1">
        <v>20238</v>
      </c>
      <c r="U53" s="2" t="s">
        <v>51</v>
      </c>
      <c r="V53" s="1">
        <v>5307</v>
      </c>
      <c r="W53" s="1">
        <v>3777</v>
      </c>
      <c r="X53" s="2" t="s">
        <v>525</v>
      </c>
      <c r="Y53" s="2" t="s">
        <v>206</v>
      </c>
      <c r="Z53" s="2" t="s">
        <v>99</v>
      </c>
      <c r="AA53" s="2" t="s">
        <v>497</v>
      </c>
      <c r="AB53" s="1">
        <v>21119</v>
      </c>
      <c r="AC53" s="1">
        <v>12563</v>
      </c>
      <c r="AD53" s="1">
        <v>5497</v>
      </c>
      <c r="AE53" s="1">
        <v>1828</v>
      </c>
      <c r="AF53" s="1">
        <v>313</v>
      </c>
      <c r="AG53" s="1">
        <v>37</v>
      </c>
      <c r="AH53" s="1">
        <v>6940</v>
      </c>
      <c r="AI53" s="1">
        <v>17441</v>
      </c>
      <c r="AJ53" s="1">
        <v>706</v>
      </c>
      <c r="AK53" s="1">
        <v>5096</v>
      </c>
      <c r="AL53" s="1">
        <v>326</v>
      </c>
      <c r="AM53" s="1">
        <v>68</v>
      </c>
      <c r="AN53" s="2" t="s">
        <v>362</v>
      </c>
    </row>
    <row r="54" spans="1:40" ht="28.2" x14ac:dyDescent="0.3">
      <c r="A54" s="1">
        <v>13249</v>
      </c>
      <c r="B54" s="2" t="s">
        <v>526</v>
      </c>
      <c r="C54" s="2" t="s">
        <v>527</v>
      </c>
      <c r="D54" s="1">
        <v>23</v>
      </c>
      <c r="E54" s="2" t="s">
        <v>459</v>
      </c>
      <c r="F54" s="50" t="s">
        <v>528</v>
      </c>
      <c r="G54" s="2" t="s">
        <v>529</v>
      </c>
      <c r="H54" s="1">
        <v>21303</v>
      </c>
      <c r="I54" s="1">
        <v>17903</v>
      </c>
      <c r="J54" s="2" t="s">
        <v>530</v>
      </c>
      <c r="K54" s="2" t="s">
        <v>531</v>
      </c>
      <c r="L54" s="2" t="s">
        <v>122</v>
      </c>
      <c r="M54" s="1">
        <v>1103</v>
      </c>
      <c r="N54" s="1">
        <v>28680</v>
      </c>
      <c r="O54" s="2" t="s">
        <v>283</v>
      </c>
      <c r="P54" s="2" t="s">
        <v>67</v>
      </c>
      <c r="Q54" s="2" t="s">
        <v>144</v>
      </c>
      <c r="R54" s="2" t="s">
        <v>67</v>
      </c>
      <c r="S54" s="2" t="s">
        <v>48</v>
      </c>
      <c r="T54" s="1">
        <v>14323</v>
      </c>
      <c r="U54" s="2" t="s">
        <v>51</v>
      </c>
      <c r="V54" s="1">
        <v>3355</v>
      </c>
      <c r="W54" s="1">
        <v>2407</v>
      </c>
      <c r="X54" s="2" t="s">
        <v>532</v>
      </c>
      <c r="Y54" s="2" t="s">
        <v>362</v>
      </c>
      <c r="Z54" s="2" t="s">
        <v>533</v>
      </c>
      <c r="AA54" s="2" t="s">
        <v>534</v>
      </c>
      <c r="AB54" s="1">
        <v>14357</v>
      </c>
      <c r="AC54" s="1">
        <v>9043</v>
      </c>
      <c r="AD54" s="1">
        <v>3866</v>
      </c>
      <c r="AE54" s="1">
        <v>1146</v>
      </c>
      <c r="AF54" s="1">
        <v>250</v>
      </c>
      <c r="AG54" s="1">
        <v>18</v>
      </c>
      <c r="AH54" s="1">
        <v>7051</v>
      </c>
      <c r="AI54" s="1">
        <v>10272</v>
      </c>
      <c r="AJ54" s="1">
        <v>391</v>
      </c>
      <c r="AK54" s="1">
        <v>3442</v>
      </c>
      <c r="AL54" s="1">
        <v>173</v>
      </c>
      <c r="AM54" s="1">
        <v>35</v>
      </c>
      <c r="AN54" s="2" t="s">
        <v>84</v>
      </c>
    </row>
    <row r="55" spans="1:40" ht="28.2" x14ac:dyDescent="0.3">
      <c r="A55" s="1">
        <v>11283</v>
      </c>
      <c r="B55" s="2" t="s">
        <v>535</v>
      </c>
      <c r="C55" s="2" t="s">
        <v>536</v>
      </c>
      <c r="D55" s="1">
        <v>24</v>
      </c>
      <c r="E55" s="2" t="s">
        <v>452</v>
      </c>
      <c r="F55" s="50" t="s">
        <v>537</v>
      </c>
      <c r="G55" s="2" t="s">
        <v>538</v>
      </c>
      <c r="H55" s="1">
        <v>16712</v>
      </c>
      <c r="I55" s="1">
        <v>14070</v>
      </c>
      <c r="J55" s="2" t="s">
        <v>539</v>
      </c>
      <c r="K55" s="2" t="s">
        <v>540</v>
      </c>
      <c r="L55" s="2" t="s">
        <v>541</v>
      </c>
      <c r="M55" s="1">
        <v>855</v>
      </c>
      <c r="N55" s="1">
        <v>22591</v>
      </c>
      <c r="O55" s="2" t="s">
        <v>283</v>
      </c>
      <c r="P55" s="2" t="s">
        <v>50</v>
      </c>
      <c r="Q55" s="2" t="s">
        <v>144</v>
      </c>
      <c r="R55" s="2" t="s">
        <v>96</v>
      </c>
      <c r="S55" s="2" t="s">
        <v>67</v>
      </c>
      <c r="T55" s="1">
        <v>11142</v>
      </c>
      <c r="U55" s="2" t="s">
        <v>51</v>
      </c>
      <c r="V55" s="1">
        <v>2836</v>
      </c>
      <c r="W55" s="1">
        <v>1902</v>
      </c>
      <c r="X55" s="2" t="s">
        <v>332</v>
      </c>
      <c r="Y55" s="2" t="s">
        <v>84</v>
      </c>
      <c r="Z55" s="2" t="s">
        <v>533</v>
      </c>
      <c r="AA55" s="2" t="s">
        <v>542</v>
      </c>
      <c r="AB55" s="1">
        <v>11449</v>
      </c>
      <c r="AC55" s="1">
        <v>6904</v>
      </c>
      <c r="AD55" s="1">
        <v>3104</v>
      </c>
      <c r="AE55" s="1">
        <v>955</v>
      </c>
      <c r="AF55" s="1">
        <v>160</v>
      </c>
      <c r="AG55" s="1">
        <v>19</v>
      </c>
      <c r="AH55" s="1">
        <v>3782</v>
      </c>
      <c r="AI55" s="1">
        <v>9345</v>
      </c>
      <c r="AJ55" s="1">
        <v>556</v>
      </c>
      <c r="AK55" s="1">
        <v>2879</v>
      </c>
      <c r="AL55" s="1">
        <v>170</v>
      </c>
      <c r="AM55" s="1">
        <v>13</v>
      </c>
      <c r="AN55" s="2" t="s">
        <v>84</v>
      </c>
    </row>
    <row r="56" spans="1:40" ht="42" x14ac:dyDescent="0.3">
      <c r="A56" s="1">
        <v>9277</v>
      </c>
      <c r="B56" s="2" t="s">
        <v>543</v>
      </c>
      <c r="C56" s="2" t="s">
        <v>544</v>
      </c>
      <c r="D56" s="1">
        <v>29</v>
      </c>
      <c r="E56" s="2" t="s">
        <v>545</v>
      </c>
      <c r="F56" s="50" t="s">
        <v>3514</v>
      </c>
      <c r="G56" s="2" t="s">
        <v>546</v>
      </c>
      <c r="H56" s="1">
        <v>23743</v>
      </c>
      <c r="I56" s="1">
        <v>20127</v>
      </c>
      <c r="J56" s="2" t="s">
        <v>301</v>
      </c>
      <c r="K56" s="2" t="s">
        <v>92</v>
      </c>
      <c r="L56" s="2" t="s">
        <v>80</v>
      </c>
      <c r="M56" s="1">
        <v>1207</v>
      </c>
      <c r="N56" s="1">
        <v>32156</v>
      </c>
      <c r="O56" s="2" t="s">
        <v>283</v>
      </c>
      <c r="P56" s="2" t="s">
        <v>235</v>
      </c>
      <c r="Q56" s="2" t="s">
        <v>215</v>
      </c>
      <c r="R56" s="2" t="s">
        <v>96</v>
      </c>
      <c r="S56" s="2" t="s">
        <v>67</v>
      </c>
      <c r="T56" s="1">
        <v>15874</v>
      </c>
      <c r="U56" s="2" t="s">
        <v>51</v>
      </c>
      <c r="V56" s="1">
        <v>3341</v>
      </c>
      <c r="W56" s="1">
        <v>2595</v>
      </c>
      <c r="X56" s="2" t="s">
        <v>168</v>
      </c>
      <c r="Y56" s="2" t="s">
        <v>304</v>
      </c>
      <c r="Z56" s="2" t="s">
        <v>427</v>
      </c>
      <c r="AA56" s="2" t="s">
        <v>547</v>
      </c>
      <c r="AB56" s="1">
        <v>16282</v>
      </c>
      <c r="AC56" s="1">
        <v>10005</v>
      </c>
      <c r="AD56" s="1">
        <v>4180</v>
      </c>
      <c r="AE56" s="1">
        <v>1409</v>
      </c>
      <c r="AF56" s="1">
        <v>249</v>
      </c>
      <c r="AG56" s="1">
        <v>31</v>
      </c>
      <c r="AH56" s="1">
        <v>16327</v>
      </c>
      <c r="AI56" s="1">
        <v>1351</v>
      </c>
      <c r="AJ56" s="1">
        <v>1505</v>
      </c>
      <c r="AK56" s="1">
        <v>4241</v>
      </c>
      <c r="AL56" s="1">
        <v>289</v>
      </c>
      <c r="AM56" s="1">
        <v>116</v>
      </c>
      <c r="AN56" s="2" t="s">
        <v>362</v>
      </c>
    </row>
    <row r="57" spans="1:40" x14ac:dyDescent="0.3">
      <c r="A57" s="1">
        <v>15821</v>
      </c>
      <c r="B57" s="2" t="s">
        <v>548</v>
      </c>
      <c r="C57" s="2" t="s">
        <v>549</v>
      </c>
      <c r="D57" s="1">
        <v>21</v>
      </c>
      <c r="E57" s="2" t="s">
        <v>337</v>
      </c>
      <c r="F57" s="50" t="s">
        <v>130</v>
      </c>
      <c r="G57" s="2" t="s">
        <v>550</v>
      </c>
      <c r="H57" s="1">
        <v>13707</v>
      </c>
      <c r="I57" s="1">
        <v>12172</v>
      </c>
      <c r="J57" s="2" t="s">
        <v>551</v>
      </c>
      <c r="K57" s="2" t="s">
        <v>552</v>
      </c>
      <c r="L57" s="2" t="s">
        <v>433</v>
      </c>
      <c r="M57" s="1">
        <v>676</v>
      </c>
      <c r="N57" s="1">
        <v>18080</v>
      </c>
      <c r="O57" s="2" t="s">
        <v>234</v>
      </c>
      <c r="P57" s="2" t="s">
        <v>553</v>
      </c>
      <c r="Q57" s="2" t="s">
        <v>225</v>
      </c>
      <c r="R57" s="2" t="s">
        <v>96</v>
      </c>
      <c r="S57" s="2" t="s">
        <v>48</v>
      </c>
      <c r="T57" s="1">
        <v>8891</v>
      </c>
      <c r="U57" s="2" t="s">
        <v>51</v>
      </c>
      <c r="V57" s="1">
        <v>2282</v>
      </c>
      <c r="W57" s="1">
        <v>1926</v>
      </c>
      <c r="X57" s="2" t="s">
        <v>169</v>
      </c>
      <c r="Y57" s="2" t="s">
        <v>370</v>
      </c>
      <c r="Z57" s="2" t="s">
        <v>554</v>
      </c>
      <c r="AA57" s="2" t="s">
        <v>238</v>
      </c>
      <c r="AB57" s="1">
        <v>9189</v>
      </c>
      <c r="AC57" s="1">
        <v>5369</v>
      </c>
      <c r="AD57" s="1">
        <v>2488</v>
      </c>
      <c r="AE57" s="1">
        <v>817</v>
      </c>
      <c r="AF57" s="1">
        <v>174</v>
      </c>
      <c r="AG57" s="1">
        <v>43</v>
      </c>
      <c r="AH57" s="1">
        <v>10748</v>
      </c>
      <c r="AI57" s="1">
        <v>406</v>
      </c>
      <c r="AJ57" s="1">
        <v>289</v>
      </c>
      <c r="AK57" s="1">
        <v>2068</v>
      </c>
      <c r="AL57" s="1">
        <v>201</v>
      </c>
      <c r="AM57" s="1">
        <v>31</v>
      </c>
      <c r="AN57" s="2" t="s">
        <v>169</v>
      </c>
    </row>
    <row r="58" spans="1:40" x14ac:dyDescent="0.3">
      <c r="A58" s="1">
        <v>9136</v>
      </c>
      <c r="B58" s="2" t="s">
        <v>555</v>
      </c>
      <c r="C58" s="2" t="s">
        <v>556</v>
      </c>
      <c r="D58" s="1">
        <v>24</v>
      </c>
      <c r="E58" s="2" t="s">
        <v>459</v>
      </c>
      <c r="F58" s="50" t="s">
        <v>557</v>
      </c>
      <c r="G58" s="2" t="s">
        <v>558</v>
      </c>
      <c r="H58" s="1">
        <v>23029</v>
      </c>
      <c r="I58" s="1">
        <v>20248</v>
      </c>
      <c r="J58" s="2" t="s">
        <v>273</v>
      </c>
      <c r="K58" s="2" t="s">
        <v>559</v>
      </c>
      <c r="L58" s="2" t="s">
        <v>143</v>
      </c>
      <c r="M58" s="1">
        <v>1164</v>
      </c>
      <c r="N58" s="1">
        <v>30296</v>
      </c>
      <c r="O58" s="2" t="s">
        <v>234</v>
      </c>
      <c r="P58" s="2" t="s">
        <v>48</v>
      </c>
      <c r="Q58" s="2" t="s">
        <v>225</v>
      </c>
      <c r="R58" s="2" t="s">
        <v>50</v>
      </c>
      <c r="S58" s="2" t="s">
        <v>48</v>
      </c>
      <c r="T58" s="1">
        <v>15137</v>
      </c>
      <c r="U58" s="2" t="s">
        <v>51</v>
      </c>
      <c r="V58" s="1">
        <v>3096</v>
      </c>
      <c r="W58" s="1">
        <v>2783</v>
      </c>
      <c r="X58" s="2" t="s">
        <v>362</v>
      </c>
      <c r="Y58" s="2" t="s">
        <v>449</v>
      </c>
      <c r="Z58" s="2" t="s">
        <v>324</v>
      </c>
      <c r="AA58" s="2" t="s">
        <v>560</v>
      </c>
      <c r="AB58" s="1">
        <v>15159</v>
      </c>
      <c r="AC58" s="1">
        <v>9359</v>
      </c>
      <c r="AD58" s="1">
        <v>4034</v>
      </c>
      <c r="AE58" s="1">
        <v>1406</v>
      </c>
      <c r="AF58" s="1">
        <v>306</v>
      </c>
      <c r="AG58" s="1">
        <v>32</v>
      </c>
      <c r="AH58" s="1">
        <v>17813</v>
      </c>
      <c r="AI58" s="1">
        <v>348</v>
      </c>
      <c r="AJ58" s="1">
        <v>647</v>
      </c>
      <c r="AK58" s="1">
        <v>4110</v>
      </c>
      <c r="AL58" s="1">
        <v>131</v>
      </c>
      <c r="AM58" s="1">
        <v>40</v>
      </c>
      <c r="AN58" s="2" t="s">
        <v>561</v>
      </c>
    </row>
    <row r="59" spans="1:40" x14ac:dyDescent="0.3">
      <c r="A59" s="1">
        <v>13254</v>
      </c>
      <c r="B59" s="2" t="s">
        <v>562</v>
      </c>
      <c r="C59" s="2" t="s">
        <v>563</v>
      </c>
      <c r="D59" s="1">
        <v>21</v>
      </c>
      <c r="E59" s="2" t="s">
        <v>500</v>
      </c>
      <c r="F59" s="50" t="s">
        <v>3514</v>
      </c>
      <c r="G59" s="2" t="s">
        <v>564</v>
      </c>
      <c r="H59" s="1">
        <v>7931</v>
      </c>
      <c r="I59" s="1">
        <v>7092</v>
      </c>
      <c r="J59" s="2" t="s">
        <v>565</v>
      </c>
      <c r="K59" s="2" t="s">
        <v>566</v>
      </c>
      <c r="L59" s="2" t="s">
        <v>471</v>
      </c>
      <c r="M59" s="1">
        <v>401</v>
      </c>
      <c r="N59" s="1">
        <v>10399</v>
      </c>
      <c r="O59" s="2" t="s">
        <v>234</v>
      </c>
      <c r="P59" s="2" t="s">
        <v>235</v>
      </c>
      <c r="Q59" s="2" t="s">
        <v>167</v>
      </c>
      <c r="R59" s="2" t="s">
        <v>50</v>
      </c>
      <c r="S59" s="2" t="s">
        <v>48</v>
      </c>
      <c r="T59" s="1">
        <v>5128</v>
      </c>
      <c r="U59" s="2" t="s">
        <v>51</v>
      </c>
      <c r="V59" s="1">
        <v>1173</v>
      </c>
      <c r="W59" s="1">
        <v>1121</v>
      </c>
      <c r="X59" s="2" t="s">
        <v>304</v>
      </c>
      <c r="Y59" s="2" t="s">
        <v>304</v>
      </c>
      <c r="Z59" s="2" t="s">
        <v>567</v>
      </c>
      <c r="AA59" s="2" t="s">
        <v>568</v>
      </c>
      <c r="AB59" s="1">
        <v>5271</v>
      </c>
      <c r="AC59" s="1">
        <v>3097</v>
      </c>
      <c r="AD59" s="1">
        <v>1401</v>
      </c>
      <c r="AE59" s="1">
        <v>503</v>
      </c>
      <c r="AF59" s="1">
        <v>112</v>
      </c>
      <c r="AG59" s="1">
        <v>15</v>
      </c>
      <c r="AH59" s="1">
        <v>5215</v>
      </c>
      <c r="AI59" s="1">
        <v>814</v>
      </c>
      <c r="AJ59" s="1">
        <v>237</v>
      </c>
      <c r="AK59" s="1">
        <v>1583</v>
      </c>
      <c r="AL59" s="1">
        <v>62</v>
      </c>
      <c r="AM59" s="1">
        <v>38</v>
      </c>
      <c r="AN59" s="2" t="s">
        <v>84</v>
      </c>
    </row>
    <row r="60" spans="1:40" x14ac:dyDescent="0.3">
      <c r="A60" s="1">
        <v>14619</v>
      </c>
      <c r="B60" s="2" t="s">
        <v>569</v>
      </c>
      <c r="C60" s="2" t="s">
        <v>570</v>
      </c>
      <c r="D60" s="1">
        <v>24</v>
      </c>
      <c r="E60" s="2" t="s">
        <v>459</v>
      </c>
      <c r="F60" s="50" t="s">
        <v>571</v>
      </c>
      <c r="G60" s="2" t="s">
        <v>572</v>
      </c>
      <c r="H60" s="1">
        <v>16071</v>
      </c>
      <c r="I60" s="1">
        <v>14047</v>
      </c>
      <c r="J60" s="2" t="s">
        <v>573</v>
      </c>
      <c r="K60" s="2" t="s">
        <v>574</v>
      </c>
      <c r="L60" s="2" t="s">
        <v>575</v>
      </c>
      <c r="M60" s="1">
        <v>827</v>
      </c>
      <c r="N60" s="1">
        <v>21545</v>
      </c>
      <c r="O60" s="2" t="s">
        <v>180</v>
      </c>
      <c r="P60" s="2" t="s">
        <v>235</v>
      </c>
      <c r="Q60" s="2" t="s">
        <v>276</v>
      </c>
      <c r="R60" s="2" t="s">
        <v>50</v>
      </c>
      <c r="S60" s="2" t="s">
        <v>67</v>
      </c>
      <c r="T60" s="1">
        <v>10526</v>
      </c>
      <c r="U60" s="2" t="s">
        <v>51</v>
      </c>
      <c r="V60" s="1">
        <v>2310</v>
      </c>
      <c r="W60" s="1">
        <v>2137</v>
      </c>
      <c r="X60" s="2" t="s">
        <v>277</v>
      </c>
      <c r="Y60" s="2" t="s">
        <v>407</v>
      </c>
      <c r="Z60" s="2" t="s">
        <v>576</v>
      </c>
      <c r="AA60" s="2" t="s">
        <v>577</v>
      </c>
      <c r="AB60" s="1">
        <v>11019</v>
      </c>
      <c r="AC60" s="1">
        <v>6462</v>
      </c>
      <c r="AD60" s="1">
        <v>2853</v>
      </c>
      <c r="AE60" s="1">
        <v>973</v>
      </c>
      <c r="AF60" s="1">
        <v>206</v>
      </c>
      <c r="AG60" s="1">
        <v>32</v>
      </c>
      <c r="AH60" s="1">
        <v>11610</v>
      </c>
      <c r="AI60" s="1">
        <v>464</v>
      </c>
      <c r="AJ60" s="1">
        <v>1064</v>
      </c>
      <c r="AK60" s="1">
        <v>2730</v>
      </c>
      <c r="AL60" s="1">
        <v>202</v>
      </c>
      <c r="AM60" s="1">
        <v>54</v>
      </c>
      <c r="AN60" s="2" t="s">
        <v>206</v>
      </c>
    </row>
    <row r="61" spans="1:40" ht="28.2" x14ac:dyDescent="0.3">
      <c r="A61" s="1">
        <v>11219</v>
      </c>
      <c r="B61" s="2" t="s">
        <v>578</v>
      </c>
      <c r="C61" s="2" t="s">
        <v>579</v>
      </c>
      <c r="D61" s="1">
        <v>22</v>
      </c>
      <c r="E61" s="2" t="s">
        <v>467</v>
      </c>
      <c r="F61" s="50" t="s">
        <v>557</v>
      </c>
      <c r="G61" s="2" t="s">
        <v>580</v>
      </c>
      <c r="H61" s="1">
        <v>22812</v>
      </c>
      <c r="I61" s="1">
        <v>19387</v>
      </c>
      <c r="J61" s="2" t="s">
        <v>581</v>
      </c>
      <c r="K61" s="2" t="s">
        <v>582</v>
      </c>
      <c r="L61" s="2" t="s">
        <v>63</v>
      </c>
      <c r="M61" s="1">
        <v>1199</v>
      </c>
      <c r="N61" s="1">
        <v>31114</v>
      </c>
      <c r="O61" s="2" t="s">
        <v>495</v>
      </c>
      <c r="P61" s="2" t="s">
        <v>50</v>
      </c>
      <c r="Q61" s="2" t="s">
        <v>144</v>
      </c>
      <c r="R61" s="2" t="s">
        <v>50</v>
      </c>
      <c r="S61" s="2" t="s">
        <v>67</v>
      </c>
      <c r="T61" s="1">
        <v>15199</v>
      </c>
      <c r="U61" s="2" t="s">
        <v>51</v>
      </c>
      <c r="V61" s="1">
        <v>3923</v>
      </c>
      <c r="W61" s="1">
        <v>2745</v>
      </c>
      <c r="X61" s="2" t="s">
        <v>236</v>
      </c>
      <c r="Y61" s="2" t="s">
        <v>84</v>
      </c>
      <c r="Z61" s="2" t="s">
        <v>583</v>
      </c>
      <c r="AA61" s="2" t="s">
        <v>542</v>
      </c>
      <c r="AB61" s="1">
        <v>15915</v>
      </c>
      <c r="AC61" s="1">
        <v>9524</v>
      </c>
      <c r="AD61" s="1">
        <v>4043</v>
      </c>
      <c r="AE61" s="1">
        <v>1347</v>
      </c>
      <c r="AF61" s="1">
        <v>264</v>
      </c>
      <c r="AG61" s="1">
        <v>21</v>
      </c>
      <c r="AH61" s="1">
        <v>5642</v>
      </c>
      <c r="AI61" s="1">
        <v>12614</v>
      </c>
      <c r="AJ61" s="1">
        <v>716</v>
      </c>
      <c r="AK61" s="1">
        <v>3714</v>
      </c>
      <c r="AL61" s="1">
        <v>150</v>
      </c>
      <c r="AM61" s="1">
        <v>30</v>
      </c>
      <c r="AN61" s="2" t="s">
        <v>111</v>
      </c>
    </row>
    <row r="62" spans="1:40" x14ac:dyDescent="0.3">
      <c r="A62" s="1">
        <v>29</v>
      </c>
      <c r="B62" s="2" t="s">
        <v>584</v>
      </c>
      <c r="C62" s="2" t="s">
        <v>585</v>
      </c>
      <c r="D62" s="1">
        <v>34</v>
      </c>
      <c r="E62" s="2" t="s">
        <v>545</v>
      </c>
      <c r="F62" s="50" t="s">
        <v>3514</v>
      </c>
      <c r="G62" s="2" t="s">
        <v>586</v>
      </c>
      <c r="H62" s="1">
        <v>40979</v>
      </c>
      <c r="I62" s="1">
        <v>35331</v>
      </c>
      <c r="J62" s="2" t="s">
        <v>587</v>
      </c>
      <c r="K62" s="2" t="s">
        <v>588</v>
      </c>
      <c r="L62" s="2" t="s">
        <v>589</v>
      </c>
      <c r="M62" s="1">
        <v>2089</v>
      </c>
      <c r="N62" s="1">
        <v>54327</v>
      </c>
      <c r="O62" s="2" t="s">
        <v>180</v>
      </c>
      <c r="P62" s="2" t="s">
        <v>48</v>
      </c>
      <c r="Q62" s="2" t="s">
        <v>276</v>
      </c>
      <c r="R62" s="2" t="s">
        <v>96</v>
      </c>
      <c r="S62" s="2" t="s">
        <v>50</v>
      </c>
      <c r="T62" s="1">
        <v>27163</v>
      </c>
      <c r="U62" s="2" t="s">
        <v>51</v>
      </c>
      <c r="V62" s="1">
        <v>5897</v>
      </c>
      <c r="W62" s="1">
        <v>4745</v>
      </c>
      <c r="X62" s="2" t="s">
        <v>69</v>
      </c>
      <c r="Y62" s="2" t="s">
        <v>590</v>
      </c>
      <c r="Z62" s="2" t="s">
        <v>125</v>
      </c>
      <c r="AA62" s="2" t="s">
        <v>568</v>
      </c>
      <c r="AB62" s="1">
        <v>27164</v>
      </c>
      <c r="AC62" s="1">
        <v>16782</v>
      </c>
      <c r="AD62" s="1">
        <v>7563</v>
      </c>
      <c r="AE62" s="1">
        <v>2322</v>
      </c>
      <c r="AF62" s="1">
        <v>453</v>
      </c>
      <c r="AG62" s="1">
        <v>43</v>
      </c>
      <c r="AH62" s="1">
        <v>27542</v>
      </c>
      <c r="AI62" s="1">
        <v>4275</v>
      </c>
      <c r="AJ62" s="1">
        <v>1344</v>
      </c>
      <c r="AK62" s="1">
        <v>7336</v>
      </c>
      <c r="AL62" s="1">
        <v>395</v>
      </c>
      <c r="AM62" s="1">
        <v>151</v>
      </c>
      <c r="AN62" s="2" t="s">
        <v>561</v>
      </c>
    </row>
    <row r="63" spans="1:40" ht="28.2" x14ac:dyDescent="0.3">
      <c r="A63" s="1">
        <v>10664</v>
      </c>
      <c r="B63" s="2" t="s">
        <v>591</v>
      </c>
      <c r="C63" s="2" t="s">
        <v>592</v>
      </c>
      <c r="D63" s="1">
        <v>24</v>
      </c>
      <c r="E63" s="2" t="s">
        <v>477</v>
      </c>
      <c r="F63" s="50" t="s">
        <v>593</v>
      </c>
      <c r="G63" s="2" t="s">
        <v>594</v>
      </c>
      <c r="H63" s="1">
        <v>12279</v>
      </c>
      <c r="I63" s="1">
        <v>10714</v>
      </c>
      <c r="J63" s="2" t="s">
        <v>595</v>
      </c>
      <c r="K63" s="2" t="s">
        <v>424</v>
      </c>
      <c r="L63" s="2" t="s">
        <v>63</v>
      </c>
      <c r="M63" s="1">
        <v>634</v>
      </c>
      <c r="N63" s="1">
        <v>16189</v>
      </c>
      <c r="O63" s="2" t="s">
        <v>234</v>
      </c>
      <c r="P63" s="2" t="s">
        <v>67</v>
      </c>
      <c r="Q63" s="2" t="s">
        <v>322</v>
      </c>
      <c r="R63" s="2" t="s">
        <v>66</v>
      </c>
      <c r="S63" s="2" t="s">
        <v>96</v>
      </c>
      <c r="T63" s="1">
        <v>8107</v>
      </c>
      <c r="U63" s="2" t="s">
        <v>51</v>
      </c>
      <c r="V63" s="1">
        <v>2002</v>
      </c>
      <c r="W63" s="1">
        <v>1468</v>
      </c>
      <c r="X63" s="2" t="s">
        <v>596</v>
      </c>
      <c r="Y63" s="2" t="s">
        <v>98</v>
      </c>
      <c r="Z63" s="2" t="s">
        <v>70</v>
      </c>
      <c r="AA63" s="2" t="s">
        <v>542</v>
      </c>
      <c r="AB63" s="1">
        <v>8082</v>
      </c>
      <c r="AC63" s="1">
        <v>4975</v>
      </c>
      <c r="AD63" s="1">
        <v>2262</v>
      </c>
      <c r="AE63" s="1">
        <v>719</v>
      </c>
      <c r="AF63" s="1">
        <v>132</v>
      </c>
      <c r="AG63" s="1">
        <v>19</v>
      </c>
      <c r="AH63" s="1">
        <v>6032</v>
      </c>
      <c r="AI63" s="1">
        <v>3508</v>
      </c>
      <c r="AJ63" s="1">
        <v>575</v>
      </c>
      <c r="AK63" s="1">
        <v>2052</v>
      </c>
      <c r="AL63" s="1">
        <v>95</v>
      </c>
      <c r="AM63" s="1">
        <v>56</v>
      </c>
      <c r="AN63" s="2" t="s">
        <v>98</v>
      </c>
    </row>
    <row r="64" spans="1:40" ht="28.2" x14ac:dyDescent="0.3">
      <c r="A64" s="1">
        <v>13670</v>
      </c>
      <c r="B64" s="2" t="s">
        <v>597</v>
      </c>
      <c r="C64" s="2" t="s">
        <v>598</v>
      </c>
      <c r="D64" s="1">
        <v>24</v>
      </c>
      <c r="E64" s="2" t="s">
        <v>545</v>
      </c>
      <c r="F64" s="50" t="s">
        <v>599</v>
      </c>
      <c r="G64" s="2" t="s">
        <v>600</v>
      </c>
      <c r="H64" s="1">
        <v>17547</v>
      </c>
      <c r="I64" s="1">
        <v>14717</v>
      </c>
      <c r="J64" s="2" t="s">
        <v>262</v>
      </c>
      <c r="K64" s="2" t="s">
        <v>601</v>
      </c>
      <c r="L64" s="2" t="s">
        <v>275</v>
      </c>
      <c r="M64" s="1">
        <v>894</v>
      </c>
      <c r="N64" s="1">
        <v>23861</v>
      </c>
      <c r="O64" s="2" t="s">
        <v>283</v>
      </c>
      <c r="P64" s="2" t="s">
        <v>96</v>
      </c>
      <c r="Q64" s="2" t="s">
        <v>144</v>
      </c>
      <c r="R64" s="2" t="s">
        <v>96</v>
      </c>
      <c r="S64" s="2" t="s">
        <v>67</v>
      </c>
      <c r="T64" s="1">
        <v>11865</v>
      </c>
      <c r="U64" s="2" t="s">
        <v>51</v>
      </c>
      <c r="V64" s="1">
        <v>2434</v>
      </c>
      <c r="W64" s="1">
        <v>1584</v>
      </c>
      <c r="X64" s="2" t="s">
        <v>191</v>
      </c>
      <c r="Y64" s="2" t="s">
        <v>464</v>
      </c>
      <c r="Z64" s="2" t="s">
        <v>192</v>
      </c>
      <c r="AA64" s="2" t="s">
        <v>602</v>
      </c>
      <c r="AB64" s="1">
        <v>11996</v>
      </c>
      <c r="AC64" s="1">
        <v>7534</v>
      </c>
      <c r="AD64" s="1">
        <v>3173</v>
      </c>
      <c r="AE64" s="1">
        <v>979</v>
      </c>
      <c r="AF64" s="1">
        <v>165</v>
      </c>
      <c r="AG64" s="1">
        <v>14</v>
      </c>
      <c r="AH64" s="1">
        <v>5716</v>
      </c>
      <c r="AI64" s="1">
        <v>8044</v>
      </c>
      <c r="AJ64" s="1">
        <v>613</v>
      </c>
      <c r="AK64" s="1">
        <v>2996</v>
      </c>
      <c r="AL64" s="1">
        <v>180</v>
      </c>
      <c r="AM64" s="1">
        <v>57</v>
      </c>
      <c r="AN64" s="2" t="s">
        <v>370</v>
      </c>
    </row>
    <row r="65" spans="1:40" x14ac:dyDescent="0.3">
      <c r="A65" s="1">
        <v>12126</v>
      </c>
      <c r="B65" s="2" t="s">
        <v>603</v>
      </c>
      <c r="C65" s="2" t="s">
        <v>604</v>
      </c>
      <c r="D65" s="1">
        <v>23</v>
      </c>
      <c r="E65" s="2" t="s">
        <v>467</v>
      </c>
      <c r="F65" s="50" t="s">
        <v>605</v>
      </c>
      <c r="G65" s="2" t="s">
        <v>606</v>
      </c>
      <c r="H65" s="1">
        <v>21485</v>
      </c>
      <c r="I65" s="1">
        <v>18630</v>
      </c>
      <c r="J65" s="2" t="s">
        <v>607</v>
      </c>
      <c r="K65" s="2">
        <v>78</v>
      </c>
      <c r="L65" s="2" t="s">
        <v>331</v>
      </c>
      <c r="M65" s="1">
        <v>1101</v>
      </c>
      <c r="N65" s="1">
        <v>29160</v>
      </c>
      <c r="O65" s="2" t="s">
        <v>283</v>
      </c>
      <c r="P65" s="2" t="s">
        <v>48</v>
      </c>
      <c r="Q65" s="2" t="s">
        <v>65</v>
      </c>
      <c r="R65" s="2" t="s">
        <v>96</v>
      </c>
      <c r="S65" s="2" t="s">
        <v>50</v>
      </c>
      <c r="T65" s="1">
        <v>14140</v>
      </c>
      <c r="U65" s="2" t="s">
        <v>51</v>
      </c>
      <c r="V65" s="1">
        <v>3694</v>
      </c>
      <c r="W65" s="1">
        <v>2772</v>
      </c>
      <c r="X65" s="2" t="s">
        <v>442</v>
      </c>
      <c r="Y65" s="2" t="s">
        <v>111</v>
      </c>
      <c r="Z65" s="2" t="s">
        <v>192</v>
      </c>
      <c r="AA65" s="2" t="s">
        <v>334</v>
      </c>
      <c r="AB65" s="1">
        <v>15020</v>
      </c>
      <c r="AC65" s="1">
        <v>8731</v>
      </c>
      <c r="AD65" s="1">
        <v>3815</v>
      </c>
      <c r="AE65" s="1">
        <v>1285</v>
      </c>
      <c r="AF65" s="1">
        <v>276</v>
      </c>
      <c r="AG65" s="1">
        <v>33</v>
      </c>
      <c r="AH65" s="1">
        <v>6183</v>
      </c>
      <c r="AI65" s="1">
        <v>11134</v>
      </c>
      <c r="AJ65" s="1">
        <v>375</v>
      </c>
      <c r="AK65" s="1">
        <v>3612</v>
      </c>
      <c r="AL65" s="1">
        <v>213</v>
      </c>
      <c r="AM65" s="1">
        <v>30</v>
      </c>
      <c r="AN65" s="2" t="s">
        <v>111</v>
      </c>
    </row>
    <row r="66" spans="1:40" ht="28.2" x14ac:dyDescent="0.3">
      <c r="A66" s="1">
        <v>15698</v>
      </c>
      <c r="B66" s="2" t="s">
        <v>608</v>
      </c>
      <c r="C66" s="2" t="s">
        <v>609</v>
      </c>
      <c r="D66" s="1">
        <v>18</v>
      </c>
      <c r="E66" s="2" t="s">
        <v>104</v>
      </c>
      <c r="F66" s="50" t="s">
        <v>250</v>
      </c>
      <c r="G66" s="2" t="s">
        <v>610</v>
      </c>
      <c r="H66" s="1">
        <v>9294</v>
      </c>
      <c r="I66" s="1">
        <v>7852</v>
      </c>
      <c r="J66" s="2" t="s">
        <v>611</v>
      </c>
      <c r="K66" s="2" t="s">
        <v>108</v>
      </c>
      <c r="L66" s="2" t="s">
        <v>612</v>
      </c>
      <c r="M66" s="1">
        <v>473</v>
      </c>
      <c r="N66" s="1">
        <v>12553</v>
      </c>
      <c r="O66" s="2" t="s">
        <v>283</v>
      </c>
      <c r="P66" s="2" t="s">
        <v>202</v>
      </c>
      <c r="Q66" s="2" t="s">
        <v>215</v>
      </c>
      <c r="R66" s="2" t="s">
        <v>66</v>
      </c>
      <c r="S66" s="2" t="s">
        <v>67</v>
      </c>
      <c r="T66" s="1">
        <v>6282</v>
      </c>
      <c r="U66" s="2" t="s">
        <v>51</v>
      </c>
      <c r="V66" s="1">
        <v>1373</v>
      </c>
      <c r="W66" s="1">
        <v>1058</v>
      </c>
      <c r="X66" s="2" t="s">
        <v>516</v>
      </c>
      <c r="Y66" s="2" t="s">
        <v>464</v>
      </c>
      <c r="Z66" s="2" t="s">
        <v>508</v>
      </c>
      <c r="AA66" s="2" t="s">
        <v>568</v>
      </c>
      <c r="AB66" s="1">
        <v>6271</v>
      </c>
      <c r="AC66" s="1">
        <v>3982</v>
      </c>
      <c r="AD66" s="1">
        <v>1707</v>
      </c>
      <c r="AE66" s="1">
        <v>483</v>
      </c>
      <c r="AF66" s="1">
        <v>101</v>
      </c>
      <c r="AG66" s="1">
        <v>9</v>
      </c>
      <c r="AH66" s="1">
        <v>6343</v>
      </c>
      <c r="AI66" s="1">
        <v>1035</v>
      </c>
      <c r="AJ66" s="1">
        <v>267</v>
      </c>
      <c r="AK66" s="1">
        <v>1487</v>
      </c>
      <c r="AL66" s="1">
        <v>140</v>
      </c>
      <c r="AM66" s="1">
        <v>71</v>
      </c>
      <c r="AN66" s="2" t="s">
        <v>206</v>
      </c>
    </row>
    <row r="67" spans="1:40" ht="28.2" x14ac:dyDescent="0.3">
      <c r="A67" s="1">
        <v>9895</v>
      </c>
      <c r="B67" s="2" t="s">
        <v>613</v>
      </c>
      <c r="C67" s="2" t="s">
        <v>614</v>
      </c>
      <c r="D67" s="1">
        <v>23</v>
      </c>
      <c r="E67" s="2" t="s">
        <v>196</v>
      </c>
      <c r="F67" s="50" t="s">
        <v>3514</v>
      </c>
      <c r="G67" s="2" t="s">
        <v>615</v>
      </c>
      <c r="H67" s="1">
        <v>19077</v>
      </c>
      <c r="I67" s="1">
        <v>16483</v>
      </c>
      <c r="J67" s="2" t="s">
        <v>616</v>
      </c>
      <c r="K67" s="2" t="s">
        <v>617</v>
      </c>
      <c r="L67" s="2" t="s">
        <v>63</v>
      </c>
      <c r="M67" s="1">
        <v>955</v>
      </c>
      <c r="N67" s="1">
        <v>25333</v>
      </c>
      <c r="O67" s="2" t="s">
        <v>180</v>
      </c>
      <c r="P67" s="2" t="s">
        <v>50</v>
      </c>
      <c r="Q67" s="2" t="s">
        <v>276</v>
      </c>
      <c r="R67" s="2" t="s">
        <v>50</v>
      </c>
      <c r="S67" s="2" t="s">
        <v>50</v>
      </c>
      <c r="T67" s="1">
        <v>12723</v>
      </c>
      <c r="U67" s="2" t="s">
        <v>51</v>
      </c>
      <c r="V67" s="1">
        <v>3710</v>
      </c>
      <c r="W67" s="1">
        <v>2616</v>
      </c>
      <c r="X67" s="2" t="s">
        <v>369</v>
      </c>
      <c r="Y67" s="2" t="s">
        <v>101</v>
      </c>
      <c r="Z67" s="2" t="s">
        <v>237</v>
      </c>
      <c r="AA67" s="2" t="s">
        <v>618</v>
      </c>
      <c r="AB67" s="1">
        <v>12610</v>
      </c>
      <c r="AC67" s="1">
        <v>7947</v>
      </c>
      <c r="AD67" s="1">
        <v>3448</v>
      </c>
      <c r="AE67" s="1">
        <v>1096</v>
      </c>
      <c r="AF67" s="1">
        <v>214</v>
      </c>
      <c r="AG67" s="1">
        <v>18</v>
      </c>
      <c r="AH67" s="1">
        <v>3881</v>
      </c>
      <c r="AI67" s="1">
        <v>10977</v>
      </c>
      <c r="AJ67" s="1">
        <v>630</v>
      </c>
      <c r="AK67" s="1">
        <v>3478</v>
      </c>
      <c r="AL67" s="1">
        <v>142</v>
      </c>
      <c r="AM67" s="1">
        <v>35</v>
      </c>
      <c r="AN67" s="2" t="s">
        <v>561</v>
      </c>
    </row>
    <row r="68" spans="1:40" x14ac:dyDescent="0.3">
      <c r="A68" s="1">
        <v>20097</v>
      </c>
      <c r="B68" s="2" t="s">
        <v>619</v>
      </c>
      <c r="C68" s="2" t="s">
        <v>620</v>
      </c>
      <c r="D68" s="1">
        <v>22</v>
      </c>
      <c r="E68" s="2" t="s">
        <v>467</v>
      </c>
      <c r="F68" s="50" t="s">
        <v>621</v>
      </c>
      <c r="G68" s="2" t="s">
        <v>622</v>
      </c>
      <c r="H68" s="1">
        <v>10915</v>
      </c>
      <c r="I68" s="1">
        <v>9130</v>
      </c>
      <c r="J68" s="2" t="s">
        <v>623</v>
      </c>
      <c r="K68" s="2" t="s">
        <v>624</v>
      </c>
      <c r="L68" s="2" t="s">
        <v>541</v>
      </c>
      <c r="M68" s="1">
        <v>566</v>
      </c>
      <c r="N68" s="1">
        <v>15106</v>
      </c>
      <c r="O68" s="2" t="s">
        <v>311</v>
      </c>
      <c r="P68" s="2" t="s">
        <v>50</v>
      </c>
      <c r="Q68" s="2" t="s">
        <v>134</v>
      </c>
      <c r="R68" s="2" t="s">
        <v>96</v>
      </c>
      <c r="S68" s="2" t="s">
        <v>96</v>
      </c>
      <c r="T68" s="1">
        <v>7367</v>
      </c>
      <c r="U68" s="2" t="s">
        <v>51</v>
      </c>
      <c r="V68" s="1">
        <v>1771</v>
      </c>
      <c r="W68" s="1">
        <v>1181</v>
      </c>
      <c r="X68" s="2" t="s">
        <v>216</v>
      </c>
      <c r="Y68" s="2" t="s">
        <v>370</v>
      </c>
      <c r="Z68" s="2" t="s">
        <v>517</v>
      </c>
      <c r="AA68" s="2" t="s">
        <v>113</v>
      </c>
      <c r="AB68" s="1">
        <v>7739</v>
      </c>
      <c r="AC68" s="1">
        <v>4690</v>
      </c>
      <c r="AD68" s="1">
        <v>1941</v>
      </c>
      <c r="AE68" s="1">
        <v>614</v>
      </c>
      <c r="AF68" s="1">
        <v>109</v>
      </c>
      <c r="AG68" s="1">
        <v>13</v>
      </c>
      <c r="AH68" s="1">
        <v>2778</v>
      </c>
      <c r="AI68" s="1">
        <v>6103</v>
      </c>
      <c r="AJ68" s="1">
        <v>221</v>
      </c>
      <c r="AK68" s="1">
        <v>1683</v>
      </c>
      <c r="AL68" s="1">
        <v>117</v>
      </c>
      <c r="AM68" s="1">
        <v>64</v>
      </c>
      <c r="AN68" s="2" t="s">
        <v>111</v>
      </c>
    </row>
    <row r="69" spans="1:40" ht="28.2" x14ac:dyDescent="0.3">
      <c r="A69" s="1">
        <v>11264</v>
      </c>
      <c r="B69" s="2" t="s">
        <v>625</v>
      </c>
      <c r="C69" s="2" t="s">
        <v>626</v>
      </c>
      <c r="D69" s="1">
        <v>24</v>
      </c>
      <c r="E69" s="2" t="s">
        <v>500</v>
      </c>
      <c r="F69" s="50" t="s">
        <v>3514</v>
      </c>
      <c r="G69" s="2" t="s">
        <v>627</v>
      </c>
      <c r="H69" s="1">
        <v>11627</v>
      </c>
      <c r="I69" s="1">
        <v>9979</v>
      </c>
      <c r="J69" s="2" t="s">
        <v>628</v>
      </c>
      <c r="K69" s="2" t="s">
        <v>582</v>
      </c>
      <c r="L69" s="2" t="s">
        <v>441</v>
      </c>
      <c r="M69" s="1">
        <v>609</v>
      </c>
      <c r="N69" s="1">
        <v>15901</v>
      </c>
      <c r="O69" s="2" t="s">
        <v>495</v>
      </c>
      <c r="P69" s="2" t="s">
        <v>50</v>
      </c>
      <c r="Q69" s="2" t="s">
        <v>215</v>
      </c>
      <c r="R69" s="2" t="s">
        <v>96</v>
      </c>
      <c r="S69" s="2" t="s">
        <v>50</v>
      </c>
      <c r="T69" s="1">
        <v>7692</v>
      </c>
      <c r="U69" s="2" t="s">
        <v>51</v>
      </c>
      <c r="V69" s="1">
        <v>2057</v>
      </c>
      <c r="W69" s="1">
        <v>1399</v>
      </c>
      <c r="X69" s="2" t="s">
        <v>110</v>
      </c>
      <c r="Y69" s="2" t="s">
        <v>172</v>
      </c>
      <c r="Z69" s="2" t="s">
        <v>399</v>
      </c>
      <c r="AA69" s="2" t="s">
        <v>629</v>
      </c>
      <c r="AB69" s="1">
        <v>8209</v>
      </c>
      <c r="AC69" s="1">
        <v>4738</v>
      </c>
      <c r="AD69" s="1">
        <v>2139</v>
      </c>
      <c r="AE69" s="1">
        <v>663</v>
      </c>
      <c r="AF69" s="1">
        <v>138</v>
      </c>
      <c r="AG69" s="1">
        <v>14</v>
      </c>
      <c r="AH69" s="1">
        <v>1523</v>
      </c>
      <c r="AI69" s="1">
        <v>7327</v>
      </c>
      <c r="AJ69" s="1">
        <v>605</v>
      </c>
      <c r="AK69" s="1">
        <v>2109</v>
      </c>
      <c r="AL69" s="1">
        <v>94</v>
      </c>
      <c r="AM69" s="1">
        <v>12</v>
      </c>
      <c r="AN69" s="2" t="s">
        <v>98</v>
      </c>
    </row>
    <row r="70" spans="1:40" ht="28.2" x14ac:dyDescent="0.3">
      <c r="A70" s="1">
        <v>8789</v>
      </c>
      <c r="B70" s="2" t="s">
        <v>630</v>
      </c>
      <c r="C70" s="2" t="s">
        <v>631</v>
      </c>
      <c r="D70" s="1">
        <v>26</v>
      </c>
      <c r="E70" s="2" t="s">
        <v>75</v>
      </c>
      <c r="F70" s="50" t="s">
        <v>344</v>
      </c>
      <c r="G70" s="2" t="s">
        <v>632</v>
      </c>
      <c r="H70" s="1">
        <v>20159</v>
      </c>
      <c r="I70" s="1">
        <v>17517</v>
      </c>
      <c r="J70" s="2" t="s">
        <v>633</v>
      </c>
      <c r="K70" s="2" t="s">
        <v>634</v>
      </c>
      <c r="L70" s="2" t="s">
        <v>575</v>
      </c>
      <c r="M70" s="1">
        <v>1015</v>
      </c>
      <c r="N70" s="1">
        <v>26603</v>
      </c>
      <c r="O70" s="2" t="s">
        <v>234</v>
      </c>
      <c r="P70" s="2" t="s">
        <v>202</v>
      </c>
      <c r="Q70" s="2" t="s">
        <v>322</v>
      </c>
      <c r="R70" s="2" t="s">
        <v>50</v>
      </c>
      <c r="S70" s="2" t="s">
        <v>48</v>
      </c>
      <c r="T70" s="1">
        <v>13431</v>
      </c>
      <c r="U70" s="2" t="s">
        <v>51</v>
      </c>
      <c r="V70" s="1">
        <v>3080</v>
      </c>
      <c r="W70" s="1">
        <v>2525</v>
      </c>
      <c r="X70" s="2" t="s">
        <v>114</v>
      </c>
      <c r="Y70" s="2" t="s">
        <v>295</v>
      </c>
      <c r="Z70" s="2" t="s">
        <v>635</v>
      </c>
      <c r="AA70" s="2" t="s">
        <v>534</v>
      </c>
      <c r="AB70" s="1">
        <v>13172</v>
      </c>
      <c r="AC70" s="1">
        <v>8352</v>
      </c>
      <c r="AD70" s="1">
        <v>3690</v>
      </c>
      <c r="AE70" s="1">
        <v>1148</v>
      </c>
      <c r="AF70" s="1">
        <v>222</v>
      </c>
      <c r="AG70" s="1">
        <v>19</v>
      </c>
      <c r="AH70" s="1">
        <v>15573</v>
      </c>
      <c r="AI70" s="1">
        <v>433</v>
      </c>
      <c r="AJ70" s="1">
        <v>876</v>
      </c>
      <c r="AK70" s="1">
        <v>3028</v>
      </c>
      <c r="AL70" s="1">
        <v>245</v>
      </c>
      <c r="AM70" s="1">
        <v>49</v>
      </c>
      <c r="AN70" s="2" t="s">
        <v>561</v>
      </c>
    </row>
    <row r="71" spans="1:40" ht="28.2" x14ac:dyDescent="0.3">
      <c r="A71" s="1">
        <v>5021</v>
      </c>
      <c r="B71" s="2" t="s">
        <v>636</v>
      </c>
      <c r="C71" s="2" t="s">
        <v>637</v>
      </c>
      <c r="D71" s="1">
        <v>25</v>
      </c>
      <c r="E71" s="2" t="s">
        <v>459</v>
      </c>
      <c r="F71" s="50" t="s">
        <v>3514</v>
      </c>
      <c r="G71" s="2" t="s">
        <v>638</v>
      </c>
      <c r="H71" s="1">
        <v>10527</v>
      </c>
      <c r="I71" s="1">
        <v>8898</v>
      </c>
      <c r="J71" s="2" t="s">
        <v>514</v>
      </c>
      <c r="K71" s="2" t="s">
        <v>639</v>
      </c>
      <c r="L71" s="2" t="s">
        <v>612</v>
      </c>
      <c r="M71" s="1">
        <v>556</v>
      </c>
      <c r="N71" s="1">
        <v>14447</v>
      </c>
      <c r="O71" s="2" t="s">
        <v>495</v>
      </c>
      <c r="P71" s="2" t="s">
        <v>235</v>
      </c>
      <c r="Q71" s="2" t="s">
        <v>144</v>
      </c>
      <c r="R71" s="2" t="s">
        <v>66</v>
      </c>
      <c r="S71" s="2" t="s">
        <v>96</v>
      </c>
      <c r="T71" s="1">
        <v>7071</v>
      </c>
      <c r="U71" s="2" t="s">
        <v>51</v>
      </c>
      <c r="V71" s="1">
        <v>1395</v>
      </c>
      <c r="W71" s="1">
        <v>1165</v>
      </c>
      <c r="X71" s="2" t="s">
        <v>147</v>
      </c>
      <c r="Y71" s="2" t="s">
        <v>449</v>
      </c>
      <c r="Z71" s="2" t="s">
        <v>246</v>
      </c>
      <c r="AA71" s="2" t="s">
        <v>640</v>
      </c>
      <c r="AB71" s="1">
        <v>7376</v>
      </c>
      <c r="AC71" s="1">
        <v>4462</v>
      </c>
      <c r="AD71" s="1">
        <v>1915</v>
      </c>
      <c r="AE71" s="1">
        <v>564</v>
      </c>
      <c r="AF71" s="1">
        <v>122</v>
      </c>
      <c r="AG71" s="1">
        <v>8</v>
      </c>
      <c r="AH71" s="1">
        <v>6649</v>
      </c>
      <c r="AI71" s="1">
        <v>1365</v>
      </c>
      <c r="AJ71" s="1">
        <v>460</v>
      </c>
      <c r="AK71" s="1">
        <v>1847</v>
      </c>
      <c r="AL71" s="1">
        <v>172</v>
      </c>
      <c r="AM71" s="1">
        <v>55</v>
      </c>
      <c r="AN71" s="2" t="s">
        <v>561</v>
      </c>
    </row>
    <row r="72" spans="1:40" ht="28.2" x14ac:dyDescent="0.3">
      <c r="A72" s="1">
        <v>8565</v>
      </c>
      <c r="B72" s="2" t="s">
        <v>641</v>
      </c>
      <c r="C72" s="2" t="s">
        <v>642</v>
      </c>
      <c r="D72" s="1">
        <v>27</v>
      </c>
      <c r="E72" s="2" t="s">
        <v>104</v>
      </c>
      <c r="F72" s="50" t="s">
        <v>3514</v>
      </c>
      <c r="G72" s="2" t="s">
        <v>643</v>
      </c>
      <c r="H72" s="1">
        <v>20188</v>
      </c>
      <c r="I72" s="1">
        <v>16640</v>
      </c>
      <c r="J72" s="2" t="s">
        <v>644</v>
      </c>
      <c r="K72" s="2" t="s">
        <v>645</v>
      </c>
      <c r="L72" s="2" t="s">
        <v>331</v>
      </c>
      <c r="M72" s="1">
        <v>1101</v>
      </c>
      <c r="N72" s="1">
        <v>28598</v>
      </c>
      <c r="O72" s="2" t="s">
        <v>646</v>
      </c>
      <c r="P72" s="2" t="s">
        <v>48</v>
      </c>
      <c r="Q72" s="2" t="s">
        <v>284</v>
      </c>
      <c r="R72" s="2" t="s">
        <v>66</v>
      </c>
      <c r="S72" s="2" t="s">
        <v>96</v>
      </c>
      <c r="T72" s="1">
        <v>13719</v>
      </c>
      <c r="U72" s="2" t="s">
        <v>51</v>
      </c>
      <c r="V72" s="1">
        <v>3022</v>
      </c>
      <c r="W72" s="1">
        <v>1984</v>
      </c>
      <c r="X72" s="2" t="s">
        <v>647</v>
      </c>
      <c r="Y72" s="2" t="s">
        <v>277</v>
      </c>
      <c r="Z72" s="2" t="s">
        <v>183</v>
      </c>
      <c r="AA72" s="2" t="s">
        <v>648</v>
      </c>
      <c r="AB72" s="1">
        <v>14879</v>
      </c>
      <c r="AC72" s="1">
        <v>8790</v>
      </c>
      <c r="AD72" s="1">
        <v>3642</v>
      </c>
      <c r="AE72" s="1">
        <v>1054</v>
      </c>
      <c r="AF72" s="1">
        <v>213</v>
      </c>
      <c r="AG72" s="1">
        <v>20</v>
      </c>
      <c r="AH72" s="1">
        <v>5239</v>
      </c>
      <c r="AI72" s="1">
        <v>10163</v>
      </c>
      <c r="AJ72" s="1">
        <v>896</v>
      </c>
      <c r="AK72" s="1">
        <v>3609</v>
      </c>
      <c r="AL72" s="1">
        <v>230</v>
      </c>
      <c r="AM72" s="1">
        <v>98</v>
      </c>
      <c r="AN72" s="2" t="s">
        <v>561</v>
      </c>
    </row>
    <row r="73" spans="1:40" x14ac:dyDescent="0.3">
      <c r="A73" s="1">
        <v>14505</v>
      </c>
      <c r="B73" s="2" t="s">
        <v>649</v>
      </c>
      <c r="C73" s="2" t="s">
        <v>650</v>
      </c>
      <c r="D73" s="1">
        <v>27</v>
      </c>
      <c r="E73" s="2" t="s">
        <v>299</v>
      </c>
      <c r="F73" s="50" t="s">
        <v>3514</v>
      </c>
      <c r="G73" s="2" t="s">
        <v>651</v>
      </c>
      <c r="H73" s="1">
        <v>8895</v>
      </c>
      <c r="I73" s="1">
        <v>7909</v>
      </c>
      <c r="J73" s="2" t="s">
        <v>652</v>
      </c>
      <c r="K73" s="2">
        <v>80</v>
      </c>
      <c r="L73" s="2" t="s">
        <v>122</v>
      </c>
      <c r="M73" s="1">
        <v>452</v>
      </c>
      <c r="N73" s="1">
        <v>11703</v>
      </c>
      <c r="O73" s="2" t="s">
        <v>234</v>
      </c>
      <c r="P73" s="2" t="s">
        <v>67</v>
      </c>
      <c r="Q73" s="2" t="s">
        <v>167</v>
      </c>
      <c r="R73" s="2" t="s">
        <v>66</v>
      </c>
      <c r="S73" s="2" t="s">
        <v>96</v>
      </c>
      <c r="T73" s="1">
        <v>5842</v>
      </c>
      <c r="U73" s="2" t="s">
        <v>51</v>
      </c>
      <c r="V73" s="1">
        <v>1757</v>
      </c>
      <c r="W73" s="1">
        <v>1334</v>
      </c>
      <c r="X73" s="2" t="s">
        <v>56</v>
      </c>
      <c r="Y73" s="2" t="s">
        <v>101</v>
      </c>
      <c r="Z73" s="2" t="s">
        <v>653</v>
      </c>
      <c r="AA73" s="2" t="s">
        <v>654</v>
      </c>
      <c r="AB73" s="1">
        <v>5861</v>
      </c>
      <c r="AC73" s="1">
        <v>3584</v>
      </c>
      <c r="AD73" s="1">
        <v>1605</v>
      </c>
      <c r="AE73" s="1">
        <v>526</v>
      </c>
      <c r="AF73" s="1">
        <v>112</v>
      </c>
      <c r="AG73" s="1">
        <v>15</v>
      </c>
      <c r="AH73" s="1">
        <v>3116</v>
      </c>
      <c r="AI73" s="1">
        <v>3874</v>
      </c>
      <c r="AJ73" s="1">
        <v>187</v>
      </c>
      <c r="AK73" s="1">
        <v>1615</v>
      </c>
      <c r="AL73" s="1">
        <v>77</v>
      </c>
      <c r="AM73" s="1">
        <v>43</v>
      </c>
      <c r="AN73" s="2" t="s">
        <v>111</v>
      </c>
    </row>
    <row r="74" spans="1:40" ht="28.2" x14ac:dyDescent="0.3">
      <c r="A74" s="1">
        <v>16555</v>
      </c>
      <c r="B74" s="2" t="s">
        <v>655</v>
      </c>
      <c r="C74" s="2" t="s">
        <v>656</v>
      </c>
      <c r="D74" s="1">
        <v>20</v>
      </c>
      <c r="E74" s="2" t="s">
        <v>75</v>
      </c>
      <c r="F74" s="50" t="s">
        <v>76</v>
      </c>
      <c r="G74" s="2" t="s">
        <v>77</v>
      </c>
      <c r="H74" s="1">
        <v>18478</v>
      </c>
      <c r="I74" s="1">
        <v>15914</v>
      </c>
      <c r="J74" s="2" t="s">
        <v>657</v>
      </c>
      <c r="K74" s="2" t="s">
        <v>92</v>
      </c>
      <c r="L74" s="2" t="s">
        <v>658</v>
      </c>
      <c r="M74" s="1">
        <v>957</v>
      </c>
      <c r="N74" s="1">
        <v>25369</v>
      </c>
      <c r="O74" s="2" t="s">
        <v>495</v>
      </c>
      <c r="P74" s="2" t="s">
        <v>235</v>
      </c>
      <c r="Q74" s="2" t="s">
        <v>215</v>
      </c>
      <c r="R74" s="2" t="s">
        <v>96</v>
      </c>
      <c r="S74" s="2" t="s">
        <v>96</v>
      </c>
      <c r="T74" s="1">
        <v>12233</v>
      </c>
      <c r="U74" s="2" t="s">
        <v>51</v>
      </c>
      <c r="V74" s="1">
        <v>2763</v>
      </c>
      <c r="W74" s="1">
        <v>2265</v>
      </c>
      <c r="X74" s="2" t="s">
        <v>114</v>
      </c>
      <c r="Y74" s="2" t="s">
        <v>590</v>
      </c>
      <c r="Z74" s="2" t="s">
        <v>99</v>
      </c>
      <c r="AA74" s="2" t="s">
        <v>659</v>
      </c>
      <c r="AB74" s="1">
        <v>13136</v>
      </c>
      <c r="AC74" s="1">
        <v>7552</v>
      </c>
      <c r="AD74" s="1">
        <v>3377</v>
      </c>
      <c r="AE74" s="1">
        <v>1068</v>
      </c>
      <c r="AF74" s="1">
        <v>212</v>
      </c>
      <c r="AG74" s="1">
        <v>24</v>
      </c>
      <c r="AH74" s="1">
        <v>13952</v>
      </c>
      <c r="AI74" s="1">
        <v>687</v>
      </c>
      <c r="AJ74" s="1">
        <v>766</v>
      </c>
      <c r="AK74" s="1">
        <v>2819</v>
      </c>
      <c r="AL74" s="1">
        <v>265</v>
      </c>
      <c r="AM74" s="1">
        <v>47</v>
      </c>
      <c r="AN74" s="2" t="s">
        <v>206</v>
      </c>
    </row>
    <row r="75" spans="1:40" ht="28.2" x14ac:dyDescent="0.3">
      <c r="A75" s="1">
        <v>18743</v>
      </c>
      <c r="B75" s="2" t="s">
        <v>660</v>
      </c>
      <c r="C75" s="2" t="s">
        <v>661</v>
      </c>
      <c r="D75" s="1">
        <v>24</v>
      </c>
      <c r="E75" s="2" t="s">
        <v>104</v>
      </c>
      <c r="F75" s="50" t="s">
        <v>662</v>
      </c>
      <c r="G75" s="2" t="s">
        <v>663</v>
      </c>
      <c r="H75" s="1">
        <v>10480</v>
      </c>
      <c r="I75" s="1">
        <v>9064</v>
      </c>
      <c r="J75" s="2" t="s">
        <v>664</v>
      </c>
      <c r="K75" s="2" t="s">
        <v>368</v>
      </c>
      <c r="L75" s="2" t="s">
        <v>214</v>
      </c>
      <c r="M75" s="1">
        <v>524</v>
      </c>
      <c r="N75" s="1">
        <v>13953</v>
      </c>
      <c r="O75" s="2" t="s">
        <v>180</v>
      </c>
      <c r="P75" s="2" t="s">
        <v>67</v>
      </c>
      <c r="Q75" s="2" t="s">
        <v>276</v>
      </c>
      <c r="R75" s="2" t="s">
        <v>96</v>
      </c>
      <c r="S75" s="2" t="s">
        <v>50</v>
      </c>
      <c r="T75" s="1">
        <v>7048</v>
      </c>
      <c r="U75" s="2" t="s">
        <v>51</v>
      </c>
      <c r="V75" s="1">
        <v>1772</v>
      </c>
      <c r="W75" s="1">
        <v>1254</v>
      </c>
      <c r="X75" s="2" t="s">
        <v>525</v>
      </c>
      <c r="Y75" s="2" t="s">
        <v>84</v>
      </c>
      <c r="Z75" s="2" t="s">
        <v>137</v>
      </c>
      <c r="AA75" s="2" t="s">
        <v>665</v>
      </c>
      <c r="AB75" s="1">
        <v>6905</v>
      </c>
      <c r="AC75" s="1">
        <v>4449</v>
      </c>
      <c r="AD75" s="1">
        <v>1899</v>
      </c>
      <c r="AE75" s="1">
        <v>575</v>
      </c>
      <c r="AF75" s="1">
        <v>117</v>
      </c>
      <c r="AG75" s="1">
        <v>8</v>
      </c>
      <c r="AH75" s="1">
        <v>4112</v>
      </c>
      <c r="AI75" s="1">
        <v>4257</v>
      </c>
      <c r="AJ75" s="1">
        <v>327</v>
      </c>
      <c r="AK75" s="1">
        <v>1734</v>
      </c>
      <c r="AL75" s="1">
        <v>60</v>
      </c>
      <c r="AM75" s="1">
        <v>19</v>
      </c>
      <c r="AN75" s="2" t="s">
        <v>111</v>
      </c>
    </row>
    <row r="76" spans="1:40" x14ac:dyDescent="0.3">
      <c r="A76" s="1">
        <v>11139</v>
      </c>
      <c r="B76" s="2" t="s">
        <v>666</v>
      </c>
      <c r="C76" s="2" t="s">
        <v>667</v>
      </c>
      <c r="D76" s="1">
        <v>24</v>
      </c>
      <c r="E76" s="2" t="s">
        <v>299</v>
      </c>
      <c r="F76" s="50" t="s">
        <v>260</v>
      </c>
      <c r="G76" s="2" t="s">
        <v>668</v>
      </c>
      <c r="H76" s="1">
        <v>19564</v>
      </c>
      <c r="I76" s="1">
        <v>16750</v>
      </c>
      <c r="J76" s="2" t="s">
        <v>669</v>
      </c>
      <c r="K76" s="2">
        <v>76</v>
      </c>
      <c r="L76" s="2" t="s">
        <v>93</v>
      </c>
      <c r="M76" s="1">
        <v>1057</v>
      </c>
      <c r="N76" s="1">
        <v>26844</v>
      </c>
      <c r="O76" s="2" t="s">
        <v>495</v>
      </c>
      <c r="P76" s="2" t="s">
        <v>48</v>
      </c>
      <c r="Q76" s="2" t="s">
        <v>144</v>
      </c>
      <c r="R76" s="2" t="s">
        <v>96</v>
      </c>
      <c r="S76" s="2" t="s">
        <v>96</v>
      </c>
      <c r="T76" s="1">
        <v>13106</v>
      </c>
      <c r="U76" s="2" t="s">
        <v>51</v>
      </c>
      <c r="V76" s="1">
        <v>3629</v>
      </c>
      <c r="W76" s="1">
        <v>2820</v>
      </c>
      <c r="X76" s="2" t="s">
        <v>168</v>
      </c>
      <c r="Y76" s="2" t="s">
        <v>172</v>
      </c>
      <c r="Z76" s="2" t="s">
        <v>670</v>
      </c>
      <c r="AA76" s="2" t="s">
        <v>671</v>
      </c>
      <c r="AB76" s="1">
        <v>13738</v>
      </c>
      <c r="AC76" s="1">
        <v>8245</v>
      </c>
      <c r="AD76" s="1">
        <v>3539</v>
      </c>
      <c r="AE76" s="1">
        <v>1072</v>
      </c>
      <c r="AF76" s="1">
        <v>225</v>
      </c>
      <c r="AG76" s="1">
        <v>25</v>
      </c>
      <c r="AH76" s="1">
        <v>7121</v>
      </c>
      <c r="AI76" s="1">
        <v>7659</v>
      </c>
      <c r="AJ76" s="1">
        <v>1103</v>
      </c>
      <c r="AK76" s="1">
        <v>3380</v>
      </c>
      <c r="AL76" s="1">
        <v>290</v>
      </c>
      <c r="AM76" s="1">
        <v>70</v>
      </c>
      <c r="AN76" s="2" t="s">
        <v>111</v>
      </c>
    </row>
    <row r="77" spans="1:40" x14ac:dyDescent="0.3">
      <c r="A77" s="1">
        <v>12271</v>
      </c>
      <c r="B77" s="2" t="s">
        <v>672</v>
      </c>
      <c r="C77" s="2" t="s">
        <v>673</v>
      </c>
      <c r="D77" s="1">
        <v>24</v>
      </c>
      <c r="E77" s="2" t="s">
        <v>500</v>
      </c>
      <c r="F77" s="50" t="s">
        <v>3514</v>
      </c>
      <c r="G77" s="2" t="s">
        <v>674</v>
      </c>
      <c r="H77" s="1">
        <v>14503</v>
      </c>
      <c r="I77" s="1">
        <v>12528</v>
      </c>
      <c r="J77" s="2" t="s">
        <v>675</v>
      </c>
      <c r="K77" s="2" t="s">
        <v>253</v>
      </c>
      <c r="L77" s="2">
        <v>2</v>
      </c>
      <c r="M77" s="1">
        <v>752</v>
      </c>
      <c r="N77" s="1">
        <v>19559</v>
      </c>
      <c r="O77" s="2" t="s">
        <v>283</v>
      </c>
      <c r="P77" s="2" t="s">
        <v>48</v>
      </c>
      <c r="Q77" s="2" t="s">
        <v>65</v>
      </c>
      <c r="R77" s="2" t="s">
        <v>66</v>
      </c>
      <c r="S77" s="2" t="s">
        <v>96</v>
      </c>
      <c r="T77" s="1">
        <v>9691</v>
      </c>
      <c r="U77" s="2" t="s">
        <v>51</v>
      </c>
      <c r="V77" s="1">
        <v>2043</v>
      </c>
      <c r="W77" s="1">
        <v>1500</v>
      </c>
      <c r="X77" s="2" t="s">
        <v>596</v>
      </c>
      <c r="Y77" s="2" t="s">
        <v>590</v>
      </c>
      <c r="Z77" s="2" t="s">
        <v>125</v>
      </c>
      <c r="AA77" s="2" t="s">
        <v>676</v>
      </c>
      <c r="AB77" s="1">
        <v>9868</v>
      </c>
      <c r="AC77" s="1">
        <v>6043</v>
      </c>
      <c r="AD77" s="1">
        <v>2660</v>
      </c>
      <c r="AE77" s="1">
        <v>828</v>
      </c>
      <c r="AF77" s="1">
        <v>144</v>
      </c>
      <c r="AG77" s="1">
        <v>16</v>
      </c>
      <c r="AH77" s="1">
        <v>10480</v>
      </c>
      <c r="AI77" s="1">
        <v>939</v>
      </c>
      <c r="AJ77" s="1">
        <v>753</v>
      </c>
      <c r="AK77" s="1">
        <v>2236</v>
      </c>
      <c r="AL77" s="1">
        <v>95</v>
      </c>
      <c r="AM77" s="1">
        <v>28</v>
      </c>
      <c r="AN77" s="2" t="s">
        <v>111</v>
      </c>
    </row>
    <row r="78" spans="1:40" ht="28.2" x14ac:dyDescent="0.3">
      <c r="A78" s="1">
        <v>10263</v>
      </c>
      <c r="B78" s="2" t="s">
        <v>677</v>
      </c>
      <c r="C78" s="2" t="s">
        <v>678</v>
      </c>
      <c r="D78" s="1">
        <v>24</v>
      </c>
      <c r="E78" s="2" t="s">
        <v>241</v>
      </c>
      <c r="F78" s="50" t="s">
        <v>271</v>
      </c>
      <c r="G78" s="2" t="s">
        <v>679</v>
      </c>
      <c r="H78" s="1">
        <v>13334</v>
      </c>
      <c r="I78" s="1">
        <v>11610</v>
      </c>
      <c r="J78" s="2" t="s">
        <v>352</v>
      </c>
      <c r="K78" s="2" t="s">
        <v>582</v>
      </c>
      <c r="L78" s="2" t="s">
        <v>680</v>
      </c>
      <c r="M78" s="1">
        <v>698</v>
      </c>
      <c r="N78" s="1">
        <v>18113</v>
      </c>
      <c r="O78" s="2" t="s">
        <v>283</v>
      </c>
      <c r="P78" s="2" t="s">
        <v>50</v>
      </c>
      <c r="Q78" s="2" t="s">
        <v>65</v>
      </c>
      <c r="R78" s="2" t="s">
        <v>50</v>
      </c>
      <c r="S78" s="2" t="s">
        <v>50</v>
      </c>
      <c r="T78" s="1">
        <v>8857</v>
      </c>
      <c r="U78" s="2" t="s">
        <v>51</v>
      </c>
      <c r="V78" s="1">
        <v>2102</v>
      </c>
      <c r="W78" s="1">
        <v>1535</v>
      </c>
      <c r="X78" s="2" t="s">
        <v>254</v>
      </c>
      <c r="Y78" s="2" t="s">
        <v>362</v>
      </c>
      <c r="Z78" s="2" t="s">
        <v>296</v>
      </c>
      <c r="AA78" s="2" t="s">
        <v>534</v>
      </c>
      <c r="AB78" s="1">
        <v>9256</v>
      </c>
      <c r="AC78" s="1">
        <v>5525</v>
      </c>
      <c r="AD78" s="1">
        <v>2381</v>
      </c>
      <c r="AE78" s="1">
        <v>774</v>
      </c>
      <c r="AF78" s="1">
        <v>160</v>
      </c>
      <c r="AG78" s="1">
        <v>17</v>
      </c>
      <c r="AH78" s="1">
        <v>3313</v>
      </c>
      <c r="AI78" s="1">
        <v>6969</v>
      </c>
      <c r="AJ78" s="1">
        <v>605</v>
      </c>
      <c r="AK78" s="1">
        <v>2367</v>
      </c>
      <c r="AL78" s="1">
        <v>86</v>
      </c>
      <c r="AM78" s="1">
        <v>20</v>
      </c>
      <c r="AN78" s="2" t="s">
        <v>295</v>
      </c>
    </row>
    <row r="79" spans="1:40" x14ac:dyDescent="0.3">
      <c r="A79" s="1">
        <v>8370</v>
      </c>
      <c r="B79" s="2" t="s">
        <v>681</v>
      </c>
      <c r="C79" s="2" t="s">
        <v>682</v>
      </c>
      <c r="D79" s="1">
        <v>26</v>
      </c>
      <c r="E79" s="2" t="s">
        <v>683</v>
      </c>
      <c r="F79" s="50" t="s">
        <v>3514</v>
      </c>
      <c r="G79" s="2" t="s">
        <v>684</v>
      </c>
      <c r="H79" s="1">
        <v>16275</v>
      </c>
      <c r="I79" s="1">
        <v>14364</v>
      </c>
      <c r="J79" s="2" t="s">
        <v>685</v>
      </c>
      <c r="K79" s="2" t="s">
        <v>686</v>
      </c>
      <c r="L79" s="2" t="s">
        <v>687</v>
      </c>
      <c r="M79" s="1">
        <v>840</v>
      </c>
      <c r="N79" s="1">
        <v>21804</v>
      </c>
      <c r="O79" s="2" t="s">
        <v>180</v>
      </c>
      <c r="P79" s="2" t="s">
        <v>202</v>
      </c>
      <c r="Q79" s="2" t="s">
        <v>322</v>
      </c>
      <c r="R79" s="2" t="s">
        <v>50</v>
      </c>
      <c r="S79" s="2" t="s">
        <v>50</v>
      </c>
      <c r="T79" s="1">
        <v>10742</v>
      </c>
      <c r="U79" s="2" t="s">
        <v>51</v>
      </c>
      <c r="V79" s="1">
        <v>2859</v>
      </c>
      <c r="W79" s="1">
        <v>2317</v>
      </c>
      <c r="X79" s="2" t="s">
        <v>101</v>
      </c>
      <c r="Y79" s="2" t="s">
        <v>84</v>
      </c>
      <c r="Z79" s="2" t="s">
        <v>183</v>
      </c>
      <c r="AA79" s="2" t="s">
        <v>497</v>
      </c>
      <c r="AB79" s="1">
        <v>11062</v>
      </c>
      <c r="AC79" s="1">
        <v>6669</v>
      </c>
      <c r="AD79" s="1">
        <v>2862</v>
      </c>
      <c r="AE79" s="1">
        <v>994</v>
      </c>
      <c r="AF79" s="1">
        <v>192</v>
      </c>
      <c r="AG79" s="1">
        <v>25</v>
      </c>
      <c r="AH79" s="1">
        <v>6823</v>
      </c>
      <c r="AI79" s="1">
        <v>5352</v>
      </c>
      <c r="AJ79" s="1">
        <v>807</v>
      </c>
      <c r="AK79" s="1">
        <v>2952</v>
      </c>
      <c r="AL79" s="1">
        <v>315</v>
      </c>
      <c r="AM79" s="1">
        <v>60</v>
      </c>
      <c r="AN79" s="2" t="s">
        <v>295</v>
      </c>
    </row>
    <row r="80" spans="1:40" x14ac:dyDescent="0.3">
      <c r="A80" s="1">
        <v>695</v>
      </c>
      <c r="B80" s="2" t="s">
        <v>688</v>
      </c>
      <c r="C80" s="2" t="s">
        <v>689</v>
      </c>
      <c r="D80" s="1">
        <v>30</v>
      </c>
      <c r="E80" s="2" t="s">
        <v>452</v>
      </c>
      <c r="F80" s="50" t="s">
        <v>690</v>
      </c>
      <c r="G80" s="2" t="s">
        <v>691</v>
      </c>
      <c r="H80" s="1">
        <v>31366</v>
      </c>
      <c r="I80" s="1">
        <v>27037</v>
      </c>
      <c r="J80" s="2" t="s">
        <v>623</v>
      </c>
      <c r="K80" s="2" t="s">
        <v>692</v>
      </c>
      <c r="L80" s="2" t="s">
        <v>46</v>
      </c>
      <c r="M80" s="1">
        <v>1615</v>
      </c>
      <c r="N80" s="1">
        <v>42334</v>
      </c>
      <c r="O80" s="2" t="s">
        <v>283</v>
      </c>
      <c r="P80" s="2" t="s">
        <v>67</v>
      </c>
      <c r="Q80" s="2" t="s">
        <v>65</v>
      </c>
      <c r="R80" s="2" t="s">
        <v>66</v>
      </c>
      <c r="S80" s="2" t="s">
        <v>96</v>
      </c>
      <c r="T80" s="1">
        <v>21027</v>
      </c>
      <c r="U80" s="2" t="s">
        <v>51</v>
      </c>
      <c r="V80" s="1">
        <v>5021</v>
      </c>
      <c r="W80" s="1">
        <v>3302</v>
      </c>
      <c r="X80" s="2" t="s">
        <v>647</v>
      </c>
      <c r="Y80" s="2" t="s">
        <v>98</v>
      </c>
      <c r="Z80" s="2" t="s">
        <v>333</v>
      </c>
      <c r="AA80" s="2" t="s">
        <v>354</v>
      </c>
      <c r="AB80" s="1">
        <v>21307</v>
      </c>
      <c r="AC80" s="1">
        <v>13181</v>
      </c>
      <c r="AD80" s="1">
        <v>5782</v>
      </c>
      <c r="AE80" s="1">
        <v>1697</v>
      </c>
      <c r="AF80" s="1">
        <v>336</v>
      </c>
      <c r="AG80" s="1">
        <v>31</v>
      </c>
      <c r="AH80" s="1">
        <v>8713</v>
      </c>
      <c r="AI80" s="1">
        <v>15102</v>
      </c>
      <c r="AJ80" s="1">
        <v>1531</v>
      </c>
      <c r="AK80" s="1">
        <v>5345</v>
      </c>
      <c r="AL80" s="1">
        <v>503</v>
      </c>
      <c r="AM80" s="1">
        <v>216</v>
      </c>
      <c r="AN80" s="2" t="s">
        <v>295</v>
      </c>
    </row>
    <row r="81" spans="1:40" x14ac:dyDescent="0.3">
      <c r="A81" s="1">
        <v>8918</v>
      </c>
      <c r="B81" s="2" t="s">
        <v>693</v>
      </c>
      <c r="C81" s="2" t="s">
        <v>694</v>
      </c>
      <c r="D81" s="1">
        <v>23</v>
      </c>
      <c r="E81" s="2" t="s">
        <v>75</v>
      </c>
      <c r="F81" s="50" t="s">
        <v>60</v>
      </c>
      <c r="G81" s="2" t="s">
        <v>695</v>
      </c>
      <c r="H81" s="1">
        <v>25927</v>
      </c>
      <c r="I81" s="1">
        <v>22812</v>
      </c>
      <c r="J81" s="2" t="s">
        <v>696</v>
      </c>
      <c r="K81" s="2" t="s">
        <v>382</v>
      </c>
      <c r="L81" s="2" t="s">
        <v>164</v>
      </c>
      <c r="M81" s="1">
        <v>1318</v>
      </c>
      <c r="N81" s="1">
        <v>34779</v>
      </c>
      <c r="O81" s="2" t="s">
        <v>180</v>
      </c>
      <c r="P81" s="2" t="s">
        <v>235</v>
      </c>
      <c r="Q81" s="2" t="s">
        <v>322</v>
      </c>
      <c r="R81" s="2" t="s">
        <v>96</v>
      </c>
      <c r="S81" s="2" t="s">
        <v>50</v>
      </c>
      <c r="T81" s="1">
        <v>17140</v>
      </c>
      <c r="U81" s="2" t="s">
        <v>51</v>
      </c>
      <c r="V81" s="1">
        <v>4084</v>
      </c>
      <c r="W81" s="1">
        <v>3621</v>
      </c>
      <c r="X81" s="2" t="s">
        <v>98</v>
      </c>
      <c r="Y81" s="2" t="s">
        <v>277</v>
      </c>
      <c r="Z81" s="2" t="s">
        <v>391</v>
      </c>
      <c r="AA81" s="2" t="s">
        <v>697</v>
      </c>
      <c r="AB81" s="1">
        <v>17639</v>
      </c>
      <c r="AC81" s="1">
        <v>10582</v>
      </c>
      <c r="AD81" s="1">
        <v>4708</v>
      </c>
      <c r="AE81" s="1">
        <v>1510</v>
      </c>
      <c r="AF81" s="1">
        <v>302</v>
      </c>
      <c r="AG81" s="1">
        <v>38</v>
      </c>
      <c r="AH81" s="1">
        <v>19820</v>
      </c>
      <c r="AI81" s="1">
        <v>199</v>
      </c>
      <c r="AJ81" s="1">
        <v>1387</v>
      </c>
      <c r="AK81" s="1">
        <v>4222</v>
      </c>
      <c r="AL81" s="1">
        <v>285</v>
      </c>
      <c r="AM81" s="1">
        <v>71</v>
      </c>
      <c r="AN81" s="2" t="s">
        <v>295</v>
      </c>
    </row>
    <row r="82" spans="1:40" x14ac:dyDescent="0.3">
      <c r="A82" s="1">
        <v>18221</v>
      </c>
      <c r="B82" s="2" t="s">
        <v>698</v>
      </c>
      <c r="C82" s="2" t="s">
        <v>699</v>
      </c>
      <c r="D82" s="1">
        <v>21</v>
      </c>
      <c r="E82" s="2" t="s">
        <v>700</v>
      </c>
      <c r="F82" s="50" t="s">
        <v>701</v>
      </c>
      <c r="G82" s="2" t="s">
        <v>702</v>
      </c>
      <c r="H82" s="1">
        <v>8661</v>
      </c>
      <c r="I82" s="1">
        <v>7619</v>
      </c>
      <c r="J82" s="2" t="s">
        <v>703</v>
      </c>
      <c r="K82" s="2" t="s">
        <v>704</v>
      </c>
      <c r="L82" s="2" t="s">
        <v>93</v>
      </c>
      <c r="M82" s="1">
        <v>442</v>
      </c>
      <c r="N82" s="1">
        <v>11732</v>
      </c>
      <c r="O82" s="2" t="s">
        <v>283</v>
      </c>
      <c r="P82" s="2" t="s">
        <v>67</v>
      </c>
      <c r="Q82" s="2" t="s">
        <v>276</v>
      </c>
      <c r="R82" s="2" t="s">
        <v>66</v>
      </c>
      <c r="S82" s="2" t="s">
        <v>50</v>
      </c>
      <c r="T82" s="1">
        <v>5714</v>
      </c>
      <c r="U82" s="2" t="s">
        <v>51</v>
      </c>
      <c r="V82" s="1">
        <v>1178</v>
      </c>
      <c r="W82" s="1">
        <v>1080</v>
      </c>
      <c r="X82" s="2" t="s">
        <v>295</v>
      </c>
      <c r="Y82" s="2" t="s">
        <v>449</v>
      </c>
      <c r="Z82" s="2" t="s">
        <v>705</v>
      </c>
      <c r="AA82" s="2" t="s">
        <v>413</v>
      </c>
      <c r="AB82" s="1">
        <v>6018</v>
      </c>
      <c r="AC82" s="1">
        <v>3506</v>
      </c>
      <c r="AD82" s="1">
        <v>1611</v>
      </c>
      <c r="AE82" s="1">
        <v>474</v>
      </c>
      <c r="AF82" s="1">
        <v>104</v>
      </c>
      <c r="AG82" s="1">
        <v>19</v>
      </c>
      <c r="AH82" s="1">
        <v>6595</v>
      </c>
      <c r="AI82" s="1">
        <v>245</v>
      </c>
      <c r="AJ82" s="1">
        <v>252</v>
      </c>
      <c r="AK82" s="1">
        <v>1465</v>
      </c>
      <c r="AL82" s="1">
        <v>76</v>
      </c>
      <c r="AM82" s="1">
        <v>51</v>
      </c>
      <c r="AN82" s="2" t="s">
        <v>98</v>
      </c>
    </row>
    <row r="83" spans="1:40" ht="28.2" x14ac:dyDescent="0.3">
      <c r="A83" s="1">
        <v>7266</v>
      </c>
      <c r="B83" s="2" t="s">
        <v>706</v>
      </c>
      <c r="C83" s="2" t="s">
        <v>707</v>
      </c>
      <c r="D83" s="1">
        <v>26</v>
      </c>
      <c r="E83" s="2" t="s">
        <v>708</v>
      </c>
      <c r="F83" s="50" t="s">
        <v>709</v>
      </c>
      <c r="G83" s="2" t="s">
        <v>710</v>
      </c>
      <c r="H83" s="1">
        <v>33692</v>
      </c>
      <c r="I83" s="1">
        <v>29045</v>
      </c>
      <c r="J83" s="2" t="s">
        <v>711</v>
      </c>
      <c r="K83" s="2" t="s">
        <v>494</v>
      </c>
      <c r="L83" s="2" t="s">
        <v>143</v>
      </c>
      <c r="M83" s="1">
        <v>1735</v>
      </c>
      <c r="N83" s="1">
        <v>46095</v>
      </c>
      <c r="O83" s="2" t="s">
        <v>495</v>
      </c>
      <c r="P83" s="2" t="s">
        <v>50</v>
      </c>
      <c r="Q83" s="2" t="s">
        <v>215</v>
      </c>
      <c r="R83" s="2" t="s">
        <v>66</v>
      </c>
      <c r="S83" s="2" t="s">
        <v>96</v>
      </c>
      <c r="T83" s="1">
        <v>22550</v>
      </c>
      <c r="U83" s="2" t="s">
        <v>51</v>
      </c>
      <c r="V83" s="1">
        <v>6366</v>
      </c>
      <c r="W83" s="1">
        <v>4518</v>
      </c>
      <c r="X83" s="2" t="s">
        <v>525</v>
      </c>
      <c r="Y83" s="2" t="s">
        <v>127</v>
      </c>
      <c r="Z83" s="2" t="s">
        <v>533</v>
      </c>
      <c r="AA83" s="2" t="s">
        <v>712</v>
      </c>
      <c r="AB83" s="1">
        <v>23545</v>
      </c>
      <c r="AC83" s="1">
        <v>14140</v>
      </c>
      <c r="AD83" s="1">
        <v>6097</v>
      </c>
      <c r="AE83" s="1">
        <v>1930</v>
      </c>
      <c r="AF83" s="1">
        <v>351</v>
      </c>
      <c r="AG83" s="1">
        <v>32</v>
      </c>
      <c r="AH83" s="1">
        <v>5382</v>
      </c>
      <c r="AI83" s="1">
        <v>20663</v>
      </c>
      <c r="AJ83" s="1">
        <v>1967</v>
      </c>
      <c r="AK83" s="1">
        <v>5329</v>
      </c>
      <c r="AL83" s="1">
        <v>318</v>
      </c>
      <c r="AM83" s="1">
        <v>117</v>
      </c>
      <c r="AN83" s="2" t="s">
        <v>295</v>
      </c>
    </row>
    <row r="84" spans="1:40" ht="42" x14ac:dyDescent="0.3">
      <c r="A84" s="1">
        <v>15090</v>
      </c>
      <c r="B84" s="2" t="s">
        <v>713</v>
      </c>
      <c r="C84" s="2" t="s">
        <v>714</v>
      </c>
      <c r="D84" s="1">
        <v>31</v>
      </c>
      <c r="E84" s="2" t="s">
        <v>459</v>
      </c>
      <c r="F84" s="51" t="s">
        <v>715</v>
      </c>
      <c r="G84" s="2" t="s">
        <v>716</v>
      </c>
      <c r="H84" s="1">
        <v>17405</v>
      </c>
      <c r="I84" s="1">
        <v>15140</v>
      </c>
      <c r="J84" s="2" t="s">
        <v>530</v>
      </c>
      <c r="K84" s="2" t="s">
        <v>540</v>
      </c>
      <c r="L84" s="2" t="s">
        <v>93</v>
      </c>
      <c r="M84" s="1">
        <v>918</v>
      </c>
      <c r="N84" s="1">
        <v>23924</v>
      </c>
      <c r="O84" s="2" t="s">
        <v>495</v>
      </c>
      <c r="P84" s="2" t="s">
        <v>48</v>
      </c>
      <c r="Q84" s="2" t="s">
        <v>215</v>
      </c>
      <c r="R84" s="2" t="s">
        <v>50</v>
      </c>
      <c r="S84" s="2" t="s">
        <v>50</v>
      </c>
      <c r="T84" s="1">
        <v>11606</v>
      </c>
      <c r="U84" s="2" t="s">
        <v>51</v>
      </c>
      <c r="V84" s="1">
        <v>2928</v>
      </c>
      <c r="W84" s="1">
        <v>2298</v>
      </c>
      <c r="X84" s="2" t="s">
        <v>717</v>
      </c>
      <c r="Y84" s="2" t="s">
        <v>370</v>
      </c>
      <c r="Z84" s="2" t="s">
        <v>718</v>
      </c>
      <c r="AA84" s="2" t="s">
        <v>719</v>
      </c>
      <c r="AB84" s="1">
        <v>12318</v>
      </c>
      <c r="AC84" s="1">
        <v>7279</v>
      </c>
      <c r="AD84" s="1">
        <v>3143</v>
      </c>
      <c r="AE84" s="1">
        <v>938</v>
      </c>
      <c r="AF84" s="1">
        <v>204</v>
      </c>
      <c r="AG84" s="1">
        <v>42</v>
      </c>
      <c r="AH84" s="1">
        <v>4610</v>
      </c>
      <c r="AI84" s="1">
        <v>8162</v>
      </c>
      <c r="AJ84" s="1">
        <v>846</v>
      </c>
      <c r="AK84" s="1">
        <v>3364</v>
      </c>
      <c r="AL84" s="1">
        <v>194</v>
      </c>
      <c r="AM84" s="1">
        <v>284</v>
      </c>
      <c r="AN84" s="2" t="s">
        <v>111</v>
      </c>
    </row>
    <row r="85" spans="1:40" ht="28.2" x14ac:dyDescent="0.3">
      <c r="A85" s="1">
        <v>39</v>
      </c>
      <c r="B85" s="2" t="s">
        <v>720</v>
      </c>
      <c r="C85" s="2" t="s">
        <v>721</v>
      </c>
      <c r="D85" s="1">
        <v>32</v>
      </c>
      <c r="E85" s="2" t="s">
        <v>545</v>
      </c>
      <c r="F85" s="50" t="s">
        <v>3514</v>
      </c>
      <c r="G85" s="2" t="s">
        <v>197</v>
      </c>
      <c r="H85" s="1">
        <v>33271</v>
      </c>
      <c r="I85" s="1">
        <v>28973</v>
      </c>
      <c r="J85" s="2" t="s">
        <v>722</v>
      </c>
      <c r="K85" s="2" t="s">
        <v>723</v>
      </c>
      <c r="L85" s="2" t="s">
        <v>224</v>
      </c>
      <c r="M85" s="1">
        <v>1745</v>
      </c>
      <c r="N85" s="1">
        <v>45030</v>
      </c>
      <c r="O85" s="2" t="s">
        <v>283</v>
      </c>
      <c r="P85" s="2" t="s">
        <v>166</v>
      </c>
      <c r="Q85" s="2" t="s">
        <v>65</v>
      </c>
      <c r="R85" s="2" t="s">
        <v>96</v>
      </c>
      <c r="S85" s="2" t="s">
        <v>66</v>
      </c>
      <c r="T85" s="1">
        <v>22118</v>
      </c>
      <c r="U85" s="2" t="s">
        <v>51</v>
      </c>
      <c r="V85" s="1">
        <v>4471</v>
      </c>
      <c r="W85" s="1">
        <v>4183</v>
      </c>
      <c r="X85" s="2" t="s">
        <v>464</v>
      </c>
      <c r="Y85" s="2" t="s">
        <v>255</v>
      </c>
      <c r="Z85" s="2" t="s">
        <v>112</v>
      </c>
      <c r="AA85" s="2" t="s">
        <v>724</v>
      </c>
      <c r="AB85" s="1">
        <v>22912</v>
      </c>
      <c r="AC85" s="1">
        <v>13750</v>
      </c>
      <c r="AD85" s="1">
        <v>6125</v>
      </c>
      <c r="AE85" s="1">
        <v>1838</v>
      </c>
      <c r="AF85" s="1">
        <v>359</v>
      </c>
      <c r="AG85" s="1">
        <v>46</v>
      </c>
      <c r="AH85" s="1">
        <v>24114</v>
      </c>
      <c r="AI85" s="1">
        <v>947</v>
      </c>
      <c r="AJ85" s="1">
        <v>2224</v>
      </c>
      <c r="AK85" s="1">
        <v>4999</v>
      </c>
      <c r="AL85" s="1">
        <v>464</v>
      </c>
      <c r="AM85" s="1">
        <v>548</v>
      </c>
      <c r="AN85" s="2" t="s">
        <v>295</v>
      </c>
    </row>
    <row r="86" spans="1:40" ht="28.2" x14ac:dyDescent="0.3">
      <c r="A86" s="1">
        <v>8783</v>
      </c>
      <c r="B86" s="2" t="s">
        <v>725</v>
      </c>
      <c r="C86" s="2" t="s">
        <v>726</v>
      </c>
      <c r="D86" s="1">
        <v>25</v>
      </c>
      <c r="E86" s="2" t="s">
        <v>196</v>
      </c>
      <c r="F86" s="50" t="s">
        <v>3514</v>
      </c>
      <c r="G86" s="2" t="s">
        <v>727</v>
      </c>
      <c r="H86" s="1">
        <v>17527</v>
      </c>
      <c r="I86" s="1">
        <v>14851</v>
      </c>
      <c r="J86" s="2" t="s">
        <v>78</v>
      </c>
      <c r="K86" s="2" t="s">
        <v>624</v>
      </c>
      <c r="L86" s="2" t="s">
        <v>63</v>
      </c>
      <c r="M86" s="1">
        <v>940</v>
      </c>
      <c r="N86" s="1">
        <v>24427</v>
      </c>
      <c r="O86" s="2" t="s">
        <v>311</v>
      </c>
      <c r="P86" s="2" t="s">
        <v>50</v>
      </c>
      <c r="Q86" s="2" t="s">
        <v>49</v>
      </c>
      <c r="R86" s="2" t="s">
        <v>66</v>
      </c>
      <c r="S86" s="2" t="s">
        <v>50</v>
      </c>
      <c r="T86" s="1">
        <v>11901</v>
      </c>
      <c r="U86" s="2" t="s">
        <v>51</v>
      </c>
      <c r="V86" s="1">
        <v>2942</v>
      </c>
      <c r="W86" s="1">
        <v>1904</v>
      </c>
      <c r="X86" s="2" t="s">
        <v>496</v>
      </c>
      <c r="Y86" s="2" t="s">
        <v>111</v>
      </c>
      <c r="Z86" s="2" t="s">
        <v>728</v>
      </c>
      <c r="AA86" s="2" t="s">
        <v>354</v>
      </c>
      <c r="AB86" s="1">
        <v>12526</v>
      </c>
      <c r="AC86" s="1">
        <v>7630</v>
      </c>
      <c r="AD86" s="1">
        <v>3146</v>
      </c>
      <c r="AE86" s="1">
        <v>913</v>
      </c>
      <c r="AF86" s="1">
        <v>194</v>
      </c>
      <c r="AG86" s="1">
        <v>18</v>
      </c>
      <c r="AH86" s="1">
        <v>4048</v>
      </c>
      <c r="AI86" s="1">
        <v>8877</v>
      </c>
      <c r="AJ86" s="1">
        <v>660</v>
      </c>
      <c r="AK86" s="1">
        <v>3768</v>
      </c>
      <c r="AL86" s="1">
        <v>177</v>
      </c>
      <c r="AM86" s="1">
        <v>31</v>
      </c>
      <c r="AN86" s="2" t="s">
        <v>295</v>
      </c>
    </row>
    <row r="87" spans="1:40" x14ac:dyDescent="0.3">
      <c r="A87" s="1">
        <v>10722</v>
      </c>
      <c r="B87" s="2" t="s">
        <v>729</v>
      </c>
      <c r="C87" s="2" t="s">
        <v>730</v>
      </c>
      <c r="D87" s="1">
        <v>26</v>
      </c>
      <c r="E87" s="2" t="s">
        <v>209</v>
      </c>
      <c r="F87" s="50" t="s">
        <v>731</v>
      </c>
      <c r="G87" s="2" t="s">
        <v>732</v>
      </c>
      <c r="H87" s="1">
        <v>9628</v>
      </c>
      <c r="I87" s="1">
        <v>8837</v>
      </c>
      <c r="J87" s="2" t="s">
        <v>733</v>
      </c>
      <c r="K87" s="2" t="s">
        <v>566</v>
      </c>
      <c r="L87" s="2" t="s">
        <v>214</v>
      </c>
      <c r="M87" s="1">
        <v>472</v>
      </c>
      <c r="N87" s="1">
        <v>12376</v>
      </c>
      <c r="O87" s="2" t="s">
        <v>123</v>
      </c>
      <c r="P87" s="2" t="s">
        <v>48</v>
      </c>
      <c r="Q87" s="2" t="s">
        <v>646</v>
      </c>
      <c r="R87" s="2" t="s">
        <v>96</v>
      </c>
      <c r="S87" s="2" t="s">
        <v>48</v>
      </c>
      <c r="T87" s="1">
        <v>6264</v>
      </c>
      <c r="U87" s="2" t="s">
        <v>51</v>
      </c>
      <c r="V87" s="1">
        <v>1324</v>
      </c>
      <c r="W87" s="1">
        <v>1172</v>
      </c>
      <c r="X87" s="2" t="s">
        <v>98</v>
      </c>
      <c r="Y87" s="2" t="s">
        <v>407</v>
      </c>
      <c r="Z87" s="2" t="s">
        <v>54</v>
      </c>
      <c r="AA87" s="2" t="s">
        <v>734</v>
      </c>
      <c r="AB87" s="1">
        <v>6112</v>
      </c>
      <c r="AC87" s="1">
        <v>3794</v>
      </c>
      <c r="AD87" s="1">
        <v>1728</v>
      </c>
      <c r="AE87" s="1">
        <v>605</v>
      </c>
      <c r="AF87" s="1">
        <v>122</v>
      </c>
      <c r="AG87" s="1">
        <v>15</v>
      </c>
      <c r="AH87" s="1">
        <v>7439</v>
      </c>
      <c r="AI87" s="1">
        <v>22</v>
      </c>
      <c r="AJ87" s="1">
        <v>571</v>
      </c>
      <c r="AK87" s="1">
        <v>1530</v>
      </c>
      <c r="AL87" s="1">
        <v>64</v>
      </c>
      <c r="AM87" s="1">
        <v>20</v>
      </c>
      <c r="AN87" s="2" t="s">
        <v>370</v>
      </c>
    </row>
    <row r="88" spans="1:40" ht="28.2" x14ac:dyDescent="0.3">
      <c r="A88" s="1">
        <v>18141</v>
      </c>
      <c r="B88" s="2" t="s">
        <v>735</v>
      </c>
      <c r="C88" s="2" t="s">
        <v>736</v>
      </c>
      <c r="D88" s="1">
        <v>25</v>
      </c>
      <c r="E88" s="2" t="s">
        <v>104</v>
      </c>
      <c r="F88" s="50" t="s">
        <v>662</v>
      </c>
      <c r="G88" s="2" t="s">
        <v>662</v>
      </c>
      <c r="H88" s="1">
        <v>12001</v>
      </c>
      <c r="I88" s="1">
        <v>10404</v>
      </c>
      <c r="J88" s="2" t="s">
        <v>737</v>
      </c>
      <c r="K88" s="2" t="s">
        <v>738</v>
      </c>
      <c r="L88" s="2" t="s">
        <v>282</v>
      </c>
      <c r="M88" s="1">
        <v>622</v>
      </c>
      <c r="N88" s="1">
        <v>16530</v>
      </c>
      <c r="O88" s="2" t="s">
        <v>495</v>
      </c>
      <c r="P88" s="2" t="s">
        <v>166</v>
      </c>
      <c r="Q88" s="2" t="s">
        <v>215</v>
      </c>
      <c r="R88" s="2" t="s">
        <v>50</v>
      </c>
      <c r="S88" s="2" t="s">
        <v>67</v>
      </c>
      <c r="T88" s="1">
        <v>8019</v>
      </c>
      <c r="U88" s="2" t="s">
        <v>51</v>
      </c>
      <c r="V88" s="1">
        <v>1689</v>
      </c>
      <c r="W88" s="1">
        <v>1506</v>
      </c>
      <c r="X88" s="2" t="s">
        <v>370</v>
      </c>
      <c r="Y88" s="2" t="s">
        <v>412</v>
      </c>
      <c r="Z88" s="2" t="s">
        <v>391</v>
      </c>
      <c r="AA88" s="2" t="s">
        <v>739</v>
      </c>
      <c r="AB88" s="1">
        <v>8511</v>
      </c>
      <c r="AC88" s="1">
        <v>5038</v>
      </c>
      <c r="AD88" s="1">
        <v>2151</v>
      </c>
      <c r="AE88" s="1">
        <v>676</v>
      </c>
      <c r="AF88" s="1">
        <v>137</v>
      </c>
      <c r="AG88" s="1">
        <v>17</v>
      </c>
      <c r="AH88" s="1">
        <v>9136</v>
      </c>
      <c r="AI88" s="1">
        <v>338</v>
      </c>
      <c r="AJ88" s="1">
        <v>550</v>
      </c>
      <c r="AK88" s="1">
        <v>1796</v>
      </c>
      <c r="AL88" s="1">
        <v>176</v>
      </c>
      <c r="AM88" s="1">
        <v>52</v>
      </c>
      <c r="AN88" s="2" t="s">
        <v>206</v>
      </c>
    </row>
    <row r="89" spans="1:40" x14ac:dyDescent="0.3">
      <c r="A89" s="1">
        <v>13980</v>
      </c>
      <c r="B89" s="2" t="s">
        <v>740</v>
      </c>
      <c r="C89" s="2" t="s">
        <v>741</v>
      </c>
      <c r="D89" s="1">
        <v>26</v>
      </c>
      <c r="E89" s="2" t="s">
        <v>742</v>
      </c>
      <c r="F89" s="50" t="s">
        <v>90</v>
      </c>
      <c r="G89" s="2" t="s">
        <v>743</v>
      </c>
      <c r="H89" s="1">
        <v>23585</v>
      </c>
      <c r="I89" s="1">
        <v>21089</v>
      </c>
      <c r="J89" s="2" t="s">
        <v>744</v>
      </c>
      <c r="K89" s="2">
        <v>82</v>
      </c>
      <c r="L89" s="2" t="s">
        <v>589</v>
      </c>
      <c r="M89" s="1">
        <v>1172</v>
      </c>
      <c r="N89" s="1">
        <v>31354</v>
      </c>
      <c r="O89" s="2" t="s">
        <v>180</v>
      </c>
      <c r="P89" s="2" t="s">
        <v>202</v>
      </c>
      <c r="Q89" s="2" t="s">
        <v>225</v>
      </c>
      <c r="R89" s="2" t="s">
        <v>96</v>
      </c>
      <c r="S89" s="2" t="s">
        <v>50</v>
      </c>
      <c r="T89" s="1">
        <v>15620</v>
      </c>
      <c r="U89" s="2" t="s">
        <v>51</v>
      </c>
      <c r="V89" s="1">
        <v>3106</v>
      </c>
      <c r="W89" s="1">
        <v>2483</v>
      </c>
      <c r="X89" s="2" t="s">
        <v>72</v>
      </c>
      <c r="Y89" s="2" t="s">
        <v>412</v>
      </c>
      <c r="Z89" s="2" t="s">
        <v>745</v>
      </c>
      <c r="AA89" s="2" t="s">
        <v>746</v>
      </c>
      <c r="AB89" s="1">
        <v>15734</v>
      </c>
      <c r="AC89" s="1">
        <v>9784</v>
      </c>
      <c r="AD89" s="1">
        <v>4105</v>
      </c>
      <c r="AE89" s="1">
        <v>1376</v>
      </c>
      <c r="AF89" s="1">
        <v>312</v>
      </c>
      <c r="AG89" s="1">
        <v>43</v>
      </c>
      <c r="AH89" s="1">
        <v>17821</v>
      </c>
      <c r="AI89" s="1">
        <v>260</v>
      </c>
      <c r="AJ89" s="1">
        <v>1602</v>
      </c>
      <c r="AK89" s="1">
        <v>3691</v>
      </c>
      <c r="AL89" s="1">
        <v>233</v>
      </c>
      <c r="AM89" s="1">
        <v>28</v>
      </c>
      <c r="AN89" s="2" t="s">
        <v>111</v>
      </c>
    </row>
    <row r="90" spans="1:40" ht="28.2" x14ac:dyDescent="0.3">
      <c r="A90" s="1">
        <v>15007</v>
      </c>
      <c r="B90" s="2" t="s">
        <v>747</v>
      </c>
      <c r="C90" s="2" t="s">
        <v>748</v>
      </c>
      <c r="D90" s="1">
        <v>28</v>
      </c>
      <c r="E90" s="2" t="s">
        <v>459</v>
      </c>
      <c r="F90" s="50" t="s">
        <v>749</v>
      </c>
      <c r="G90" s="2" t="s">
        <v>750</v>
      </c>
      <c r="H90" s="1">
        <v>14703</v>
      </c>
      <c r="I90" s="1">
        <v>12697</v>
      </c>
      <c r="J90" s="2" t="s">
        <v>751</v>
      </c>
      <c r="K90" s="2">
        <v>74</v>
      </c>
      <c r="L90" s="2" t="s">
        <v>487</v>
      </c>
      <c r="M90" s="1">
        <v>771</v>
      </c>
      <c r="N90" s="1">
        <v>19991</v>
      </c>
      <c r="O90" s="2" t="s">
        <v>283</v>
      </c>
      <c r="P90" s="2" t="s">
        <v>96</v>
      </c>
      <c r="Q90" s="2" t="s">
        <v>65</v>
      </c>
      <c r="R90" s="2" t="s">
        <v>96</v>
      </c>
      <c r="S90" s="2" t="s">
        <v>50</v>
      </c>
      <c r="T90" s="1">
        <v>9890</v>
      </c>
      <c r="U90" s="2" t="s">
        <v>51</v>
      </c>
      <c r="V90" s="1">
        <v>2420</v>
      </c>
      <c r="W90" s="1">
        <v>1820</v>
      </c>
      <c r="X90" s="2" t="s">
        <v>442</v>
      </c>
      <c r="Y90" s="2" t="s">
        <v>370</v>
      </c>
      <c r="Z90" s="2" t="s">
        <v>583</v>
      </c>
      <c r="AA90" s="2" t="s">
        <v>113</v>
      </c>
      <c r="AB90" s="1">
        <v>10101</v>
      </c>
      <c r="AC90" s="1">
        <v>6220</v>
      </c>
      <c r="AD90" s="1">
        <v>2695</v>
      </c>
      <c r="AE90" s="1">
        <v>819</v>
      </c>
      <c r="AF90" s="1">
        <v>144</v>
      </c>
      <c r="AG90" s="1">
        <v>12</v>
      </c>
      <c r="AH90" s="1">
        <v>4855</v>
      </c>
      <c r="AI90" s="1">
        <v>6855</v>
      </c>
      <c r="AJ90" s="1">
        <v>504</v>
      </c>
      <c r="AK90" s="1">
        <v>2381</v>
      </c>
      <c r="AL90" s="1">
        <v>89</v>
      </c>
      <c r="AM90" s="1">
        <v>44</v>
      </c>
      <c r="AN90" s="2" t="s">
        <v>370</v>
      </c>
    </row>
    <row r="91" spans="1:40" ht="28.2" x14ac:dyDescent="0.3">
      <c r="A91" s="1">
        <v>8575</v>
      </c>
      <c r="B91" s="2" t="s">
        <v>752</v>
      </c>
      <c r="C91" s="2" t="s">
        <v>753</v>
      </c>
      <c r="D91" s="1">
        <v>24</v>
      </c>
      <c r="E91" s="2" t="s">
        <v>159</v>
      </c>
      <c r="F91" s="50" t="s">
        <v>3514</v>
      </c>
      <c r="G91" s="2" t="s">
        <v>754</v>
      </c>
      <c r="H91" s="1">
        <v>21198</v>
      </c>
      <c r="I91" s="1">
        <v>18350</v>
      </c>
      <c r="J91" s="2" t="s">
        <v>755</v>
      </c>
      <c r="K91" s="2" t="s">
        <v>617</v>
      </c>
      <c r="L91" s="2" t="s">
        <v>46</v>
      </c>
      <c r="M91" s="1">
        <v>1113</v>
      </c>
      <c r="N91" s="1">
        <v>29124</v>
      </c>
      <c r="O91" s="2" t="s">
        <v>495</v>
      </c>
      <c r="P91" s="2" t="s">
        <v>48</v>
      </c>
      <c r="Q91" s="2" t="s">
        <v>215</v>
      </c>
      <c r="R91" s="2" t="s">
        <v>96</v>
      </c>
      <c r="S91" s="2" t="s">
        <v>50</v>
      </c>
      <c r="T91" s="1">
        <v>14203</v>
      </c>
      <c r="U91" s="2" t="s">
        <v>51</v>
      </c>
      <c r="V91" s="1">
        <v>2635</v>
      </c>
      <c r="W91" s="1">
        <v>2219</v>
      </c>
      <c r="X91" s="2" t="s">
        <v>127</v>
      </c>
      <c r="Y91" s="2" t="s">
        <v>285</v>
      </c>
      <c r="Z91" s="2" t="s">
        <v>635</v>
      </c>
      <c r="AA91" s="2" t="s">
        <v>518</v>
      </c>
      <c r="AB91" s="1">
        <v>14921</v>
      </c>
      <c r="AC91" s="1">
        <v>8951</v>
      </c>
      <c r="AD91" s="1">
        <v>3796</v>
      </c>
      <c r="AE91" s="1">
        <v>1196</v>
      </c>
      <c r="AF91" s="1">
        <v>234</v>
      </c>
      <c r="AG91" s="1">
        <v>26</v>
      </c>
      <c r="AH91" s="1">
        <v>14840</v>
      </c>
      <c r="AI91" s="1">
        <v>1145</v>
      </c>
      <c r="AJ91" s="1">
        <v>1491</v>
      </c>
      <c r="AK91" s="1">
        <v>3514</v>
      </c>
      <c r="AL91" s="1">
        <v>219</v>
      </c>
      <c r="AM91" s="1">
        <v>45</v>
      </c>
      <c r="AN91" s="2" t="s">
        <v>295</v>
      </c>
    </row>
    <row r="92" spans="1:40" x14ac:dyDescent="0.3">
      <c r="A92" s="1">
        <v>8711</v>
      </c>
      <c r="B92" s="2" t="s">
        <v>756</v>
      </c>
      <c r="C92" s="2" t="s">
        <v>757</v>
      </c>
      <c r="D92" s="1">
        <v>23</v>
      </c>
      <c r="E92" s="2" t="s">
        <v>758</v>
      </c>
      <c r="F92" s="50" t="s">
        <v>3514</v>
      </c>
      <c r="G92" s="2" t="s">
        <v>759</v>
      </c>
      <c r="H92" s="1">
        <v>17758</v>
      </c>
      <c r="I92" s="1">
        <v>15541</v>
      </c>
      <c r="J92" s="2" t="s">
        <v>760</v>
      </c>
      <c r="K92" s="2" t="s">
        <v>424</v>
      </c>
      <c r="L92" s="2" t="s">
        <v>201</v>
      </c>
      <c r="M92" s="1">
        <v>940</v>
      </c>
      <c r="N92" s="1">
        <v>24238</v>
      </c>
      <c r="O92" s="2" t="s">
        <v>495</v>
      </c>
      <c r="P92" s="2" t="s">
        <v>202</v>
      </c>
      <c r="Q92" s="2" t="s">
        <v>65</v>
      </c>
      <c r="R92" s="2" t="s">
        <v>67</v>
      </c>
      <c r="S92" s="2" t="s">
        <v>48</v>
      </c>
      <c r="T92" s="1">
        <v>11844</v>
      </c>
      <c r="U92" s="2" t="s">
        <v>51</v>
      </c>
      <c r="V92" s="1">
        <v>2668</v>
      </c>
      <c r="W92" s="1">
        <v>2096</v>
      </c>
      <c r="X92" s="2" t="s">
        <v>717</v>
      </c>
      <c r="Y92" s="2" t="s">
        <v>464</v>
      </c>
      <c r="Z92" s="2" t="s">
        <v>324</v>
      </c>
      <c r="AA92" s="2" t="s">
        <v>384</v>
      </c>
      <c r="AB92" s="1">
        <v>12394</v>
      </c>
      <c r="AC92" s="1">
        <v>7417</v>
      </c>
      <c r="AD92" s="1">
        <v>3215</v>
      </c>
      <c r="AE92" s="1">
        <v>960</v>
      </c>
      <c r="AF92" s="1">
        <v>229</v>
      </c>
      <c r="AG92" s="1">
        <v>23</v>
      </c>
      <c r="AH92" s="1">
        <v>10797</v>
      </c>
      <c r="AI92" s="1">
        <v>3452</v>
      </c>
      <c r="AJ92" s="1">
        <v>428</v>
      </c>
      <c r="AK92" s="1">
        <v>2795</v>
      </c>
      <c r="AL92" s="1">
        <v>233</v>
      </c>
      <c r="AM92" s="1">
        <v>122</v>
      </c>
      <c r="AN92" s="2" t="s">
        <v>295</v>
      </c>
    </row>
    <row r="93" spans="1:40" ht="28.2" x14ac:dyDescent="0.3">
      <c r="A93" s="1">
        <v>1378</v>
      </c>
      <c r="B93" s="2" t="s">
        <v>761</v>
      </c>
      <c r="C93" s="2" t="s">
        <v>762</v>
      </c>
      <c r="D93" s="1">
        <v>30</v>
      </c>
      <c r="E93" s="2" t="s">
        <v>452</v>
      </c>
      <c r="F93" s="50" t="s">
        <v>537</v>
      </c>
      <c r="G93" s="2" t="s">
        <v>763</v>
      </c>
      <c r="H93" s="1">
        <v>20665</v>
      </c>
      <c r="I93" s="1">
        <v>18281</v>
      </c>
      <c r="J93" s="2" t="s">
        <v>764</v>
      </c>
      <c r="K93" s="2" t="s">
        <v>200</v>
      </c>
      <c r="L93" s="2" t="s">
        <v>765</v>
      </c>
      <c r="M93" s="1">
        <v>1073</v>
      </c>
      <c r="N93" s="1">
        <v>28305</v>
      </c>
      <c r="O93" s="2" t="s">
        <v>495</v>
      </c>
      <c r="P93" s="2" t="s">
        <v>235</v>
      </c>
      <c r="Q93" s="2" t="s">
        <v>276</v>
      </c>
      <c r="R93" s="2" t="s">
        <v>66</v>
      </c>
      <c r="S93" s="2" t="s">
        <v>96</v>
      </c>
      <c r="T93" s="1">
        <v>13633</v>
      </c>
      <c r="U93" s="2" t="s">
        <v>51</v>
      </c>
      <c r="V93" s="1">
        <v>2478</v>
      </c>
      <c r="W93" s="1">
        <v>2315</v>
      </c>
      <c r="X93" s="2" t="s">
        <v>464</v>
      </c>
      <c r="Y93" s="2" t="s">
        <v>503</v>
      </c>
      <c r="Z93" s="2" t="s">
        <v>583</v>
      </c>
      <c r="AA93" s="2" t="s">
        <v>518</v>
      </c>
      <c r="AB93" s="1">
        <v>14672</v>
      </c>
      <c r="AC93" s="1">
        <v>8453</v>
      </c>
      <c r="AD93" s="1">
        <v>3680</v>
      </c>
      <c r="AE93" s="1">
        <v>1182</v>
      </c>
      <c r="AF93" s="1">
        <v>284</v>
      </c>
      <c r="AG93" s="1">
        <v>34</v>
      </c>
      <c r="AH93" s="1">
        <v>14628</v>
      </c>
      <c r="AI93" s="1">
        <v>599</v>
      </c>
      <c r="AJ93" s="1">
        <v>1526</v>
      </c>
      <c r="AK93" s="1">
        <v>3366</v>
      </c>
      <c r="AL93" s="1">
        <v>503</v>
      </c>
      <c r="AM93" s="1">
        <v>78</v>
      </c>
      <c r="AN93" s="2" t="s">
        <v>295</v>
      </c>
    </row>
    <row r="94" spans="1:40" ht="42" x14ac:dyDescent="0.3">
      <c r="A94" s="1">
        <v>9042</v>
      </c>
      <c r="B94" s="2" t="s">
        <v>766</v>
      </c>
      <c r="C94" s="2" t="s">
        <v>767</v>
      </c>
      <c r="D94" s="1">
        <v>29</v>
      </c>
      <c r="E94" s="2" t="s">
        <v>459</v>
      </c>
      <c r="F94" s="50" t="s">
        <v>3514</v>
      </c>
      <c r="G94" s="2" t="s">
        <v>768</v>
      </c>
      <c r="H94" s="1">
        <v>9797</v>
      </c>
      <c r="I94" s="1">
        <v>8616</v>
      </c>
      <c r="J94" s="2" t="s">
        <v>769</v>
      </c>
      <c r="K94" s="2" t="s">
        <v>770</v>
      </c>
      <c r="L94" s="2" t="s">
        <v>46</v>
      </c>
      <c r="M94" s="1">
        <v>491</v>
      </c>
      <c r="N94" s="1">
        <v>12856</v>
      </c>
      <c r="O94" s="2" t="s">
        <v>234</v>
      </c>
      <c r="P94" s="2" t="s">
        <v>553</v>
      </c>
      <c r="Q94" s="2" t="s">
        <v>225</v>
      </c>
      <c r="R94" s="2" t="s">
        <v>96</v>
      </c>
      <c r="S94" s="2" t="s">
        <v>48</v>
      </c>
      <c r="T94" s="1">
        <v>6615</v>
      </c>
      <c r="U94" s="2" t="s">
        <v>51</v>
      </c>
      <c r="V94" s="1">
        <v>1145</v>
      </c>
      <c r="W94" s="1">
        <v>864</v>
      </c>
      <c r="X94" s="2" t="s">
        <v>442</v>
      </c>
      <c r="Y94" s="2">
        <v>1</v>
      </c>
      <c r="Z94" s="2" t="s">
        <v>771</v>
      </c>
      <c r="AA94" s="2" t="s">
        <v>363</v>
      </c>
      <c r="AB94" s="1">
        <v>6241</v>
      </c>
      <c r="AC94" s="1">
        <v>4174</v>
      </c>
      <c r="AD94" s="1">
        <v>1844</v>
      </c>
      <c r="AE94" s="1">
        <v>474</v>
      </c>
      <c r="AF94" s="1">
        <v>111</v>
      </c>
      <c r="AG94" s="1">
        <v>12</v>
      </c>
      <c r="AH94" s="1">
        <v>7011</v>
      </c>
      <c r="AI94" s="1">
        <v>135</v>
      </c>
      <c r="AJ94" s="1">
        <v>717</v>
      </c>
      <c r="AK94" s="1">
        <v>1794</v>
      </c>
      <c r="AL94" s="1">
        <v>131</v>
      </c>
      <c r="AM94" s="1">
        <v>26</v>
      </c>
      <c r="AN94" s="2" t="s">
        <v>295</v>
      </c>
    </row>
    <row r="95" spans="1:40" ht="28.2" x14ac:dyDescent="0.3">
      <c r="A95" s="1">
        <v>12715</v>
      </c>
      <c r="B95" s="2" t="s">
        <v>772</v>
      </c>
      <c r="C95" s="2" t="s">
        <v>773</v>
      </c>
      <c r="D95" s="1">
        <v>29</v>
      </c>
      <c r="E95" s="2" t="s">
        <v>299</v>
      </c>
      <c r="F95" s="50" t="s">
        <v>3514</v>
      </c>
      <c r="G95" s="2" t="s">
        <v>774</v>
      </c>
      <c r="H95" s="1">
        <v>13957</v>
      </c>
      <c r="I95" s="1">
        <v>12329</v>
      </c>
      <c r="J95" s="2" t="s">
        <v>775</v>
      </c>
      <c r="K95" s="2" t="s">
        <v>776</v>
      </c>
      <c r="L95" s="2" t="s">
        <v>63</v>
      </c>
      <c r="M95" s="1">
        <v>732</v>
      </c>
      <c r="N95" s="1">
        <v>18819</v>
      </c>
      <c r="O95" s="2" t="s">
        <v>283</v>
      </c>
      <c r="P95" s="2" t="s">
        <v>50</v>
      </c>
      <c r="Q95" s="2" t="s">
        <v>322</v>
      </c>
      <c r="R95" s="2" t="s">
        <v>66</v>
      </c>
      <c r="S95" s="2" t="s">
        <v>96</v>
      </c>
      <c r="T95" s="1">
        <v>9266</v>
      </c>
      <c r="U95" s="2" t="s">
        <v>51</v>
      </c>
      <c r="V95" s="1">
        <v>2293</v>
      </c>
      <c r="W95" s="1">
        <v>1838</v>
      </c>
      <c r="X95" s="2" t="s">
        <v>72</v>
      </c>
      <c r="Y95" s="2" t="s">
        <v>362</v>
      </c>
      <c r="Z95" s="2" t="s">
        <v>777</v>
      </c>
      <c r="AA95" s="2" t="s">
        <v>542</v>
      </c>
      <c r="AB95" s="1">
        <v>9553</v>
      </c>
      <c r="AC95" s="1">
        <v>5738</v>
      </c>
      <c r="AD95" s="1">
        <v>2570</v>
      </c>
      <c r="AE95" s="1">
        <v>770</v>
      </c>
      <c r="AF95" s="1">
        <v>171</v>
      </c>
      <c r="AG95" s="1">
        <v>17</v>
      </c>
      <c r="AH95" s="1">
        <v>6381</v>
      </c>
      <c r="AI95" s="1">
        <v>4569</v>
      </c>
      <c r="AJ95" s="1">
        <v>576</v>
      </c>
      <c r="AK95" s="1">
        <v>2343</v>
      </c>
      <c r="AL95" s="1">
        <v>96</v>
      </c>
      <c r="AM95" s="1">
        <v>28</v>
      </c>
      <c r="AN95" s="2" t="s">
        <v>561</v>
      </c>
    </row>
    <row r="96" spans="1:40" x14ac:dyDescent="0.3">
      <c r="A96" s="1">
        <v>8520</v>
      </c>
      <c r="B96" s="2" t="s">
        <v>778</v>
      </c>
      <c r="C96" s="2" t="s">
        <v>779</v>
      </c>
      <c r="D96" s="1">
        <v>24</v>
      </c>
      <c r="E96" s="2" t="s">
        <v>500</v>
      </c>
      <c r="F96" s="50" t="s">
        <v>528</v>
      </c>
      <c r="G96" s="2" t="s">
        <v>780</v>
      </c>
      <c r="H96" s="1">
        <v>30083</v>
      </c>
      <c r="I96" s="1">
        <v>26060</v>
      </c>
      <c r="J96" s="2" t="s">
        <v>781</v>
      </c>
      <c r="K96" s="2" t="s">
        <v>634</v>
      </c>
      <c r="L96" s="2" t="s">
        <v>782</v>
      </c>
      <c r="M96" s="1">
        <v>1575</v>
      </c>
      <c r="N96" s="1">
        <v>41364</v>
      </c>
      <c r="O96" s="2" t="s">
        <v>495</v>
      </c>
      <c r="P96" s="2" t="s">
        <v>166</v>
      </c>
      <c r="Q96" s="2" t="s">
        <v>215</v>
      </c>
      <c r="R96" s="2" t="s">
        <v>50</v>
      </c>
      <c r="S96" s="2" t="s">
        <v>67</v>
      </c>
      <c r="T96" s="1">
        <v>20192</v>
      </c>
      <c r="U96" s="2" t="s">
        <v>51</v>
      </c>
      <c r="V96" s="1">
        <v>3798</v>
      </c>
      <c r="W96" s="1">
        <v>3047</v>
      </c>
      <c r="X96" s="2" t="s">
        <v>72</v>
      </c>
      <c r="Y96" s="2">
        <v>1</v>
      </c>
      <c r="Z96" s="2" t="s">
        <v>583</v>
      </c>
      <c r="AA96" s="2" t="s">
        <v>783</v>
      </c>
      <c r="AB96" s="1">
        <v>21172</v>
      </c>
      <c r="AC96" s="1">
        <v>12729</v>
      </c>
      <c r="AD96" s="1">
        <v>5455</v>
      </c>
      <c r="AE96" s="1">
        <v>1640</v>
      </c>
      <c r="AF96" s="1">
        <v>330</v>
      </c>
      <c r="AG96" s="1">
        <v>38</v>
      </c>
      <c r="AH96" s="1">
        <v>19111</v>
      </c>
      <c r="AI96" s="1">
        <v>3089</v>
      </c>
      <c r="AJ96" s="1">
        <v>1848</v>
      </c>
      <c r="AK96" s="1">
        <v>5436</v>
      </c>
      <c r="AL96" s="1">
        <v>538</v>
      </c>
      <c r="AM96" s="1">
        <v>155</v>
      </c>
      <c r="AN96" s="2" t="s">
        <v>295</v>
      </c>
    </row>
    <row r="97" spans="1:40" x14ac:dyDescent="0.3">
      <c r="A97" s="1">
        <v>8576</v>
      </c>
      <c r="B97" s="2" t="s">
        <v>784</v>
      </c>
      <c r="C97" s="2" t="s">
        <v>785</v>
      </c>
      <c r="D97" s="1">
        <v>28</v>
      </c>
      <c r="E97" s="2" t="s">
        <v>452</v>
      </c>
      <c r="F97" s="50" t="s">
        <v>690</v>
      </c>
      <c r="G97" s="2" t="s">
        <v>786</v>
      </c>
      <c r="H97" s="1">
        <v>31855</v>
      </c>
      <c r="I97" s="1">
        <v>27425</v>
      </c>
      <c r="J97" s="2" t="s">
        <v>787</v>
      </c>
      <c r="K97" s="2" t="s">
        <v>788</v>
      </c>
      <c r="L97" s="2" t="s">
        <v>589</v>
      </c>
      <c r="M97" s="1">
        <v>1661</v>
      </c>
      <c r="N97" s="1">
        <v>44157</v>
      </c>
      <c r="O97" s="2" t="s">
        <v>311</v>
      </c>
      <c r="P97" s="2" t="s">
        <v>50</v>
      </c>
      <c r="Q97" s="2" t="s">
        <v>144</v>
      </c>
      <c r="R97" s="2" t="s">
        <v>66</v>
      </c>
      <c r="S97" s="2" t="s">
        <v>50</v>
      </c>
      <c r="T97" s="1">
        <v>21438</v>
      </c>
      <c r="U97" s="2" t="s">
        <v>51</v>
      </c>
      <c r="V97" s="1">
        <v>4748</v>
      </c>
      <c r="W97" s="1">
        <v>3508</v>
      </c>
      <c r="X97" s="2" t="s">
        <v>323</v>
      </c>
      <c r="Y97" s="2" t="s">
        <v>464</v>
      </c>
      <c r="Z97" s="2" t="s">
        <v>473</v>
      </c>
      <c r="AA97" s="2" t="s">
        <v>789</v>
      </c>
      <c r="AB97" s="1">
        <v>22719</v>
      </c>
      <c r="AC97" s="1">
        <v>13573</v>
      </c>
      <c r="AD97" s="1">
        <v>5715</v>
      </c>
      <c r="AE97" s="1">
        <v>1777</v>
      </c>
      <c r="AF97" s="1">
        <v>344</v>
      </c>
      <c r="AG97" s="1">
        <v>29</v>
      </c>
      <c r="AH97" s="1">
        <v>9260</v>
      </c>
      <c r="AI97" s="1">
        <v>15053</v>
      </c>
      <c r="AJ97" s="1">
        <v>1601</v>
      </c>
      <c r="AK97" s="1">
        <v>5526</v>
      </c>
      <c r="AL97" s="1">
        <v>328</v>
      </c>
      <c r="AM97" s="1">
        <v>141</v>
      </c>
      <c r="AN97" s="2" t="s">
        <v>295</v>
      </c>
    </row>
    <row r="98" spans="1:40" x14ac:dyDescent="0.3">
      <c r="A98" s="1">
        <v>7390</v>
      </c>
      <c r="B98" s="2" t="s">
        <v>790</v>
      </c>
      <c r="C98" s="2" t="s">
        <v>791</v>
      </c>
      <c r="D98" s="1">
        <v>28</v>
      </c>
      <c r="E98" s="2" t="s">
        <v>792</v>
      </c>
      <c r="F98" s="50" t="s">
        <v>3514</v>
      </c>
      <c r="G98" s="2" t="s">
        <v>793</v>
      </c>
      <c r="H98" s="1">
        <v>27501</v>
      </c>
      <c r="I98" s="1">
        <v>24396</v>
      </c>
      <c r="J98" s="2" t="s">
        <v>794</v>
      </c>
      <c r="K98" s="2" t="s">
        <v>263</v>
      </c>
      <c r="L98" s="2" t="s">
        <v>541</v>
      </c>
      <c r="M98" s="1">
        <v>1430</v>
      </c>
      <c r="N98" s="1">
        <v>37087</v>
      </c>
      <c r="O98" s="2" t="s">
        <v>283</v>
      </c>
      <c r="P98" s="2" t="s">
        <v>48</v>
      </c>
      <c r="Q98" s="2" t="s">
        <v>322</v>
      </c>
      <c r="R98" s="2" t="s">
        <v>50</v>
      </c>
      <c r="S98" s="2" t="s">
        <v>67</v>
      </c>
      <c r="T98" s="1">
        <v>18175</v>
      </c>
      <c r="U98" s="2" t="s">
        <v>51</v>
      </c>
      <c r="V98" s="1">
        <v>3674</v>
      </c>
      <c r="W98" s="1">
        <v>3022</v>
      </c>
      <c r="X98" s="2" t="s">
        <v>114</v>
      </c>
      <c r="Y98" s="2" t="s">
        <v>412</v>
      </c>
      <c r="Z98" s="2" t="s">
        <v>795</v>
      </c>
      <c r="AA98" s="2" t="s">
        <v>724</v>
      </c>
      <c r="AB98" s="1">
        <v>18912</v>
      </c>
      <c r="AC98" s="1">
        <v>11244</v>
      </c>
      <c r="AD98" s="1">
        <v>4993</v>
      </c>
      <c r="AE98" s="1">
        <v>1557</v>
      </c>
      <c r="AF98" s="1">
        <v>342</v>
      </c>
      <c r="AG98" s="1">
        <v>39</v>
      </c>
      <c r="AH98" s="1">
        <v>20794</v>
      </c>
      <c r="AI98" s="1">
        <v>276</v>
      </c>
      <c r="AJ98" s="1">
        <v>987</v>
      </c>
      <c r="AK98" s="1">
        <v>5181</v>
      </c>
      <c r="AL98" s="1">
        <v>210</v>
      </c>
      <c r="AM98" s="1">
        <v>99</v>
      </c>
      <c r="AN98" s="2" t="s">
        <v>295</v>
      </c>
    </row>
    <row r="99" spans="1:40" x14ac:dyDescent="0.3">
      <c r="A99" s="1">
        <v>16848</v>
      </c>
      <c r="B99" s="2" t="s">
        <v>796</v>
      </c>
      <c r="C99" s="2" t="s">
        <v>797</v>
      </c>
      <c r="D99" s="1">
        <v>22</v>
      </c>
      <c r="E99" s="2" t="s">
        <v>327</v>
      </c>
      <c r="F99" s="50" t="s">
        <v>701</v>
      </c>
      <c r="G99" s="2" t="s">
        <v>798</v>
      </c>
      <c r="H99" s="1">
        <v>11782</v>
      </c>
      <c r="I99" s="1">
        <v>10081</v>
      </c>
      <c r="J99" s="2" t="s">
        <v>799</v>
      </c>
      <c r="K99" s="2" t="s">
        <v>800</v>
      </c>
      <c r="L99" s="2" t="s">
        <v>214</v>
      </c>
      <c r="M99" s="1">
        <v>602</v>
      </c>
      <c r="N99" s="1">
        <v>16157</v>
      </c>
      <c r="O99" s="2" t="s">
        <v>495</v>
      </c>
      <c r="P99" s="2" t="s">
        <v>96</v>
      </c>
      <c r="Q99" s="2" t="s">
        <v>144</v>
      </c>
      <c r="R99" s="2" t="s">
        <v>135</v>
      </c>
      <c r="S99" s="2" t="s">
        <v>66</v>
      </c>
      <c r="T99" s="1">
        <v>8005</v>
      </c>
      <c r="U99" s="2" t="s">
        <v>51</v>
      </c>
      <c r="V99" s="1">
        <v>1871</v>
      </c>
      <c r="W99" s="1">
        <v>1197</v>
      </c>
      <c r="X99" s="2" t="s">
        <v>801</v>
      </c>
      <c r="Y99" s="2" t="s">
        <v>370</v>
      </c>
      <c r="Z99" s="2" t="s">
        <v>296</v>
      </c>
      <c r="AA99" s="2" t="s">
        <v>126</v>
      </c>
      <c r="AB99" s="1">
        <v>8152</v>
      </c>
      <c r="AC99" s="1">
        <v>5102</v>
      </c>
      <c r="AD99" s="1">
        <v>2149</v>
      </c>
      <c r="AE99" s="1">
        <v>641</v>
      </c>
      <c r="AF99" s="1">
        <v>106</v>
      </c>
      <c r="AG99" s="1">
        <v>7</v>
      </c>
      <c r="AH99" s="1">
        <v>3304</v>
      </c>
      <c r="AI99" s="1">
        <v>6428</v>
      </c>
      <c r="AJ99" s="1">
        <v>111</v>
      </c>
      <c r="AK99" s="1">
        <v>1896</v>
      </c>
      <c r="AL99" s="1">
        <v>56</v>
      </c>
      <c r="AM99" s="1">
        <v>22</v>
      </c>
      <c r="AN99" s="2" t="s">
        <v>362</v>
      </c>
    </row>
    <row r="100" spans="1:40" ht="28.2" x14ac:dyDescent="0.3">
      <c r="A100" s="1">
        <v>13466</v>
      </c>
      <c r="B100" s="2" t="s">
        <v>802</v>
      </c>
      <c r="C100" s="2" t="s">
        <v>803</v>
      </c>
      <c r="D100" s="1">
        <v>22</v>
      </c>
      <c r="E100" s="2" t="s">
        <v>467</v>
      </c>
      <c r="F100" s="50" t="s">
        <v>468</v>
      </c>
      <c r="G100" s="2" t="s">
        <v>468</v>
      </c>
      <c r="H100" s="1">
        <v>23081</v>
      </c>
      <c r="I100" s="1">
        <v>20130</v>
      </c>
      <c r="J100" s="2" t="s">
        <v>804</v>
      </c>
      <c r="K100" s="2" t="s">
        <v>692</v>
      </c>
      <c r="L100" s="2" t="s">
        <v>122</v>
      </c>
      <c r="M100" s="1">
        <v>1173</v>
      </c>
      <c r="N100" s="1">
        <v>31580</v>
      </c>
      <c r="O100" s="2" t="s">
        <v>495</v>
      </c>
      <c r="P100" s="2" t="s">
        <v>50</v>
      </c>
      <c r="Q100" s="2" t="s">
        <v>65</v>
      </c>
      <c r="R100" s="2" t="s">
        <v>66</v>
      </c>
      <c r="S100" s="2" t="s">
        <v>50</v>
      </c>
      <c r="T100" s="1">
        <v>15427</v>
      </c>
      <c r="U100" s="2" t="s">
        <v>51</v>
      </c>
      <c r="V100" s="1">
        <v>3935</v>
      </c>
      <c r="W100" s="1">
        <v>2767</v>
      </c>
      <c r="X100" s="2" t="s">
        <v>369</v>
      </c>
      <c r="Y100" s="2" t="s">
        <v>111</v>
      </c>
      <c r="Z100" s="2" t="s">
        <v>286</v>
      </c>
      <c r="AA100" s="2" t="s">
        <v>805</v>
      </c>
      <c r="AB100" s="1">
        <v>16153</v>
      </c>
      <c r="AC100" s="1">
        <v>9623</v>
      </c>
      <c r="AD100" s="1">
        <v>4269</v>
      </c>
      <c r="AE100" s="1">
        <v>1251</v>
      </c>
      <c r="AF100" s="1">
        <v>253</v>
      </c>
      <c r="AG100" s="1">
        <v>31</v>
      </c>
      <c r="AH100" s="1">
        <v>7579</v>
      </c>
      <c r="AI100" s="1">
        <v>11496</v>
      </c>
      <c r="AJ100" s="1">
        <v>588</v>
      </c>
      <c r="AK100" s="1">
        <v>3244</v>
      </c>
      <c r="AL100" s="1">
        <v>187</v>
      </c>
      <c r="AM100" s="1">
        <v>61</v>
      </c>
      <c r="AN100" s="2" t="s">
        <v>370</v>
      </c>
    </row>
    <row r="101" spans="1:40" ht="28.2" x14ac:dyDescent="0.3">
      <c r="A101" s="1">
        <v>8738</v>
      </c>
      <c r="B101" s="2" t="s">
        <v>806</v>
      </c>
      <c r="C101" s="2" t="s">
        <v>807</v>
      </c>
      <c r="D101" s="1">
        <v>25</v>
      </c>
      <c r="E101" s="2" t="s">
        <v>459</v>
      </c>
      <c r="F101" s="50" t="s">
        <v>528</v>
      </c>
      <c r="G101" s="2" t="s">
        <v>528</v>
      </c>
      <c r="H101" s="1">
        <v>31980</v>
      </c>
      <c r="I101" s="1">
        <v>28924</v>
      </c>
      <c r="J101" s="2" t="s">
        <v>808</v>
      </c>
      <c r="K101" s="2" t="s">
        <v>770</v>
      </c>
      <c r="L101" s="2" t="s">
        <v>398</v>
      </c>
      <c r="M101" s="1">
        <v>1614</v>
      </c>
      <c r="N101" s="1">
        <v>42316</v>
      </c>
      <c r="O101" s="2" t="s">
        <v>234</v>
      </c>
      <c r="P101" s="2" t="s">
        <v>553</v>
      </c>
      <c r="Q101" s="2" t="s">
        <v>167</v>
      </c>
      <c r="R101" s="2" t="s">
        <v>50</v>
      </c>
      <c r="S101" s="2" t="s">
        <v>48</v>
      </c>
      <c r="T101" s="1">
        <v>21008</v>
      </c>
      <c r="U101" s="2" t="s">
        <v>51</v>
      </c>
      <c r="V101" s="1">
        <v>5509</v>
      </c>
      <c r="W101" s="1">
        <v>5148</v>
      </c>
      <c r="X101" s="2" t="s">
        <v>464</v>
      </c>
      <c r="Y101" s="2" t="s">
        <v>362</v>
      </c>
      <c r="Z101" s="2" t="s">
        <v>809</v>
      </c>
      <c r="AA101" s="2" t="s">
        <v>542</v>
      </c>
      <c r="AB101" s="1">
        <v>21308</v>
      </c>
      <c r="AC101" s="1">
        <v>12890</v>
      </c>
      <c r="AD101" s="1">
        <v>5804</v>
      </c>
      <c r="AE101" s="1">
        <v>1841</v>
      </c>
      <c r="AF101" s="1">
        <v>418</v>
      </c>
      <c r="AG101" s="1">
        <v>55</v>
      </c>
      <c r="AH101" s="1">
        <v>24503</v>
      </c>
      <c r="AI101" s="1">
        <v>230</v>
      </c>
      <c r="AJ101" s="1">
        <v>1776</v>
      </c>
      <c r="AK101" s="1">
        <v>5140</v>
      </c>
      <c r="AL101" s="1">
        <v>306</v>
      </c>
      <c r="AM101" s="1">
        <v>86</v>
      </c>
      <c r="AN101" s="2" t="s">
        <v>295</v>
      </c>
    </row>
    <row r="102" spans="1:40" x14ac:dyDescent="0.3">
      <c r="A102" s="1">
        <v>12713</v>
      </c>
      <c r="B102" s="2" t="s">
        <v>810</v>
      </c>
      <c r="C102" s="2" t="s">
        <v>811</v>
      </c>
      <c r="D102" s="1">
        <v>22</v>
      </c>
      <c r="E102" s="2" t="s">
        <v>459</v>
      </c>
      <c r="F102" s="50" t="s">
        <v>812</v>
      </c>
      <c r="G102" s="2" t="s">
        <v>813</v>
      </c>
      <c r="H102" s="1">
        <v>15806</v>
      </c>
      <c r="I102" s="1">
        <v>14141</v>
      </c>
      <c r="J102" s="2" t="s">
        <v>252</v>
      </c>
      <c r="K102" s="2" t="s">
        <v>814</v>
      </c>
      <c r="L102" s="2" t="s">
        <v>471</v>
      </c>
      <c r="M102" s="1">
        <v>813</v>
      </c>
      <c r="N102" s="1">
        <v>21349</v>
      </c>
      <c r="O102" s="2" t="s">
        <v>283</v>
      </c>
      <c r="P102" s="2" t="s">
        <v>235</v>
      </c>
      <c r="Q102" s="2" t="s">
        <v>322</v>
      </c>
      <c r="R102" s="2" t="s">
        <v>67</v>
      </c>
      <c r="S102" s="2" t="s">
        <v>235</v>
      </c>
      <c r="T102" s="1">
        <v>10426</v>
      </c>
      <c r="U102" s="2" t="s">
        <v>51</v>
      </c>
      <c r="V102" s="1">
        <v>2159</v>
      </c>
      <c r="W102" s="1">
        <v>1909</v>
      </c>
      <c r="X102" s="2" t="s">
        <v>98</v>
      </c>
      <c r="Y102" s="2" t="s">
        <v>449</v>
      </c>
      <c r="Z102" s="2" t="s">
        <v>137</v>
      </c>
      <c r="AA102" s="2" t="s">
        <v>408</v>
      </c>
      <c r="AB102" s="1">
        <v>10923</v>
      </c>
      <c r="AC102" s="1">
        <v>6457</v>
      </c>
      <c r="AD102" s="1">
        <v>2811</v>
      </c>
      <c r="AE102" s="1">
        <v>927</v>
      </c>
      <c r="AF102" s="1">
        <v>209</v>
      </c>
      <c r="AG102" s="1">
        <v>22</v>
      </c>
      <c r="AH102" s="1">
        <v>12179</v>
      </c>
      <c r="AI102" s="1">
        <v>343</v>
      </c>
      <c r="AJ102" s="1">
        <v>627</v>
      </c>
      <c r="AK102" s="1">
        <v>2551</v>
      </c>
      <c r="AL102" s="1">
        <v>104</v>
      </c>
      <c r="AM102" s="1">
        <v>25</v>
      </c>
      <c r="AN102" s="2" t="s">
        <v>84</v>
      </c>
    </row>
    <row r="103" spans="1:40" x14ac:dyDescent="0.3">
      <c r="A103" s="1">
        <v>7256</v>
      </c>
      <c r="B103" s="2" t="s">
        <v>815</v>
      </c>
      <c r="C103" s="2" t="s">
        <v>816</v>
      </c>
      <c r="D103" s="1">
        <v>30</v>
      </c>
      <c r="E103" s="2" t="s">
        <v>708</v>
      </c>
      <c r="F103" s="50" t="s">
        <v>3514</v>
      </c>
      <c r="G103" s="2" t="s">
        <v>817</v>
      </c>
      <c r="H103" s="1">
        <v>21063</v>
      </c>
      <c r="I103" s="1">
        <v>18628</v>
      </c>
      <c r="J103" s="2" t="s">
        <v>818</v>
      </c>
      <c r="K103" s="2" t="s">
        <v>819</v>
      </c>
      <c r="L103" s="2" t="s">
        <v>612</v>
      </c>
      <c r="M103" s="1">
        <v>1074</v>
      </c>
      <c r="N103" s="1">
        <v>28389</v>
      </c>
      <c r="O103" s="2" t="s">
        <v>283</v>
      </c>
      <c r="P103" s="2" t="s">
        <v>166</v>
      </c>
      <c r="Q103" s="2" t="s">
        <v>322</v>
      </c>
      <c r="R103" s="2" t="s">
        <v>50</v>
      </c>
      <c r="S103" s="2" t="s">
        <v>48</v>
      </c>
      <c r="T103" s="1">
        <v>14009</v>
      </c>
      <c r="U103" s="2" t="s">
        <v>51</v>
      </c>
      <c r="V103" s="1">
        <v>2233</v>
      </c>
      <c r="W103" s="1">
        <v>1803</v>
      </c>
      <c r="X103" s="2" t="s">
        <v>69</v>
      </c>
      <c r="Y103" s="2" t="s">
        <v>820</v>
      </c>
      <c r="Z103" s="2" t="s">
        <v>821</v>
      </c>
      <c r="AA103" s="2" t="s">
        <v>822</v>
      </c>
      <c r="AB103" s="1">
        <v>14380</v>
      </c>
      <c r="AC103" s="1">
        <v>8738</v>
      </c>
      <c r="AD103" s="1">
        <v>3804</v>
      </c>
      <c r="AE103" s="1">
        <v>1204</v>
      </c>
      <c r="AF103" s="1">
        <v>242</v>
      </c>
      <c r="AG103" s="1">
        <v>21</v>
      </c>
      <c r="AH103" s="1">
        <v>15140</v>
      </c>
      <c r="AI103" s="1">
        <v>215</v>
      </c>
      <c r="AJ103" s="1">
        <v>1206</v>
      </c>
      <c r="AK103" s="1">
        <v>4233</v>
      </c>
      <c r="AL103" s="1">
        <v>255</v>
      </c>
      <c r="AM103" s="1">
        <v>35</v>
      </c>
      <c r="AN103" s="2" t="s">
        <v>295</v>
      </c>
    </row>
    <row r="104" spans="1:40" ht="28.2" x14ac:dyDescent="0.3">
      <c r="A104" s="1">
        <v>16546</v>
      </c>
      <c r="B104" s="2" t="s">
        <v>823</v>
      </c>
      <c r="C104" s="2" t="s">
        <v>824</v>
      </c>
      <c r="D104" s="1">
        <v>22</v>
      </c>
      <c r="E104" s="2" t="s">
        <v>459</v>
      </c>
      <c r="F104" s="50" t="s">
        <v>825</v>
      </c>
      <c r="G104" s="2" t="s">
        <v>826</v>
      </c>
      <c r="H104" s="1">
        <v>13098</v>
      </c>
      <c r="I104" s="1">
        <v>11487</v>
      </c>
      <c r="J104" s="2" t="s">
        <v>827</v>
      </c>
      <c r="K104" s="2" t="s">
        <v>738</v>
      </c>
      <c r="L104" s="2" t="s">
        <v>375</v>
      </c>
      <c r="M104" s="1">
        <v>681</v>
      </c>
      <c r="N104" s="1">
        <v>17699</v>
      </c>
      <c r="O104" s="2" t="s">
        <v>283</v>
      </c>
      <c r="P104" s="2" t="s">
        <v>235</v>
      </c>
      <c r="Q104" s="2" t="s">
        <v>276</v>
      </c>
      <c r="R104" s="2" t="s">
        <v>50</v>
      </c>
      <c r="S104" s="2" t="s">
        <v>67</v>
      </c>
      <c r="T104" s="1">
        <v>8814</v>
      </c>
      <c r="U104" s="2" t="s">
        <v>51</v>
      </c>
      <c r="V104" s="1">
        <v>1518</v>
      </c>
      <c r="W104" s="1">
        <v>1332</v>
      </c>
      <c r="X104" s="2" t="s">
        <v>111</v>
      </c>
      <c r="Y104" s="2" t="s">
        <v>503</v>
      </c>
      <c r="Z104" s="2" t="s">
        <v>125</v>
      </c>
      <c r="AA104" s="2" t="s">
        <v>828</v>
      </c>
      <c r="AB104" s="1">
        <v>8885</v>
      </c>
      <c r="AC104" s="1">
        <v>5575</v>
      </c>
      <c r="AD104" s="1">
        <v>2360</v>
      </c>
      <c r="AE104" s="1">
        <v>727</v>
      </c>
      <c r="AF104" s="1">
        <v>138</v>
      </c>
      <c r="AG104" s="1">
        <v>14</v>
      </c>
      <c r="AH104" s="1">
        <v>7804</v>
      </c>
      <c r="AI104" s="1">
        <v>1969</v>
      </c>
      <c r="AJ104" s="1">
        <v>826</v>
      </c>
      <c r="AK104" s="1">
        <v>2157</v>
      </c>
      <c r="AL104" s="1">
        <v>221</v>
      </c>
      <c r="AM104" s="1">
        <v>185</v>
      </c>
      <c r="AN104" s="2" t="s">
        <v>111</v>
      </c>
    </row>
    <row r="105" spans="1:40" ht="28.2" x14ac:dyDescent="0.3">
      <c r="A105" s="1">
        <v>9031</v>
      </c>
      <c r="B105" s="2" t="s">
        <v>829</v>
      </c>
      <c r="C105" s="2" t="s">
        <v>830</v>
      </c>
      <c r="D105" s="1">
        <v>27</v>
      </c>
      <c r="E105" s="2" t="s">
        <v>196</v>
      </c>
      <c r="F105" s="50" t="s">
        <v>130</v>
      </c>
      <c r="G105" s="2" t="s">
        <v>831</v>
      </c>
      <c r="H105" s="1">
        <v>24018</v>
      </c>
      <c r="I105" s="1">
        <v>21192</v>
      </c>
      <c r="J105" s="2" t="s">
        <v>832</v>
      </c>
      <c r="K105" s="2">
        <v>80</v>
      </c>
      <c r="L105" s="2" t="s">
        <v>575</v>
      </c>
      <c r="M105" s="1">
        <v>1230</v>
      </c>
      <c r="N105" s="1">
        <v>32676</v>
      </c>
      <c r="O105" s="2" t="s">
        <v>283</v>
      </c>
      <c r="P105" s="2" t="s">
        <v>202</v>
      </c>
      <c r="Q105" s="2" t="s">
        <v>276</v>
      </c>
      <c r="R105" s="2" t="s">
        <v>50</v>
      </c>
      <c r="S105" s="2" t="s">
        <v>50</v>
      </c>
      <c r="T105" s="1">
        <v>15988</v>
      </c>
      <c r="U105" s="2" t="s">
        <v>51</v>
      </c>
      <c r="V105" s="1">
        <v>3085</v>
      </c>
      <c r="W105" s="1">
        <v>2467</v>
      </c>
      <c r="X105" s="2" t="s">
        <v>72</v>
      </c>
      <c r="Y105" s="2" t="s">
        <v>255</v>
      </c>
      <c r="Z105" s="2" t="s">
        <v>70</v>
      </c>
      <c r="AA105" s="2" t="s">
        <v>413</v>
      </c>
      <c r="AB105" s="1">
        <v>16688</v>
      </c>
      <c r="AC105" s="1">
        <v>9948</v>
      </c>
      <c r="AD105" s="1">
        <v>4373</v>
      </c>
      <c r="AE105" s="1">
        <v>1378</v>
      </c>
      <c r="AF105" s="1">
        <v>255</v>
      </c>
      <c r="AG105" s="1">
        <v>34</v>
      </c>
      <c r="AH105" s="1">
        <v>18588</v>
      </c>
      <c r="AI105" s="1">
        <v>187</v>
      </c>
      <c r="AJ105" s="1">
        <v>1230</v>
      </c>
      <c r="AK105" s="1">
        <v>3690</v>
      </c>
      <c r="AL105" s="1">
        <v>327</v>
      </c>
      <c r="AM105" s="1">
        <v>54</v>
      </c>
      <c r="AN105" s="2" t="s">
        <v>295</v>
      </c>
    </row>
    <row r="106" spans="1:40" ht="28.2" x14ac:dyDescent="0.3">
      <c r="A106" s="1">
        <v>14294</v>
      </c>
      <c r="B106" s="2" t="s">
        <v>833</v>
      </c>
      <c r="C106" s="2" t="s">
        <v>834</v>
      </c>
      <c r="D106" s="1">
        <v>20</v>
      </c>
      <c r="E106" s="2" t="s">
        <v>299</v>
      </c>
      <c r="F106" s="50" t="s">
        <v>151</v>
      </c>
      <c r="G106" s="2" t="s">
        <v>835</v>
      </c>
      <c r="H106" s="1">
        <v>14955</v>
      </c>
      <c r="I106" s="1">
        <v>13650</v>
      </c>
      <c r="J106" s="2" t="s">
        <v>836</v>
      </c>
      <c r="K106" s="2" t="s">
        <v>837</v>
      </c>
      <c r="L106" s="2" t="s">
        <v>224</v>
      </c>
      <c r="M106" s="1">
        <v>784</v>
      </c>
      <c r="N106" s="1">
        <v>20019</v>
      </c>
      <c r="O106" s="2" t="s">
        <v>180</v>
      </c>
      <c r="P106" s="2" t="s">
        <v>235</v>
      </c>
      <c r="Q106" s="2" t="s">
        <v>167</v>
      </c>
      <c r="R106" s="2" t="s">
        <v>67</v>
      </c>
      <c r="S106" s="2" t="s">
        <v>67</v>
      </c>
      <c r="T106" s="1">
        <v>9714</v>
      </c>
      <c r="U106" s="2" t="s">
        <v>51</v>
      </c>
      <c r="V106" s="1">
        <v>2271</v>
      </c>
      <c r="W106" s="1">
        <v>2223</v>
      </c>
      <c r="X106" s="2" t="s">
        <v>449</v>
      </c>
      <c r="Y106" s="2" t="s">
        <v>304</v>
      </c>
      <c r="Z106" s="2" t="s">
        <v>838</v>
      </c>
      <c r="AA106" s="2" t="s">
        <v>436</v>
      </c>
      <c r="AB106" s="1">
        <v>10305</v>
      </c>
      <c r="AC106" s="1">
        <v>5878</v>
      </c>
      <c r="AD106" s="1">
        <v>2691</v>
      </c>
      <c r="AE106" s="1">
        <v>911</v>
      </c>
      <c r="AF106" s="1">
        <v>208</v>
      </c>
      <c r="AG106" s="1">
        <v>26</v>
      </c>
      <c r="AH106" s="1">
        <v>11123</v>
      </c>
      <c r="AI106" s="1">
        <v>281</v>
      </c>
      <c r="AJ106" s="1">
        <v>810</v>
      </c>
      <c r="AK106" s="1">
        <v>2571</v>
      </c>
      <c r="AL106" s="1">
        <v>170</v>
      </c>
      <c r="AM106" s="1">
        <v>26</v>
      </c>
      <c r="AN106" s="2" t="s">
        <v>111</v>
      </c>
    </row>
    <row r="107" spans="1:40" ht="28.2" x14ac:dyDescent="0.3">
      <c r="A107" s="1">
        <v>13679</v>
      </c>
      <c r="B107" s="2" t="s">
        <v>839</v>
      </c>
      <c r="C107" s="2" t="s">
        <v>840</v>
      </c>
      <c r="D107" s="1">
        <v>24</v>
      </c>
      <c r="E107" s="2" t="s">
        <v>841</v>
      </c>
      <c r="F107" s="50" t="s">
        <v>3514</v>
      </c>
      <c r="G107" s="2" t="s">
        <v>842</v>
      </c>
      <c r="H107" s="1">
        <v>11227</v>
      </c>
      <c r="I107" s="1">
        <v>9897</v>
      </c>
      <c r="J107" s="2" t="s">
        <v>231</v>
      </c>
      <c r="K107" s="2" t="s">
        <v>843</v>
      </c>
      <c r="L107" s="2" t="s">
        <v>425</v>
      </c>
      <c r="M107" s="1">
        <v>592</v>
      </c>
      <c r="N107" s="1">
        <v>15492</v>
      </c>
      <c r="O107" s="2" t="s">
        <v>311</v>
      </c>
      <c r="P107" s="2" t="s">
        <v>48</v>
      </c>
      <c r="Q107" s="2" t="s">
        <v>65</v>
      </c>
      <c r="R107" s="2" t="s">
        <v>66</v>
      </c>
      <c r="S107" s="2" t="s">
        <v>96</v>
      </c>
      <c r="T107" s="1">
        <v>7452</v>
      </c>
      <c r="U107" s="2" t="s">
        <v>51</v>
      </c>
      <c r="V107" s="1">
        <v>1600</v>
      </c>
      <c r="W107" s="1">
        <v>1494</v>
      </c>
      <c r="X107" s="2" t="s">
        <v>464</v>
      </c>
      <c r="Y107" s="2" t="s">
        <v>449</v>
      </c>
      <c r="Z107" s="2" t="s">
        <v>838</v>
      </c>
      <c r="AA107" s="2" t="s">
        <v>844</v>
      </c>
      <c r="AB107" s="1">
        <v>8040</v>
      </c>
      <c r="AC107" s="1">
        <v>4642</v>
      </c>
      <c r="AD107" s="1">
        <v>2006</v>
      </c>
      <c r="AE107" s="1">
        <v>660</v>
      </c>
      <c r="AF107" s="1">
        <v>127</v>
      </c>
      <c r="AG107" s="1">
        <v>17</v>
      </c>
      <c r="AH107" s="1">
        <v>6305</v>
      </c>
      <c r="AI107" s="1">
        <v>2657</v>
      </c>
      <c r="AJ107" s="1">
        <v>250</v>
      </c>
      <c r="AK107" s="1">
        <v>1945</v>
      </c>
      <c r="AL107" s="1">
        <v>81</v>
      </c>
      <c r="AM107" s="1">
        <v>6</v>
      </c>
      <c r="AN107" s="2" t="s">
        <v>370</v>
      </c>
    </row>
    <row r="108" spans="1:40" x14ac:dyDescent="0.3">
      <c r="A108" s="1">
        <v>14932</v>
      </c>
      <c r="B108" s="2" t="s">
        <v>845</v>
      </c>
      <c r="C108" s="2" t="s">
        <v>846</v>
      </c>
      <c r="D108" s="1">
        <v>22</v>
      </c>
      <c r="E108" s="2" t="s">
        <v>708</v>
      </c>
      <c r="F108" s="50" t="s">
        <v>709</v>
      </c>
      <c r="G108" s="2" t="s">
        <v>847</v>
      </c>
      <c r="H108" s="1">
        <v>26565</v>
      </c>
      <c r="I108" s="1">
        <v>23485</v>
      </c>
      <c r="J108" s="2" t="s">
        <v>848</v>
      </c>
      <c r="K108" s="2" t="s">
        <v>424</v>
      </c>
      <c r="L108" s="2" t="s">
        <v>541</v>
      </c>
      <c r="M108" s="1">
        <v>1348</v>
      </c>
      <c r="N108" s="1">
        <v>36024</v>
      </c>
      <c r="O108" s="2" t="s">
        <v>283</v>
      </c>
      <c r="P108" s="2" t="s">
        <v>48</v>
      </c>
      <c r="Q108" s="2" t="s">
        <v>276</v>
      </c>
      <c r="R108" s="2" t="s">
        <v>50</v>
      </c>
      <c r="S108" s="2" t="s">
        <v>48</v>
      </c>
      <c r="T108" s="1">
        <v>17746</v>
      </c>
      <c r="U108" s="2" t="s">
        <v>51</v>
      </c>
      <c r="V108" s="1">
        <v>3768</v>
      </c>
      <c r="W108" s="1">
        <v>3265</v>
      </c>
      <c r="X108" s="2" t="s">
        <v>84</v>
      </c>
      <c r="Y108" s="2" t="s">
        <v>407</v>
      </c>
      <c r="Z108" s="2" t="s">
        <v>705</v>
      </c>
      <c r="AA108" s="2" t="s">
        <v>408</v>
      </c>
      <c r="AB108" s="1">
        <v>18278</v>
      </c>
      <c r="AC108" s="1">
        <v>11127</v>
      </c>
      <c r="AD108" s="1">
        <v>4793</v>
      </c>
      <c r="AE108" s="1">
        <v>1492</v>
      </c>
      <c r="AF108" s="1">
        <v>294</v>
      </c>
      <c r="AG108" s="1">
        <v>40</v>
      </c>
      <c r="AH108" s="1">
        <v>18498</v>
      </c>
      <c r="AI108" s="1">
        <v>1861</v>
      </c>
      <c r="AJ108" s="1">
        <v>1465</v>
      </c>
      <c r="AK108" s="1">
        <v>4474</v>
      </c>
      <c r="AL108" s="1">
        <v>262</v>
      </c>
      <c r="AM108" s="1">
        <v>75</v>
      </c>
      <c r="AN108" s="2" t="s">
        <v>98</v>
      </c>
    </row>
    <row r="109" spans="1:40" ht="42" x14ac:dyDescent="0.3">
      <c r="A109" s="1">
        <v>18462</v>
      </c>
      <c r="B109" s="2" t="s">
        <v>849</v>
      </c>
      <c r="C109" s="2" t="s">
        <v>850</v>
      </c>
      <c r="D109" s="1">
        <v>23</v>
      </c>
      <c r="E109" s="2" t="s">
        <v>141</v>
      </c>
      <c r="F109" s="50" t="s">
        <v>605</v>
      </c>
      <c r="G109" s="2" t="s">
        <v>851</v>
      </c>
      <c r="H109" s="1">
        <v>10146</v>
      </c>
      <c r="I109" s="1">
        <v>8912</v>
      </c>
      <c r="J109" s="2" t="s">
        <v>470</v>
      </c>
      <c r="K109" s="2" t="s">
        <v>200</v>
      </c>
      <c r="L109" s="2" t="s">
        <v>282</v>
      </c>
      <c r="M109" s="1">
        <v>519</v>
      </c>
      <c r="N109" s="1">
        <v>14054</v>
      </c>
      <c r="O109" s="2" t="s">
        <v>311</v>
      </c>
      <c r="P109" s="2" t="s">
        <v>235</v>
      </c>
      <c r="Q109" s="2" t="s">
        <v>215</v>
      </c>
      <c r="R109" s="2" t="s">
        <v>96</v>
      </c>
      <c r="S109" s="2" t="s">
        <v>48</v>
      </c>
      <c r="T109" s="1">
        <v>6771</v>
      </c>
      <c r="U109" s="2" t="s">
        <v>51</v>
      </c>
      <c r="V109" s="1">
        <v>1231</v>
      </c>
      <c r="W109" s="1">
        <v>1043</v>
      </c>
      <c r="X109" s="2" t="s">
        <v>169</v>
      </c>
      <c r="Y109" s="2" t="s">
        <v>245</v>
      </c>
      <c r="Z109" s="2" t="s">
        <v>809</v>
      </c>
      <c r="AA109" s="2" t="s">
        <v>852</v>
      </c>
      <c r="AB109" s="1">
        <v>7283</v>
      </c>
      <c r="AC109" s="1">
        <v>4272</v>
      </c>
      <c r="AD109" s="1">
        <v>1772</v>
      </c>
      <c r="AE109" s="1">
        <v>593</v>
      </c>
      <c r="AF109" s="1">
        <v>119</v>
      </c>
      <c r="AG109" s="1">
        <v>15</v>
      </c>
      <c r="AH109" s="1">
        <v>7234</v>
      </c>
      <c r="AI109" s="1">
        <v>619</v>
      </c>
      <c r="AJ109" s="1">
        <v>495</v>
      </c>
      <c r="AK109" s="1">
        <v>1686</v>
      </c>
      <c r="AL109" s="1">
        <v>120</v>
      </c>
      <c r="AM109" s="1">
        <v>14</v>
      </c>
      <c r="AN109" s="2" t="s">
        <v>111</v>
      </c>
    </row>
    <row r="110" spans="1:40" ht="28.2" x14ac:dyDescent="0.3">
      <c r="A110" s="1">
        <v>8564</v>
      </c>
      <c r="B110" s="2" t="s">
        <v>853</v>
      </c>
      <c r="C110" s="2" t="s">
        <v>854</v>
      </c>
      <c r="D110" s="1">
        <v>30</v>
      </c>
      <c r="E110" s="2" t="s">
        <v>104</v>
      </c>
      <c r="F110" s="50" t="s">
        <v>855</v>
      </c>
      <c r="G110" s="2" t="s">
        <v>856</v>
      </c>
      <c r="H110" s="1">
        <v>28173</v>
      </c>
      <c r="I110" s="1">
        <v>25379</v>
      </c>
      <c r="J110" s="2" t="s">
        <v>857</v>
      </c>
      <c r="K110" s="2" t="s">
        <v>382</v>
      </c>
      <c r="L110" s="2">
        <v>5</v>
      </c>
      <c r="M110" s="1">
        <v>1436</v>
      </c>
      <c r="N110" s="1">
        <v>37508</v>
      </c>
      <c r="O110" s="2" t="s">
        <v>180</v>
      </c>
      <c r="P110" s="2" t="s">
        <v>166</v>
      </c>
      <c r="Q110" s="2" t="s">
        <v>167</v>
      </c>
      <c r="R110" s="2" t="s">
        <v>96</v>
      </c>
      <c r="S110" s="2" t="s">
        <v>66</v>
      </c>
      <c r="T110" s="1">
        <v>18644</v>
      </c>
      <c r="U110" s="2" t="s">
        <v>51</v>
      </c>
      <c r="V110" s="1">
        <v>4992</v>
      </c>
      <c r="W110" s="1">
        <v>4238</v>
      </c>
      <c r="X110" s="2" t="s">
        <v>169</v>
      </c>
      <c r="Y110" s="2" t="s">
        <v>111</v>
      </c>
      <c r="Z110" s="2" t="s">
        <v>858</v>
      </c>
      <c r="AA110" s="2" t="s">
        <v>138</v>
      </c>
      <c r="AB110" s="1">
        <v>18864</v>
      </c>
      <c r="AC110" s="1">
        <v>11560</v>
      </c>
      <c r="AD110" s="1">
        <v>5089</v>
      </c>
      <c r="AE110" s="1">
        <v>1599</v>
      </c>
      <c r="AF110" s="1">
        <v>350</v>
      </c>
      <c r="AG110" s="1">
        <v>46</v>
      </c>
      <c r="AH110" s="1">
        <v>20370</v>
      </c>
      <c r="AI110" s="1">
        <v>391</v>
      </c>
      <c r="AJ110" s="1">
        <v>2270</v>
      </c>
      <c r="AK110" s="1">
        <v>4542</v>
      </c>
      <c r="AL110" s="1">
        <v>383</v>
      </c>
      <c r="AM110" s="1">
        <v>257</v>
      </c>
      <c r="AN110" s="2" t="s">
        <v>277</v>
      </c>
    </row>
    <row r="111" spans="1:40" ht="42" x14ac:dyDescent="0.3">
      <c r="A111" s="1">
        <v>13300</v>
      </c>
      <c r="B111" s="2" t="s">
        <v>859</v>
      </c>
      <c r="C111" s="2" t="s">
        <v>860</v>
      </c>
      <c r="D111" s="1">
        <v>23</v>
      </c>
      <c r="E111" s="2" t="s">
        <v>196</v>
      </c>
      <c r="F111" s="50" t="s">
        <v>229</v>
      </c>
      <c r="G111" s="2" t="s">
        <v>861</v>
      </c>
      <c r="H111" s="1">
        <v>14044</v>
      </c>
      <c r="I111" s="1">
        <v>12253</v>
      </c>
      <c r="J111" s="2" t="s">
        <v>607</v>
      </c>
      <c r="K111" s="2" t="s">
        <v>862</v>
      </c>
      <c r="L111" s="2" t="s">
        <v>63</v>
      </c>
      <c r="M111" s="1">
        <v>731</v>
      </c>
      <c r="N111" s="1">
        <v>19507</v>
      </c>
      <c r="O111" s="2" t="s">
        <v>311</v>
      </c>
      <c r="P111" s="2" t="s">
        <v>96</v>
      </c>
      <c r="Q111" s="2" t="s">
        <v>215</v>
      </c>
      <c r="R111" s="2" t="s">
        <v>66</v>
      </c>
      <c r="S111" s="2" t="s">
        <v>50</v>
      </c>
      <c r="T111" s="1">
        <v>9419</v>
      </c>
      <c r="U111" s="2" t="s">
        <v>51</v>
      </c>
      <c r="V111" s="1">
        <v>2407</v>
      </c>
      <c r="W111" s="1">
        <v>1582</v>
      </c>
      <c r="X111" s="2" t="s">
        <v>647</v>
      </c>
      <c r="Y111" s="2" t="s">
        <v>84</v>
      </c>
      <c r="Z111" s="2" t="s">
        <v>517</v>
      </c>
      <c r="AA111" s="2" t="s">
        <v>863</v>
      </c>
      <c r="AB111" s="1">
        <v>10088</v>
      </c>
      <c r="AC111" s="1">
        <v>5957</v>
      </c>
      <c r="AD111" s="1">
        <v>2493</v>
      </c>
      <c r="AE111" s="1">
        <v>791</v>
      </c>
      <c r="AF111" s="1">
        <v>162</v>
      </c>
      <c r="AG111" s="1">
        <v>16</v>
      </c>
      <c r="AH111" s="1">
        <v>3897</v>
      </c>
      <c r="AI111" s="1">
        <v>7374</v>
      </c>
      <c r="AJ111" s="1">
        <v>295</v>
      </c>
      <c r="AK111" s="1">
        <v>2370</v>
      </c>
      <c r="AL111" s="1">
        <v>119</v>
      </c>
      <c r="AM111" s="1">
        <v>29</v>
      </c>
      <c r="AN111" s="2" t="s">
        <v>561</v>
      </c>
    </row>
    <row r="112" spans="1:40" x14ac:dyDescent="0.3">
      <c r="A112" s="1">
        <v>17861</v>
      </c>
      <c r="B112" s="2" t="s">
        <v>864</v>
      </c>
      <c r="C112" s="2" t="s">
        <v>865</v>
      </c>
      <c r="D112" s="1">
        <v>24</v>
      </c>
      <c r="E112" s="2" t="s">
        <v>104</v>
      </c>
      <c r="F112" s="50" t="s">
        <v>866</v>
      </c>
      <c r="G112" s="2" t="s">
        <v>867</v>
      </c>
      <c r="H112" s="1">
        <v>8183</v>
      </c>
      <c r="I112" s="1">
        <v>7194</v>
      </c>
      <c r="J112" s="2" t="s">
        <v>611</v>
      </c>
      <c r="K112" s="2" t="s">
        <v>868</v>
      </c>
      <c r="L112" s="2" t="s">
        <v>869</v>
      </c>
      <c r="M112" s="1">
        <v>430</v>
      </c>
      <c r="N112" s="1">
        <v>11228</v>
      </c>
      <c r="O112" s="2" t="s">
        <v>495</v>
      </c>
      <c r="P112" s="2" t="s">
        <v>553</v>
      </c>
      <c r="Q112" s="2" t="s">
        <v>65</v>
      </c>
      <c r="R112" s="2" t="s">
        <v>96</v>
      </c>
      <c r="S112" s="2" t="s">
        <v>50</v>
      </c>
      <c r="T112" s="1">
        <v>5472</v>
      </c>
      <c r="U112" s="2" t="s">
        <v>51</v>
      </c>
      <c r="V112" s="1">
        <v>1177</v>
      </c>
      <c r="W112" s="1">
        <v>986</v>
      </c>
      <c r="X112" s="2" t="s">
        <v>127</v>
      </c>
      <c r="Y112" s="2" t="s">
        <v>407</v>
      </c>
      <c r="Z112" s="2" t="s">
        <v>296</v>
      </c>
      <c r="AA112" s="2" t="s">
        <v>659</v>
      </c>
      <c r="AB112" s="1">
        <v>5756</v>
      </c>
      <c r="AC112" s="1">
        <v>3434</v>
      </c>
      <c r="AD112" s="1">
        <v>1477</v>
      </c>
      <c r="AE112" s="1">
        <v>459</v>
      </c>
      <c r="AF112" s="1">
        <v>92</v>
      </c>
      <c r="AG112" s="1">
        <v>10</v>
      </c>
      <c r="AH112" s="1">
        <v>6151</v>
      </c>
      <c r="AI112" s="1">
        <v>408</v>
      </c>
      <c r="AJ112" s="1">
        <v>257</v>
      </c>
      <c r="AK112" s="1">
        <v>1242</v>
      </c>
      <c r="AL112" s="1">
        <v>142</v>
      </c>
      <c r="AM112" s="1">
        <v>40</v>
      </c>
      <c r="AN112" s="2" t="s">
        <v>84</v>
      </c>
    </row>
    <row r="113" spans="1:40" ht="28.2" x14ac:dyDescent="0.3">
      <c r="A113" s="1">
        <v>9078</v>
      </c>
      <c r="B113" s="2" t="s">
        <v>870</v>
      </c>
      <c r="C113" s="2" t="s">
        <v>871</v>
      </c>
      <c r="D113" s="1">
        <v>25</v>
      </c>
      <c r="E113" s="2" t="s">
        <v>196</v>
      </c>
      <c r="F113" s="50" t="s">
        <v>229</v>
      </c>
      <c r="G113" s="2" t="s">
        <v>872</v>
      </c>
      <c r="H113" s="1">
        <v>31098</v>
      </c>
      <c r="I113" s="1">
        <v>28605</v>
      </c>
      <c r="J113" s="2" t="s">
        <v>873</v>
      </c>
      <c r="K113" s="2">
        <v>81</v>
      </c>
      <c r="L113" s="2" t="s">
        <v>122</v>
      </c>
      <c r="M113" s="1">
        <v>1562</v>
      </c>
      <c r="N113" s="1">
        <v>41332</v>
      </c>
      <c r="O113" s="2" t="s">
        <v>180</v>
      </c>
      <c r="P113" s="2" t="s">
        <v>202</v>
      </c>
      <c r="Q113" s="2" t="s">
        <v>463</v>
      </c>
      <c r="R113" s="2" t="s">
        <v>96</v>
      </c>
      <c r="S113" s="2" t="s">
        <v>50</v>
      </c>
      <c r="T113" s="1">
        <v>20220</v>
      </c>
      <c r="U113" s="2" t="s">
        <v>51</v>
      </c>
      <c r="V113" s="1">
        <v>4955</v>
      </c>
      <c r="W113" s="1">
        <v>4865</v>
      </c>
      <c r="X113" s="2" t="s">
        <v>449</v>
      </c>
      <c r="Y113" s="2" t="s">
        <v>464</v>
      </c>
      <c r="Z113" s="2" t="s">
        <v>795</v>
      </c>
      <c r="AA113" s="2" t="s">
        <v>305</v>
      </c>
      <c r="AB113" s="1">
        <v>21112</v>
      </c>
      <c r="AC113" s="1">
        <v>12311</v>
      </c>
      <c r="AD113" s="1">
        <v>5475</v>
      </c>
      <c r="AE113" s="1">
        <v>1952</v>
      </c>
      <c r="AF113" s="1">
        <v>429</v>
      </c>
      <c r="AG113" s="1">
        <v>53</v>
      </c>
      <c r="AH113" s="1">
        <v>21949</v>
      </c>
      <c r="AI113" s="1">
        <v>1647</v>
      </c>
      <c r="AJ113" s="1">
        <v>1462</v>
      </c>
      <c r="AK113" s="1">
        <v>5752</v>
      </c>
      <c r="AL113" s="1">
        <v>224</v>
      </c>
      <c r="AM113" s="1">
        <v>132</v>
      </c>
      <c r="AN113" s="2" t="s">
        <v>277</v>
      </c>
    </row>
    <row r="114" spans="1:40" ht="28.2" x14ac:dyDescent="0.3">
      <c r="A114" s="1">
        <v>7398</v>
      </c>
      <c r="B114" s="2" t="s">
        <v>874</v>
      </c>
      <c r="C114" s="2" t="s">
        <v>875</v>
      </c>
      <c r="D114" s="1">
        <v>29</v>
      </c>
      <c r="E114" s="2" t="s">
        <v>196</v>
      </c>
      <c r="F114" s="50" t="s">
        <v>43</v>
      </c>
      <c r="G114" s="2" t="s">
        <v>198</v>
      </c>
      <c r="H114" s="1">
        <v>37250</v>
      </c>
      <c r="I114" s="1">
        <v>32885</v>
      </c>
      <c r="J114" s="2" t="s">
        <v>876</v>
      </c>
      <c r="K114" s="2" t="s">
        <v>877</v>
      </c>
      <c r="L114" s="2" t="s">
        <v>471</v>
      </c>
      <c r="M114" s="1">
        <v>1953</v>
      </c>
      <c r="N114" s="1">
        <v>50862</v>
      </c>
      <c r="O114" s="2" t="s">
        <v>495</v>
      </c>
      <c r="P114" s="2" t="s">
        <v>235</v>
      </c>
      <c r="Q114" s="2" t="s">
        <v>276</v>
      </c>
      <c r="R114" s="2" t="s">
        <v>96</v>
      </c>
      <c r="S114" s="2" t="s">
        <v>96</v>
      </c>
      <c r="T114" s="1">
        <v>24859</v>
      </c>
      <c r="U114" s="2" t="s">
        <v>51</v>
      </c>
      <c r="V114" s="1">
        <v>5993</v>
      </c>
      <c r="W114" s="1">
        <v>5188</v>
      </c>
      <c r="X114" s="2" t="s">
        <v>206</v>
      </c>
      <c r="Y114" s="2" t="s">
        <v>295</v>
      </c>
      <c r="Z114" s="2" t="s">
        <v>70</v>
      </c>
      <c r="AA114" s="2" t="s">
        <v>267</v>
      </c>
      <c r="AB114" s="1">
        <v>26003</v>
      </c>
      <c r="AC114" s="1">
        <v>15554</v>
      </c>
      <c r="AD114" s="1">
        <v>6765</v>
      </c>
      <c r="AE114" s="1">
        <v>2078</v>
      </c>
      <c r="AF114" s="1">
        <v>423</v>
      </c>
      <c r="AG114" s="1">
        <v>39</v>
      </c>
      <c r="AH114" s="1">
        <v>26134</v>
      </c>
      <c r="AI114" s="1">
        <v>1859</v>
      </c>
      <c r="AJ114" s="1">
        <v>2176</v>
      </c>
      <c r="AK114" s="1">
        <v>6552</v>
      </c>
      <c r="AL114" s="1">
        <v>351</v>
      </c>
      <c r="AM114" s="1">
        <v>241</v>
      </c>
      <c r="AN114" s="2" t="s">
        <v>277</v>
      </c>
    </row>
    <row r="115" spans="1:40" ht="28.2" x14ac:dyDescent="0.3">
      <c r="A115" s="1">
        <v>180</v>
      </c>
      <c r="B115" s="2" t="s">
        <v>878</v>
      </c>
      <c r="C115" s="2" t="s">
        <v>879</v>
      </c>
      <c r="D115" s="1">
        <v>33</v>
      </c>
      <c r="E115" s="2" t="s">
        <v>209</v>
      </c>
      <c r="F115" s="50" t="s">
        <v>880</v>
      </c>
      <c r="G115" s="2" t="s">
        <v>881</v>
      </c>
      <c r="H115" s="1">
        <v>15647</v>
      </c>
      <c r="I115" s="1">
        <v>13721</v>
      </c>
      <c r="J115" s="2" t="s">
        <v>595</v>
      </c>
      <c r="K115" s="2" t="s">
        <v>341</v>
      </c>
      <c r="L115" s="2" t="s">
        <v>375</v>
      </c>
      <c r="M115" s="1">
        <v>836</v>
      </c>
      <c r="N115" s="1">
        <v>21434</v>
      </c>
      <c r="O115" s="2" t="s">
        <v>495</v>
      </c>
      <c r="P115" s="2" t="s">
        <v>202</v>
      </c>
      <c r="Q115" s="2" t="s">
        <v>65</v>
      </c>
      <c r="R115" s="2" t="s">
        <v>96</v>
      </c>
      <c r="S115" s="2" t="s">
        <v>96</v>
      </c>
      <c r="T115" s="1">
        <v>10501</v>
      </c>
      <c r="U115" s="2" t="s">
        <v>51</v>
      </c>
      <c r="V115" s="1">
        <v>2515</v>
      </c>
      <c r="W115" s="1">
        <v>2121</v>
      </c>
      <c r="X115" s="2" t="s">
        <v>127</v>
      </c>
      <c r="Y115" s="2" t="s">
        <v>295</v>
      </c>
      <c r="Z115" s="2" t="s">
        <v>99</v>
      </c>
      <c r="AA115" s="2" t="s">
        <v>882</v>
      </c>
      <c r="AB115" s="1">
        <v>10933</v>
      </c>
      <c r="AC115" s="1">
        <v>6573</v>
      </c>
      <c r="AD115" s="1">
        <v>2908</v>
      </c>
      <c r="AE115" s="1">
        <v>842</v>
      </c>
      <c r="AF115" s="1">
        <v>158</v>
      </c>
      <c r="AG115" s="1">
        <v>20</v>
      </c>
      <c r="AH115" s="1">
        <v>6149</v>
      </c>
      <c r="AI115" s="1">
        <v>4285</v>
      </c>
      <c r="AJ115" s="1">
        <v>1636</v>
      </c>
      <c r="AK115" s="1">
        <v>2916</v>
      </c>
      <c r="AL115" s="1">
        <v>244</v>
      </c>
      <c r="AM115" s="1">
        <v>446</v>
      </c>
      <c r="AN115" s="2" t="s">
        <v>277</v>
      </c>
    </row>
    <row r="116" spans="1:40" ht="28.2" x14ac:dyDescent="0.3">
      <c r="A116" s="1">
        <v>8552</v>
      </c>
      <c r="B116" s="2" t="s">
        <v>883</v>
      </c>
      <c r="C116" s="2" t="s">
        <v>884</v>
      </c>
      <c r="D116" s="1">
        <v>25</v>
      </c>
      <c r="E116" s="2" t="s">
        <v>209</v>
      </c>
      <c r="F116" s="50" t="s">
        <v>210</v>
      </c>
      <c r="G116" s="2" t="s">
        <v>885</v>
      </c>
      <c r="H116" s="1">
        <v>24187</v>
      </c>
      <c r="I116" s="1">
        <v>21526</v>
      </c>
      <c r="J116" s="2" t="s">
        <v>886</v>
      </c>
      <c r="K116" s="2" t="s">
        <v>133</v>
      </c>
      <c r="L116" s="2" t="s">
        <v>214</v>
      </c>
      <c r="M116" s="1">
        <v>1261</v>
      </c>
      <c r="N116" s="1">
        <v>32444</v>
      </c>
      <c r="O116" s="2" t="s">
        <v>180</v>
      </c>
      <c r="P116" s="2" t="s">
        <v>235</v>
      </c>
      <c r="Q116" s="2" t="s">
        <v>322</v>
      </c>
      <c r="R116" s="2" t="s">
        <v>67</v>
      </c>
      <c r="S116" s="2" t="s">
        <v>67</v>
      </c>
      <c r="T116" s="1">
        <v>16192</v>
      </c>
      <c r="U116" s="2" t="s">
        <v>51</v>
      </c>
      <c r="V116" s="1">
        <v>3175</v>
      </c>
      <c r="W116" s="1">
        <v>2896</v>
      </c>
      <c r="X116" s="2" t="s">
        <v>561</v>
      </c>
      <c r="Y116" s="2" t="s">
        <v>255</v>
      </c>
      <c r="Z116" s="2" t="s">
        <v>887</v>
      </c>
      <c r="AA116" s="2" t="s">
        <v>888</v>
      </c>
      <c r="AB116" s="1">
        <v>16252</v>
      </c>
      <c r="AC116" s="1">
        <v>10171</v>
      </c>
      <c r="AD116" s="1">
        <v>4354</v>
      </c>
      <c r="AE116" s="1">
        <v>1386</v>
      </c>
      <c r="AF116" s="1">
        <v>255</v>
      </c>
      <c r="AG116" s="1">
        <v>26</v>
      </c>
      <c r="AH116" s="1">
        <v>18784</v>
      </c>
      <c r="AI116" s="1">
        <v>233</v>
      </c>
      <c r="AJ116" s="1">
        <v>1135</v>
      </c>
      <c r="AK116" s="1">
        <v>3842</v>
      </c>
      <c r="AL116" s="1">
        <v>163</v>
      </c>
      <c r="AM116" s="1">
        <v>113</v>
      </c>
      <c r="AN116" s="2" t="s">
        <v>277</v>
      </c>
    </row>
    <row r="117" spans="1:40" ht="28.2" x14ac:dyDescent="0.3">
      <c r="A117" s="1">
        <v>9115</v>
      </c>
      <c r="B117" s="2" t="s">
        <v>889</v>
      </c>
      <c r="C117" s="2" t="s">
        <v>890</v>
      </c>
      <c r="D117" s="1">
        <v>27</v>
      </c>
      <c r="E117" s="2" t="s">
        <v>299</v>
      </c>
      <c r="F117" s="50" t="s">
        <v>188</v>
      </c>
      <c r="G117" s="2" t="s">
        <v>891</v>
      </c>
      <c r="H117" s="1">
        <v>19140</v>
      </c>
      <c r="I117" s="1">
        <v>17212</v>
      </c>
      <c r="J117" s="2" t="s">
        <v>808</v>
      </c>
      <c r="K117" s="2" t="s">
        <v>892</v>
      </c>
      <c r="L117" s="2" t="s">
        <v>658</v>
      </c>
      <c r="M117" s="1">
        <v>1006</v>
      </c>
      <c r="N117" s="1">
        <v>25904</v>
      </c>
      <c r="O117" s="2" t="s">
        <v>283</v>
      </c>
      <c r="P117" s="2" t="s">
        <v>235</v>
      </c>
      <c r="Q117" s="2" t="s">
        <v>322</v>
      </c>
      <c r="R117" s="2" t="s">
        <v>96</v>
      </c>
      <c r="S117" s="2" t="s">
        <v>50</v>
      </c>
      <c r="T117" s="1">
        <v>12631</v>
      </c>
      <c r="U117" s="2" t="s">
        <v>51</v>
      </c>
      <c r="V117" s="1">
        <v>3112</v>
      </c>
      <c r="W117" s="1">
        <v>2633</v>
      </c>
      <c r="X117" s="2" t="s">
        <v>169</v>
      </c>
      <c r="Y117" s="2" t="s">
        <v>561</v>
      </c>
      <c r="Z117" s="2" t="s">
        <v>887</v>
      </c>
      <c r="AA117" s="2" t="s">
        <v>882</v>
      </c>
      <c r="AB117" s="1">
        <v>13273</v>
      </c>
      <c r="AC117" s="1">
        <v>7807</v>
      </c>
      <c r="AD117" s="1">
        <v>3424</v>
      </c>
      <c r="AE117" s="1">
        <v>1139</v>
      </c>
      <c r="AF117" s="1">
        <v>237</v>
      </c>
      <c r="AG117" s="1">
        <v>24</v>
      </c>
      <c r="AH117" s="1">
        <v>13533</v>
      </c>
      <c r="AI117" s="1">
        <v>867</v>
      </c>
      <c r="AJ117" s="1">
        <v>1145</v>
      </c>
      <c r="AK117" s="1">
        <v>3241</v>
      </c>
      <c r="AL117" s="1">
        <v>321</v>
      </c>
      <c r="AM117" s="1">
        <v>69</v>
      </c>
      <c r="AN117" s="2" t="s">
        <v>277</v>
      </c>
    </row>
    <row r="118" spans="1:40" ht="28.2" x14ac:dyDescent="0.3">
      <c r="A118" s="1">
        <v>3543</v>
      </c>
      <c r="B118" s="2" t="s">
        <v>893</v>
      </c>
      <c r="C118" s="2" t="s">
        <v>894</v>
      </c>
      <c r="D118" s="1">
        <v>29</v>
      </c>
      <c r="E118" s="2" t="s">
        <v>895</v>
      </c>
      <c r="F118" s="50" t="s">
        <v>896</v>
      </c>
      <c r="G118" s="2" t="s">
        <v>897</v>
      </c>
      <c r="H118" s="1">
        <v>9002</v>
      </c>
      <c r="I118" s="1">
        <v>7798</v>
      </c>
      <c r="J118" s="2" t="s">
        <v>799</v>
      </c>
      <c r="K118" s="2">
        <v>73</v>
      </c>
      <c r="L118" s="2" t="s">
        <v>122</v>
      </c>
      <c r="M118" s="1">
        <v>489</v>
      </c>
      <c r="N118" s="1">
        <v>12531</v>
      </c>
      <c r="O118" s="2" t="s">
        <v>311</v>
      </c>
      <c r="P118" s="2" t="s">
        <v>50</v>
      </c>
      <c r="Q118" s="2" t="s">
        <v>144</v>
      </c>
      <c r="R118" s="2" t="s">
        <v>96</v>
      </c>
      <c r="S118" s="2" t="s">
        <v>50</v>
      </c>
      <c r="T118" s="1">
        <v>6060</v>
      </c>
      <c r="U118" s="2" t="s">
        <v>51</v>
      </c>
      <c r="V118" s="1">
        <v>1599</v>
      </c>
      <c r="W118" s="1">
        <v>1141</v>
      </c>
      <c r="X118" s="2" t="s">
        <v>203</v>
      </c>
      <c r="Y118" s="2" t="s">
        <v>84</v>
      </c>
      <c r="Z118" s="2" t="s">
        <v>887</v>
      </c>
      <c r="AA118" s="2" t="s">
        <v>805</v>
      </c>
      <c r="AB118" s="1">
        <v>6471</v>
      </c>
      <c r="AC118" s="1">
        <v>3811</v>
      </c>
      <c r="AD118" s="1">
        <v>1653</v>
      </c>
      <c r="AE118" s="1">
        <v>508</v>
      </c>
      <c r="AF118" s="1">
        <v>80</v>
      </c>
      <c r="AG118" s="1">
        <v>8</v>
      </c>
      <c r="AH118" s="1">
        <v>1914</v>
      </c>
      <c r="AI118" s="1">
        <v>4730</v>
      </c>
      <c r="AJ118" s="1">
        <v>539</v>
      </c>
      <c r="AK118" s="1">
        <v>1693</v>
      </c>
      <c r="AL118" s="1">
        <v>99</v>
      </c>
      <c r="AM118" s="1">
        <v>45</v>
      </c>
      <c r="AN118" s="2" t="s">
        <v>277</v>
      </c>
    </row>
    <row r="119" spans="1:40" ht="28.2" x14ac:dyDescent="0.3">
      <c r="A119" s="1">
        <v>7993</v>
      </c>
      <c r="B119" s="2" t="s">
        <v>898</v>
      </c>
      <c r="C119" s="2" t="s">
        <v>899</v>
      </c>
      <c r="D119" s="1">
        <v>31</v>
      </c>
      <c r="E119" s="2" t="s">
        <v>758</v>
      </c>
      <c r="F119" s="50" t="s">
        <v>3514</v>
      </c>
      <c r="G119" s="2" t="s">
        <v>900</v>
      </c>
      <c r="H119" s="1">
        <v>7633</v>
      </c>
      <c r="I119" s="1">
        <v>6771</v>
      </c>
      <c r="J119" s="2" t="s">
        <v>132</v>
      </c>
      <c r="K119" s="2" t="s">
        <v>617</v>
      </c>
      <c r="L119" s="2" t="s">
        <v>224</v>
      </c>
      <c r="M119" s="1">
        <v>412</v>
      </c>
      <c r="N119" s="1">
        <v>10449</v>
      </c>
      <c r="O119" s="2" t="s">
        <v>495</v>
      </c>
      <c r="P119" s="2" t="s">
        <v>202</v>
      </c>
      <c r="Q119" s="2" t="s">
        <v>276</v>
      </c>
      <c r="R119" s="2" t="s">
        <v>50</v>
      </c>
      <c r="S119" s="2" t="s">
        <v>96</v>
      </c>
      <c r="T119" s="1">
        <v>5105</v>
      </c>
      <c r="U119" s="2" t="s">
        <v>51</v>
      </c>
      <c r="V119" s="1">
        <v>1271</v>
      </c>
      <c r="W119" s="1">
        <v>957</v>
      </c>
      <c r="X119" s="2" t="s">
        <v>442</v>
      </c>
      <c r="Y119" s="2" t="s">
        <v>370</v>
      </c>
      <c r="Z119" s="2" t="s">
        <v>901</v>
      </c>
      <c r="AA119" s="2" t="s">
        <v>392</v>
      </c>
      <c r="AB119" s="1">
        <v>5344</v>
      </c>
      <c r="AC119" s="1">
        <v>3235</v>
      </c>
      <c r="AD119" s="1">
        <v>1326</v>
      </c>
      <c r="AE119" s="1">
        <v>442</v>
      </c>
      <c r="AF119" s="1">
        <v>91</v>
      </c>
      <c r="AG119" s="1">
        <v>11</v>
      </c>
      <c r="AH119" s="1">
        <v>3310</v>
      </c>
      <c r="AI119" s="1">
        <v>2430</v>
      </c>
      <c r="AJ119" s="1">
        <v>373</v>
      </c>
      <c r="AK119" s="1">
        <v>1396</v>
      </c>
      <c r="AL119" s="1">
        <v>111</v>
      </c>
      <c r="AM119" s="1">
        <v>27</v>
      </c>
      <c r="AN119" s="2" t="s">
        <v>277</v>
      </c>
    </row>
    <row r="120" spans="1:40" ht="28.2" x14ac:dyDescent="0.3">
      <c r="A120" s="1">
        <v>9247</v>
      </c>
      <c r="B120" s="2" t="s">
        <v>902</v>
      </c>
      <c r="C120" s="2" t="s">
        <v>903</v>
      </c>
      <c r="D120" s="1">
        <v>32</v>
      </c>
      <c r="E120" s="2" t="s">
        <v>403</v>
      </c>
      <c r="F120" s="50" t="s">
        <v>3514</v>
      </c>
      <c r="G120" s="2" t="s">
        <v>904</v>
      </c>
      <c r="H120" s="1">
        <v>8352</v>
      </c>
      <c r="I120" s="1">
        <v>7676</v>
      </c>
      <c r="J120" s="2" t="s">
        <v>696</v>
      </c>
      <c r="K120" s="2" t="s">
        <v>634</v>
      </c>
      <c r="L120" s="2" t="s">
        <v>471</v>
      </c>
      <c r="M120" s="1">
        <v>431</v>
      </c>
      <c r="N120" s="1">
        <v>10994</v>
      </c>
      <c r="O120" s="2" t="s">
        <v>234</v>
      </c>
      <c r="P120" s="2" t="s">
        <v>202</v>
      </c>
      <c r="Q120" s="2" t="s">
        <v>905</v>
      </c>
      <c r="R120" s="2" t="s">
        <v>66</v>
      </c>
      <c r="S120" s="2" t="s">
        <v>96</v>
      </c>
      <c r="T120" s="1">
        <v>5463</v>
      </c>
      <c r="U120" s="2" t="s">
        <v>51</v>
      </c>
      <c r="V120" s="1">
        <v>1413</v>
      </c>
      <c r="W120" s="1">
        <v>1228</v>
      </c>
      <c r="X120" s="2" t="s">
        <v>84</v>
      </c>
      <c r="Y120" s="2" t="s">
        <v>370</v>
      </c>
      <c r="Z120" s="2" t="s">
        <v>554</v>
      </c>
      <c r="AA120" s="2" t="s">
        <v>906</v>
      </c>
      <c r="AB120" s="1">
        <v>5531</v>
      </c>
      <c r="AC120" s="1">
        <v>3323</v>
      </c>
      <c r="AD120" s="1">
        <v>1522</v>
      </c>
      <c r="AE120" s="1">
        <v>506</v>
      </c>
      <c r="AF120" s="1">
        <v>93</v>
      </c>
      <c r="AG120" s="1">
        <v>19</v>
      </c>
      <c r="AH120" s="1">
        <v>5226</v>
      </c>
      <c r="AI120" s="1">
        <v>1025</v>
      </c>
      <c r="AJ120" s="1">
        <v>319</v>
      </c>
      <c r="AK120" s="1">
        <v>1663</v>
      </c>
      <c r="AL120" s="1">
        <v>76</v>
      </c>
      <c r="AM120" s="1">
        <v>55</v>
      </c>
      <c r="AN120" s="2" t="s">
        <v>277</v>
      </c>
    </row>
    <row r="121" spans="1:40" x14ac:dyDescent="0.3">
      <c r="A121" s="1">
        <v>9032</v>
      </c>
      <c r="B121" s="2" t="s">
        <v>907</v>
      </c>
      <c r="C121" s="2" t="s">
        <v>908</v>
      </c>
      <c r="D121" s="1">
        <v>24</v>
      </c>
      <c r="E121" s="2" t="s">
        <v>196</v>
      </c>
      <c r="F121" s="50" t="s">
        <v>43</v>
      </c>
      <c r="G121" s="2" t="s">
        <v>909</v>
      </c>
      <c r="H121" s="1">
        <v>26714</v>
      </c>
      <c r="I121" s="1">
        <v>23482</v>
      </c>
      <c r="J121" s="2" t="s">
        <v>910</v>
      </c>
      <c r="K121" s="2" t="s">
        <v>911</v>
      </c>
      <c r="L121" s="2" t="s">
        <v>782</v>
      </c>
      <c r="M121" s="1">
        <v>1411</v>
      </c>
      <c r="N121" s="1">
        <v>37134</v>
      </c>
      <c r="O121" s="2" t="s">
        <v>311</v>
      </c>
      <c r="P121" s="2" t="s">
        <v>166</v>
      </c>
      <c r="Q121" s="2" t="s">
        <v>215</v>
      </c>
      <c r="R121" s="2" t="s">
        <v>96</v>
      </c>
      <c r="S121" s="2" t="s">
        <v>50</v>
      </c>
      <c r="T121" s="1">
        <v>17827</v>
      </c>
      <c r="U121" s="2" t="s">
        <v>51</v>
      </c>
      <c r="V121" s="1">
        <v>3815</v>
      </c>
      <c r="W121" s="1">
        <v>3451</v>
      </c>
      <c r="X121" s="2" t="s">
        <v>362</v>
      </c>
      <c r="Y121" s="2" t="s">
        <v>412</v>
      </c>
      <c r="Z121" s="2" t="s">
        <v>296</v>
      </c>
      <c r="AA121" s="2" t="s">
        <v>408</v>
      </c>
      <c r="AB121" s="1">
        <v>19307</v>
      </c>
      <c r="AC121" s="1">
        <v>11146</v>
      </c>
      <c r="AD121" s="1">
        <v>4847</v>
      </c>
      <c r="AE121" s="1">
        <v>1496</v>
      </c>
      <c r="AF121" s="1">
        <v>305</v>
      </c>
      <c r="AG121" s="1">
        <v>33</v>
      </c>
      <c r="AH121" s="1">
        <v>20139</v>
      </c>
      <c r="AI121" s="1">
        <v>526</v>
      </c>
      <c r="AJ121" s="1">
        <v>1133</v>
      </c>
      <c r="AK121" s="1">
        <v>4521</v>
      </c>
      <c r="AL121" s="1">
        <v>414</v>
      </c>
      <c r="AM121" s="1">
        <v>56</v>
      </c>
      <c r="AN121" s="2" t="s">
        <v>277</v>
      </c>
    </row>
    <row r="122" spans="1:40" x14ac:dyDescent="0.3">
      <c r="A122" s="1">
        <v>9255</v>
      </c>
      <c r="B122" s="2" t="s">
        <v>912</v>
      </c>
      <c r="C122" s="2" t="s">
        <v>913</v>
      </c>
      <c r="D122" s="1">
        <v>26</v>
      </c>
      <c r="E122" s="2" t="s">
        <v>545</v>
      </c>
      <c r="F122" s="50" t="s">
        <v>914</v>
      </c>
      <c r="G122" s="2" t="s">
        <v>915</v>
      </c>
      <c r="H122" s="1">
        <v>20957</v>
      </c>
      <c r="I122" s="1">
        <v>18273</v>
      </c>
      <c r="J122" s="2" t="s">
        <v>107</v>
      </c>
      <c r="K122" s="2" t="s">
        <v>916</v>
      </c>
      <c r="L122" s="2" t="s">
        <v>441</v>
      </c>
      <c r="M122" s="1">
        <v>1101</v>
      </c>
      <c r="N122" s="1">
        <v>29050</v>
      </c>
      <c r="O122" s="2" t="s">
        <v>311</v>
      </c>
      <c r="P122" s="2" t="s">
        <v>50</v>
      </c>
      <c r="Q122" s="2" t="s">
        <v>215</v>
      </c>
      <c r="R122" s="2" t="s">
        <v>66</v>
      </c>
      <c r="S122" s="2" t="s">
        <v>66</v>
      </c>
      <c r="T122" s="1">
        <v>14143</v>
      </c>
      <c r="U122" s="2" t="s">
        <v>51</v>
      </c>
      <c r="V122" s="1">
        <v>3899</v>
      </c>
      <c r="W122" s="1">
        <v>2947</v>
      </c>
      <c r="X122" s="2" t="s">
        <v>56</v>
      </c>
      <c r="Y122" s="2" t="s">
        <v>172</v>
      </c>
      <c r="Z122" s="2" t="s">
        <v>286</v>
      </c>
      <c r="AA122" s="2" t="s">
        <v>171</v>
      </c>
      <c r="AB122" s="1">
        <v>14907</v>
      </c>
      <c r="AC122" s="1">
        <v>8995</v>
      </c>
      <c r="AD122" s="1">
        <v>3730</v>
      </c>
      <c r="AE122" s="1">
        <v>1184</v>
      </c>
      <c r="AF122" s="1">
        <v>220</v>
      </c>
      <c r="AG122" s="1">
        <v>14</v>
      </c>
      <c r="AH122" s="1">
        <v>3759</v>
      </c>
      <c r="AI122" s="1">
        <v>12023</v>
      </c>
      <c r="AJ122" s="1">
        <v>1056</v>
      </c>
      <c r="AK122" s="1">
        <v>3946</v>
      </c>
      <c r="AL122" s="1">
        <v>159</v>
      </c>
      <c r="AM122" s="1">
        <v>53</v>
      </c>
      <c r="AN122" s="2" t="s">
        <v>277</v>
      </c>
    </row>
    <row r="123" spans="1:40" ht="28.2" x14ac:dyDescent="0.3">
      <c r="A123" s="1">
        <v>5799</v>
      </c>
      <c r="B123" s="2" t="s">
        <v>917</v>
      </c>
      <c r="C123" s="2" t="s">
        <v>918</v>
      </c>
      <c r="D123" s="1">
        <v>30</v>
      </c>
      <c r="E123" s="2" t="s">
        <v>708</v>
      </c>
      <c r="F123" s="50" t="s">
        <v>3514</v>
      </c>
      <c r="G123" s="2" t="s">
        <v>919</v>
      </c>
      <c r="H123" s="1">
        <v>11408</v>
      </c>
      <c r="I123" s="1">
        <v>10191</v>
      </c>
      <c r="J123" s="2" t="s">
        <v>190</v>
      </c>
      <c r="K123" s="2" t="s">
        <v>920</v>
      </c>
      <c r="L123" s="2" t="s">
        <v>275</v>
      </c>
      <c r="M123" s="1">
        <v>594</v>
      </c>
      <c r="N123" s="1">
        <v>15524</v>
      </c>
      <c r="O123" s="2" t="s">
        <v>495</v>
      </c>
      <c r="P123" s="2" t="s">
        <v>96</v>
      </c>
      <c r="Q123" s="2" t="s">
        <v>322</v>
      </c>
      <c r="R123" s="2" t="s">
        <v>66</v>
      </c>
      <c r="S123" s="2" t="s">
        <v>66</v>
      </c>
      <c r="T123" s="1">
        <v>7599</v>
      </c>
      <c r="U123" s="2" t="s">
        <v>51</v>
      </c>
      <c r="V123" s="1">
        <v>2319</v>
      </c>
      <c r="W123" s="1">
        <v>1664</v>
      </c>
      <c r="X123" s="2" t="s">
        <v>532</v>
      </c>
      <c r="Y123" s="2" t="s">
        <v>101</v>
      </c>
      <c r="Z123" s="2" t="s">
        <v>517</v>
      </c>
      <c r="AA123" s="2" t="s">
        <v>921</v>
      </c>
      <c r="AB123" s="1">
        <v>7925</v>
      </c>
      <c r="AC123" s="1">
        <v>4764</v>
      </c>
      <c r="AD123" s="1">
        <v>2037</v>
      </c>
      <c r="AE123" s="1">
        <v>638</v>
      </c>
      <c r="AF123" s="1">
        <v>145</v>
      </c>
      <c r="AG123" s="1">
        <v>15</v>
      </c>
      <c r="AH123" s="1">
        <v>1226</v>
      </c>
      <c r="AI123" s="1">
        <v>6634</v>
      </c>
      <c r="AJ123" s="1">
        <v>1105</v>
      </c>
      <c r="AK123" s="1">
        <v>2267</v>
      </c>
      <c r="AL123" s="1">
        <v>117</v>
      </c>
      <c r="AM123" s="1">
        <v>70</v>
      </c>
      <c r="AN123" s="2" t="s">
        <v>277</v>
      </c>
    </row>
    <row r="124" spans="1:40" ht="28.2" x14ac:dyDescent="0.3">
      <c r="A124" s="1">
        <v>9219</v>
      </c>
      <c r="B124" s="2" t="s">
        <v>922</v>
      </c>
      <c r="C124" s="2" t="s">
        <v>923</v>
      </c>
      <c r="D124" s="1">
        <v>25</v>
      </c>
      <c r="E124" s="2" t="s">
        <v>104</v>
      </c>
      <c r="F124" s="50" t="s">
        <v>3514</v>
      </c>
      <c r="G124" s="2" t="s">
        <v>924</v>
      </c>
      <c r="H124" s="1">
        <v>19490</v>
      </c>
      <c r="I124" s="1">
        <v>17889</v>
      </c>
      <c r="J124" s="2" t="s">
        <v>925</v>
      </c>
      <c r="K124" s="2" t="s">
        <v>926</v>
      </c>
      <c r="L124" s="2" t="s">
        <v>462</v>
      </c>
      <c r="M124" s="1">
        <v>998</v>
      </c>
      <c r="N124" s="1">
        <v>25554</v>
      </c>
      <c r="O124" s="2" t="s">
        <v>234</v>
      </c>
      <c r="P124" s="2" t="s">
        <v>553</v>
      </c>
      <c r="Q124" s="2" t="s">
        <v>905</v>
      </c>
      <c r="R124" s="2" t="s">
        <v>50</v>
      </c>
      <c r="S124" s="2" t="s">
        <v>96</v>
      </c>
      <c r="T124" s="1">
        <v>12790</v>
      </c>
      <c r="U124" s="2" t="s">
        <v>51</v>
      </c>
      <c r="V124" s="1">
        <v>3354</v>
      </c>
      <c r="W124" s="1">
        <v>3317</v>
      </c>
      <c r="X124" s="2" t="s">
        <v>255</v>
      </c>
      <c r="Y124" s="2" t="s">
        <v>362</v>
      </c>
      <c r="Z124" s="2" t="s">
        <v>533</v>
      </c>
      <c r="AA124" s="2" t="s">
        <v>542</v>
      </c>
      <c r="AB124" s="1">
        <v>12764</v>
      </c>
      <c r="AC124" s="1">
        <v>7808</v>
      </c>
      <c r="AD124" s="1">
        <v>3545</v>
      </c>
      <c r="AE124" s="1">
        <v>1181</v>
      </c>
      <c r="AF124" s="1">
        <v>231</v>
      </c>
      <c r="AG124" s="1">
        <v>25</v>
      </c>
      <c r="AH124" s="1">
        <v>13991</v>
      </c>
      <c r="AI124" s="1">
        <v>919</v>
      </c>
      <c r="AJ124" s="1">
        <v>1262</v>
      </c>
      <c r="AK124" s="1">
        <v>3071</v>
      </c>
      <c r="AL124" s="1">
        <v>198</v>
      </c>
      <c r="AM124" s="1">
        <v>98</v>
      </c>
      <c r="AN124" s="2" t="s">
        <v>277</v>
      </c>
    </row>
    <row r="125" spans="1:40" x14ac:dyDescent="0.3">
      <c r="A125" s="1">
        <v>11916</v>
      </c>
      <c r="B125" s="2" t="s">
        <v>927</v>
      </c>
      <c r="C125" s="2" t="s">
        <v>928</v>
      </c>
      <c r="D125" s="1">
        <v>20</v>
      </c>
      <c r="E125" s="2" t="s">
        <v>452</v>
      </c>
      <c r="F125" s="50" t="s">
        <v>929</v>
      </c>
      <c r="G125" s="2" t="s">
        <v>930</v>
      </c>
      <c r="H125" s="1">
        <v>14855</v>
      </c>
      <c r="I125" s="1">
        <v>13039</v>
      </c>
      <c r="J125" s="2" t="s">
        <v>931</v>
      </c>
      <c r="K125" s="2" t="s">
        <v>133</v>
      </c>
      <c r="L125" s="2">
        <v>4</v>
      </c>
      <c r="M125" s="1">
        <v>776</v>
      </c>
      <c r="N125" s="1">
        <v>20425</v>
      </c>
      <c r="O125" s="2" t="s">
        <v>495</v>
      </c>
      <c r="P125" s="2" t="s">
        <v>235</v>
      </c>
      <c r="Q125" s="2" t="s">
        <v>65</v>
      </c>
      <c r="R125" s="2" t="s">
        <v>50</v>
      </c>
      <c r="S125" s="2" t="s">
        <v>67</v>
      </c>
      <c r="T125" s="1">
        <v>10002</v>
      </c>
      <c r="U125" s="2" t="s">
        <v>51</v>
      </c>
      <c r="V125" s="1">
        <v>2084</v>
      </c>
      <c r="W125" s="1">
        <v>1844</v>
      </c>
      <c r="X125" s="2" t="s">
        <v>98</v>
      </c>
      <c r="Y125" s="2" t="s">
        <v>412</v>
      </c>
      <c r="Z125" s="2" t="s">
        <v>932</v>
      </c>
      <c r="AA125" s="2" t="s">
        <v>933</v>
      </c>
      <c r="AB125" s="1">
        <v>10423</v>
      </c>
      <c r="AC125" s="1">
        <v>6327</v>
      </c>
      <c r="AD125" s="1">
        <v>2685</v>
      </c>
      <c r="AE125" s="1">
        <v>820</v>
      </c>
      <c r="AF125" s="1">
        <v>152</v>
      </c>
      <c r="AG125" s="1">
        <v>18</v>
      </c>
      <c r="AH125" s="1">
        <v>10236</v>
      </c>
      <c r="AI125" s="1">
        <v>1303</v>
      </c>
      <c r="AJ125" s="1">
        <v>587</v>
      </c>
      <c r="AK125" s="1">
        <v>2558</v>
      </c>
      <c r="AL125" s="1">
        <v>192</v>
      </c>
      <c r="AM125" s="1">
        <v>25</v>
      </c>
      <c r="AN125" s="2" t="s">
        <v>98</v>
      </c>
    </row>
    <row r="126" spans="1:40" ht="28.2" x14ac:dyDescent="0.3">
      <c r="A126" s="1">
        <v>18736</v>
      </c>
      <c r="B126" s="2" t="s">
        <v>934</v>
      </c>
      <c r="C126" s="2" t="s">
        <v>935</v>
      </c>
      <c r="D126" s="1">
        <v>22</v>
      </c>
      <c r="E126" s="2" t="s">
        <v>299</v>
      </c>
      <c r="F126" s="50" t="s">
        <v>936</v>
      </c>
      <c r="G126" s="2" t="s">
        <v>937</v>
      </c>
      <c r="H126" s="1">
        <v>8219</v>
      </c>
      <c r="I126" s="1">
        <v>7244</v>
      </c>
      <c r="J126" s="2" t="s">
        <v>938</v>
      </c>
      <c r="K126" s="2" t="s">
        <v>939</v>
      </c>
      <c r="L126" s="2" t="s">
        <v>282</v>
      </c>
      <c r="M126" s="1">
        <v>441</v>
      </c>
      <c r="N126" s="1">
        <v>11492</v>
      </c>
      <c r="O126" s="2" t="s">
        <v>311</v>
      </c>
      <c r="P126" s="2" t="s">
        <v>48</v>
      </c>
      <c r="Q126" s="2" t="s">
        <v>215</v>
      </c>
      <c r="R126" s="2" t="s">
        <v>96</v>
      </c>
      <c r="S126" s="2" t="s">
        <v>96</v>
      </c>
      <c r="T126" s="1">
        <v>5488</v>
      </c>
      <c r="U126" s="2" t="s">
        <v>51</v>
      </c>
      <c r="V126" s="1">
        <v>1400</v>
      </c>
      <c r="W126" s="1">
        <v>1053</v>
      </c>
      <c r="X126" s="2" t="s">
        <v>442</v>
      </c>
      <c r="Y126" s="2" t="s">
        <v>370</v>
      </c>
      <c r="Z126" s="2" t="s">
        <v>508</v>
      </c>
      <c r="AA126" s="2" t="s">
        <v>719</v>
      </c>
      <c r="AB126" s="1">
        <v>6004</v>
      </c>
      <c r="AC126" s="1">
        <v>3451</v>
      </c>
      <c r="AD126" s="1">
        <v>1463</v>
      </c>
      <c r="AE126" s="1">
        <v>462</v>
      </c>
      <c r="AF126" s="1">
        <v>104</v>
      </c>
      <c r="AG126" s="1">
        <v>8</v>
      </c>
      <c r="AH126" s="1">
        <v>2227</v>
      </c>
      <c r="AI126" s="1">
        <v>4198</v>
      </c>
      <c r="AJ126" s="1">
        <v>276</v>
      </c>
      <c r="AK126" s="1">
        <v>1337</v>
      </c>
      <c r="AL126" s="1">
        <v>156</v>
      </c>
      <c r="AM126" s="1">
        <v>54</v>
      </c>
      <c r="AN126" s="2" t="s">
        <v>370</v>
      </c>
    </row>
    <row r="127" spans="1:40" ht="28.2" x14ac:dyDescent="0.3">
      <c r="A127" s="1">
        <v>7810</v>
      </c>
      <c r="B127" s="2" t="s">
        <v>940</v>
      </c>
      <c r="C127" s="2" t="s">
        <v>941</v>
      </c>
      <c r="D127" s="1">
        <v>28</v>
      </c>
      <c r="E127" s="2" t="s">
        <v>459</v>
      </c>
      <c r="F127" s="50" t="s">
        <v>3514</v>
      </c>
      <c r="G127" s="2" t="s">
        <v>942</v>
      </c>
      <c r="H127" s="1">
        <v>18509</v>
      </c>
      <c r="I127" s="1">
        <v>16451</v>
      </c>
      <c r="J127" s="2" t="s">
        <v>943</v>
      </c>
      <c r="K127" s="2" t="s">
        <v>645</v>
      </c>
      <c r="L127" s="2" t="s">
        <v>63</v>
      </c>
      <c r="M127" s="1">
        <v>966</v>
      </c>
      <c r="N127" s="1">
        <v>25252</v>
      </c>
      <c r="O127" s="2" t="s">
        <v>495</v>
      </c>
      <c r="P127" s="2" t="s">
        <v>50</v>
      </c>
      <c r="Q127" s="2" t="s">
        <v>276</v>
      </c>
      <c r="R127" s="2" t="s">
        <v>96</v>
      </c>
      <c r="S127" s="2" t="s">
        <v>50</v>
      </c>
      <c r="T127" s="1">
        <v>12368</v>
      </c>
      <c r="U127" s="2" t="s">
        <v>51</v>
      </c>
      <c r="V127" s="1">
        <v>3270</v>
      </c>
      <c r="W127" s="1">
        <v>2472</v>
      </c>
      <c r="X127" s="2" t="s">
        <v>56</v>
      </c>
      <c r="Y127" s="2" t="s">
        <v>84</v>
      </c>
      <c r="Z127" s="2" t="s">
        <v>347</v>
      </c>
      <c r="AA127" s="2" t="s">
        <v>906</v>
      </c>
      <c r="AB127" s="1">
        <v>12884</v>
      </c>
      <c r="AC127" s="1">
        <v>7748</v>
      </c>
      <c r="AD127" s="1">
        <v>3362</v>
      </c>
      <c r="AE127" s="1">
        <v>1037</v>
      </c>
      <c r="AF127" s="1">
        <v>193</v>
      </c>
      <c r="AG127" s="1">
        <v>28</v>
      </c>
      <c r="AH127" s="1">
        <v>4329</v>
      </c>
      <c r="AI127" s="1">
        <v>9773</v>
      </c>
      <c r="AJ127" s="1">
        <v>465</v>
      </c>
      <c r="AK127" s="1">
        <v>3816</v>
      </c>
      <c r="AL127" s="1">
        <v>118</v>
      </c>
      <c r="AM127" s="1">
        <v>36</v>
      </c>
      <c r="AN127" s="2" t="s">
        <v>277</v>
      </c>
    </row>
    <row r="128" spans="1:40" ht="28.2" x14ac:dyDescent="0.3">
      <c r="A128" s="1">
        <v>11154</v>
      </c>
      <c r="B128" s="2" t="s">
        <v>944</v>
      </c>
      <c r="C128" s="2" t="s">
        <v>945</v>
      </c>
      <c r="D128" s="1">
        <v>25</v>
      </c>
      <c r="E128" s="2" t="s">
        <v>104</v>
      </c>
      <c r="F128" s="50" t="s">
        <v>866</v>
      </c>
      <c r="G128" s="2" t="s">
        <v>946</v>
      </c>
      <c r="H128" s="1">
        <v>13416</v>
      </c>
      <c r="I128" s="1">
        <v>11515</v>
      </c>
      <c r="J128" s="2" t="s">
        <v>947</v>
      </c>
      <c r="K128" s="2" t="s">
        <v>948</v>
      </c>
      <c r="L128" s="2" t="s">
        <v>949</v>
      </c>
      <c r="M128" s="1">
        <v>739</v>
      </c>
      <c r="N128" s="1">
        <v>19050</v>
      </c>
      <c r="O128" s="2" t="s">
        <v>905</v>
      </c>
      <c r="P128" s="2" t="s">
        <v>202</v>
      </c>
      <c r="Q128" s="2" t="s">
        <v>134</v>
      </c>
      <c r="R128" s="2" t="s">
        <v>96</v>
      </c>
      <c r="S128" s="2" t="s">
        <v>48</v>
      </c>
      <c r="T128" s="1">
        <v>9135</v>
      </c>
      <c r="U128" s="2" t="s">
        <v>51</v>
      </c>
      <c r="V128" s="1">
        <v>1358</v>
      </c>
      <c r="W128" s="1">
        <v>1079</v>
      </c>
      <c r="X128" s="2" t="s">
        <v>87</v>
      </c>
      <c r="Y128" s="2" t="s">
        <v>950</v>
      </c>
      <c r="Z128" s="2" t="s">
        <v>508</v>
      </c>
      <c r="AA128" s="2" t="s">
        <v>951</v>
      </c>
      <c r="AB128" s="1">
        <v>9915</v>
      </c>
      <c r="AC128" s="1">
        <v>5878</v>
      </c>
      <c r="AD128" s="1">
        <v>2392</v>
      </c>
      <c r="AE128" s="1">
        <v>719</v>
      </c>
      <c r="AF128" s="1">
        <v>133</v>
      </c>
      <c r="AG128" s="1">
        <v>13</v>
      </c>
      <c r="AH128" s="1">
        <v>10562</v>
      </c>
      <c r="AI128" s="1">
        <v>76</v>
      </c>
      <c r="AJ128" s="1">
        <v>561</v>
      </c>
      <c r="AK128" s="1">
        <v>2044</v>
      </c>
      <c r="AL128" s="1">
        <v>198</v>
      </c>
      <c r="AM128" s="1">
        <v>37</v>
      </c>
      <c r="AN128" s="2" t="s">
        <v>370</v>
      </c>
    </row>
    <row r="129" spans="1:40" x14ac:dyDescent="0.3">
      <c r="A129" s="1">
        <v>7028</v>
      </c>
      <c r="B129" s="2" t="s">
        <v>952</v>
      </c>
      <c r="C129" s="2" t="s">
        <v>953</v>
      </c>
      <c r="D129" s="1">
        <v>25</v>
      </c>
      <c r="E129" s="2" t="s">
        <v>209</v>
      </c>
      <c r="F129" s="50" t="s">
        <v>210</v>
      </c>
      <c r="G129" s="2" t="s">
        <v>885</v>
      </c>
      <c r="H129" s="1">
        <v>23807</v>
      </c>
      <c r="I129" s="1">
        <v>21025</v>
      </c>
      <c r="J129" s="2" t="s">
        <v>954</v>
      </c>
      <c r="K129" s="2" t="s">
        <v>213</v>
      </c>
      <c r="L129" s="2" t="s">
        <v>375</v>
      </c>
      <c r="M129" s="1">
        <v>1268</v>
      </c>
      <c r="N129" s="1">
        <v>32666</v>
      </c>
      <c r="O129" s="2" t="s">
        <v>495</v>
      </c>
      <c r="P129" s="2" t="s">
        <v>235</v>
      </c>
      <c r="Q129" s="2" t="s">
        <v>65</v>
      </c>
      <c r="R129" s="2" t="s">
        <v>96</v>
      </c>
      <c r="S129" s="2" t="s">
        <v>96</v>
      </c>
      <c r="T129" s="1">
        <v>16047</v>
      </c>
      <c r="U129" s="2" t="s">
        <v>51</v>
      </c>
      <c r="V129" s="1">
        <v>3282</v>
      </c>
      <c r="W129" s="1">
        <v>2728</v>
      </c>
      <c r="X129" s="2" t="s">
        <v>147</v>
      </c>
      <c r="Y129" s="2" t="s">
        <v>412</v>
      </c>
      <c r="Z129" s="2" t="s">
        <v>955</v>
      </c>
      <c r="AA129" s="2" t="s">
        <v>724</v>
      </c>
      <c r="AB129" s="1">
        <v>16619</v>
      </c>
      <c r="AC129" s="1">
        <v>10208</v>
      </c>
      <c r="AD129" s="1">
        <v>4242</v>
      </c>
      <c r="AE129" s="1">
        <v>1304</v>
      </c>
      <c r="AF129" s="1">
        <v>264</v>
      </c>
      <c r="AG129" s="1">
        <v>29</v>
      </c>
      <c r="AH129" s="1">
        <v>15077</v>
      </c>
      <c r="AI129" s="1">
        <v>2663</v>
      </c>
      <c r="AJ129" s="1">
        <v>1577</v>
      </c>
      <c r="AK129" s="1">
        <v>4113</v>
      </c>
      <c r="AL129" s="1">
        <v>342</v>
      </c>
      <c r="AM129" s="1">
        <v>82</v>
      </c>
      <c r="AN129" s="2" t="s">
        <v>277</v>
      </c>
    </row>
    <row r="130" spans="1:40" x14ac:dyDescent="0.3">
      <c r="A130" s="1">
        <v>11162</v>
      </c>
      <c r="B130" s="2" t="s">
        <v>956</v>
      </c>
      <c r="C130" s="2" t="s">
        <v>957</v>
      </c>
      <c r="D130" s="1">
        <v>24</v>
      </c>
      <c r="E130" s="2" t="s">
        <v>299</v>
      </c>
      <c r="F130" s="50" t="s">
        <v>260</v>
      </c>
      <c r="G130" s="2" t="s">
        <v>958</v>
      </c>
      <c r="H130" s="1">
        <v>17302</v>
      </c>
      <c r="I130" s="1">
        <v>15301</v>
      </c>
      <c r="J130" s="2" t="s">
        <v>959</v>
      </c>
      <c r="K130" s="2" t="s">
        <v>960</v>
      </c>
      <c r="L130" s="2" t="s">
        <v>244</v>
      </c>
      <c r="M130" s="1">
        <v>947</v>
      </c>
      <c r="N130" s="1">
        <v>24099</v>
      </c>
      <c r="O130" s="2" t="s">
        <v>311</v>
      </c>
      <c r="P130" s="2" t="s">
        <v>235</v>
      </c>
      <c r="Q130" s="2" t="s">
        <v>215</v>
      </c>
      <c r="R130" s="2" t="s">
        <v>50</v>
      </c>
      <c r="S130" s="2" t="s">
        <v>50</v>
      </c>
      <c r="T130" s="1">
        <v>11545</v>
      </c>
      <c r="U130" s="2" t="s">
        <v>51</v>
      </c>
      <c r="V130" s="1">
        <v>2669</v>
      </c>
      <c r="W130" s="1">
        <v>2462</v>
      </c>
      <c r="X130" s="2" t="s">
        <v>277</v>
      </c>
      <c r="Y130" s="2" t="s">
        <v>304</v>
      </c>
      <c r="Z130" s="2" t="s">
        <v>296</v>
      </c>
      <c r="AA130" s="2" t="s">
        <v>648</v>
      </c>
      <c r="AB130" s="1">
        <v>12554</v>
      </c>
      <c r="AC130" s="1">
        <v>7214</v>
      </c>
      <c r="AD130" s="1">
        <v>3142</v>
      </c>
      <c r="AE130" s="1">
        <v>976</v>
      </c>
      <c r="AF130" s="1">
        <v>189</v>
      </c>
      <c r="AG130" s="1">
        <v>24</v>
      </c>
      <c r="AH130" s="1">
        <v>11909</v>
      </c>
      <c r="AI130" s="1">
        <v>1109</v>
      </c>
      <c r="AJ130" s="1">
        <v>1291</v>
      </c>
      <c r="AK130" s="1">
        <v>2755</v>
      </c>
      <c r="AL130" s="1">
        <v>227</v>
      </c>
      <c r="AM130" s="1">
        <v>50</v>
      </c>
      <c r="AN130" s="2" t="s">
        <v>111</v>
      </c>
    </row>
    <row r="131" spans="1:40" ht="28.2" x14ac:dyDescent="0.3">
      <c r="A131" s="1">
        <v>8555</v>
      </c>
      <c r="B131" s="2" t="s">
        <v>961</v>
      </c>
      <c r="C131" s="2" t="s">
        <v>962</v>
      </c>
      <c r="D131" s="1">
        <v>25</v>
      </c>
      <c r="E131" s="2" t="s">
        <v>545</v>
      </c>
      <c r="F131" s="50" t="s">
        <v>3514</v>
      </c>
      <c r="G131" s="2" t="s">
        <v>963</v>
      </c>
      <c r="H131" s="1">
        <v>10437</v>
      </c>
      <c r="I131" s="1">
        <v>9487</v>
      </c>
      <c r="J131" s="2" t="s">
        <v>964</v>
      </c>
      <c r="K131" s="2">
        <v>79</v>
      </c>
      <c r="L131" s="2" t="s">
        <v>462</v>
      </c>
      <c r="M131" s="1">
        <v>528</v>
      </c>
      <c r="N131" s="1">
        <v>13954</v>
      </c>
      <c r="O131" s="2" t="s">
        <v>180</v>
      </c>
      <c r="P131" s="2" t="s">
        <v>48</v>
      </c>
      <c r="Q131" s="2" t="s">
        <v>167</v>
      </c>
      <c r="R131" s="2" t="s">
        <v>96</v>
      </c>
      <c r="S131" s="2" t="s">
        <v>50</v>
      </c>
      <c r="T131" s="1">
        <v>6882</v>
      </c>
      <c r="U131" s="2" t="s">
        <v>51</v>
      </c>
      <c r="V131" s="1">
        <v>1769</v>
      </c>
      <c r="W131" s="1">
        <v>1402</v>
      </c>
      <c r="X131" s="2" t="s">
        <v>87</v>
      </c>
      <c r="Y131" s="2" t="s">
        <v>98</v>
      </c>
      <c r="Z131" s="2" t="s">
        <v>932</v>
      </c>
      <c r="AA131" s="2" t="s">
        <v>205</v>
      </c>
      <c r="AB131" s="1">
        <v>7072</v>
      </c>
      <c r="AC131" s="1">
        <v>4196</v>
      </c>
      <c r="AD131" s="1">
        <v>1970</v>
      </c>
      <c r="AE131" s="1">
        <v>575</v>
      </c>
      <c r="AF131" s="1">
        <v>129</v>
      </c>
      <c r="AG131" s="1">
        <v>12</v>
      </c>
      <c r="AH131" s="1">
        <v>3869</v>
      </c>
      <c r="AI131" s="1">
        <v>3914</v>
      </c>
      <c r="AJ131" s="1">
        <v>331</v>
      </c>
      <c r="AK131" s="1">
        <v>2166</v>
      </c>
      <c r="AL131" s="1">
        <v>149</v>
      </c>
      <c r="AM131" s="1">
        <v>34</v>
      </c>
      <c r="AN131" s="2" t="s">
        <v>277</v>
      </c>
    </row>
    <row r="132" spans="1:40" x14ac:dyDescent="0.3">
      <c r="A132" s="1">
        <v>7356</v>
      </c>
      <c r="B132" s="2" t="s">
        <v>965</v>
      </c>
      <c r="C132" s="2" t="s">
        <v>966</v>
      </c>
      <c r="D132" s="1">
        <v>25</v>
      </c>
      <c r="E132" s="2" t="s">
        <v>327</v>
      </c>
      <c r="F132" s="50" t="s">
        <v>3514</v>
      </c>
      <c r="G132" s="2" t="s">
        <v>967</v>
      </c>
      <c r="H132" s="1">
        <v>33874</v>
      </c>
      <c r="I132" s="1">
        <v>30809</v>
      </c>
      <c r="J132" s="2" t="s">
        <v>968</v>
      </c>
      <c r="K132" s="2" t="s">
        <v>108</v>
      </c>
      <c r="L132" s="2" t="s">
        <v>331</v>
      </c>
      <c r="M132" s="1">
        <v>1732</v>
      </c>
      <c r="N132" s="1">
        <v>45397</v>
      </c>
      <c r="O132" s="2" t="s">
        <v>180</v>
      </c>
      <c r="P132" s="2" t="s">
        <v>202</v>
      </c>
      <c r="Q132" s="2" t="s">
        <v>167</v>
      </c>
      <c r="R132" s="2" t="s">
        <v>96</v>
      </c>
      <c r="S132" s="2" t="s">
        <v>50</v>
      </c>
      <c r="T132" s="1">
        <v>22373</v>
      </c>
      <c r="U132" s="2" t="s">
        <v>51</v>
      </c>
      <c r="V132" s="1">
        <v>5011</v>
      </c>
      <c r="W132" s="1">
        <v>4632</v>
      </c>
      <c r="X132" s="2" t="s">
        <v>277</v>
      </c>
      <c r="Y132" s="2" t="s">
        <v>304</v>
      </c>
      <c r="Z132" s="2" t="s">
        <v>705</v>
      </c>
      <c r="AA132" s="2" t="s">
        <v>969</v>
      </c>
      <c r="AB132" s="1">
        <v>23024</v>
      </c>
      <c r="AC132" s="1">
        <v>13786</v>
      </c>
      <c r="AD132" s="1">
        <v>6189</v>
      </c>
      <c r="AE132" s="1">
        <v>1950</v>
      </c>
      <c r="AF132" s="1">
        <v>389</v>
      </c>
      <c r="AG132" s="1">
        <v>59</v>
      </c>
      <c r="AH132" s="1">
        <v>25816</v>
      </c>
      <c r="AI132" s="1">
        <v>1209</v>
      </c>
      <c r="AJ132" s="1">
        <v>592</v>
      </c>
      <c r="AK132" s="1">
        <v>5875</v>
      </c>
      <c r="AL132" s="1">
        <v>381</v>
      </c>
      <c r="AM132" s="1">
        <v>46</v>
      </c>
      <c r="AN132" s="2" t="s">
        <v>277</v>
      </c>
    </row>
    <row r="133" spans="1:40" x14ac:dyDescent="0.3">
      <c r="A133" s="1">
        <v>8848</v>
      </c>
      <c r="B133" s="2" t="s">
        <v>970</v>
      </c>
      <c r="C133" s="2" t="s">
        <v>971</v>
      </c>
      <c r="D133" s="1">
        <v>25</v>
      </c>
      <c r="E133" s="2" t="s">
        <v>196</v>
      </c>
      <c r="F133" s="50" t="s">
        <v>972</v>
      </c>
      <c r="G133" s="2" t="s">
        <v>973</v>
      </c>
      <c r="H133" s="1">
        <v>15855</v>
      </c>
      <c r="I133" s="1">
        <v>13957</v>
      </c>
      <c r="J133" s="2" t="s">
        <v>974</v>
      </c>
      <c r="K133" s="2" t="s">
        <v>178</v>
      </c>
      <c r="L133" s="2" t="s">
        <v>975</v>
      </c>
      <c r="M133" s="1">
        <v>841</v>
      </c>
      <c r="N133" s="1">
        <v>22116</v>
      </c>
      <c r="O133" s="2" t="s">
        <v>311</v>
      </c>
      <c r="P133" s="2" t="s">
        <v>48</v>
      </c>
      <c r="Q133" s="2" t="s">
        <v>215</v>
      </c>
      <c r="R133" s="2" t="s">
        <v>96</v>
      </c>
      <c r="S133" s="2" t="s">
        <v>50</v>
      </c>
      <c r="T133" s="1">
        <v>10637</v>
      </c>
      <c r="U133" s="2" t="s">
        <v>51</v>
      </c>
      <c r="V133" s="1">
        <v>2445</v>
      </c>
      <c r="W133" s="1">
        <v>1817</v>
      </c>
      <c r="X133" s="2" t="s">
        <v>323</v>
      </c>
      <c r="Y133" s="2" t="s">
        <v>277</v>
      </c>
      <c r="Z133" s="2" t="s">
        <v>137</v>
      </c>
      <c r="AA133" s="2" t="s">
        <v>882</v>
      </c>
      <c r="AB133" s="1">
        <v>11479</v>
      </c>
      <c r="AC133" s="1">
        <v>6701</v>
      </c>
      <c r="AD133" s="1">
        <v>2845</v>
      </c>
      <c r="AE133" s="1">
        <v>916</v>
      </c>
      <c r="AF133" s="1">
        <v>160</v>
      </c>
      <c r="AG133" s="1">
        <v>15</v>
      </c>
      <c r="AH133" s="1">
        <v>4026</v>
      </c>
      <c r="AI133" s="1">
        <v>7747</v>
      </c>
      <c r="AJ133" s="1">
        <v>917</v>
      </c>
      <c r="AK133" s="1">
        <v>2840</v>
      </c>
      <c r="AL133" s="1">
        <v>333</v>
      </c>
      <c r="AM133" s="1">
        <v>28</v>
      </c>
      <c r="AN133" s="2" t="s">
        <v>277</v>
      </c>
    </row>
    <row r="134" spans="1:40" x14ac:dyDescent="0.3">
      <c r="A134" s="1">
        <v>12732</v>
      </c>
      <c r="B134" s="2" t="s">
        <v>976</v>
      </c>
      <c r="C134" s="2" t="s">
        <v>977</v>
      </c>
      <c r="D134" s="1">
        <v>21</v>
      </c>
      <c r="E134" s="2" t="s">
        <v>75</v>
      </c>
      <c r="F134" s="50" t="s">
        <v>308</v>
      </c>
      <c r="G134" s="2" t="s">
        <v>491</v>
      </c>
      <c r="H134" s="1">
        <v>24608</v>
      </c>
      <c r="I134" s="1">
        <v>21806</v>
      </c>
      <c r="J134" s="2" t="s">
        <v>832</v>
      </c>
      <c r="K134" s="2" t="s">
        <v>200</v>
      </c>
      <c r="L134" s="2" t="s">
        <v>201</v>
      </c>
      <c r="M134" s="1">
        <v>1249</v>
      </c>
      <c r="N134" s="1">
        <v>33673</v>
      </c>
      <c r="O134" s="2" t="s">
        <v>495</v>
      </c>
      <c r="P134" s="2" t="s">
        <v>202</v>
      </c>
      <c r="Q134" s="2" t="s">
        <v>276</v>
      </c>
      <c r="R134" s="2" t="s">
        <v>96</v>
      </c>
      <c r="S134" s="2" t="s">
        <v>67</v>
      </c>
      <c r="T134" s="1">
        <v>16583</v>
      </c>
      <c r="U134" s="2" t="s">
        <v>51</v>
      </c>
      <c r="V134" s="1">
        <v>2898</v>
      </c>
      <c r="W134" s="1">
        <v>2660</v>
      </c>
      <c r="X134" s="2" t="s">
        <v>295</v>
      </c>
      <c r="Y134" s="2" t="s">
        <v>503</v>
      </c>
      <c r="Z134" s="2" t="s">
        <v>383</v>
      </c>
      <c r="AA134" s="2" t="s">
        <v>978</v>
      </c>
      <c r="AB134" s="1">
        <v>17090</v>
      </c>
      <c r="AC134" s="1">
        <v>10492</v>
      </c>
      <c r="AD134" s="1">
        <v>4472</v>
      </c>
      <c r="AE134" s="1">
        <v>1331</v>
      </c>
      <c r="AF134" s="1">
        <v>261</v>
      </c>
      <c r="AG134" s="1">
        <v>27</v>
      </c>
      <c r="AH134" s="1">
        <v>18437</v>
      </c>
      <c r="AI134" s="1">
        <v>940</v>
      </c>
      <c r="AJ134" s="1">
        <v>1000</v>
      </c>
      <c r="AK134" s="1">
        <v>3836</v>
      </c>
      <c r="AL134" s="1">
        <v>395</v>
      </c>
      <c r="AM134" s="1">
        <v>93</v>
      </c>
      <c r="AN134" s="2" t="s">
        <v>98</v>
      </c>
    </row>
    <row r="135" spans="1:40" x14ac:dyDescent="0.3">
      <c r="A135" s="1">
        <v>9656</v>
      </c>
      <c r="B135" s="2" t="s">
        <v>979</v>
      </c>
      <c r="C135" s="2" t="s">
        <v>980</v>
      </c>
      <c r="D135" s="1">
        <v>26</v>
      </c>
      <c r="E135" s="2" t="s">
        <v>42</v>
      </c>
      <c r="F135" s="50" t="s">
        <v>981</v>
      </c>
      <c r="G135" s="2" t="s">
        <v>982</v>
      </c>
      <c r="H135" s="1">
        <v>22302</v>
      </c>
      <c r="I135" s="1">
        <v>19994</v>
      </c>
      <c r="J135" s="2" t="s">
        <v>551</v>
      </c>
      <c r="K135" s="2">
        <v>80</v>
      </c>
      <c r="L135" s="2" t="s">
        <v>398</v>
      </c>
      <c r="M135" s="1">
        <v>1152</v>
      </c>
      <c r="N135" s="1">
        <v>30382</v>
      </c>
      <c r="O135" s="2" t="s">
        <v>495</v>
      </c>
      <c r="P135" s="2" t="s">
        <v>202</v>
      </c>
      <c r="Q135" s="2" t="s">
        <v>322</v>
      </c>
      <c r="R135" s="2" t="s">
        <v>50</v>
      </c>
      <c r="S135" s="2" t="s">
        <v>48</v>
      </c>
      <c r="T135" s="1">
        <v>14935</v>
      </c>
      <c r="U135" s="2" t="s">
        <v>51</v>
      </c>
      <c r="V135" s="1">
        <v>2954</v>
      </c>
      <c r="W135" s="1">
        <v>2760</v>
      </c>
      <c r="X135" s="2" t="s">
        <v>464</v>
      </c>
      <c r="Y135" s="2">
        <v>1</v>
      </c>
      <c r="Z135" s="2" t="s">
        <v>983</v>
      </c>
      <c r="AA135" s="2" t="s">
        <v>363</v>
      </c>
      <c r="AB135" s="1">
        <v>15447</v>
      </c>
      <c r="AC135" s="1">
        <v>9424</v>
      </c>
      <c r="AD135" s="1">
        <v>3972</v>
      </c>
      <c r="AE135" s="1">
        <v>1257</v>
      </c>
      <c r="AF135" s="1">
        <v>247</v>
      </c>
      <c r="AG135" s="1">
        <v>35</v>
      </c>
      <c r="AH135" s="1">
        <v>16597</v>
      </c>
      <c r="AI135" s="1">
        <v>541</v>
      </c>
      <c r="AJ135" s="1">
        <v>1273</v>
      </c>
      <c r="AK135" s="1">
        <v>3573</v>
      </c>
      <c r="AL135" s="1">
        <v>276</v>
      </c>
      <c r="AM135" s="1">
        <v>145</v>
      </c>
      <c r="AN135" s="2" t="s">
        <v>277</v>
      </c>
    </row>
    <row r="136" spans="1:40" ht="28.2" x14ac:dyDescent="0.3">
      <c r="A136" s="1">
        <v>8745</v>
      </c>
      <c r="B136" s="2" t="s">
        <v>984</v>
      </c>
      <c r="C136" s="2" t="s">
        <v>985</v>
      </c>
      <c r="D136" s="1">
        <v>30</v>
      </c>
      <c r="E136" s="2" t="s">
        <v>299</v>
      </c>
      <c r="F136" s="50" t="s">
        <v>986</v>
      </c>
      <c r="G136" s="2" t="s">
        <v>987</v>
      </c>
      <c r="H136" s="1">
        <v>17834</v>
      </c>
      <c r="I136" s="1">
        <v>15446</v>
      </c>
      <c r="J136" s="2" t="s">
        <v>988</v>
      </c>
      <c r="K136" s="2" t="s">
        <v>989</v>
      </c>
      <c r="L136" s="2" t="s">
        <v>658</v>
      </c>
      <c r="M136" s="1">
        <v>962</v>
      </c>
      <c r="N136" s="1">
        <v>25181</v>
      </c>
      <c r="O136" s="2" t="s">
        <v>646</v>
      </c>
      <c r="P136" s="2" t="s">
        <v>202</v>
      </c>
      <c r="Q136" s="2" t="s">
        <v>49</v>
      </c>
      <c r="R136" s="2" t="s">
        <v>66</v>
      </c>
      <c r="S136" s="2" t="s">
        <v>96</v>
      </c>
      <c r="T136" s="1">
        <v>12120</v>
      </c>
      <c r="U136" s="2" t="s">
        <v>51</v>
      </c>
      <c r="V136" s="1">
        <v>2940</v>
      </c>
      <c r="W136" s="1">
        <v>2320</v>
      </c>
      <c r="X136" s="2" t="s">
        <v>717</v>
      </c>
      <c r="Y136" s="2" t="s">
        <v>561</v>
      </c>
      <c r="Z136" s="2" t="s">
        <v>237</v>
      </c>
      <c r="AA136" s="2" t="s">
        <v>882</v>
      </c>
      <c r="AB136" s="1">
        <v>13061</v>
      </c>
      <c r="AC136" s="1">
        <v>7736</v>
      </c>
      <c r="AD136" s="1">
        <v>3269</v>
      </c>
      <c r="AE136" s="1">
        <v>923</v>
      </c>
      <c r="AF136" s="1">
        <v>169</v>
      </c>
      <c r="AG136" s="1">
        <v>23</v>
      </c>
      <c r="AH136" s="1">
        <v>8360</v>
      </c>
      <c r="AI136" s="1">
        <v>5402</v>
      </c>
      <c r="AJ136" s="1">
        <v>670</v>
      </c>
      <c r="AK136" s="1">
        <v>3105</v>
      </c>
      <c r="AL136" s="1">
        <v>260</v>
      </c>
      <c r="AM136" s="1">
        <v>105</v>
      </c>
      <c r="AN136" s="2" t="s">
        <v>464</v>
      </c>
    </row>
    <row r="137" spans="1:40" x14ac:dyDescent="0.3">
      <c r="A137" s="1">
        <v>13602</v>
      </c>
      <c r="B137" s="2" t="s">
        <v>990</v>
      </c>
      <c r="C137" s="2" t="s">
        <v>991</v>
      </c>
      <c r="D137" s="1">
        <v>21</v>
      </c>
      <c r="E137" s="2" t="s">
        <v>196</v>
      </c>
      <c r="F137" s="50" t="s">
        <v>605</v>
      </c>
      <c r="G137" s="2" t="s">
        <v>992</v>
      </c>
      <c r="H137" s="1">
        <v>13844</v>
      </c>
      <c r="I137" s="1">
        <v>12020</v>
      </c>
      <c r="J137" s="2" t="s">
        <v>153</v>
      </c>
      <c r="K137" s="2" t="s">
        <v>862</v>
      </c>
      <c r="L137" s="2" t="s">
        <v>471</v>
      </c>
      <c r="M137" s="1">
        <v>727</v>
      </c>
      <c r="N137" s="1">
        <v>19522</v>
      </c>
      <c r="O137" s="2" t="s">
        <v>646</v>
      </c>
      <c r="P137" s="2" t="s">
        <v>66</v>
      </c>
      <c r="Q137" s="2" t="s">
        <v>144</v>
      </c>
      <c r="R137" s="2" t="s">
        <v>96</v>
      </c>
      <c r="S137" s="2" t="s">
        <v>50</v>
      </c>
      <c r="T137" s="1">
        <v>9445</v>
      </c>
      <c r="U137" s="2" t="s">
        <v>51</v>
      </c>
      <c r="V137" s="1">
        <v>2238</v>
      </c>
      <c r="W137" s="1">
        <v>1384</v>
      </c>
      <c r="X137" s="2" t="s">
        <v>993</v>
      </c>
      <c r="Y137" s="2" t="s">
        <v>370</v>
      </c>
      <c r="Z137" s="2" t="s">
        <v>583</v>
      </c>
      <c r="AA137" s="2" t="s">
        <v>994</v>
      </c>
      <c r="AB137" s="1">
        <v>10077</v>
      </c>
      <c r="AC137" s="1">
        <v>6123</v>
      </c>
      <c r="AD137" s="1">
        <v>2411</v>
      </c>
      <c r="AE137" s="1">
        <v>757</v>
      </c>
      <c r="AF137" s="1">
        <v>142</v>
      </c>
      <c r="AG137" s="1">
        <v>12</v>
      </c>
      <c r="AH137" s="1">
        <v>3419</v>
      </c>
      <c r="AI137" s="1">
        <v>7679</v>
      </c>
      <c r="AJ137" s="1">
        <v>172</v>
      </c>
      <c r="AK137" s="1">
        <v>2459</v>
      </c>
      <c r="AL137" s="1">
        <v>128</v>
      </c>
      <c r="AM137" s="1">
        <v>43</v>
      </c>
      <c r="AN137" s="2" t="s">
        <v>561</v>
      </c>
    </row>
    <row r="138" spans="1:40" ht="28.2" x14ac:dyDescent="0.3">
      <c r="A138" s="1">
        <v>8707</v>
      </c>
      <c r="B138" s="2" t="s">
        <v>995</v>
      </c>
      <c r="C138" s="2" t="s">
        <v>996</v>
      </c>
      <c r="D138" s="1">
        <v>32</v>
      </c>
      <c r="E138" s="2" t="s">
        <v>459</v>
      </c>
      <c r="F138" s="50" t="s">
        <v>3514</v>
      </c>
      <c r="G138" s="2" t="s">
        <v>997</v>
      </c>
      <c r="H138" s="1">
        <v>20902</v>
      </c>
      <c r="I138" s="1">
        <v>18205</v>
      </c>
      <c r="J138" s="2" t="s">
        <v>998</v>
      </c>
      <c r="K138" s="2" t="s">
        <v>999</v>
      </c>
      <c r="L138" s="2" t="s">
        <v>93</v>
      </c>
      <c r="M138" s="1">
        <v>1132</v>
      </c>
      <c r="N138" s="1">
        <v>29624</v>
      </c>
      <c r="O138" s="2" t="s">
        <v>646</v>
      </c>
      <c r="P138" s="2" t="s">
        <v>67</v>
      </c>
      <c r="Q138" s="2" t="s">
        <v>49</v>
      </c>
      <c r="R138" s="2" t="s">
        <v>96</v>
      </c>
      <c r="S138" s="2" t="s">
        <v>50</v>
      </c>
      <c r="T138" s="1">
        <v>14117</v>
      </c>
      <c r="U138" s="2" t="s">
        <v>51</v>
      </c>
      <c r="V138" s="1">
        <v>3363</v>
      </c>
      <c r="W138" s="1">
        <v>2286</v>
      </c>
      <c r="X138" s="2" t="s">
        <v>110</v>
      </c>
      <c r="Y138" s="2" t="s">
        <v>362</v>
      </c>
      <c r="Z138" s="2" t="s">
        <v>256</v>
      </c>
      <c r="AA138" s="2" t="s">
        <v>882</v>
      </c>
      <c r="AB138" s="1">
        <v>15507</v>
      </c>
      <c r="AC138" s="1">
        <v>8983</v>
      </c>
      <c r="AD138" s="1">
        <v>3752</v>
      </c>
      <c r="AE138" s="1">
        <v>1149</v>
      </c>
      <c r="AF138" s="1">
        <v>210</v>
      </c>
      <c r="AG138" s="1">
        <v>23</v>
      </c>
      <c r="AH138" s="1">
        <v>3177</v>
      </c>
      <c r="AI138" s="1">
        <v>12210</v>
      </c>
      <c r="AJ138" s="1">
        <v>1214</v>
      </c>
      <c r="AK138" s="1">
        <v>4103</v>
      </c>
      <c r="AL138" s="1">
        <v>185</v>
      </c>
      <c r="AM138" s="1">
        <v>55</v>
      </c>
      <c r="AN138" s="2" t="s">
        <v>464</v>
      </c>
    </row>
    <row r="139" spans="1:40" x14ac:dyDescent="0.3">
      <c r="A139" s="1">
        <v>11586</v>
      </c>
      <c r="B139" s="2" t="s">
        <v>1000</v>
      </c>
      <c r="C139" s="2" t="s">
        <v>1001</v>
      </c>
      <c r="D139" s="1">
        <v>23</v>
      </c>
      <c r="E139" s="2" t="s">
        <v>459</v>
      </c>
      <c r="F139" s="50" t="s">
        <v>3514</v>
      </c>
      <c r="G139" s="2" t="s">
        <v>1002</v>
      </c>
      <c r="H139" s="1">
        <v>11313</v>
      </c>
      <c r="I139" s="1">
        <v>10311</v>
      </c>
      <c r="J139" s="2" t="s">
        <v>675</v>
      </c>
      <c r="K139" s="2" t="s">
        <v>1003</v>
      </c>
      <c r="L139" s="2" t="s">
        <v>1004</v>
      </c>
      <c r="M139" s="1">
        <v>594</v>
      </c>
      <c r="N139" s="1">
        <v>15426</v>
      </c>
      <c r="O139" s="2" t="s">
        <v>495</v>
      </c>
      <c r="P139" s="2" t="s">
        <v>166</v>
      </c>
      <c r="Q139" s="2" t="s">
        <v>225</v>
      </c>
      <c r="R139" s="2" t="s">
        <v>50</v>
      </c>
      <c r="S139" s="2" t="s">
        <v>67</v>
      </c>
      <c r="T139" s="1">
        <v>7453</v>
      </c>
      <c r="U139" s="2" t="s">
        <v>51</v>
      </c>
      <c r="V139" s="1">
        <v>1664</v>
      </c>
      <c r="W139" s="1">
        <v>1652</v>
      </c>
      <c r="X139" s="2" t="s">
        <v>255</v>
      </c>
      <c r="Y139" s="2" t="s">
        <v>412</v>
      </c>
      <c r="Z139" s="2" t="s">
        <v>473</v>
      </c>
      <c r="AA139" s="2" t="s">
        <v>659</v>
      </c>
      <c r="AB139" s="1">
        <v>7973</v>
      </c>
      <c r="AC139" s="1">
        <v>4588</v>
      </c>
      <c r="AD139" s="1">
        <v>2051</v>
      </c>
      <c r="AE139" s="1">
        <v>646</v>
      </c>
      <c r="AF139" s="1">
        <v>155</v>
      </c>
      <c r="AG139" s="1">
        <v>13</v>
      </c>
      <c r="AH139" s="1">
        <v>7504</v>
      </c>
      <c r="AI139" s="1">
        <v>727</v>
      </c>
      <c r="AJ139" s="1">
        <v>851</v>
      </c>
      <c r="AK139" s="1">
        <v>1992</v>
      </c>
      <c r="AL139" s="1">
        <v>203</v>
      </c>
      <c r="AM139" s="1">
        <v>58</v>
      </c>
      <c r="AN139" s="2" t="s">
        <v>98</v>
      </c>
    </row>
    <row r="140" spans="1:40" ht="28.2" x14ac:dyDescent="0.3">
      <c r="A140" s="1">
        <v>9294</v>
      </c>
      <c r="B140" s="2" t="s">
        <v>1005</v>
      </c>
      <c r="C140" s="2" t="s">
        <v>1006</v>
      </c>
      <c r="D140" s="1">
        <v>25</v>
      </c>
      <c r="E140" s="2" t="s">
        <v>196</v>
      </c>
      <c r="F140" s="50" t="s">
        <v>3514</v>
      </c>
      <c r="G140" s="2" t="s">
        <v>1007</v>
      </c>
      <c r="H140" s="1">
        <v>17805</v>
      </c>
      <c r="I140" s="1">
        <v>15366</v>
      </c>
      <c r="J140" s="2" t="s">
        <v>1008</v>
      </c>
      <c r="K140" s="2" t="s">
        <v>1009</v>
      </c>
      <c r="L140" s="2" t="s">
        <v>471</v>
      </c>
      <c r="M140" s="1">
        <v>948</v>
      </c>
      <c r="N140" s="1">
        <v>25338</v>
      </c>
      <c r="O140" s="2" t="s">
        <v>905</v>
      </c>
      <c r="P140" s="2" t="s">
        <v>50</v>
      </c>
      <c r="Q140" s="2" t="s">
        <v>49</v>
      </c>
      <c r="R140" s="2" t="s">
        <v>96</v>
      </c>
      <c r="S140" s="2" t="s">
        <v>50</v>
      </c>
      <c r="T140" s="1">
        <v>12138</v>
      </c>
      <c r="U140" s="2" t="s">
        <v>51</v>
      </c>
      <c r="V140" s="1">
        <v>2661</v>
      </c>
      <c r="W140" s="1">
        <v>1865</v>
      </c>
      <c r="X140" s="2" t="s">
        <v>236</v>
      </c>
      <c r="Y140" s="2" t="s">
        <v>464</v>
      </c>
      <c r="Z140" s="2" t="s">
        <v>137</v>
      </c>
      <c r="AA140" s="2" t="s">
        <v>676</v>
      </c>
      <c r="AB140" s="1">
        <v>13200</v>
      </c>
      <c r="AC140" s="1">
        <v>7772</v>
      </c>
      <c r="AD140" s="1">
        <v>3264</v>
      </c>
      <c r="AE140" s="1">
        <v>916</v>
      </c>
      <c r="AF140" s="1">
        <v>173</v>
      </c>
      <c r="AG140" s="1">
        <v>13</v>
      </c>
      <c r="AH140" s="1">
        <v>5861</v>
      </c>
      <c r="AI140" s="1">
        <v>7788</v>
      </c>
      <c r="AJ140" s="1">
        <v>648</v>
      </c>
      <c r="AK140" s="1">
        <v>3284</v>
      </c>
      <c r="AL140" s="1">
        <v>223</v>
      </c>
      <c r="AM140" s="1">
        <v>48</v>
      </c>
      <c r="AN140" s="2" t="s">
        <v>464</v>
      </c>
    </row>
    <row r="141" spans="1:40" ht="28.2" x14ac:dyDescent="0.3">
      <c r="A141" s="1">
        <v>14737</v>
      </c>
      <c r="B141" s="2" t="s">
        <v>1010</v>
      </c>
      <c r="C141" s="2" t="s">
        <v>1011</v>
      </c>
      <c r="D141" s="1">
        <v>19</v>
      </c>
      <c r="E141" s="2" t="s">
        <v>1012</v>
      </c>
      <c r="F141" s="50" t="s">
        <v>1013</v>
      </c>
      <c r="G141" s="2" t="s">
        <v>1014</v>
      </c>
      <c r="H141" s="1">
        <v>8277</v>
      </c>
      <c r="I141" s="1">
        <v>7541</v>
      </c>
      <c r="J141" s="2" t="s">
        <v>848</v>
      </c>
      <c r="K141" s="2" t="s">
        <v>948</v>
      </c>
      <c r="L141" s="2" t="s">
        <v>462</v>
      </c>
      <c r="M141" s="1">
        <v>436</v>
      </c>
      <c r="N141" s="1">
        <v>11379</v>
      </c>
      <c r="O141" s="2" t="s">
        <v>495</v>
      </c>
      <c r="P141" s="2" t="s">
        <v>67</v>
      </c>
      <c r="Q141" s="2" t="s">
        <v>322</v>
      </c>
      <c r="R141" s="2" t="s">
        <v>50</v>
      </c>
      <c r="S141" s="2" t="s">
        <v>202</v>
      </c>
      <c r="T141" s="1">
        <v>5478</v>
      </c>
      <c r="U141" s="2" t="s">
        <v>51</v>
      </c>
      <c r="V141" s="1">
        <v>1205</v>
      </c>
      <c r="W141" s="1">
        <v>1041</v>
      </c>
      <c r="X141" s="2" t="s">
        <v>206</v>
      </c>
      <c r="Y141" s="2" t="s">
        <v>407</v>
      </c>
      <c r="Z141" s="2" t="s">
        <v>246</v>
      </c>
      <c r="AA141" s="2" t="s">
        <v>789</v>
      </c>
      <c r="AB141" s="1">
        <v>5901</v>
      </c>
      <c r="AC141" s="1">
        <v>3430</v>
      </c>
      <c r="AD141" s="1">
        <v>1451</v>
      </c>
      <c r="AE141" s="1">
        <v>459</v>
      </c>
      <c r="AF141" s="1">
        <v>122</v>
      </c>
      <c r="AG141" s="1">
        <v>16</v>
      </c>
      <c r="AH141" s="1">
        <v>5662</v>
      </c>
      <c r="AI141" s="1">
        <v>862</v>
      </c>
      <c r="AJ141" s="1">
        <v>273</v>
      </c>
      <c r="AK141" s="1">
        <v>1427</v>
      </c>
      <c r="AL141" s="1">
        <v>60</v>
      </c>
      <c r="AM141" s="1">
        <v>16</v>
      </c>
      <c r="AN141" s="2" t="s">
        <v>362</v>
      </c>
    </row>
    <row r="142" spans="1:40" ht="28.2" x14ac:dyDescent="0.3">
      <c r="A142" s="1">
        <v>14494</v>
      </c>
      <c r="B142" s="2" t="s">
        <v>1015</v>
      </c>
      <c r="C142" s="2" t="s">
        <v>1016</v>
      </c>
      <c r="D142" s="1">
        <v>21</v>
      </c>
      <c r="E142" s="2" t="s">
        <v>459</v>
      </c>
      <c r="F142" s="50" t="s">
        <v>812</v>
      </c>
      <c r="G142" s="2" t="s">
        <v>1017</v>
      </c>
      <c r="H142" s="1">
        <v>8904</v>
      </c>
      <c r="I142" s="1">
        <v>7642</v>
      </c>
      <c r="J142" s="2" t="s">
        <v>711</v>
      </c>
      <c r="K142" s="2" t="s">
        <v>1018</v>
      </c>
      <c r="L142" s="2" t="s">
        <v>487</v>
      </c>
      <c r="M142" s="1">
        <v>485</v>
      </c>
      <c r="N142" s="1">
        <v>12690</v>
      </c>
      <c r="O142" s="2" t="s">
        <v>905</v>
      </c>
      <c r="P142" s="2" t="s">
        <v>96</v>
      </c>
      <c r="Q142" s="2" t="s">
        <v>134</v>
      </c>
      <c r="R142" s="2" t="s">
        <v>66</v>
      </c>
      <c r="S142" s="2" t="s">
        <v>50</v>
      </c>
      <c r="T142" s="1">
        <v>6086</v>
      </c>
      <c r="U142" s="2" t="s">
        <v>51</v>
      </c>
      <c r="V142" s="1">
        <v>1419</v>
      </c>
      <c r="W142" s="1">
        <v>905</v>
      </c>
      <c r="X142" s="2" t="s">
        <v>1019</v>
      </c>
      <c r="Y142" s="2" t="s">
        <v>362</v>
      </c>
      <c r="Z142" s="2" t="s">
        <v>1020</v>
      </c>
      <c r="AA142" s="2" t="s">
        <v>436</v>
      </c>
      <c r="AB142" s="1">
        <v>6604</v>
      </c>
      <c r="AC142" s="1">
        <v>3887</v>
      </c>
      <c r="AD142" s="1">
        <v>1664</v>
      </c>
      <c r="AE142" s="1">
        <v>456</v>
      </c>
      <c r="AF142" s="1">
        <v>74</v>
      </c>
      <c r="AG142" s="1">
        <v>5</v>
      </c>
      <c r="AH142" s="1">
        <v>1821</v>
      </c>
      <c r="AI142" s="1">
        <v>5469</v>
      </c>
      <c r="AJ142" s="1">
        <v>127</v>
      </c>
      <c r="AK142" s="1">
        <v>1434</v>
      </c>
      <c r="AL142" s="1">
        <v>60</v>
      </c>
      <c r="AM142" s="1">
        <v>19</v>
      </c>
      <c r="AN142" s="2" t="s">
        <v>561</v>
      </c>
    </row>
    <row r="143" spans="1:40" x14ac:dyDescent="0.3">
      <c r="A143" s="1">
        <v>14273</v>
      </c>
      <c r="B143" s="2" t="s">
        <v>1021</v>
      </c>
      <c r="C143" s="2" t="s">
        <v>1022</v>
      </c>
      <c r="D143" s="1">
        <v>25</v>
      </c>
      <c r="E143" s="2" t="s">
        <v>75</v>
      </c>
      <c r="F143" s="50" t="s">
        <v>1023</v>
      </c>
      <c r="G143" s="2" t="s">
        <v>1024</v>
      </c>
      <c r="H143" s="1">
        <v>16525</v>
      </c>
      <c r="I143" s="1">
        <v>14435</v>
      </c>
      <c r="J143" s="2" t="s">
        <v>1025</v>
      </c>
      <c r="K143" s="2" t="s">
        <v>624</v>
      </c>
      <c r="L143" s="2" t="s">
        <v>143</v>
      </c>
      <c r="M143" s="1">
        <v>871</v>
      </c>
      <c r="N143" s="1">
        <v>23106</v>
      </c>
      <c r="O143" s="2" t="s">
        <v>311</v>
      </c>
      <c r="P143" s="2" t="s">
        <v>50</v>
      </c>
      <c r="Q143" s="2" t="s">
        <v>144</v>
      </c>
      <c r="R143" s="2" t="s">
        <v>96</v>
      </c>
      <c r="S143" s="2" t="s">
        <v>96</v>
      </c>
      <c r="T143" s="1">
        <v>11262</v>
      </c>
      <c r="U143" s="2" t="s">
        <v>51</v>
      </c>
      <c r="V143" s="1">
        <v>2996</v>
      </c>
      <c r="W143" s="1">
        <v>1938</v>
      </c>
      <c r="X143" s="2" t="s">
        <v>496</v>
      </c>
      <c r="Y143" s="2" t="s">
        <v>169</v>
      </c>
      <c r="Z143" s="2" t="s">
        <v>728</v>
      </c>
      <c r="AA143" s="2" t="s">
        <v>205</v>
      </c>
      <c r="AB143" s="1">
        <v>11844</v>
      </c>
      <c r="AC143" s="1">
        <v>7233</v>
      </c>
      <c r="AD143" s="1">
        <v>2975</v>
      </c>
      <c r="AE143" s="1">
        <v>893</v>
      </c>
      <c r="AF143" s="1">
        <v>142</v>
      </c>
      <c r="AG143" s="1">
        <v>19</v>
      </c>
      <c r="AH143" s="1">
        <v>3811</v>
      </c>
      <c r="AI143" s="1">
        <v>9648</v>
      </c>
      <c r="AJ143" s="1">
        <v>323</v>
      </c>
      <c r="AK143" s="1">
        <v>2619</v>
      </c>
      <c r="AL143" s="1">
        <v>126</v>
      </c>
      <c r="AM143" s="1">
        <v>45</v>
      </c>
      <c r="AN143" s="2" t="s">
        <v>98</v>
      </c>
    </row>
    <row r="144" spans="1:40" x14ac:dyDescent="0.3">
      <c r="A144" s="1">
        <v>8735</v>
      </c>
      <c r="B144" s="2" t="s">
        <v>1026</v>
      </c>
      <c r="C144" s="2" t="s">
        <v>1027</v>
      </c>
      <c r="D144" s="1">
        <v>25</v>
      </c>
      <c r="E144" s="2" t="s">
        <v>459</v>
      </c>
      <c r="F144" s="50" t="s">
        <v>557</v>
      </c>
      <c r="G144" s="2" t="s">
        <v>1028</v>
      </c>
      <c r="H144" s="1">
        <v>22601</v>
      </c>
      <c r="I144" s="1">
        <v>20356</v>
      </c>
      <c r="J144" s="2" t="s">
        <v>411</v>
      </c>
      <c r="K144" s="2" t="s">
        <v>1029</v>
      </c>
      <c r="L144" s="2" t="s">
        <v>80</v>
      </c>
      <c r="M144" s="1">
        <v>1166</v>
      </c>
      <c r="N144" s="1">
        <v>30439</v>
      </c>
      <c r="O144" s="2" t="s">
        <v>283</v>
      </c>
      <c r="P144" s="2" t="s">
        <v>202</v>
      </c>
      <c r="Q144" s="2" t="s">
        <v>225</v>
      </c>
      <c r="R144" s="2" t="s">
        <v>50</v>
      </c>
      <c r="S144" s="2" t="s">
        <v>50</v>
      </c>
      <c r="T144" s="1">
        <v>15178</v>
      </c>
      <c r="U144" s="2" t="s">
        <v>51</v>
      </c>
      <c r="V144" s="1">
        <v>3098</v>
      </c>
      <c r="W144" s="1">
        <v>2604</v>
      </c>
      <c r="X144" s="2" t="s">
        <v>127</v>
      </c>
      <c r="Y144" s="2" t="s">
        <v>412</v>
      </c>
      <c r="Z144" s="2" t="s">
        <v>237</v>
      </c>
      <c r="AA144" s="2" t="s">
        <v>1030</v>
      </c>
      <c r="AB144" s="1">
        <v>15261</v>
      </c>
      <c r="AC144" s="1">
        <v>9552</v>
      </c>
      <c r="AD144" s="1">
        <v>4111</v>
      </c>
      <c r="AE144" s="1">
        <v>1257</v>
      </c>
      <c r="AF144" s="1">
        <v>238</v>
      </c>
      <c r="AG144" s="1">
        <v>20</v>
      </c>
      <c r="AH144" s="1">
        <v>13738</v>
      </c>
      <c r="AI144" s="1">
        <v>3495</v>
      </c>
      <c r="AJ144" s="1">
        <v>967</v>
      </c>
      <c r="AK144" s="1">
        <v>4100</v>
      </c>
      <c r="AL144" s="1">
        <v>285</v>
      </c>
      <c r="AM144" s="1">
        <v>57</v>
      </c>
      <c r="AN144" s="2" t="s">
        <v>464</v>
      </c>
    </row>
    <row r="145" spans="1:40" ht="28.2" x14ac:dyDescent="0.3">
      <c r="A145" s="1">
        <v>13915</v>
      </c>
      <c r="B145" s="2" t="s">
        <v>1031</v>
      </c>
      <c r="C145" s="2" t="s">
        <v>1032</v>
      </c>
      <c r="D145" s="1">
        <v>22</v>
      </c>
      <c r="E145" s="2" t="s">
        <v>1033</v>
      </c>
      <c r="F145" s="51" t="s">
        <v>1034</v>
      </c>
      <c r="G145" s="2" t="s">
        <v>1035</v>
      </c>
      <c r="H145" s="1">
        <v>21930</v>
      </c>
      <c r="I145" s="1">
        <v>20473</v>
      </c>
      <c r="J145" s="2" t="s">
        <v>1036</v>
      </c>
      <c r="K145" s="2" t="s">
        <v>1037</v>
      </c>
      <c r="L145" s="2" t="s">
        <v>80</v>
      </c>
      <c r="M145" s="1">
        <v>1104</v>
      </c>
      <c r="N145" s="1">
        <v>29387</v>
      </c>
      <c r="O145" s="2" t="s">
        <v>180</v>
      </c>
      <c r="P145" s="2" t="s">
        <v>202</v>
      </c>
      <c r="Q145" s="2" t="s">
        <v>905</v>
      </c>
      <c r="R145" s="2" t="s">
        <v>96</v>
      </c>
      <c r="S145" s="2" t="s">
        <v>96</v>
      </c>
      <c r="T145" s="1">
        <v>14232</v>
      </c>
      <c r="U145" s="2" t="s">
        <v>51</v>
      </c>
      <c r="V145" s="1">
        <v>4405</v>
      </c>
      <c r="W145" s="1">
        <v>4228</v>
      </c>
      <c r="X145" s="2" t="s">
        <v>407</v>
      </c>
      <c r="Y145" s="2" t="s">
        <v>169</v>
      </c>
      <c r="Z145" s="2" t="s">
        <v>383</v>
      </c>
      <c r="AA145" s="2" t="s">
        <v>55</v>
      </c>
      <c r="AB145" s="1">
        <v>15155</v>
      </c>
      <c r="AC145" s="1">
        <v>8596</v>
      </c>
      <c r="AD145" s="1">
        <v>3950</v>
      </c>
      <c r="AE145" s="1">
        <v>1348</v>
      </c>
      <c r="AF145" s="1">
        <v>300</v>
      </c>
      <c r="AG145" s="1">
        <v>38</v>
      </c>
      <c r="AH145" s="1">
        <v>15801</v>
      </c>
      <c r="AI145" s="1">
        <v>1315</v>
      </c>
      <c r="AJ145" s="1">
        <v>1214</v>
      </c>
      <c r="AK145" s="1">
        <v>3326</v>
      </c>
      <c r="AL145" s="1">
        <v>236</v>
      </c>
      <c r="AM145" s="1">
        <v>92</v>
      </c>
      <c r="AN145" s="2" t="s">
        <v>111</v>
      </c>
    </row>
    <row r="146" spans="1:40" ht="28.2" x14ac:dyDescent="0.3">
      <c r="A146" s="1">
        <v>12379</v>
      </c>
      <c r="B146" s="2" t="s">
        <v>1038</v>
      </c>
      <c r="C146" s="2" t="s">
        <v>1039</v>
      </c>
      <c r="D146" s="1">
        <v>26</v>
      </c>
      <c r="E146" s="2" t="s">
        <v>895</v>
      </c>
      <c r="F146" s="50" t="s">
        <v>1040</v>
      </c>
      <c r="G146" s="2" t="s">
        <v>1041</v>
      </c>
      <c r="H146" s="1">
        <v>14877</v>
      </c>
      <c r="I146" s="1">
        <v>13289</v>
      </c>
      <c r="J146" s="2" t="s">
        <v>262</v>
      </c>
      <c r="K146" s="2" t="s">
        <v>1042</v>
      </c>
      <c r="L146" s="2" t="s">
        <v>46</v>
      </c>
      <c r="M146" s="1">
        <v>780</v>
      </c>
      <c r="N146" s="1">
        <v>20732</v>
      </c>
      <c r="O146" s="2" t="s">
        <v>311</v>
      </c>
      <c r="P146" s="2" t="s">
        <v>67</v>
      </c>
      <c r="Q146" s="2" t="s">
        <v>65</v>
      </c>
      <c r="R146" s="2" t="s">
        <v>50</v>
      </c>
      <c r="S146" s="2" t="s">
        <v>67</v>
      </c>
      <c r="T146" s="1">
        <v>9972</v>
      </c>
      <c r="U146" s="2" t="s">
        <v>51</v>
      </c>
      <c r="V146" s="1">
        <v>2282</v>
      </c>
      <c r="W146" s="1">
        <v>1662</v>
      </c>
      <c r="X146" s="2" t="s">
        <v>254</v>
      </c>
      <c r="Y146" s="2" t="s">
        <v>277</v>
      </c>
      <c r="Z146" s="2" t="s">
        <v>183</v>
      </c>
      <c r="AA146" s="2" t="s">
        <v>267</v>
      </c>
      <c r="AB146" s="1">
        <v>10760</v>
      </c>
      <c r="AC146" s="1">
        <v>6304</v>
      </c>
      <c r="AD146" s="1">
        <v>2657</v>
      </c>
      <c r="AE146" s="1">
        <v>804</v>
      </c>
      <c r="AF146" s="1">
        <v>188</v>
      </c>
      <c r="AG146" s="1">
        <v>19</v>
      </c>
      <c r="AH146" s="1">
        <v>5033</v>
      </c>
      <c r="AI146" s="1">
        <v>6700</v>
      </c>
      <c r="AJ146" s="1">
        <v>162</v>
      </c>
      <c r="AK146" s="1">
        <v>2813</v>
      </c>
      <c r="AL146" s="1">
        <v>189</v>
      </c>
      <c r="AM146" s="1">
        <v>26</v>
      </c>
      <c r="AN146" s="2" t="s">
        <v>362</v>
      </c>
    </row>
    <row r="147" spans="1:40" ht="28.2" x14ac:dyDescent="0.3">
      <c r="A147" s="1">
        <v>4679</v>
      </c>
      <c r="B147" s="2" t="s">
        <v>1043</v>
      </c>
      <c r="C147" s="2" t="s">
        <v>1044</v>
      </c>
      <c r="D147" s="1">
        <v>26</v>
      </c>
      <c r="E147" s="2" t="s">
        <v>299</v>
      </c>
      <c r="F147" s="50" t="s">
        <v>812</v>
      </c>
      <c r="G147" s="2" t="s">
        <v>1045</v>
      </c>
      <c r="H147" s="1">
        <v>21807</v>
      </c>
      <c r="I147" s="1">
        <v>19460</v>
      </c>
      <c r="J147" s="2" t="s">
        <v>1046</v>
      </c>
      <c r="K147" s="2" t="s">
        <v>1047</v>
      </c>
      <c r="L147" s="2" t="s">
        <v>282</v>
      </c>
      <c r="M147" s="1">
        <v>1183</v>
      </c>
      <c r="N147" s="1">
        <v>30912</v>
      </c>
      <c r="O147" s="2" t="s">
        <v>646</v>
      </c>
      <c r="P147" s="2" t="s">
        <v>202</v>
      </c>
      <c r="Q147" s="2" t="s">
        <v>215</v>
      </c>
      <c r="R147" s="2" t="s">
        <v>96</v>
      </c>
      <c r="S147" s="2" t="s">
        <v>67</v>
      </c>
      <c r="T147" s="1">
        <v>14500</v>
      </c>
      <c r="U147" s="2" t="s">
        <v>51</v>
      </c>
      <c r="V147" s="1">
        <v>2560</v>
      </c>
      <c r="W147" s="1">
        <v>2226</v>
      </c>
      <c r="X147" s="2" t="s">
        <v>84</v>
      </c>
      <c r="Y147" s="2" t="s">
        <v>472</v>
      </c>
      <c r="Z147" s="2" t="s">
        <v>391</v>
      </c>
      <c r="AA147" s="2" t="s">
        <v>287</v>
      </c>
      <c r="AB147" s="1">
        <v>16412</v>
      </c>
      <c r="AC147" s="1">
        <v>9085</v>
      </c>
      <c r="AD147" s="1">
        <v>3860</v>
      </c>
      <c r="AE147" s="1">
        <v>1248</v>
      </c>
      <c r="AF147" s="1">
        <v>283</v>
      </c>
      <c r="AG147" s="1">
        <v>24</v>
      </c>
      <c r="AH147" s="1">
        <v>15721</v>
      </c>
      <c r="AI147" s="1">
        <v>764</v>
      </c>
      <c r="AJ147" s="1">
        <v>1152</v>
      </c>
      <c r="AK147" s="1">
        <v>3795</v>
      </c>
      <c r="AL147" s="1">
        <v>386</v>
      </c>
      <c r="AM147" s="1">
        <v>33</v>
      </c>
      <c r="AN147" s="2" t="s">
        <v>464</v>
      </c>
    </row>
    <row r="148" spans="1:40" ht="42" x14ac:dyDescent="0.3">
      <c r="A148" s="1">
        <v>10588</v>
      </c>
      <c r="B148" s="2" t="s">
        <v>1048</v>
      </c>
      <c r="C148" s="2" t="s">
        <v>1049</v>
      </c>
      <c r="D148" s="1">
        <v>24</v>
      </c>
      <c r="E148" s="2" t="s">
        <v>299</v>
      </c>
      <c r="F148" s="50" t="s">
        <v>260</v>
      </c>
      <c r="G148" s="2" t="s">
        <v>1050</v>
      </c>
      <c r="H148" s="1">
        <v>17667</v>
      </c>
      <c r="I148" s="1">
        <v>15597</v>
      </c>
      <c r="J148" s="2" t="s">
        <v>1051</v>
      </c>
      <c r="K148" s="2" t="s">
        <v>843</v>
      </c>
      <c r="L148" s="2" t="s">
        <v>164</v>
      </c>
      <c r="M148" s="1">
        <v>978</v>
      </c>
      <c r="N148" s="1">
        <v>25217</v>
      </c>
      <c r="O148" s="2" t="s">
        <v>905</v>
      </c>
      <c r="P148" s="2" t="s">
        <v>166</v>
      </c>
      <c r="Q148" s="2" t="s">
        <v>144</v>
      </c>
      <c r="R148" s="2" t="s">
        <v>50</v>
      </c>
      <c r="S148" s="2" t="s">
        <v>67</v>
      </c>
      <c r="T148" s="1">
        <v>11853</v>
      </c>
      <c r="U148" s="2" t="s">
        <v>51</v>
      </c>
      <c r="V148" s="1">
        <v>2201</v>
      </c>
      <c r="W148" s="1">
        <v>1936</v>
      </c>
      <c r="X148" s="2" t="s">
        <v>111</v>
      </c>
      <c r="Y148" s="2" t="s">
        <v>245</v>
      </c>
      <c r="Z148" s="2" t="s">
        <v>809</v>
      </c>
      <c r="AA148" s="2" t="s">
        <v>1052</v>
      </c>
      <c r="AB148" s="1">
        <v>13364</v>
      </c>
      <c r="AC148" s="1">
        <v>7519</v>
      </c>
      <c r="AD148" s="1">
        <v>3105</v>
      </c>
      <c r="AE148" s="1">
        <v>998</v>
      </c>
      <c r="AF148" s="1">
        <v>211</v>
      </c>
      <c r="AG148" s="1">
        <v>20</v>
      </c>
      <c r="AH148" s="1">
        <v>12976</v>
      </c>
      <c r="AI148" s="1">
        <v>169</v>
      </c>
      <c r="AJ148" s="1">
        <v>1289</v>
      </c>
      <c r="AK148" s="1">
        <v>2968</v>
      </c>
      <c r="AL148" s="1">
        <v>270</v>
      </c>
      <c r="AM148" s="1">
        <v>48</v>
      </c>
      <c r="AN148" s="2" t="s">
        <v>464</v>
      </c>
    </row>
    <row r="149" spans="1:40" ht="28.2" x14ac:dyDescent="0.3">
      <c r="A149" s="1">
        <v>8526</v>
      </c>
      <c r="B149" s="2" t="s">
        <v>1053</v>
      </c>
      <c r="C149" s="2" t="s">
        <v>1054</v>
      </c>
      <c r="D149" s="1">
        <v>24</v>
      </c>
      <c r="E149" s="2" t="s">
        <v>59</v>
      </c>
      <c r="F149" s="50" t="s">
        <v>1055</v>
      </c>
      <c r="G149" s="2" t="s">
        <v>1056</v>
      </c>
      <c r="H149" s="1">
        <v>9299</v>
      </c>
      <c r="I149" s="1">
        <v>8644</v>
      </c>
      <c r="J149" s="2" t="s">
        <v>974</v>
      </c>
      <c r="K149" s="2" t="s">
        <v>1057</v>
      </c>
      <c r="L149" s="2" t="s">
        <v>203</v>
      </c>
      <c r="M149" s="1">
        <v>480</v>
      </c>
      <c r="N149" s="1">
        <v>12461</v>
      </c>
      <c r="O149" s="2" t="s">
        <v>180</v>
      </c>
      <c r="P149" s="2" t="s">
        <v>50</v>
      </c>
      <c r="Q149" s="2" t="s">
        <v>463</v>
      </c>
      <c r="R149" s="2" t="s">
        <v>96</v>
      </c>
      <c r="S149" s="2" t="s">
        <v>66</v>
      </c>
      <c r="T149" s="1">
        <v>6095</v>
      </c>
      <c r="U149" s="2" t="s">
        <v>51</v>
      </c>
      <c r="V149" s="1">
        <v>1897</v>
      </c>
      <c r="W149" s="1">
        <v>1490</v>
      </c>
      <c r="X149" s="2" t="s">
        <v>717</v>
      </c>
      <c r="Y149" s="2" t="s">
        <v>101</v>
      </c>
      <c r="Z149" s="2" t="s">
        <v>286</v>
      </c>
      <c r="AA149" s="2" t="s">
        <v>1058</v>
      </c>
      <c r="AB149" s="1">
        <v>6366</v>
      </c>
      <c r="AC149" s="1">
        <v>3757</v>
      </c>
      <c r="AD149" s="1">
        <v>1616</v>
      </c>
      <c r="AE149" s="1">
        <v>592</v>
      </c>
      <c r="AF149" s="1">
        <v>116</v>
      </c>
      <c r="AG149" s="1">
        <v>14</v>
      </c>
      <c r="AH149" s="1">
        <v>2091</v>
      </c>
      <c r="AI149" s="1">
        <v>4861</v>
      </c>
      <c r="AJ149" s="1">
        <v>377</v>
      </c>
      <c r="AK149" s="1">
        <v>1927</v>
      </c>
      <c r="AL149" s="1">
        <v>41</v>
      </c>
      <c r="AM149" s="1">
        <v>22</v>
      </c>
      <c r="AN149" s="2" t="s">
        <v>464</v>
      </c>
    </row>
    <row r="150" spans="1:40" x14ac:dyDescent="0.3">
      <c r="A150" s="1">
        <v>1225</v>
      </c>
      <c r="B150" s="2" t="s">
        <v>1059</v>
      </c>
      <c r="C150" s="2" t="s">
        <v>1060</v>
      </c>
      <c r="D150" s="1">
        <v>30</v>
      </c>
      <c r="E150" s="2" t="s">
        <v>42</v>
      </c>
      <c r="F150" s="50" t="s">
        <v>528</v>
      </c>
      <c r="G150" s="2" t="s">
        <v>1061</v>
      </c>
      <c r="H150" s="1">
        <v>38675</v>
      </c>
      <c r="I150" s="1">
        <v>34914</v>
      </c>
      <c r="J150" s="2" t="s">
        <v>808</v>
      </c>
      <c r="K150" s="2" t="s">
        <v>1062</v>
      </c>
      <c r="L150" s="2">
        <v>3</v>
      </c>
      <c r="M150" s="1">
        <v>2018</v>
      </c>
      <c r="N150" s="1">
        <v>52913</v>
      </c>
      <c r="O150" s="2" t="s">
        <v>495</v>
      </c>
      <c r="P150" s="2" t="s">
        <v>48</v>
      </c>
      <c r="Q150" s="2" t="s">
        <v>322</v>
      </c>
      <c r="R150" s="2" t="s">
        <v>66</v>
      </c>
      <c r="S150" s="2" t="s">
        <v>66</v>
      </c>
      <c r="T150" s="1">
        <v>25759</v>
      </c>
      <c r="U150" s="2" t="s">
        <v>51</v>
      </c>
      <c r="V150" s="1">
        <v>6026</v>
      </c>
      <c r="W150" s="1">
        <v>5468</v>
      </c>
      <c r="X150" s="2" t="s">
        <v>561</v>
      </c>
      <c r="Y150" s="2" t="s">
        <v>590</v>
      </c>
      <c r="Z150" s="2" t="s">
        <v>183</v>
      </c>
      <c r="AA150" s="2" t="s">
        <v>734</v>
      </c>
      <c r="AB150" s="1">
        <v>27154</v>
      </c>
      <c r="AC150" s="1">
        <v>16098</v>
      </c>
      <c r="AD150" s="1">
        <v>7008</v>
      </c>
      <c r="AE150" s="1">
        <v>2166</v>
      </c>
      <c r="AF150" s="1">
        <v>437</v>
      </c>
      <c r="AG150" s="1">
        <v>50</v>
      </c>
      <c r="AH150" s="1">
        <v>24448</v>
      </c>
      <c r="AI150" s="1">
        <v>4160</v>
      </c>
      <c r="AJ150" s="1">
        <v>2720</v>
      </c>
      <c r="AK150" s="1">
        <v>6910</v>
      </c>
      <c r="AL150" s="1">
        <v>304</v>
      </c>
      <c r="AM150" s="1">
        <v>174</v>
      </c>
      <c r="AN150" s="2" t="s">
        <v>464</v>
      </c>
    </row>
    <row r="151" spans="1:40" x14ac:dyDescent="0.3">
      <c r="A151" s="1">
        <v>11815</v>
      </c>
      <c r="B151" s="2" t="s">
        <v>1063</v>
      </c>
      <c r="C151" s="2" t="s">
        <v>1064</v>
      </c>
      <c r="D151" s="1">
        <v>22</v>
      </c>
      <c r="E151" s="2" t="s">
        <v>700</v>
      </c>
      <c r="F151" s="50" t="s">
        <v>1065</v>
      </c>
      <c r="G151" s="2" t="s">
        <v>1066</v>
      </c>
      <c r="H151" s="1">
        <v>13986</v>
      </c>
      <c r="I151" s="1">
        <v>12553</v>
      </c>
      <c r="J151" s="2" t="s">
        <v>1067</v>
      </c>
      <c r="K151" s="2" t="s">
        <v>999</v>
      </c>
      <c r="L151" s="2" t="s">
        <v>214</v>
      </c>
      <c r="M151" s="1">
        <v>724</v>
      </c>
      <c r="N151" s="1">
        <v>19400</v>
      </c>
      <c r="O151" s="2" t="s">
        <v>311</v>
      </c>
      <c r="P151" s="2" t="s">
        <v>96</v>
      </c>
      <c r="Q151" s="2" t="s">
        <v>276</v>
      </c>
      <c r="R151" s="2" t="s">
        <v>96</v>
      </c>
      <c r="S151" s="2" t="s">
        <v>66</v>
      </c>
      <c r="T151" s="1">
        <v>9354</v>
      </c>
      <c r="U151" s="2" t="s">
        <v>51</v>
      </c>
      <c r="V151" s="1">
        <v>2661</v>
      </c>
      <c r="W151" s="1">
        <v>1967</v>
      </c>
      <c r="X151" s="2" t="s">
        <v>323</v>
      </c>
      <c r="Y151" s="2" t="s">
        <v>169</v>
      </c>
      <c r="Z151" s="2" t="s">
        <v>347</v>
      </c>
      <c r="AA151" s="2" t="s">
        <v>712</v>
      </c>
      <c r="AB151" s="1">
        <v>10046</v>
      </c>
      <c r="AC151" s="1">
        <v>5890</v>
      </c>
      <c r="AD151" s="1">
        <v>2489</v>
      </c>
      <c r="AE151" s="1">
        <v>796</v>
      </c>
      <c r="AF151" s="1">
        <v>165</v>
      </c>
      <c r="AG151" s="1">
        <v>14</v>
      </c>
      <c r="AH151" s="1">
        <v>2631</v>
      </c>
      <c r="AI151" s="1">
        <v>8746</v>
      </c>
      <c r="AJ151" s="1">
        <v>408</v>
      </c>
      <c r="AK151" s="1">
        <v>2127</v>
      </c>
      <c r="AL151" s="1">
        <v>89</v>
      </c>
      <c r="AM151" s="1">
        <v>35</v>
      </c>
      <c r="AN151" s="2" t="s">
        <v>362</v>
      </c>
    </row>
    <row r="152" spans="1:40" x14ac:dyDescent="0.3">
      <c r="A152" s="1">
        <v>12840</v>
      </c>
      <c r="B152" s="2" t="s">
        <v>1068</v>
      </c>
      <c r="C152" s="2" t="s">
        <v>1069</v>
      </c>
      <c r="D152" s="1">
        <v>22</v>
      </c>
      <c r="E152" s="2" t="s">
        <v>1070</v>
      </c>
      <c r="F152" s="50" t="s">
        <v>812</v>
      </c>
      <c r="G152" s="2" t="s">
        <v>1071</v>
      </c>
      <c r="H152" s="1">
        <v>14681</v>
      </c>
      <c r="I152" s="1">
        <v>13276</v>
      </c>
      <c r="J152" s="2" t="s">
        <v>1072</v>
      </c>
      <c r="K152" s="2">
        <v>74</v>
      </c>
      <c r="L152" s="2" t="s">
        <v>390</v>
      </c>
      <c r="M152" s="1">
        <v>746</v>
      </c>
      <c r="N152" s="1">
        <v>20275</v>
      </c>
      <c r="O152" s="2" t="s">
        <v>311</v>
      </c>
      <c r="P152" s="2" t="s">
        <v>96</v>
      </c>
      <c r="Q152" s="2" t="s">
        <v>276</v>
      </c>
      <c r="R152" s="2" t="s">
        <v>50</v>
      </c>
      <c r="S152" s="2" t="s">
        <v>67</v>
      </c>
      <c r="T152" s="1">
        <v>9763</v>
      </c>
      <c r="U152" s="2" t="s">
        <v>51</v>
      </c>
      <c r="V152" s="1">
        <v>2557</v>
      </c>
      <c r="W152" s="1">
        <v>1895</v>
      </c>
      <c r="X152" s="2" t="s">
        <v>323</v>
      </c>
      <c r="Y152" s="2" t="s">
        <v>111</v>
      </c>
      <c r="Z152" s="2" t="s">
        <v>635</v>
      </c>
      <c r="AA152" s="2" t="s">
        <v>497</v>
      </c>
      <c r="AB152" s="1">
        <v>10512</v>
      </c>
      <c r="AC152" s="1">
        <v>6073</v>
      </c>
      <c r="AD152" s="1">
        <v>2688</v>
      </c>
      <c r="AE152" s="1">
        <v>810</v>
      </c>
      <c r="AF152" s="1">
        <v>158</v>
      </c>
      <c r="AG152" s="1">
        <v>34</v>
      </c>
      <c r="AH152" s="1">
        <v>3690</v>
      </c>
      <c r="AI152" s="1">
        <v>7933</v>
      </c>
      <c r="AJ152" s="1">
        <v>365</v>
      </c>
      <c r="AK152" s="1">
        <v>2570</v>
      </c>
      <c r="AL152" s="1">
        <v>124</v>
      </c>
      <c r="AM152" s="1">
        <v>41</v>
      </c>
      <c r="AN152" s="2" t="s">
        <v>561</v>
      </c>
    </row>
    <row r="153" spans="1:40" x14ac:dyDescent="0.3">
      <c r="A153" s="1">
        <v>18053</v>
      </c>
      <c r="B153" s="2" t="s">
        <v>1073</v>
      </c>
      <c r="C153" s="2" t="s">
        <v>1074</v>
      </c>
      <c r="D153" s="1">
        <v>21</v>
      </c>
      <c r="E153" s="2" t="s">
        <v>1033</v>
      </c>
      <c r="F153" s="50" t="s">
        <v>447</v>
      </c>
      <c r="G153" s="2" t="s">
        <v>1075</v>
      </c>
      <c r="H153" s="1">
        <v>13326</v>
      </c>
      <c r="I153" s="1">
        <v>11624</v>
      </c>
      <c r="J153" s="2" t="s">
        <v>685</v>
      </c>
      <c r="K153" s="2">
        <v>73</v>
      </c>
      <c r="L153" s="2" t="s">
        <v>46</v>
      </c>
      <c r="M153" s="1">
        <v>714</v>
      </c>
      <c r="N153" s="1">
        <v>19063</v>
      </c>
      <c r="O153" s="2" t="s">
        <v>905</v>
      </c>
      <c r="P153" s="2" t="s">
        <v>50</v>
      </c>
      <c r="Q153" s="2" t="s">
        <v>49</v>
      </c>
      <c r="R153" s="2" t="s">
        <v>50</v>
      </c>
      <c r="S153" s="2" t="s">
        <v>67</v>
      </c>
      <c r="T153" s="1">
        <v>9046</v>
      </c>
      <c r="U153" s="2" t="s">
        <v>51</v>
      </c>
      <c r="V153" s="1">
        <v>1615</v>
      </c>
      <c r="W153" s="1">
        <v>1126</v>
      </c>
      <c r="X153" s="2" t="s">
        <v>236</v>
      </c>
      <c r="Y153" s="2" t="s">
        <v>285</v>
      </c>
      <c r="Z153" s="2" t="s">
        <v>70</v>
      </c>
      <c r="AA153" s="2" t="s">
        <v>247</v>
      </c>
      <c r="AB153" s="1">
        <v>10017</v>
      </c>
      <c r="AC153" s="1">
        <v>5798</v>
      </c>
      <c r="AD153" s="1">
        <v>2387</v>
      </c>
      <c r="AE153" s="1">
        <v>706</v>
      </c>
      <c r="AF153" s="1">
        <v>139</v>
      </c>
      <c r="AG153" s="1">
        <v>16</v>
      </c>
      <c r="AH153" s="1">
        <v>5531</v>
      </c>
      <c r="AI153" s="1">
        <v>4868</v>
      </c>
      <c r="AJ153" s="1">
        <v>474</v>
      </c>
      <c r="AK153" s="1">
        <v>2310</v>
      </c>
      <c r="AL153" s="1">
        <v>125</v>
      </c>
      <c r="AM153" s="1">
        <v>51</v>
      </c>
      <c r="AN153" s="2" t="s">
        <v>561</v>
      </c>
    </row>
    <row r="154" spans="1:40" x14ac:dyDescent="0.3">
      <c r="A154" s="1">
        <v>9218</v>
      </c>
      <c r="B154" s="2" t="s">
        <v>1076</v>
      </c>
      <c r="C154" s="2" t="s">
        <v>1077</v>
      </c>
      <c r="D154" s="1">
        <v>27</v>
      </c>
      <c r="E154" s="2" t="s">
        <v>104</v>
      </c>
      <c r="F154" s="50" t="s">
        <v>3514</v>
      </c>
      <c r="G154" s="2" t="s">
        <v>1078</v>
      </c>
      <c r="H154" s="1">
        <v>9681</v>
      </c>
      <c r="I154" s="1">
        <v>8806</v>
      </c>
      <c r="J154" s="2" t="s">
        <v>1079</v>
      </c>
      <c r="K154" s="2" t="s">
        <v>92</v>
      </c>
      <c r="L154" s="2" t="s">
        <v>612</v>
      </c>
      <c r="M154" s="1">
        <v>515</v>
      </c>
      <c r="N154" s="1">
        <v>13210</v>
      </c>
      <c r="O154" s="2" t="s">
        <v>495</v>
      </c>
      <c r="P154" s="2" t="s">
        <v>235</v>
      </c>
      <c r="Q154" s="2" t="s">
        <v>225</v>
      </c>
      <c r="R154" s="2" t="s">
        <v>50</v>
      </c>
      <c r="S154" s="2" t="s">
        <v>50</v>
      </c>
      <c r="T154" s="1">
        <v>6466</v>
      </c>
      <c r="U154" s="2" t="s">
        <v>51</v>
      </c>
      <c r="V154" s="1">
        <v>1325</v>
      </c>
      <c r="W154" s="1">
        <v>1164</v>
      </c>
      <c r="X154" s="2" t="s">
        <v>111</v>
      </c>
      <c r="Y154" s="2" t="s">
        <v>449</v>
      </c>
      <c r="Z154" s="2" t="s">
        <v>70</v>
      </c>
      <c r="AA154" s="2" t="s">
        <v>560</v>
      </c>
      <c r="AB154" s="1">
        <v>6744</v>
      </c>
      <c r="AC154" s="1">
        <v>4077</v>
      </c>
      <c r="AD154" s="1">
        <v>1716</v>
      </c>
      <c r="AE154" s="1">
        <v>535</v>
      </c>
      <c r="AF154" s="1">
        <v>123</v>
      </c>
      <c r="AG154" s="1">
        <v>15</v>
      </c>
      <c r="AH154" s="1">
        <v>6560</v>
      </c>
      <c r="AI154" s="1">
        <v>224</v>
      </c>
      <c r="AJ154" s="1">
        <v>1177</v>
      </c>
      <c r="AK154" s="1">
        <v>1581</v>
      </c>
      <c r="AL154" s="1">
        <v>122</v>
      </c>
      <c r="AM154" s="1">
        <v>31</v>
      </c>
      <c r="AN154" s="2" t="s">
        <v>464</v>
      </c>
    </row>
    <row r="155" spans="1:40" x14ac:dyDescent="0.3">
      <c r="A155" s="1">
        <v>9353</v>
      </c>
      <c r="B155" s="2" t="s">
        <v>1080</v>
      </c>
      <c r="C155" s="2" t="s">
        <v>1081</v>
      </c>
      <c r="D155" s="1">
        <v>25</v>
      </c>
      <c r="E155" s="2" t="s">
        <v>159</v>
      </c>
      <c r="F155" s="50" t="s">
        <v>160</v>
      </c>
      <c r="G155" s="2" t="s">
        <v>1082</v>
      </c>
      <c r="H155" s="1">
        <v>20217</v>
      </c>
      <c r="I155" s="1">
        <v>18219</v>
      </c>
      <c r="J155" s="2" t="s">
        <v>737</v>
      </c>
      <c r="K155" s="2" t="s">
        <v>540</v>
      </c>
      <c r="L155" s="2" t="s">
        <v>63</v>
      </c>
      <c r="M155" s="1">
        <v>1068</v>
      </c>
      <c r="N155" s="1">
        <v>27990</v>
      </c>
      <c r="O155" s="2" t="s">
        <v>311</v>
      </c>
      <c r="P155" s="2" t="s">
        <v>48</v>
      </c>
      <c r="Q155" s="2" t="s">
        <v>276</v>
      </c>
      <c r="R155" s="2" t="s">
        <v>50</v>
      </c>
      <c r="S155" s="2" t="s">
        <v>50</v>
      </c>
      <c r="T155" s="1">
        <v>13493</v>
      </c>
      <c r="U155" s="2" t="s">
        <v>51</v>
      </c>
      <c r="V155" s="1">
        <v>2552</v>
      </c>
      <c r="W155" s="1">
        <v>2465</v>
      </c>
      <c r="X155" s="2" t="s">
        <v>407</v>
      </c>
      <c r="Y155" s="2" t="s">
        <v>245</v>
      </c>
      <c r="Z155" s="2" t="s">
        <v>718</v>
      </c>
      <c r="AA155" s="2" t="s">
        <v>1083</v>
      </c>
      <c r="AB155" s="1">
        <v>14497</v>
      </c>
      <c r="AC155" s="1">
        <v>8457</v>
      </c>
      <c r="AD155" s="1">
        <v>3634</v>
      </c>
      <c r="AE155" s="1">
        <v>1141</v>
      </c>
      <c r="AF155" s="1">
        <v>236</v>
      </c>
      <c r="AG155" s="1">
        <v>25</v>
      </c>
      <c r="AH155" s="1">
        <v>14906</v>
      </c>
      <c r="AI155" s="1">
        <v>752</v>
      </c>
      <c r="AJ155" s="1">
        <v>919</v>
      </c>
      <c r="AK155" s="1">
        <v>3471</v>
      </c>
      <c r="AL155" s="1">
        <v>178</v>
      </c>
      <c r="AM155" s="1">
        <v>39</v>
      </c>
      <c r="AN155" s="2" t="s">
        <v>464</v>
      </c>
    </row>
    <row r="156" spans="1:40" x14ac:dyDescent="0.3">
      <c r="A156" s="1">
        <v>15370</v>
      </c>
      <c r="B156" s="2" t="s">
        <v>1084</v>
      </c>
      <c r="C156" s="2" t="s">
        <v>1085</v>
      </c>
      <c r="D156" s="1">
        <v>23</v>
      </c>
      <c r="E156" s="2" t="s">
        <v>708</v>
      </c>
      <c r="F156" s="50" t="s">
        <v>1086</v>
      </c>
      <c r="G156" s="2" t="s">
        <v>1087</v>
      </c>
      <c r="H156" s="1">
        <v>17820</v>
      </c>
      <c r="I156" s="1">
        <v>15712</v>
      </c>
      <c r="J156" s="2" t="s">
        <v>1088</v>
      </c>
      <c r="K156" s="2" t="s">
        <v>1089</v>
      </c>
      <c r="L156" s="2" t="s">
        <v>471</v>
      </c>
      <c r="M156" s="1">
        <v>936</v>
      </c>
      <c r="N156" s="1">
        <v>25351</v>
      </c>
      <c r="O156" s="2" t="s">
        <v>905</v>
      </c>
      <c r="P156" s="2" t="s">
        <v>50</v>
      </c>
      <c r="Q156" s="2" t="s">
        <v>144</v>
      </c>
      <c r="R156" s="2" t="s">
        <v>96</v>
      </c>
      <c r="S156" s="2" t="s">
        <v>96</v>
      </c>
      <c r="T156" s="1">
        <v>12039</v>
      </c>
      <c r="U156" s="2" t="s">
        <v>51</v>
      </c>
      <c r="V156" s="1">
        <v>3330</v>
      </c>
      <c r="W156" s="1">
        <v>2173</v>
      </c>
      <c r="X156" s="2" t="s">
        <v>426</v>
      </c>
      <c r="Y156" s="2" t="s">
        <v>169</v>
      </c>
      <c r="Z156" s="2" t="s">
        <v>383</v>
      </c>
      <c r="AA156" s="2" t="s">
        <v>428</v>
      </c>
      <c r="AB156" s="1">
        <v>13312</v>
      </c>
      <c r="AC156" s="1">
        <v>7691</v>
      </c>
      <c r="AD156" s="1">
        <v>3157</v>
      </c>
      <c r="AE156" s="1">
        <v>978</v>
      </c>
      <c r="AF156" s="1">
        <v>184</v>
      </c>
      <c r="AG156" s="1">
        <v>29</v>
      </c>
      <c r="AH156" s="1">
        <v>2771</v>
      </c>
      <c r="AI156" s="1">
        <v>11847</v>
      </c>
      <c r="AJ156" s="1">
        <v>415</v>
      </c>
      <c r="AK156" s="1">
        <v>2660</v>
      </c>
      <c r="AL156" s="1">
        <v>151</v>
      </c>
      <c r="AM156" s="1">
        <v>43</v>
      </c>
      <c r="AN156" s="2" t="s">
        <v>362</v>
      </c>
    </row>
    <row r="157" spans="1:40" x14ac:dyDescent="0.3">
      <c r="A157" s="1">
        <v>7996</v>
      </c>
      <c r="B157" s="2" t="s">
        <v>1090</v>
      </c>
      <c r="C157" s="2" t="s">
        <v>1091</v>
      </c>
      <c r="D157" s="1">
        <v>25</v>
      </c>
      <c r="E157" s="2" t="s">
        <v>1092</v>
      </c>
      <c r="F157" s="50" t="s">
        <v>1093</v>
      </c>
      <c r="G157" s="2" t="s">
        <v>1094</v>
      </c>
      <c r="H157" s="1">
        <v>27809</v>
      </c>
      <c r="I157" s="1">
        <v>25011</v>
      </c>
      <c r="J157" s="2" t="s">
        <v>1095</v>
      </c>
      <c r="K157" s="2" t="s">
        <v>788</v>
      </c>
      <c r="L157" s="2" t="s">
        <v>425</v>
      </c>
      <c r="M157" s="1">
        <v>1472</v>
      </c>
      <c r="N157" s="1">
        <v>38605</v>
      </c>
      <c r="O157" s="2" t="s">
        <v>311</v>
      </c>
      <c r="P157" s="2" t="s">
        <v>50</v>
      </c>
      <c r="Q157" s="2" t="s">
        <v>276</v>
      </c>
      <c r="R157" s="2" t="s">
        <v>50</v>
      </c>
      <c r="S157" s="2" t="s">
        <v>67</v>
      </c>
      <c r="T157" s="1">
        <v>18614</v>
      </c>
      <c r="U157" s="2" t="s">
        <v>51</v>
      </c>
      <c r="V157" s="1">
        <v>4950</v>
      </c>
      <c r="W157" s="1">
        <v>3491</v>
      </c>
      <c r="X157" s="2" t="s">
        <v>369</v>
      </c>
      <c r="Y157" s="2" t="s">
        <v>206</v>
      </c>
      <c r="Z157" s="2" t="s">
        <v>347</v>
      </c>
      <c r="AA157" s="2" t="s">
        <v>906</v>
      </c>
      <c r="AB157" s="1">
        <v>19991</v>
      </c>
      <c r="AC157" s="1">
        <v>11708</v>
      </c>
      <c r="AD157" s="1">
        <v>5020</v>
      </c>
      <c r="AE157" s="1">
        <v>1523</v>
      </c>
      <c r="AF157" s="1">
        <v>324</v>
      </c>
      <c r="AG157" s="1">
        <v>39</v>
      </c>
      <c r="AH157" s="1">
        <v>6954</v>
      </c>
      <c r="AI157" s="1">
        <v>15051</v>
      </c>
      <c r="AJ157" s="1">
        <v>839</v>
      </c>
      <c r="AK157" s="1">
        <v>4693</v>
      </c>
      <c r="AL157" s="1">
        <v>272</v>
      </c>
      <c r="AM157" s="1">
        <v>66</v>
      </c>
      <c r="AN157" s="2" t="s">
        <v>464</v>
      </c>
    </row>
    <row r="158" spans="1:40" x14ac:dyDescent="0.3">
      <c r="A158" s="1">
        <v>7910</v>
      </c>
      <c r="B158" s="2" t="s">
        <v>1096</v>
      </c>
      <c r="C158" s="2" t="s">
        <v>1097</v>
      </c>
      <c r="D158" s="1">
        <v>24</v>
      </c>
      <c r="E158" s="2" t="s">
        <v>446</v>
      </c>
      <c r="F158" s="50" t="s">
        <v>1098</v>
      </c>
      <c r="G158" s="2" t="s">
        <v>1099</v>
      </c>
      <c r="H158" s="1">
        <v>14831</v>
      </c>
      <c r="I158" s="1">
        <v>13489</v>
      </c>
      <c r="J158" s="2" t="s">
        <v>1100</v>
      </c>
      <c r="K158" s="2">
        <v>77</v>
      </c>
      <c r="L158" s="2" t="s">
        <v>46</v>
      </c>
      <c r="M158" s="1">
        <v>759</v>
      </c>
      <c r="N158" s="1">
        <v>20147</v>
      </c>
      <c r="O158" s="2" t="s">
        <v>283</v>
      </c>
      <c r="P158" s="2" t="s">
        <v>202</v>
      </c>
      <c r="Q158" s="2" t="s">
        <v>225</v>
      </c>
      <c r="R158" s="2" t="s">
        <v>50</v>
      </c>
      <c r="S158" s="2" t="s">
        <v>202</v>
      </c>
      <c r="T158" s="1">
        <v>9885</v>
      </c>
      <c r="U158" s="2" t="s">
        <v>51</v>
      </c>
      <c r="V158" s="1">
        <v>1858</v>
      </c>
      <c r="W158" s="1">
        <v>1618</v>
      </c>
      <c r="X158" s="2" t="s">
        <v>84</v>
      </c>
      <c r="Y158" s="2" t="s">
        <v>285</v>
      </c>
      <c r="Z158" s="2" t="s">
        <v>932</v>
      </c>
      <c r="AA158" s="2" t="s">
        <v>1101</v>
      </c>
      <c r="AB158" s="1">
        <v>10262</v>
      </c>
      <c r="AC158" s="1">
        <v>6165</v>
      </c>
      <c r="AD158" s="1">
        <v>2689</v>
      </c>
      <c r="AE158" s="1">
        <v>859</v>
      </c>
      <c r="AF158" s="1">
        <v>152</v>
      </c>
      <c r="AG158" s="1">
        <v>20</v>
      </c>
      <c r="AH158" s="1">
        <v>9002</v>
      </c>
      <c r="AI158" s="1">
        <v>2361</v>
      </c>
      <c r="AJ158" s="1">
        <v>579</v>
      </c>
      <c r="AK158" s="1">
        <v>2725</v>
      </c>
      <c r="AL158" s="1">
        <v>177</v>
      </c>
      <c r="AM158" s="1">
        <v>22</v>
      </c>
      <c r="AN158" s="2" t="s">
        <v>464</v>
      </c>
    </row>
    <row r="159" spans="1:40" ht="28.2" x14ac:dyDescent="0.3">
      <c r="A159" s="1">
        <v>10587</v>
      </c>
      <c r="B159" s="2" t="s">
        <v>1102</v>
      </c>
      <c r="C159" s="2" t="s">
        <v>1103</v>
      </c>
      <c r="D159" s="1">
        <v>27</v>
      </c>
      <c r="E159" s="2" t="s">
        <v>299</v>
      </c>
      <c r="F159" s="50" t="s">
        <v>3514</v>
      </c>
      <c r="G159" s="2" t="s">
        <v>1104</v>
      </c>
      <c r="H159" s="1">
        <v>8937</v>
      </c>
      <c r="I159" s="1">
        <v>8017</v>
      </c>
      <c r="J159" s="2" t="s">
        <v>1105</v>
      </c>
      <c r="K159" s="2" t="s">
        <v>540</v>
      </c>
      <c r="L159" s="2" t="s">
        <v>294</v>
      </c>
      <c r="M159" s="1">
        <v>479</v>
      </c>
      <c r="N159" s="1">
        <v>12350</v>
      </c>
      <c r="O159" s="2" t="s">
        <v>311</v>
      </c>
      <c r="P159" s="2" t="s">
        <v>48</v>
      </c>
      <c r="Q159" s="2" t="s">
        <v>276</v>
      </c>
      <c r="R159" s="2" t="s">
        <v>96</v>
      </c>
      <c r="S159" s="2" t="s">
        <v>50</v>
      </c>
      <c r="T159" s="1">
        <v>5989</v>
      </c>
      <c r="U159" s="2" t="s">
        <v>51</v>
      </c>
      <c r="V159" s="1">
        <v>1635</v>
      </c>
      <c r="W159" s="1">
        <v>1217</v>
      </c>
      <c r="X159" s="2" t="s">
        <v>1106</v>
      </c>
      <c r="Y159" s="2" t="s">
        <v>206</v>
      </c>
      <c r="Z159" s="2" t="s">
        <v>246</v>
      </c>
      <c r="AA159" s="2" t="s">
        <v>138</v>
      </c>
      <c r="AB159" s="1">
        <v>6361</v>
      </c>
      <c r="AC159" s="1">
        <v>3745</v>
      </c>
      <c r="AD159" s="1">
        <v>1656</v>
      </c>
      <c r="AE159" s="1">
        <v>480</v>
      </c>
      <c r="AF159" s="1">
        <v>100</v>
      </c>
      <c r="AG159" s="1">
        <v>8</v>
      </c>
      <c r="AH159" s="1">
        <v>2367</v>
      </c>
      <c r="AI159" s="1">
        <v>4240</v>
      </c>
      <c r="AJ159" s="1">
        <v>351</v>
      </c>
      <c r="AK159" s="1">
        <v>1823</v>
      </c>
      <c r="AL159" s="1">
        <v>132</v>
      </c>
      <c r="AM159" s="1">
        <v>62</v>
      </c>
      <c r="AN159" s="2" t="s">
        <v>464</v>
      </c>
    </row>
    <row r="160" spans="1:40" ht="28.2" x14ac:dyDescent="0.3">
      <c r="A160" s="1">
        <v>12030</v>
      </c>
      <c r="B160" s="2" t="s">
        <v>1107</v>
      </c>
      <c r="C160" s="2" t="s">
        <v>1108</v>
      </c>
      <c r="D160" s="1">
        <v>21</v>
      </c>
      <c r="E160" s="2" t="s">
        <v>841</v>
      </c>
      <c r="F160" s="50" t="s">
        <v>3514</v>
      </c>
      <c r="G160" s="2" t="s">
        <v>1109</v>
      </c>
      <c r="H160" s="1">
        <v>16973</v>
      </c>
      <c r="I160" s="1">
        <v>15656</v>
      </c>
      <c r="J160" s="2" t="s">
        <v>1110</v>
      </c>
      <c r="K160" s="2" t="s">
        <v>989</v>
      </c>
      <c r="L160" s="2" t="s">
        <v>471</v>
      </c>
      <c r="M160" s="1">
        <v>870</v>
      </c>
      <c r="N160" s="1">
        <v>22795</v>
      </c>
      <c r="O160" s="2" t="s">
        <v>283</v>
      </c>
      <c r="P160" s="2" t="s">
        <v>67</v>
      </c>
      <c r="Q160" s="2" t="s">
        <v>463</v>
      </c>
      <c r="R160" s="2" t="s">
        <v>50</v>
      </c>
      <c r="S160" s="2" t="s">
        <v>50</v>
      </c>
      <c r="T160" s="1">
        <v>11218</v>
      </c>
      <c r="U160" s="2" t="s">
        <v>51</v>
      </c>
      <c r="V160" s="1">
        <v>2752</v>
      </c>
      <c r="W160" s="1">
        <v>2604</v>
      </c>
      <c r="X160" s="2" t="s">
        <v>590</v>
      </c>
      <c r="Y160" s="2" t="s">
        <v>277</v>
      </c>
      <c r="Z160" s="2" t="s">
        <v>217</v>
      </c>
      <c r="AA160" s="2" t="s">
        <v>305</v>
      </c>
      <c r="AB160" s="1">
        <v>11577</v>
      </c>
      <c r="AC160" s="1">
        <v>6917</v>
      </c>
      <c r="AD160" s="1">
        <v>3103</v>
      </c>
      <c r="AE160" s="1">
        <v>965</v>
      </c>
      <c r="AF160" s="1">
        <v>210</v>
      </c>
      <c r="AG160" s="1">
        <v>23</v>
      </c>
      <c r="AH160" s="1">
        <v>10761</v>
      </c>
      <c r="AI160" s="1">
        <v>2015</v>
      </c>
      <c r="AJ160" s="1">
        <v>719</v>
      </c>
      <c r="AK160" s="1">
        <v>3347</v>
      </c>
      <c r="AL160" s="1">
        <v>121</v>
      </c>
      <c r="AM160" s="1">
        <v>36</v>
      </c>
      <c r="AN160" s="2" t="s">
        <v>362</v>
      </c>
    </row>
    <row r="161" spans="1:40" x14ac:dyDescent="0.3">
      <c r="A161" s="1">
        <v>7403</v>
      </c>
      <c r="B161" s="2" t="s">
        <v>1111</v>
      </c>
      <c r="C161" s="2" t="s">
        <v>1112</v>
      </c>
      <c r="D161" s="1">
        <v>30</v>
      </c>
      <c r="E161" s="2" t="s">
        <v>75</v>
      </c>
      <c r="F161" s="50" t="s">
        <v>3514</v>
      </c>
      <c r="G161" s="2" t="s">
        <v>1113</v>
      </c>
      <c r="H161" s="1">
        <v>25226</v>
      </c>
      <c r="I161" s="1">
        <v>22750</v>
      </c>
      <c r="J161" s="2" t="s">
        <v>1114</v>
      </c>
      <c r="K161" s="2">
        <v>75</v>
      </c>
      <c r="L161" s="2" t="s">
        <v>425</v>
      </c>
      <c r="M161" s="1">
        <v>1328</v>
      </c>
      <c r="N161" s="1">
        <v>34716</v>
      </c>
      <c r="O161" s="2" t="s">
        <v>495</v>
      </c>
      <c r="P161" s="2" t="s">
        <v>48</v>
      </c>
      <c r="Q161" s="2" t="s">
        <v>322</v>
      </c>
      <c r="R161" s="2" t="s">
        <v>66</v>
      </c>
      <c r="S161" s="2" t="s">
        <v>66</v>
      </c>
      <c r="T161" s="1">
        <v>16893</v>
      </c>
      <c r="U161" s="2" t="s">
        <v>51</v>
      </c>
      <c r="V161" s="1">
        <v>4415</v>
      </c>
      <c r="W161" s="1">
        <v>3319</v>
      </c>
      <c r="X161" s="2" t="s">
        <v>442</v>
      </c>
      <c r="Y161" s="2" t="s">
        <v>111</v>
      </c>
      <c r="Z161" s="2" t="s">
        <v>217</v>
      </c>
      <c r="AA161" s="2" t="s">
        <v>906</v>
      </c>
      <c r="AB161" s="1">
        <v>17823</v>
      </c>
      <c r="AC161" s="1">
        <v>10626</v>
      </c>
      <c r="AD161" s="1">
        <v>4553</v>
      </c>
      <c r="AE161" s="1">
        <v>1414</v>
      </c>
      <c r="AF161" s="1">
        <v>269</v>
      </c>
      <c r="AG161" s="1">
        <v>31</v>
      </c>
      <c r="AH161" s="1">
        <v>5963</v>
      </c>
      <c r="AI161" s="1">
        <v>13131</v>
      </c>
      <c r="AJ161" s="1">
        <v>1045</v>
      </c>
      <c r="AK161" s="1">
        <v>4780</v>
      </c>
      <c r="AL161" s="1">
        <v>244</v>
      </c>
      <c r="AM161" s="1">
        <v>82</v>
      </c>
      <c r="AN161" s="2" t="s">
        <v>464</v>
      </c>
    </row>
    <row r="162" spans="1:40" x14ac:dyDescent="0.3">
      <c r="A162" s="1">
        <v>11355</v>
      </c>
      <c r="B162" s="2" t="s">
        <v>1115</v>
      </c>
      <c r="C162" s="2" t="s">
        <v>1116</v>
      </c>
      <c r="D162" s="1">
        <v>28</v>
      </c>
      <c r="E162" s="2" t="s">
        <v>209</v>
      </c>
      <c r="F162" s="50" t="s">
        <v>1117</v>
      </c>
      <c r="G162" s="2" t="s">
        <v>1118</v>
      </c>
      <c r="H162" s="1">
        <v>7690</v>
      </c>
      <c r="I162" s="1">
        <v>6988</v>
      </c>
      <c r="J162" s="2" t="s">
        <v>321</v>
      </c>
      <c r="K162" s="2" t="s">
        <v>1119</v>
      </c>
      <c r="L162" s="2" t="s">
        <v>52</v>
      </c>
      <c r="M162" s="1">
        <v>402</v>
      </c>
      <c r="N162" s="1">
        <v>10409</v>
      </c>
      <c r="O162" s="2" t="s">
        <v>283</v>
      </c>
      <c r="P162" s="2" t="s">
        <v>50</v>
      </c>
      <c r="Q162" s="2" t="s">
        <v>225</v>
      </c>
      <c r="R162" s="2" t="s">
        <v>66</v>
      </c>
      <c r="S162" s="2" t="s">
        <v>96</v>
      </c>
      <c r="T162" s="1">
        <v>5156</v>
      </c>
      <c r="U162" s="2" t="s">
        <v>51</v>
      </c>
      <c r="V162" s="1">
        <v>1298</v>
      </c>
      <c r="W162" s="1">
        <v>990</v>
      </c>
      <c r="X162" s="2" t="s">
        <v>1120</v>
      </c>
      <c r="Y162" s="2" t="s">
        <v>98</v>
      </c>
      <c r="Z162" s="2" t="s">
        <v>1121</v>
      </c>
      <c r="AA162" s="2" t="s">
        <v>1122</v>
      </c>
      <c r="AB162" s="1">
        <v>5253</v>
      </c>
      <c r="AC162" s="1">
        <v>3246</v>
      </c>
      <c r="AD162" s="1">
        <v>1386</v>
      </c>
      <c r="AE162" s="1">
        <v>428</v>
      </c>
      <c r="AF162" s="1">
        <v>92</v>
      </c>
      <c r="AG162" s="1">
        <v>4</v>
      </c>
      <c r="AH162" s="1">
        <v>2496</v>
      </c>
      <c r="AI162" s="1">
        <v>2960</v>
      </c>
      <c r="AJ162" s="1">
        <v>537</v>
      </c>
      <c r="AK162" s="1">
        <v>1562</v>
      </c>
      <c r="AL162" s="1">
        <v>61</v>
      </c>
      <c r="AM162" s="1">
        <v>89</v>
      </c>
      <c r="AN162" s="2" t="s">
        <v>561</v>
      </c>
    </row>
    <row r="163" spans="1:40" x14ac:dyDescent="0.3">
      <c r="A163" s="1">
        <v>11163</v>
      </c>
      <c r="B163" s="2" t="s">
        <v>1123</v>
      </c>
      <c r="C163" s="2" t="s">
        <v>1124</v>
      </c>
      <c r="D163" s="1">
        <v>27</v>
      </c>
      <c r="E163" s="2" t="s">
        <v>104</v>
      </c>
      <c r="F163" s="50" t="s">
        <v>1125</v>
      </c>
      <c r="G163" s="2" t="s">
        <v>1126</v>
      </c>
      <c r="H163" s="1">
        <v>15766</v>
      </c>
      <c r="I163" s="1">
        <v>14277</v>
      </c>
      <c r="J163" s="2" t="s">
        <v>931</v>
      </c>
      <c r="K163" s="2" t="s">
        <v>1029</v>
      </c>
      <c r="L163" s="2" t="s">
        <v>575</v>
      </c>
      <c r="M163" s="1">
        <v>830</v>
      </c>
      <c r="N163" s="1">
        <v>21739</v>
      </c>
      <c r="O163" s="2" t="s">
        <v>495</v>
      </c>
      <c r="P163" s="2" t="s">
        <v>166</v>
      </c>
      <c r="Q163" s="2" t="s">
        <v>322</v>
      </c>
      <c r="R163" s="2" t="s">
        <v>48</v>
      </c>
      <c r="S163" s="2" t="s">
        <v>202</v>
      </c>
      <c r="T163" s="1">
        <v>10542</v>
      </c>
      <c r="U163" s="2" t="s">
        <v>51</v>
      </c>
      <c r="V163" s="1">
        <v>2105</v>
      </c>
      <c r="W163" s="1">
        <v>1867</v>
      </c>
      <c r="X163" s="2" t="s">
        <v>98</v>
      </c>
      <c r="Y163" s="2" t="s">
        <v>255</v>
      </c>
      <c r="Z163" s="2" t="s">
        <v>217</v>
      </c>
      <c r="AA163" s="2" t="s">
        <v>640</v>
      </c>
      <c r="AB163" s="1">
        <v>11197</v>
      </c>
      <c r="AC163" s="1">
        <v>6627</v>
      </c>
      <c r="AD163" s="1">
        <v>2822</v>
      </c>
      <c r="AE163" s="1">
        <v>896</v>
      </c>
      <c r="AF163" s="1">
        <v>178</v>
      </c>
      <c r="AG163" s="1">
        <v>19</v>
      </c>
      <c r="AH163" s="1">
        <v>11738</v>
      </c>
      <c r="AI163" s="1">
        <v>105</v>
      </c>
      <c r="AJ163" s="1">
        <v>865</v>
      </c>
      <c r="AK163" s="1">
        <v>2797</v>
      </c>
      <c r="AL163" s="1">
        <v>246</v>
      </c>
      <c r="AM163" s="1">
        <v>52</v>
      </c>
      <c r="AN163" s="2" t="s">
        <v>111</v>
      </c>
    </row>
    <row r="164" spans="1:40" x14ac:dyDescent="0.3">
      <c r="A164" s="1">
        <v>8605</v>
      </c>
      <c r="B164" s="2" t="s">
        <v>1127</v>
      </c>
      <c r="C164" s="2" t="s">
        <v>1128</v>
      </c>
      <c r="D164" s="1">
        <v>27</v>
      </c>
      <c r="E164" s="2" t="s">
        <v>209</v>
      </c>
      <c r="F164" s="50" t="s">
        <v>3514</v>
      </c>
      <c r="G164" s="2" t="s">
        <v>210</v>
      </c>
      <c r="H164" s="1">
        <v>23702</v>
      </c>
      <c r="I164" s="1">
        <v>21561</v>
      </c>
      <c r="J164" s="2" t="s">
        <v>1129</v>
      </c>
      <c r="K164" s="2" t="s">
        <v>1130</v>
      </c>
      <c r="L164" s="2" t="s">
        <v>462</v>
      </c>
      <c r="M164" s="1">
        <v>1253</v>
      </c>
      <c r="N164" s="1">
        <v>32437</v>
      </c>
      <c r="O164" s="2" t="s">
        <v>495</v>
      </c>
      <c r="P164" s="2" t="s">
        <v>202</v>
      </c>
      <c r="Q164" s="2" t="s">
        <v>322</v>
      </c>
      <c r="R164" s="2" t="s">
        <v>50</v>
      </c>
      <c r="S164" s="2" t="s">
        <v>96</v>
      </c>
      <c r="T164" s="1">
        <v>15837</v>
      </c>
      <c r="U164" s="2" t="s">
        <v>51</v>
      </c>
      <c r="V164" s="1">
        <v>3842</v>
      </c>
      <c r="W164" s="1">
        <v>3575</v>
      </c>
      <c r="X164" s="2" t="s">
        <v>464</v>
      </c>
      <c r="Y164" s="2" t="s">
        <v>277</v>
      </c>
      <c r="Z164" s="2" t="s">
        <v>192</v>
      </c>
      <c r="AA164" s="2" t="s">
        <v>86</v>
      </c>
      <c r="AB164" s="1">
        <v>16600</v>
      </c>
      <c r="AC164" s="1">
        <v>9947</v>
      </c>
      <c r="AD164" s="1">
        <v>4257</v>
      </c>
      <c r="AE164" s="1">
        <v>1324</v>
      </c>
      <c r="AF164" s="1">
        <v>278</v>
      </c>
      <c r="AG164" s="1">
        <v>31</v>
      </c>
      <c r="AH164" s="1">
        <v>14963</v>
      </c>
      <c r="AI164" s="1">
        <v>2229</v>
      </c>
      <c r="AJ164" s="1">
        <v>2071</v>
      </c>
      <c r="AK164" s="1">
        <v>4110</v>
      </c>
      <c r="AL164" s="1">
        <v>199</v>
      </c>
      <c r="AM164" s="1">
        <v>184</v>
      </c>
      <c r="AN164" s="2" t="s">
        <v>464</v>
      </c>
    </row>
    <row r="165" spans="1:40" x14ac:dyDescent="0.3">
      <c r="A165" s="1">
        <v>8349</v>
      </c>
      <c r="B165" s="2" t="s">
        <v>1131</v>
      </c>
      <c r="C165" s="2" t="s">
        <v>1132</v>
      </c>
      <c r="D165" s="1">
        <v>28</v>
      </c>
      <c r="E165" s="2" t="s">
        <v>500</v>
      </c>
      <c r="F165" s="50" t="s">
        <v>3514</v>
      </c>
      <c r="G165" s="2" t="s">
        <v>76</v>
      </c>
      <c r="H165" s="1">
        <v>12588</v>
      </c>
      <c r="I165" s="1">
        <v>11277</v>
      </c>
      <c r="J165" s="2" t="s">
        <v>1046</v>
      </c>
      <c r="K165" s="2" t="s">
        <v>178</v>
      </c>
      <c r="L165" s="2" t="s">
        <v>80</v>
      </c>
      <c r="M165" s="1">
        <v>676</v>
      </c>
      <c r="N165" s="1">
        <v>17460</v>
      </c>
      <c r="O165" s="2" t="s">
        <v>311</v>
      </c>
      <c r="P165" s="2" t="s">
        <v>235</v>
      </c>
      <c r="Q165" s="2" t="s">
        <v>276</v>
      </c>
      <c r="R165" s="2" t="s">
        <v>96</v>
      </c>
      <c r="S165" s="2" t="s">
        <v>67</v>
      </c>
      <c r="T165" s="1">
        <v>8458</v>
      </c>
      <c r="U165" s="2" t="s">
        <v>51</v>
      </c>
      <c r="V165" s="1">
        <v>1734</v>
      </c>
      <c r="W165" s="1">
        <v>1522</v>
      </c>
      <c r="X165" s="2" t="s">
        <v>111</v>
      </c>
      <c r="Y165" s="2" t="s">
        <v>449</v>
      </c>
      <c r="Z165" s="2" t="s">
        <v>112</v>
      </c>
      <c r="AA165" s="2" t="s">
        <v>724</v>
      </c>
      <c r="AB165" s="1">
        <v>9002</v>
      </c>
      <c r="AC165" s="1">
        <v>5336</v>
      </c>
      <c r="AD165" s="1">
        <v>2301</v>
      </c>
      <c r="AE165" s="1">
        <v>663</v>
      </c>
      <c r="AF165" s="1">
        <v>149</v>
      </c>
      <c r="AG165" s="1">
        <v>9</v>
      </c>
      <c r="AH165" s="1">
        <v>9072</v>
      </c>
      <c r="AI165" s="1">
        <v>319</v>
      </c>
      <c r="AJ165" s="1">
        <v>771</v>
      </c>
      <c r="AK165" s="1">
        <v>2242</v>
      </c>
      <c r="AL165" s="1">
        <v>182</v>
      </c>
      <c r="AM165" s="1">
        <v>21</v>
      </c>
      <c r="AN165" s="2" t="s">
        <v>464</v>
      </c>
    </row>
    <row r="166" spans="1:40" ht="28.2" x14ac:dyDescent="0.3">
      <c r="A166" s="1">
        <v>7154</v>
      </c>
      <c r="B166" s="2" t="s">
        <v>1133</v>
      </c>
      <c r="C166" s="2" t="s">
        <v>1134</v>
      </c>
      <c r="D166" s="1">
        <v>26</v>
      </c>
      <c r="E166" s="2" t="s">
        <v>196</v>
      </c>
      <c r="F166" s="50" t="s">
        <v>3514</v>
      </c>
      <c r="G166" s="2" t="s">
        <v>1135</v>
      </c>
      <c r="H166" s="1">
        <v>18116</v>
      </c>
      <c r="I166" s="1">
        <v>16100</v>
      </c>
      <c r="J166" s="2" t="s">
        <v>760</v>
      </c>
      <c r="K166" s="2" t="s">
        <v>843</v>
      </c>
      <c r="L166" s="2" t="s">
        <v>80</v>
      </c>
      <c r="M166" s="1">
        <v>976</v>
      </c>
      <c r="N166" s="1">
        <v>25052</v>
      </c>
      <c r="O166" s="2" t="s">
        <v>311</v>
      </c>
      <c r="P166" s="2" t="s">
        <v>235</v>
      </c>
      <c r="Q166" s="2" t="s">
        <v>65</v>
      </c>
      <c r="R166" s="2" t="s">
        <v>50</v>
      </c>
      <c r="S166" s="2" t="s">
        <v>67</v>
      </c>
      <c r="T166" s="1">
        <v>12226</v>
      </c>
      <c r="U166" s="2" t="s">
        <v>51</v>
      </c>
      <c r="V166" s="1">
        <v>2152</v>
      </c>
      <c r="W166" s="1">
        <v>1778</v>
      </c>
      <c r="X166" s="2" t="s">
        <v>136</v>
      </c>
      <c r="Y166" s="2" t="s">
        <v>245</v>
      </c>
      <c r="Z166" s="2" t="s">
        <v>314</v>
      </c>
      <c r="AA166" s="2" t="s">
        <v>828</v>
      </c>
      <c r="AB166" s="1">
        <v>12826</v>
      </c>
      <c r="AC166" s="1">
        <v>7764</v>
      </c>
      <c r="AD166" s="1">
        <v>3307</v>
      </c>
      <c r="AE166" s="1">
        <v>966</v>
      </c>
      <c r="AF166" s="1">
        <v>175</v>
      </c>
      <c r="AG166" s="1">
        <v>14</v>
      </c>
      <c r="AH166" s="1">
        <v>12059</v>
      </c>
      <c r="AI166" s="1">
        <v>2013</v>
      </c>
      <c r="AJ166" s="1">
        <v>422</v>
      </c>
      <c r="AK166" s="1">
        <v>3279</v>
      </c>
      <c r="AL166" s="1">
        <v>326</v>
      </c>
      <c r="AM166" s="1">
        <v>35</v>
      </c>
      <c r="AN166" s="2" t="s">
        <v>464</v>
      </c>
    </row>
    <row r="167" spans="1:40" ht="28.2" x14ac:dyDescent="0.3">
      <c r="A167" s="1">
        <v>8568</v>
      </c>
      <c r="B167" s="2" t="s">
        <v>1136</v>
      </c>
      <c r="C167" s="2" t="s">
        <v>1137</v>
      </c>
      <c r="D167" s="1">
        <v>25</v>
      </c>
      <c r="E167" s="2" t="s">
        <v>104</v>
      </c>
      <c r="F167" s="50" t="s">
        <v>855</v>
      </c>
      <c r="G167" s="2" t="s">
        <v>1138</v>
      </c>
      <c r="H167" s="1">
        <v>24204</v>
      </c>
      <c r="I167" s="1">
        <v>21578</v>
      </c>
      <c r="J167" s="2" t="s">
        <v>1139</v>
      </c>
      <c r="K167" s="2" t="s">
        <v>1140</v>
      </c>
      <c r="L167" s="2" t="s">
        <v>1141</v>
      </c>
      <c r="M167" s="1">
        <v>1304</v>
      </c>
      <c r="N167" s="1">
        <v>33995</v>
      </c>
      <c r="O167" s="2" t="s">
        <v>646</v>
      </c>
      <c r="P167" s="2" t="s">
        <v>434</v>
      </c>
      <c r="Q167" s="2" t="s">
        <v>215</v>
      </c>
      <c r="R167" s="2" t="s">
        <v>66</v>
      </c>
      <c r="S167" s="2" t="s">
        <v>96</v>
      </c>
      <c r="T167" s="1">
        <v>16321</v>
      </c>
      <c r="U167" s="2" t="s">
        <v>51</v>
      </c>
      <c r="V167" s="1">
        <v>2988</v>
      </c>
      <c r="W167" s="1">
        <v>2624</v>
      </c>
      <c r="X167" s="2" t="s">
        <v>111</v>
      </c>
      <c r="Y167" s="2" t="s">
        <v>245</v>
      </c>
      <c r="Z167" s="2" t="s">
        <v>435</v>
      </c>
      <c r="AA167" s="2" t="s">
        <v>1083</v>
      </c>
      <c r="AB167" s="1">
        <v>17674</v>
      </c>
      <c r="AC167" s="1">
        <v>10362</v>
      </c>
      <c r="AD167" s="1">
        <v>4351</v>
      </c>
      <c r="AE167" s="1">
        <v>1317</v>
      </c>
      <c r="AF167" s="1">
        <v>268</v>
      </c>
      <c r="AG167" s="1">
        <v>23</v>
      </c>
      <c r="AH167" s="1">
        <v>18029</v>
      </c>
      <c r="AI167" s="1">
        <v>174</v>
      </c>
      <c r="AJ167" s="1">
        <v>1286</v>
      </c>
      <c r="AK167" s="1">
        <v>3973</v>
      </c>
      <c r="AL167" s="1">
        <v>741</v>
      </c>
      <c r="AM167" s="1">
        <v>42</v>
      </c>
      <c r="AN167" s="2" t="s">
        <v>464</v>
      </c>
    </row>
    <row r="168" spans="1:40" x14ac:dyDescent="0.3">
      <c r="A168" s="1">
        <v>8528</v>
      </c>
      <c r="B168" s="2" t="s">
        <v>1142</v>
      </c>
      <c r="C168" s="2" t="s">
        <v>1143</v>
      </c>
      <c r="D168" s="1">
        <v>28</v>
      </c>
      <c r="E168" s="2" t="s">
        <v>1144</v>
      </c>
      <c r="F168" s="50" t="s">
        <v>76</v>
      </c>
      <c r="G168" s="2" t="s">
        <v>1145</v>
      </c>
      <c r="H168" s="1">
        <v>22601</v>
      </c>
      <c r="I168" s="1">
        <v>20378</v>
      </c>
      <c r="J168" s="2" t="s">
        <v>760</v>
      </c>
      <c r="K168" s="2">
        <v>80</v>
      </c>
      <c r="L168" s="2" t="s">
        <v>1146</v>
      </c>
      <c r="M168" s="1">
        <v>1184</v>
      </c>
      <c r="N168" s="1">
        <v>31223</v>
      </c>
      <c r="O168" s="2" t="s">
        <v>311</v>
      </c>
      <c r="P168" s="2" t="s">
        <v>235</v>
      </c>
      <c r="Q168" s="2" t="s">
        <v>276</v>
      </c>
      <c r="R168" s="2" t="s">
        <v>66</v>
      </c>
      <c r="S168" s="2" t="s">
        <v>66</v>
      </c>
      <c r="T168" s="1">
        <v>15178</v>
      </c>
      <c r="U168" s="2" t="s">
        <v>51</v>
      </c>
      <c r="V168" s="1">
        <v>3264</v>
      </c>
      <c r="W168" s="1">
        <v>3115</v>
      </c>
      <c r="X168" s="2" t="s">
        <v>304</v>
      </c>
      <c r="Y168" s="2" t="s">
        <v>449</v>
      </c>
      <c r="Z168" s="2" t="s">
        <v>932</v>
      </c>
      <c r="AA168" s="2" t="s">
        <v>408</v>
      </c>
      <c r="AB168" s="1">
        <v>16045</v>
      </c>
      <c r="AC168" s="1">
        <v>9574</v>
      </c>
      <c r="AD168" s="1">
        <v>4065</v>
      </c>
      <c r="AE168" s="1">
        <v>1279</v>
      </c>
      <c r="AF168" s="1">
        <v>240</v>
      </c>
      <c r="AG168" s="1">
        <v>20</v>
      </c>
      <c r="AH168" s="1">
        <v>16147</v>
      </c>
      <c r="AI168" s="1">
        <v>682</v>
      </c>
      <c r="AJ168" s="1">
        <v>1674</v>
      </c>
      <c r="AK168" s="1">
        <v>3702</v>
      </c>
      <c r="AL168" s="1">
        <v>336</v>
      </c>
      <c r="AM168" s="1">
        <v>102</v>
      </c>
      <c r="AN168" s="2" t="s">
        <v>464</v>
      </c>
    </row>
    <row r="169" spans="1:40" x14ac:dyDescent="0.3">
      <c r="A169" s="1">
        <v>13666</v>
      </c>
      <c r="B169" s="2" t="s">
        <v>1147</v>
      </c>
      <c r="C169" s="2" t="s">
        <v>1148</v>
      </c>
      <c r="D169" s="1">
        <v>20</v>
      </c>
      <c r="E169" s="2" t="s">
        <v>545</v>
      </c>
      <c r="F169" s="50" t="s">
        <v>197</v>
      </c>
      <c r="G169" s="2" t="s">
        <v>1149</v>
      </c>
      <c r="H169" s="1">
        <v>19311</v>
      </c>
      <c r="I169" s="1">
        <v>17799</v>
      </c>
      <c r="J169" s="2" t="s">
        <v>1150</v>
      </c>
      <c r="K169" s="2">
        <v>79</v>
      </c>
      <c r="L169" s="2" t="s">
        <v>949</v>
      </c>
      <c r="M169" s="1">
        <v>1000</v>
      </c>
      <c r="N169" s="1">
        <v>26548</v>
      </c>
      <c r="O169" s="2" t="s">
        <v>495</v>
      </c>
      <c r="P169" s="2" t="s">
        <v>202</v>
      </c>
      <c r="Q169" s="2" t="s">
        <v>225</v>
      </c>
      <c r="R169" s="2" t="s">
        <v>96</v>
      </c>
      <c r="S169" s="2" t="s">
        <v>50</v>
      </c>
      <c r="T169" s="1">
        <v>12730</v>
      </c>
      <c r="U169" s="2" t="s">
        <v>51</v>
      </c>
      <c r="V169" s="1">
        <v>3236</v>
      </c>
      <c r="W169" s="1">
        <v>3143</v>
      </c>
      <c r="X169" s="2" t="s">
        <v>412</v>
      </c>
      <c r="Y169" s="2" t="s">
        <v>277</v>
      </c>
      <c r="Z169" s="2" t="s">
        <v>554</v>
      </c>
      <c r="AA169" s="2" t="s">
        <v>113</v>
      </c>
      <c r="AB169" s="1">
        <v>13818</v>
      </c>
      <c r="AC169" s="1">
        <v>7876</v>
      </c>
      <c r="AD169" s="1">
        <v>3428</v>
      </c>
      <c r="AE169" s="1">
        <v>1150</v>
      </c>
      <c r="AF169" s="1">
        <v>251</v>
      </c>
      <c r="AG169" s="1">
        <v>25</v>
      </c>
      <c r="AH169" s="1">
        <v>14471</v>
      </c>
      <c r="AI169" s="1">
        <v>262</v>
      </c>
      <c r="AJ169" s="1">
        <v>1234</v>
      </c>
      <c r="AK169" s="1">
        <v>3065</v>
      </c>
      <c r="AL169" s="1">
        <v>271</v>
      </c>
      <c r="AM169" s="1">
        <v>56</v>
      </c>
      <c r="AN169" s="2" t="s">
        <v>370</v>
      </c>
    </row>
    <row r="170" spans="1:40" x14ac:dyDescent="0.3">
      <c r="A170" s="1">
        <v>7026</v>
      </c>
      <c r="B170" s="2" t="s">
        <v>1151</v>
      </c>
      <c r="C170" s="2" t="s">
        <v>1152</v>
      </c>
      <c r="D170" s="1">
        <v>27</v>
      </c>
      <c r="E170" s="2" t="s">
        <v>209</v>
      </c>
      <c r="F170" s="50" t="s">
        <v>3514</v>
      </c>
      <c r="G170" s="2" t="s">
        <v>1153</v>
      </c>
      <c r="H170" s="1">
        <v>17368</v>
      </c>
      <c r="I170" s="1">
        <v>15847</v>
      </c>
      <c r="J170" s="2" t="s">
        <v>1154</v>
      </c>
      <c r="K170" s="2" t="s">
        <v>1155</v>
      </c>
      <c r="L170" s="2" t="s">
        <v>390</v>
      </c>
      <c r="M170" s="1">
        <v>913</v>
      </c>
      <c r="N170" s="1">
        <v>23620</v>
      </c>
      <c r="O170" s="2" t="s">
        <v>283</v>
      </c>
      <c r="P170" s="2" t="s">
        <v>553</v>
      </c>
      <c r="Q170" s="2" t="s">
        <v>225</v>
      </c>
      <c r="R170" s="2" t="s">
        <v>67</v>
      </c>
      <c r="S170" s="2" t="s">
        <v>50</v>
      </c>
      <c r="T170" s="1">
        <v>11622</v>
      </c>
      <c r="U170" s="2" t="s">
        <v>51</v>
      </c>
      <c r="V170" s="1">
        <v>2398</v>
      </c>
      <c r="W170" s="1">
        <v>2263</v>
      </c>
      <c r="X170" s="2" t="s">
        <v>590</v>
      </c>
      <c r="Y170" s="2" t="s">
        <v>255</v>
      </c>
      <c r="Z170" s="2" t="s">
        <v>517</v>
      </c>
      <c r="AA170" s="2" t="s">
        <v>746</v>
      </c>
      <c r="AB170" s="1">
        <v>11998</v>
      </c>
      <c r="AC170" s="1">
        <v>7318</v>
      </c>
      <c r="AD170" s="1">
        <v>3083</v>
      </c>
      <c r="AE170" s="1">
        <v>1027</v>
      </c>
      <c r="AF170" s="1">
        <v>171</v>
      </c>
      <c r="AG170" s="1">
        <v>23</v>
      </c>
      <c r="AH170" s="1">
        <v>12857</v>
      </c>
      <c r="AI170" s="1">
        <v>633</v>
      </c>
      <c r="AJ170" s="1">
        <v>930</v>
      </c>
      <c r="AK170" s="1">
        <v>2814</v>
      </c>
      <c r="AL170" s="1">
        <v>141</v>
      </c>
      <c r="AM170" s="1">
        <v>28</v>
      </c>
      <c r="AN170" s="2" t="s">
        <v>464</v>
      </c>
    </row>
    <row r="171" spans="1:40" ht="28.2" x14ac:dyDescent="0.3">
      <c r="A171" s="1">
        <v>14419</v>
      </c>
      <c r="B171" s="2" t="s">
        <v>1156</v>
      </c>
      <c r="C171" s="2" t="s">
        <v>1157</v>
      </c>
      <c r="D171" s="1">
        <v>28</v>
      </c>
      <c r="E171" s="2" t="s">
        <v>196</v>
      </c>
      <c r="F171" s="50" t="s">
        <v>605</v>
      </c>
      <c r="G171" s="2" t="s">
        <v>1158</v>
      </c>
      <c r="H171" s="1">
        <v>17651</v>
      </c>
      <c r="I171" s="1">
        <v>16225</v>
      </c>
      <c r="J171" s="2" t="s">
        <v>1159</v>
      </c>
      <c r="K171" s="2" t="s">
        <v>1160</v>
      </c>
      <c r="L171" s="2" t="s">
        <v>201</v>
      </c>
      <c r="M171" s="1">
        <v>896</v>
      </c>
      <c r="N171" s="1">
        <v>23667</v>
      </c>
      <c r="O171" s="2" t="s">
        <v>180</v>
      </c>
      <c r="P171" s="2" t="s">
        <v>166</v>
      </c>
      <c r="Q171" s="2" t="s">
        <v>463</v>
      </c>
      <c r="R171" s="2" t="s">
        <v>67</v>
      </c>
      <c r="S171" s="2" t="s">
        <v>67</v>
      </c>
      <c r="T171" s="1">
        <v>11793</v>
      </c>
      <c r="U171" s="2" t="s">
        <v>51</v>
      </c>
      <c r="V171" s="1">
        <v>3107</v>
      </c>
      <c r="W171" s="1">
        <v>2708</v>
      </c>
      <c r="X171" s="2" t="s">
        <v>84</v>
      </c>
      <c r="Y171" s="2" t="s">
        <v>98</v>
      </c>
      <c r="Z171" s="2" t="s">
        <v>54</v>
      </c>
      <c r="AA171" s="2" t="s">
        <v>334</v>
      </c>
      <c r="AB171" s="1">
        <v>11874</v>
      </c>
      <c r="AC171" s="1">
        <v>7377</v>
      </c>
      <c r="AD171" s="1">
        <v>3211</v>
      </c>
      <c r="AE171" s="1">
        <v>987</v>
      </c>
      <c r="AF171" s="1">
        <v>199</v>
      </c>
      <c r="AG171" s="1">
        <v>19</v>
      </c>
      <c r="AH171" s="1">
        <v>13786</v>
      </c>
      <c r="AI171" s="1">
        <v>52</v>
      </c>
      <c r="AJ171" s="1">
        <v>855</v>
      </c>
      <c r="AK171" s="1">
        <v>2759</v>
      </c>
      <c r="AL171" s="1">
        <v>207</v>
      </c>
      <c r="AM171" s="1">
        <v>48</v>
      </c>
      <c r="AN171" s="2" t="s">
        <v>84</v>
      </c>
    </row>
    <row r="172" spans="1:40" x14ac:dyDescent="0.3">
      <c r="A172" s="1">
        <v>16080</v>
      </c>
      <c r="B172" s="2" t="s">
        <v>1161</v>
      </c>
      <c r="C172" s="2" t="s">
        <v>1162</v>
      </c>
      <c r="D172" s="1">
        <v>24</v>
      </c>
      <c r="E172" s="2" t="s">
        <v>327</v>
      </c>
      <c r="F172" s="50" t="s">
        <v>701</v>
      </c>
      <c r="G172" s="2" t="s">
        <v>1163</v>
      </c>
      <c r="H172" s="1">
        <v>15852</v>
      </c>
      <c r="I172" s="1">
        <v>14609</v>
      </c>
      <c r="J172" s="2" t="s">
        <v>1164</v>
      </c>
      <c r="K172" s="2" t="s">
        <v>574</v>
      </c>
      <c r="L172" s="2" t="s">
        <v>612</v>
      </c>
      <c r="M172" s="1">
        <v>813</v>
      </c>
      <c r="N172" s="1">
        <v>21781</v>
      </c>
      <c r="O172" s="2" t="s">
        <v>495</v>
      </c>
      <c r="P172" s="2" t="s">
        <v>235</v>
      </c>
      <c r="Q172" s="2" t="s">
        <v>225</v>
      </c>
      <c r="R172" s="2" t="s">
        <v>96</v>
      </c>
      <c r="S172" s="2" t="s">
        <v>96</v>
      </c>
      <c r="T172" s="1">
        <v>10475</v>
      </c>
      <c r="U172" s="2" t="s">
        <v>51</v>
      </c>
      <c r="V172" s="1">
        <v>2383</v>
      </c>
      <c r="W172" s="1">
        <v>2329</v>
      </c>
      <c r="X172" s="2" t="s">
        <v>449</v>
      </c>
      <c r="Y172" s="2" t="s">
        <v>407</v>
      </c>
      <c r="Z172" s="2" t="s">
        <v>1165</v>
      </c>
      <c r="AA172" s="2" t="s">
        <v>384</v>
      </c>
      <c r="AB172" s="1">
        <v>11306</v>
      </c>
      <c r="AC172" s="1">
        <v>6514</v>
      </c>
      <c r="AD172" s="1">
        <v>2789</v>
      </c>
      <c r="AE172" s="1">
        <v>954</v>
      </c>
      <c r="AF172" s="1">
        <v>192</v>
      </c>
      <c r="AG172" s="1">
        <v>26</v>
      </c>
      <c r="AH172" s="1">
        <v>11434</v>
      </c>
      <c r="AI172" s="1">
        <v>539</v>
      </c>
      <c r="AJ172" s="1">
        <v>861</v>
      </c>
      <c r="AK172" s="1">
        <v>2778</v>
      </c>
      <c r="AL172" s="1">
        <v>225</v>
      </c>
      <c r="AM172" s="1">
        <v>39</v>
      </c>
      <c r="AN172" s="2" t="s">
        <v>370</v>
      </c>
    </row>
    <row r="173" spans="1:40" x14ac:dyDescent="0.3">
      <c r="A173" s="1">
        <v>10504</v>
      </c>
      <c r="B173" s="2" t="s">
        <v>1166</v>
      </c>
      <c r="C173" s="2" t="s">
        <v>1167</v>
      </c>
      <c r="D173" s="1">
        <v>25</v>
      </c>
      <c r="E173" s="2" t="s">
        <v>1012</v>
      </c>
      <c r="F173" s="50" t="s">
        <v>1168</v>
      </c>
      <c r="G173" s="2" t="s">
        <v>1169</v>
      </c>
      <c r="H173" s="1">
        <v>9126</v>
      </c>
      <c r="I173" s="1">
        <v>8286</v>
      </c>
      <c r="J173" s="2" t="s">
        <v>760</v>
      </c>
      <c r="K173" s="2" t="s">
        <v>911</v>
      </c>
      <c r="L173" s="2" t="s">
        <v>1170</v>
      </c>
      <c r="M173" s="1">
        <v>489</v>
      </c>
      <c r="N173" s="1">
        <v>12550</v>
      </c>
      <c r="O173" s="2" t="s">
        <v>495</v>
      </c>
      <c r="P173" s="2" t="s">
        <v>235</v>
      </c>
      <c r="Q173" s="2" t="s">
        <v>322</v>
      </c>
      <c r="R173" s="2" t="s">
        <v>50</v>
      </c>
      <c r="S173" s="2" t="s">
        <v>67</v>
      </c>
      <c r="T173" s="1">
        <v>6144</v>
      </c>
      <c r="U173" s="2" t="s">
        <v>51</v>
      </c>
      <c r="V173" s="1">
        <v>1188</v>
      </c>
      <c r="W173" s="1">
        <v>1099</v>
      </c>
      <c r="X173" s="2" t="s">
        <v>277</v>
      </c>
      <c r="Y173" s="2" t="s">
        <v>285</v>
      </c>
      <c r="Z173" s="2" t="s">
        <v>932</v>
      </c>
      <c r="AA173" s="2" t="s">
        <v>1171</v>
      </c>
      <c r="AB173" s="1">
        <v>6406</v>
      </c>
      <c r="AC173" s="1">
        <v>3936</v>
      </c>
      <c r="AD173" s="1">
        <v>1562</v>
      </c>
      <c r="AE173" s="1">
        <v>529</v>
      </c>
      <c r="AF173" s="1">
        <v>106</v>
      </c>
      <c r="AG173" s="1">
        <v>11</v>
      </c>
      <c r="AH173" s="1">
        <v>6418</v>
      </c>
      <c r="AI173" s="1">
        <v>505</v>
      </c>
      <c r="AJ173" s="1">
        <v>397</v>
      </c>
      <c r="AK173" s="1">
        <v>1680</v>
      </c>
      <c r="AL173" s="1">
        <v>139</v>
      </c>
      <c r="AM173" s="1">
        <v>19</v>
      </c>
      <c r="AN173" s="2" t="s">
        <v>590</v>
      </c>
    </row>
    <row r="174" spans="1:40" x14ac:dyDescent="0.3">
      <c r="A174" s="1">
        <v>2023</v>
      </c>
      <c r="B174" s="2" t="s">
        <v>1172</v>
      </c>
      <c r="C174" s="2" t="s">
        <v>1173</v>
      </c>
      <c r="D174" s="1">
        <v>31</v>
      </c>
      <c r="E174" s="2" t="s">
        <v>104</v>
      </c>
      <c r="F174" s="50" t="s">
        <v>855</v>
      </c>
      <c r="G174" s="2" t="s">
        <v>856</v>
      </c>
      <c r="H174" s="1">
        <v>28701</v>
      </c>
      <c r="I174" s="1">
        <v>25025</v>
      </c>
      <c r="J174" s="2" t="s">
        <v>1067</v>
      </c>
      <c r="K174" s="2" t="s">
        <v>862</v>
      </c>
      <c r="L174" s="2" t="s">
        <v>462</v>
      </c>
      <c r="M174" s="1">
        <v>1583</v>
      </c>
      <c r="N174" s="1">
        <v>41454</v>
      </c>
      <c r="O174" s="2" t="s">
        <v>463</v>
      </c>
      <c r="P174" s="2" t="s">
        <v>67</v>
      </c>
      <c r="Q174" s="2" t="s">
        <v>134</v>
      </c>
      <c r="R174" s="2" t="s">
        <v>66</v>
      </c>
      <c r="S174" s="2" t="s">
        <v>66</v>
      </c>
      <c r="T174" s="1">
        <v>19590</v>
      </c>
      <c r="U174" s="2" t="s">
        <v>51</v>
      </c>
      <c r="V174" s="1">
        <v>4884</v>
      </c>
      <c r="W174" s="1">
        <v>3394</v>
      </c>
      <c r="X174" s="2" t="s">
        <v>1174</v>
      </c>
      <c r="Y174" s="2" t="s">
        <v>370</v>
      </c>
      <c r="Z174" s="2" t="s">
        <v>809</v>
      </c>
      <c r="AA174" s="2" t="s">
        <v>86</v>
      </c>
      <c r="AB174" s="1">
        <v>21864</v>
      </c>
      <c r="AC174" s="1">
        <v>12623</v>
      </c>
      <c r="AD174" s="1">
        <v>5154</v>
      </c>
      <c r="AE174" s="1">
        <v>1518</v>
      </c>
      <c r="AF174" s="1">
        <v>263</v>
      </c>
      <c r="AG174" s="1">
        <v>32</v>
      </c>
      <c r="AH174" s="1">
        <v>6574</v>
      </c>
      <c r="AI174" s="1">
        <v>15689</v>
      </c>
      <c r="AJ174" s="1">
        <v>1414</v>
      </c>
      <c r="AK174" s="1">
        <v>4540</v>
      </c>
      <c r="AL174" s="1">
        <v>357</v>
      </c>
      <c r="AM174" s="1">
        <v>194</v>
      </c>
      <c r="AN174" s="2" t="s">
        <v>590</v>
      </c>
    </row>
    <row r="175" spans="1:40" x14ac:dyDescent="0.3">
      <c r="A175" s="1">
        <v>9574</v>
      </c>
      <c r="B175" s="2" t="s">
        <v>1175</v>
      </c>
      <c r="C175" s="2" t="s">
        <v>1176</v>
      </c>
      <c r="D175" s="1">
        <v>24</v>
      </c>
      <c r="E175" s="2" t="s">
        <v>327</v>
      </c>
      <c r="F175" s="50" t="s">
        <v>3514</v>
      </c>
      <c r="G175" s="2" t="s">
        <v>1177</v>
      </c>
      <c r="H175" s="1">
        <v>30207</v>
      </c>
      <c r="I175" s="1">
        <v>27738</v>
      </c>
      <c r="J175" s="2" t="s">
        <v>938</v>
      </c>
      <c r="K175" s="2" t="s">
        <v>1089</v>
      </c>
      <c r="L175" s="2" t="s">
        <v>52</v>
      </c>
      <c r="M175" s="1">
        <v>1557</v>
      </c>
      <c r="N175" s="1">
        <v>41766</v>
      </c>
      <c r="O175" s="2" t="s">
        <v>311</v>
      </c>
      <c r="P175" s="2" t="s">
        <v>96</v>
      </c>
      <c r="Q175" s="2" t="s">
        <v>322</v>
      </c>
      <c r="R175" s="2" t="s">
        <v>66</v>
      </c>
      <c r="S175" s="2" t="s">
        <v>96</v>
      </c>
      <c r="T175" s="1">
        <v>19967</v>
      </c>
      <c r="U175" s="2" t="s">
        <v>51</v>
      </c>
      <c r="V175" s="1">
        <v>5450</v>
      </c>
      <c r="W175" s="1">
        <v>4320</v>
      </c>
      <c r="X175" s="2" t="s">
        <v>87</v>
      </c>
      <c r="Y175" s="2" t="s">
        <v>84</v>
      </c>
      <c r="Z175" s="2" t="s">
        <v>256</v>
      </c>
      <c r="AA175" s="2" t="s">
        <v>184</v>
      </c>
      <c r="AB175" s="1">
        <v>21799</v>
      </c>
      <c r="AC175" s="1">
        <v>12351</v>
      </c>
      <c r="AD175" s="1">
        <v>5464</v>
      </c>
      <c r="AE175" s="1">
        <v>1727</v>
      </c>
      <c r="AF175" s="1">
        <v>378</v>
      </c>
      <c r="AG175" s="1">
        <v>47</v>
      </c>
      <c r="AH175" s="1">
        <v>6210</v>
      </c>
      <c r="AI175" s="1">
        <v>17827</v>
      </c>
      <c r="AJ175" s="1">
        <v>1226</v>
      </c>
      <c r="AK175" s="1">
        <v>4710</v>
      </c>
      <c r="AL175" s="1">
        <v>192</v>
      </c>
      <c r="AM175" s="1">
        <v>98</v>
      </c>
      <c r="AN175" s="2" t="s">
        <v>590</v>
      </c>
    </row>
    <row r="176" spans="1:40" ht="28.2" x14ac:dyDescent="0.3">
      <c r="A176" s="1">
        <v>11739</v>
      </c>
      <c r="B176" s="2" t="s">
        <v>1178</v>
      </c>
      <c r="C176" s="2" t="s">
        <v>1179</v>
      </c>
      <c r="D176" s="1">
        <v>24</v>
      </c>
      <c r="E176" s="2" t="s">
        <v>104</v>
      </c>
      <c r="F176" s="50" t="s">
        <v>1180</v>
      </c>
      <c r="G176" s="2" t="s">
        <v>1181</v>
      </c>
      <c r="H176" s="1">
        <v>14978</v>
      </c>
      <c r="I176" s="1">
        <v>13532</v>
      </c>
      <c r="J176" s="2" t="s">
        <v>1182</v>
      </c>
      <c r="K176" s="2" t="s">
        <v>1183</v>
      </c>
      <c r="L176" s="2" t="s">
        <v>471</v>
      </c>
      <c r="M176" s="1">
        <v>805</v>
      </c>
      <c r="N176" s="1">
        <v>20891</v>
      </c>
      <c r="O176" s="2" t="s">
        <v>311</v>
      </c>
      <c r="P176" s="2" t="s">
        <v>202</v>
      </c>
      <c r="Q176" s="2" t="s">
        <v>276</v>
      </c>
      <c r="R176" s="2" t="s">
        <v>50</v>
      </c>
      <c r="S176" s="2" t="s">
        <v>67</v>
      </c>
      <c r="T176" s="1">
        <v>10049</v>
      </c>
      <c r="U176" s="2" t="s">
        <v>51</v>
      </c>
      <c r="V176" s="1">
        <v>1774</v>
      </c>
      <c r="W176" s="1">
        <v>1563</v>
      </c>
      <c r="X176" s="2" t="s">
        <v>98</v>
      </c>
      <c r="Y176" s="2" t="s">
        <v>503</v>
      </c>
      <c r="Z176" s="2" t="s">
        <v>583</v>
      </c>
      <c r="AA176" s="2" t="s">
        <v>978</v>
      </c>
      <c r="AB176" s="1">
        <v>10842</v>
      </c>
      <c r="AC176" s="1">
        <v>6352</v>
      </c>
      <c r="AD176" s="1">
        <v>2682</v>
      </c>
      <c r="AE176" s="1">
        <v>815</v>
      </c>
      <c r="AF176" s="1">
        <v>183</v>
      </c>
      <c r="AG176" s="1">
        <v>17</v>
      </c>
      <c r="AH176" s="1">
        <v>11209</v>
      </c>
      <c r="AI176" s="1">
        <v>101</v>
      </c>
      <c r="AJ176" s="1">
        <v>909</v>
      </c>
      <c r="AK176" s="1">
        <v>2598</v>
      </c>
      <c r="AL176" s="1">
        <v>166</v>
      </c>
      <c r="AM176" s="1">
        <v>32</v>
      </c>
      <c r="AN176" s="2" t="s">
        <v>561</v>
      </c>
    </row>
    <row r="177" spans="1:40" ht="28.2" x14ac:dyDescent="0.3">
      <c r="A177" s="1">
        <v>10566</v>
      </c>
      <c r="B177" s="2" t="s">
        <v>1184</v>
      </c>
      <c r="C177" s="2" t="s">
        <v>1185</v>
      </c>
      <c r="D177" s="1">
        <v>24</v>
      </c>
      <c r="E177" s="2" t="s">
        <v>104</v>
      </c>
      <c r="F177" s="50" t="s">
        <v>866</v>
      </c>
      <c r="G177" s="2" t="s">
        <v>1186</v>
      </c>
      <c r="H177" s="1">
        <v>16972</v>
      </c>
      <c r="I177" s="1">
        <v>15532</v>
      </c>
      <c r="J177" s="2" t="s">
        <v>1187</v>
      </c>
      <c r="K177" s="2">
        <v>78</v>
      </c>
      <c r="L177" s="2" t="s">
        <v>46</v>
      </c>
      <c r="M177" s="1">
        <v>915</v>
      </c>
      <c r="N177" s="1">
        <v>23714</v>
      </c>
      <c r="O177" s="2" t="s">
        <v>311</v>
      </c>
      <c r="P177" s="2" t="s">
        <v>202</v>
      </c>
      <c r="Q177" s="2" t="s">
        <v>276</v>
      </c>
      <c r="R177" s="2" t="s">
        <v>50</v>
      </c>
      <c r="S177" s="2" t="s">
        <v>50</v>
      </c>
      <c r="T177" s="1">
        <v>11250</v>
      </c>
      <c r="U177" s="2" t="s">
        <v>51</v>
      </c>
      <c r="V177" s="1">
        <v>2759</v>
      </c>
      <c r="W177" s="1">
        <v>2609</v>
      </c>
      <c r="X177" s="2" t="s">
        <v>590</v>
      </c>
      <c r="Y177" s="2" t="s">
        <v>464</v>
      </c>
      <c r="Z177" s="2" t="s">
        <v>838</v>
      </c>
      <c r="AA177" s="2" t="s">
        <v>882</v>
      </c>
      <c r="AB177" s="1">
        <v>12464</v>
      </c>
      <c r="AC177" s="1">
        <v>7032</v>
      </c>
      <c r="AD177" s="1">
        <v>2983</v>
      </c>
      <c r="AE177" s="1">
        <v>997</v>
      </c>
      <c r="AF177" s="1">
        <v>207</v>
      </c>
      <c r="AG177" s="1">
        <v>31</v>
      </c>
      <c r="AH177" s="1">
        <v>12509</v>
      </c>
      <c r="AI177" s="1">
        <v>536</v>
      </c>
      <c r="AJ177" s="1">
        <v>751</v>
      </c>
      <c r="AK177" s="1">
        <v>2970</v>
      </c>
      <c r="AL177" s="1">
        <v>196</v>
      </c>
      <c r="AM177" s="1">
        <v>61</v>
      </c>
      <c r="AN177" s="2" t="s">
        <v>590</v>
      </c>
    </row>
    <row r="178" spans="1:40" x14ac:dyDescent="0.3">
      <c r="A178" s="1">
        <v>16817</v>
      </c>
      <c r="B178" s="2" t="s">
        <v>1188</v>
      </c>
      <c r="C178" s="2" t="s">
        <v>1189</v>
      </c>
      <c r="D178" s="1">
        <v>21</v>
      </c>
      <c r="E178" s="2" t="s">
        <v>104</v>
      </c>
      <c r="F178" s="50" t="s">
        <v>662</v>
      </c>
      <c r="G178" s="2" t="s">
        <v>1190</v>
      </c>
      <c r="H178" s="1">
        <v>12915</v>
      </c>
      <c r="I178" s="1">
        <v>11407</v>
      </c>
      <c r="J178" s="2" t="s">
        <v>388</v>
      </c>
      <c r="K178" s="2" t="s">
        <v>776</v>
      </c>
      <c r="L178" s="2" t="s">
        <v>164</v>
      </c>
      <c r="M178" s="1">
        <v>702</v>
      </c>
      <c r="N178" s="1">
        <v>18441</v>
      </c>
      <c r="O178" s="2" t="s">
        <v>905</v>
      </c>
      <c r="P178" s="2" t="s">
        <v>48</v>
      </c>
      <c r="Q178" s="2" t="s">
        <v>144</v>
      </c>
      <c r="R178" s="2" t="s">
        <v>50</v>
      </c>
      <c r="S178" s="2" t="s">
        <v>50</v>
      </c>
      <c r="T178" s="1">
        <v>8787</v>
      </c>
      <c r="U178" s="2" t="s">
        <v>51</v>
      </c>
      <c r="V178" s="1">
        <v>1676</v>
      </c>
      <c r="W178" s="1">
        <v>1495</v>
      </c>
      <c r="X178" s="2" t="s">
        <v>370</v>
      </c>
      <c r="Y178" s="2" t="s">
        <v>285</v>
      </c>
      <c r="Z178" s="2" t="s">
        <v>296</v>
      </c>
      <c r="AA178" s="2" t="s">
        <v>518</v>
      </c>
      <c r="AB178" s="1">
        <v>9654</v>
      </c>
      <c r="AC178" s="1">
        <v>5630</v>
      </c>
      <c r="AD178" s="1">
        <v>2368</v>
      </c>
      <c r="AE178" s="1">
        <v>630</v>
      </c>
      <c r="AF178" s="1">
        <v>136</v>
      </c>
      <c r="AG178" s="1">
        <v>23</v>
      </c>
      <c r="AH178" s="1">
        <v>8438</v>
      </c>
      <c r="AI178" s="1">
        <v>1139</v>
      </c>
      <c r="AJ178" s="1">
        <v>1047</v>
      </c>
      <c r="AK178" s="1">
        <v>2043</v>
      </c>
      <c r="AL178" s="1">
        <v>180</v>
      </c>
      <c r="AM178" s="1">
        <v>115</v>
      </c>
      <c r="AN178" s="2" t="s">
        <v>362</v>
      </c>
    </row>
    <row r="179" spans="1:40" x14ac:dyDescent="0.3">
      <c r="A179" s="1">
        <v>20101</v>
      </c>
      <c r="B179" s="2" t="s">
        <v>1191</v>
      </c>
      <c r="C179" s="2" t="s">
        <v>1192</v>
      </c>
      <c r="D179" s="1">
        <v>19</v>
      </c>
      <c r="E179" s="2" t="s">
        <v>75</v>
      </c>
      <c r="F179" s="50" t="s">
        <v>308</v>
      </c>
      <c r="G179" s="2" t="s">
        <v>1193</v>
      </c>
      <c r="H179" s="1">
        <v>10046</v>
      </c>
      <c r="I179" s="1">
        <v>9168</v>
      </c>
      <c r="J179" s="2" t="s">
        <v>1194</v>
      </c>
      <c r="K179" s="2" t="s">
        <v>1195</v>
      </c>
      <c r="L179" s="2" t="s">
        <v>541</v>
      </c>
      <c r="M179" s="1">
        <v>518</v>
      </c>
      <c r="N179" s="1">
        <v>13818</v>
      </c>
      <c r="O179" s="2" t="s">
        <v>495</v>
      </c>
      <c r="P179" s="2" t="s">
        <v>67</v>
      </c>
      <c r="Q179" s="2" t="s">
        <v>322</v>
      </c>
      <c r="R179" s="2" t="s">
        <v>96</v>
      </c>
      <c r="S179" s="2" t="s">
        <v>67</v>
      </c>
      <c r="T179" s="1">
        <v>6697</v>
      </c>
      <c r="U179" s="2" t="s">
        <v>51</v>
      </c>
      <c r="V179" s="1">
        <v>1628</v>
      </c>
      <c r="W179" s="1">
        <v>1473</v>
      </c>
      <c r="X179" s="2" t="s">
        <v>362</v>
      </c>
      <c r="Y179" s="2" t="s">
        <v>277</v>
      </c>
      <c r="Z179" s="2" t="s">
        <v>932</v>
      </c>
      <c r="AA179" s="2" t="s">
        <v>994</v>
      </c>
      <c r="AB179" s="1">
        <v>7121</v>
      </c>
      <c r="AC179" s="1">
        <v>4168</v>
      </c>
      <c r="AD179" s="1">
        <v>1842</v>
      </c>
      <c r="AE179" s="1">
        <v>566</v>
      </c>
      <c r="AF179" s="1">
        <v>109</v>
      </c>
      <c r="AG179" s="1">
        <v>12</v>
      </c>
      <c r="AH179" s="1">
        <v>7741</v>
      </c>
      <c r="AI179" s="1">
        <v>233</v>
      </c>
      <c r="AJ179" s="1">
        <v>302</v>
      </c>
      <c r="AK179" s="1">
        <v>1670</v>
      </c>
      <c r="AL179" s="1">
        <v>104</v>
      </c>
      <c r="AM179" s="1">
        <v>33</v>
      </c>
      <c r="AN179" s="2" t="s">
        <v>362</v>
      </c>
    </row>
    <row r="180" spans="1:40" ht="28.2" x14ac:dyDescent="0.3">
      <c r="A180" s="1">
        <v>8767</v>
      </c>
      <c r="B180" s="2" t="s">
        <v>1196</v>
      </c>
      <c r="C180" s="2" t="s">
        <v>1197</v>
      </c>
      <c r="D180" s="1">
        <v>29</v>
      </c>
      <c r="E180" s="2" t="s">
        <v>150</v>
      </c>
      <c r="F180" s="50" t="s">
        <v>3514</v>
      </c>
      <c r="G180" s="2" t="s">
        <v>1198</v>
      </c>
      <c r="H180" s="1">
        <v>15793</v>
      </c>
      <c r="I180" s="1">
        <v>14413</v>
      </c>
      <c r="J180" s="2" t="s">
        <v>954</v>
      </c>
      <c r="K180" s="2" t="s">
        <v>911</v>
      </c>
      <c r="L180" s="2" t="s">
        <v>658</v>
      </c>
      <c r="M180" s="1">
        <v>852</v>
      </c>
      <c r="N180" s="1">
        <v>21778</v>
      </c>
      <c r="O180" s="2" t="s">
        <v>495</v>
      </c>
      <c r="P180" s="2" t="s">
        <v>166</v>
      </c>
      <c r="Q180" s="2" t="s">
        <v>322</v>
      </c>
      <c r="R180" s="2" t="s">
        <v>50</v>
      </c>
      <c r="S180" s="2" t="s">
        <v>50</v>
      </c>
      <c r="T180" s="1">
        <v>10534</v>
      </c>
      <c r="U180" s="2" t="s">
        <v>51</v>
      </c>
      <c r="V180" s="1">
        <v>2149</v>
      </c>
      <c r="W180" s="1">
        <v>1929</v>
      </c>
      <c r="X180" s="2" t="s">
        <v>362</v>
      </c>
      <c r="Y180" s="2" t="s">
        <v>255</v>
      </c>
      <c r="Z180" s="2" t="s">
        <v>246</v>
      </c>
      <c r="AA180" s="2" t="s">
        <v>746</v>
      </c>
      <c r="AB180" s="1">
        <v>11244</v>
      </c>
      <c r="AC180" s="1">
        <v>6585</v>
      </c>
      <c r="AD180" s="1">
        <v>2857</v>
      </c>
      <c r="AE180" s="1">
        <v>890</v>
      </c>
      <c r="AF180" s="1">
        <v>187</v>
      </c>
      <c r="AG180" s="1">
        <v>15</v>
      </c>
      <c r="AH180" s="1">
        <v>11852</v>
      </c>
      <c r="AI180" s="1">
        <v>85</v>
      </c>
      <c r="AJ180" s="1">
        <v>1040</v>
      </c>
      <c r="AK180" s="1">
        <v>2564</v>
      </c>
      <c r="AL180" s="1">
        <v>255</v>
      </c>
      <c r="AM180" s="1">
        <v>8</v>
      </c>
      <c r="AN180" s="2" t="s">
        <v>590</v>
      </c>
    </row>
    <row r="181" spans="1:40" x14ac:dyDescent="0.3">
      <c r="A181" s="1">
        <v>9317</v>
      </c>
      <c r="B181" s="2" t="s">
        <v>1199</v>
      </c>
      <c r="C181" s="2" t="s">
        <v>1200</v>
      </c>
      <c r="D181" s="1">
        <v>27</v>
      </c>
      <c r="E181" s="2" t="s">
        <v>196</v>
      </c>
      <c r="F181" s="50" t="s">
        <v>3514</v>
      </c>
      <c r="G181" s="2" t="s">
        <v>1201</v>
      </c>
      <c r="H181" s="1">
        <v>7530</v>
      </c>
      <c r="I181" s="1">
        <v>6767</v>
      </c>
      <c r="J181" s="2" t="s">
        <v>968</v>
      </c>
      <c r="K181" s="2" t="s">
        <v>877</v>
      </c>
      <c r="L181" s="2" t="s">
        <v>331</v>
      </c>
      <c r="M181" s="1">
        <v>403</v>
      </c>
      <c r="N181" s="1">
        <v>10503</v>
      </c>
      <c r="O181" s="2" t="s">
        <v>311</v>
      </c>
      <c r="P181" s="2" t="s">
        <v>48</v>
      </c>
      <c r="Q181" s="2" t="s">
        <v>65</v>
      </c>
      <c r="R181" s="2" t="s">
        <v>96</v>
      </c>
      <c r="S181" s="2" t="s">
        <v>48</v>
      </c>
      <c r="T181" s="1">
        <v>5099</v>
      </c>
      <c r="U181" s="2" t="s">
        <v>51</v>
      </c>
      <c r="V181" s="1">
        <v>1069</v>
      </c>
      <c r="W181" s="1">
        <v>909</v>
      </c>
      <c r="X181" s="2" t="s">
        <v>169</v>
      </c>
      <c r="Y181" s="2" t="s">
        <v>412</v>
      </c>
      <c r="Z181" s="2" t="s">
        <v>137</v>
      </c>
      <c r="AA181" s="2" t="s">
        <v>560</v>
      </c>
      <c r="AB181" s="1">
        <v>5404</v>
      </c>
      <c r="AC181" s="1">
        <v>3259</v>
      </c>
      <c r="AD181" s="1">
        <v>1355</v>
      </c>
      <c r="AE181" s="1">
        <v>391</v>
      </c>
      <c r="AF181" s="1">
        <v>82</v>
      </c>
      <c r="AG181" s="1">
        <v>12</v>
      </c>
      <c r="AH181" s="1">
        <v>5433</v>
      </c>
      <c r="AI181" s="1">
        <v>404</v>
      </c>
      <c r="AJ181" s="1">
        <v>238</v>
      </c>
      <c r="AK181" s="1">
        <v>1358</v>
      </c>
      <c r="AL181" s="1">
        <v>98</v>
      </c>
      <c r="AM181" s="1">
        <v>10</v>
      </c>
      <c r="AN181" s="2" t="s">
        <v>590</v>
      </c>
    </row>
    <row r="182" spans="1:40" x14ac:dyDescent="0.3">
      <c r="A182" s="1">
        <v>10671</v>
      </c>
      <c r="B182" s="2" t="s">
        <v>1202</v>
      </c>
      <c r="C182" s="2" t="s">
        <v>1203</v>
      </c>
      <c r="D182" s="1">
        <v>22</v>
      </c>
      <c r="E182" s="2" t="s">
        <v>459</v>
      </c>
      <c r="F182" s="50" t="s">
        <v>3514</v>
      </c>
      <c r="G182" s="2" t="s">
        <v>1204</v>
      </c>
      <c r="H182" s="1">
        <v>18853</v>
      </c>
      <c r="I182" s="1">
        <v>17365</v>
      </c>
      <c r="J182" s="2" t="s">
        <v>252</v>
      </c>
      <c r="K182" s="2" t="s">
        <v>634</v>
      </c>
      <c r="L182" s="2" t="s">
        <v>201</v>
      </c>
      <c r="M182" s="1">
        <v>986</v>
      </c>
      <c r="N182" s="1">
        <v>25998</v>
      </c>
      <c r="O182" s="2" t="s">
        <v>495</v>
      </c>
      <c r="P182" s="2" t="s">
        <v>166</v>
      </c>
      <c r="Q182" s="2" t="s">
        <v>225</v>
      </c>
      <c r="R182" s="2" t="s">
        <v>67</v>
      </c>
      <c r="S182" s="2" t="s">
        <v>67</v>
      </c>
      <c r="T182" s="1">
        <v>12529</v>
      </c>
      <c r="U182" s="2" t="s">
        <v>51</v>
      </c>
      <c r="V182" s="1">
        <v>3084</v>
      </c>
      <c r="W182" s="1">
        <v>2859</v>
      </c>
      <c r="X182" s="2" t="s">
        <v>277</v>
      </c>
      <c r="Y182" s="2" t="s">
        <v>277</v>
      </c>
      <c r="Z182" s="2" t="s">
        <v>1165</v>
      </c>
      <c r="AA182" s="2" t="s">
        <v>697</v>
      </c>
      <c r="AB182" s="1">
        <v>13469</v>
      </c>
      <c r="AC182" s="1">
        <v>7867</v>
      </c>
      <c r="AD182" s="1">
        <v>3299</v>
      </c>
      <c r="AE182" s="1">
        <v>1094</v>
      </c>
      <c r="AF182" s="1">
        <v>239</v>
      </c>
      <c r="AG182" s="1">
        <v>30</v>
      </c>
      <c r="AH182" s="1">
        <v>14005</v>
      </c>
      <c r="AI182" s="1">
        <v>345</v>
      </c>
      <c r="AJ182" s="1">
        <v>1115</v>
      </c>
      <c r="AK182" s="1">
        <v>3216</v>
      </c>
      <c r="AL182" s="1">
        <v>183</v>
      </c>
      <c r="AM182" s="1">
        <v>38</v>
      </c>
      <c r="AN182" s="2" t="s">
        <v>111</v>
      </c>
    </row>
    <row r="183" spans="1:40" x14ac:dyDescent="0.3">
      <c r="A183" s="1">
        <v>16693</v>
      </c>
      <c r="B183" s="2" t="s">
        <v>1205</v>
      </c>
      <c r="C183" s="2" t="s">
        <v>1206</v>
      </c>
      <c r="D183" s="1">
        <v>19</v>
      </c>
      <c r="E183" s="2" t="s">
        <v>700</v>
      </c>
      <c r="F183" s="50" t="s">
        <v>130</v>
      </c>
      <c r="G183" s="2" t="s">
        <v>1207</v>
      </c>
      <c r="H183" s="1">
        <v>7461</v>
      </c>
      <c r="I183" s="1">
        <v>6945</v>
      </c>
      <c r="J183" s="2" t="s">
        <v>1208</v>
      </c>
      <c r="K183" s="2" t="s">
        <v>1209</v>
      </c>
      <c r="L183" s="2">
        <v>6</v>
      </c>
      <c r="M183" s="1">
        <v>387</v>
      </c>
      <c r="N183" s="1">
        <v>10352</v>
      </c>
      <c r="O183" s="2" t="s">
        <v>311</v>
      </c>
      <c r="P183" s="2" t="s">
        <v>235</v>
      </c>
      <c r="Q183" s="2" t="s">
        <v>225</v>
      </c>
      <c r="R183" s="2" t="s">
        <v>67</v>
      </c>
      <c r="S183" s="2" t="s">
        <v>67</v>
      </c>
      <c r="T183" s="1">
        <v>4913</v>
      </c>
      <c r="U183" s="2" t="s">
        <v>51</v>
      </c>
      <c r="V183" s="1">
        <v>1216</v>
      </c>
      <c r="W183" s="1">
        <v>1285</v>
      </c>
      <c r="X183" s="2" t="s">
        <v>820</v>
      </c>
      <c r="Y183" s="2" t="s">
        <v>304</v>
      </c>
      <c r="Z183" s="2" t="s">
        <v>391</v>
      </c>
      <c r="AA183" s="2" t="s">
        <v>994</v>
      </c>
      <c r="AB183" s="1">
        <v>5439</v>
      </c>
      <c r="AC183" s="1">
        <v>3070</v>
      </c>
      <c r="AD183" s="1">
        <v>1282</v>
      </c>
      <c r="AE183" s="1">
        <v>433</v>
      </c>
      <c r="AF183" s="1">
        <v>112</v>
      </c>
      <c r="AG183" s="1">
        <v>16</v>
      </c>
      <c r="AH183" s="1">
        <v>5493</v>
      </c>
      <c r="AI183" s="1">
        <v>83</v>
      </c>
      <c r="AJ183" s="1">
        <v>466</v>
      </c>
      <c r="AK183" s="1">
        <v>1294</v>
      </c>
      <c r="AL183" s="1">
        <v>126</v>
      </c>
      <c r="AM183" s="1">
        <v>20</v>
      </c>
      <c r="AN183" s="2" t="s">
        <v>370</v>
      </c>
    </row>
    <row r="184" spans="1:40" ht="28.2" x14ac:dyDescent="0.3">
      <c r="A184" s="1">
        <v>18987</v>
      </c>
      <c r="B184" s="2" t="s">
        <v>1210</v>
      </c>
      <c r="C184" s="2" t="s">
        <v>1211</v>
      </c>
      <c r="D184" s="1">
        <v>19</v>
      </c>
      <c r="E184" s="2" t="s">
        <v>59</v>
      </c>
      <c r="F184" s="50" t="s">
        <v>60</v>
      </c>
      <c r="G184" s="2" t="s">
        <v>1212</v>
      </c>
      <c r="H184" s="1">
        <v>8581</v>
      </c>
      <c r="I184" s="1">
        <v>7696</v>
      </c>
      <c r="J184" s="2" t="s">
        <v>1213</v>
      </c>
      <c r="K184" s="2" t="s">
        <v>588</v>
      </c>
      <c r="L184" s="2" t="s">
        <v>1170</v>
      </c>
      <c r="M184" s="1">
        <v>459</v>
      </c>
      <c r="N184" s="1">
        <v>12180</v>
      </c>
      <c r="O184" s="2" t="s">
        <v>905</v>
      </c>
      <c r="P184" s="2" t="s">
        <v>67</v>
      </c>
      <c r="Q184" s="2" t="s">
        <v>215</v>
      </c>
      <c r="R184" s="2" t="s">
        <v>96</v>
      </c>
      <c r="S184" s="2" t="s">
        <v>50</v>
      </c>
      <c r="T184" s="1">
        <v>5775</v>
      </c>
      <c r="U184" s="2" t="s">
        <v>51</v>
      </c>
      <c r="V184" s="1">
        <v>1447</v>
      </c>
      <c r="W184" s="1">
        <v>1257</v>
      </c>
      <c r="X184" s="2" t="s">
        <v>84</v>
      </c>
      <c r="Y184" s="2" t="s">
        <v>295</v>
      </c>
      <c r="Z184" s="2" t="s">
        <v>1214</v>
      </c>
      <c r="AA184" s="2" t="s">
        <v>994</v>
      </c>
      <c r="AB184" s="1">
        <v>6405</v>
      </c>
      <c r="AC184" s="1">
        <v>3653</v>
      </c>
      <c r="AD184" s="1">
        <v>1564</v>
      </c>
      <c r="AE184" s="1">
        <v>444</v>
      </c>
      <c r="AF184" s="1">
        <v>102</v>
      </c>
      <c r="AG184" s="1">
        <v>12</v>
      </c>
      <c r="AH184" s="1">
        <v>6519</v>
      </c>
      <c r="AI184" s="1">
        <v>202</v>
      </c>
      <c r="AJ184" s="1">
        <v>334</v>
      </c>
      <c r="AK184" s="1">
        <v>1443</v>
      </c>
      <c r="AL184" s="1">
        <v>82</v>
      </c>
      <c r="AM184" s="1">
        <v>33</v>
      </c>
      <c r="AN184" s="2" t="s">
        <v>370</v>
      </c>
    </row>
    <row r="185" spans="1:40" x14ac:dyDescent="0.3">
      <c r="A185" s="1">
        <v>8601</v>
      </c>
      <c r="B185" s="2" t="s">
        <v>1215</v>
      </c>
      <c r="C185" s="2" t="s">
        <v>1216</v>
      </c>
      <c r="D185" s="1">
        <v>28</v>
      </c>
      <c r="E185" s="2" t="s">
        <v>209</v>
      </c>
      <c r="F185" s="50" t="s">
        <v>358</v>
      </c>
      <c r="G185" s="2" t="s">
        <v>1217</v>
      </c>
      <c r="H185" s="1">
        <v>23611</v>
      </c>
      <c r="I185" s="1">
        <v>22147</v>
      </c>
      <c r="J185" s="2" t="s">
        <v>1218</v>
      </c>
      <c r="K185" s="2" t="s">
        <v>1219</v>
      </c>
      <c r="L185" s="2" t="s">
        <v>331</v>
      </c>
      <c r="M185" s="1">
        <v>1228</v>
      </c>
      <c r="N185" s="1">
        <v>31394</v>
      </c>
      <c r="O185" s="2" t="s">
        <v>180</v>
      </c>
      <c r="P185" s="2" t="s">
        <v>434</v>
      </c>
      <c r="Q185" s="2" t="s">
        <v>646</v>
      </c>
      <c r="R185" s="2" t="s">
        <v>48</v>
      </c>
      <c r="S185" s="2" t="s">
        <v>50</v>
      </c>
      <c r="T185" s="1">
        <v>15584</v>
      </c>
      <c r="U185" s="2" t="s">
        <v>51</v>
      </c>
      <c r="V185" s="1">
        <v>4498</v>
      </c>
      <c r="W185" s="1">
        <v>4323</v>
      </c>
      <c r="X185" s="2" t="s">
        <v>407</v>
      </c>
      <c r="Y185" s="2" t="s">
        <v>84</v>
      </c>
      <c r="Z185" s="2" t="s">
        <v>170</v>
      </c>
      <c r="AA185" s="2" t="s">
        <v>1220</v>
      </c>
      <c r="AB185" s="1">
        <v>15810</v>
      </c>
      <c r="AC185" s="1">
        <v>9602</v>
      </c>
      <c r="AD185" s="1">
        <v>4279</v>
      </c>
      <c r="AE185" s="1">
        <v>1389</v>
      </c>
      <c r="AF185" s="1">
        <v>287</v>
      </c>
      <c r="AG185" s="1">
        <v>27</v>
      </c>
      <c r="AH185" s="1">
        <v>18306</v>
      </c>
      <c r="AI185" s="1">
        <v>74</v>
      </c>
      <c r="AJ185" s="1">
        <v>1123</v>
      </c>
      <c r="AK185" s="1">
        <v>3852</v>
      </c>
      <c r="AL185" s="1">
        <v>273</v>
      </c>
      <c r="AM185" s="1">
        <v>32</v>
      </c>
      <c r="AN185" s="2" t="s">
        <v>590</v>
      </c>
    </row>
    <row r="186" spans="1:40" x14ac:dyDescent="0.3">
      <c r="A186" s="1">
        <v>11343</v>
      </c>
      <c r="B186" s="2" t="s">
        <v>1221</v>
      </c>
      <c r="C186" s="2" t="s">
        <v>1222</v>
      </c>
      <c r="D186" s="1">
        <v>21</v>
      </c>
      <c r="E186" s="2" t="s">
        <v>467</v>
      </c>
      <c r="F186" s="50" t="s">
        <v>468</v>
      </c>
      <c r="G186" s="2" t="s">
        <v>1223</v>
      </c>
      <c r="H186" s="1">
        <v>33417</v>
      </c>
      <c r="I186" s="1">
        <v>31190</v>
      </c>
      <c r="J186" s="2" t="s">
        <v>1224</v>
      </c>
      <c r="K186" s="2" t="s">
        <v>686</v>
      </c>
      <c r="L186" s="2" t="s">
        <v>589</v>
      </c>
      <c r="M186" s="1">
        <v>1695</v>
      </c>
      <c r="N186" s="1">
        <v>45194</v>
      </c>
      <c r="O186" s="2" t="s">
        <v>283</v>
      </c>
      <c r="P186" s="2" t="s">
        <v>202</v>
      </c>
      <c r="Q186" s="2" t="s">
        <v>463</v>
      </c>
      <c r="R186" s="2" t="s">
        <v>50</v>
      </c>
      <c r="S186" s="2" t="s">
        <v>50</v>
      </c>
      <c r="T186" s="1">
        <v>22125</v>
      </c>
      <c r="U186" s="2" t="s">
        <v>51</v>
      </c>
      <c r="V186" s="1">
        <v>5117</v>
      </c>
      <c r="W186" s="1">
        <v>4703</v>
      </c>
      <c r="X186" s="2" t="s">
        <v>295</v>
      </c>
      <c r="Y186" s="2" t="s">
        <v>590</v>
      </c>
      <c r="Z186" s="2" t="s">
        <v>237</v>
      </c>
      <c r="AA186" s="2" t="s">
        <v>267</v>
      </c>
      <c r="AB186" s="1">
        <v>23069</v>
      </c>
      <c r="AC186" s="1">
        <v>13777</v>
      </c>
      <c r="AD186" s="1">
        <v>5965</v>
      </c>
      <c r="AE186" s="1">
        <v>1873</v>
      </c>
      <c r="AF186" s="1">
        <v>459</v>
      </c>
      <c r="AG186" s="1">
        <v>51</v>
      </c>
      <c r="AH186" s="1">
        <v>22023</v>
      </c>
      <c r="AI186" s="1">
        <v>3034</v>
      </c>
      <c r="AJ186" s="1">
        <v>1960</v>
      </c>
      <c r="AK186" s="1">
        <v>5613</v>
      </c>
      <c r="AL186" s="1">
        <v>332</v>
      </c>
      <c r="AM186" s="1">
        <v>531</v>
      </c>
      <c r="AN186" s="2" t="s">
        <v>362</v>
      </c>
    </row>
    <row r="187" spans="1:40" ht="28.2" x14ac:dyDescent="0.3">
      <c r="A187" s="1">
        <v>7429</v>
      </c>
      <c r="B187" s="2" t="s">
        <v>1225</v>
      </c>
      <c r="C187" s="2" t="s">
        <v>1226</v>
      </c>
      <c r="D187" s="1">
        <v>30</v>
      </c>
      <c r="E187" s="2" t="s">
        <v>42</v>
      </c>
      <c r="F187" s="50" t="s">
        <v>3514</v>
      </c>
      <c r="G187" s="2" t="s">
        <v>1227</v>
      </c>
      <c r="H187" s="1">
        <v>28022</v>
      </c>
      <c r="I187" s="1">
        <v>25277</v>
      </c>
      <c r="J187" s="2" t="s">
        <v>45</v>
      </c>
      <c r="K187" s="2" t="s">
        <v>960</v>
      </c>
      <c r="L187" s="2" t="s">
        <v>179</v>
      </c>
      <c r="M187" s="1">
        <v>1464</v>
      </c>
      <c r="N187" s="1">
        <v>37933</v>
      </c>
      <c r="O187" s="2" t="s">
        <v>283</v>
      </c>
      <c r="P187" s="2" t="s">
        <v>48</v>
      </c>
      <c r="Q187" s="2" t="s">
        <v>225</v>
      </c>
      <c r="R187" s="2" t="s">
        <v>1228</v>
      </c>
      <c r="S187" s="2" t="s">
        <v>135</v>
      </c>
      <c r="T187" s="1">
        <v>19093</v>
      </c>
      <c r="U187" s="2" t="s">
        <v>51</v>
      </c>
      <c r="V187" s="1">
        <v>3392</v>
      </c>
      <c r="W187" s="1">
        <v>2451</v>
      </c>
      <c r="X187" s="2" t="s">
        <v>1229</v>
      </c>
      <c r="Y187" s="2" t="s">
        <v>255</v>
      </c>
      <c r="Z187" s="2" t="s">
        <v>1230</v>
      </c>
      <c r="AA187" s="2" t="s">
        <v>888</v>
      </c>
      <c r="AB187" s="1">
        <v>18840</v>
      </c>
      <c r="AC187" s="1">
        <v>12242</v>
      </c>
      <c r="AD187" s="1">
        <v>5129</v>
      </c>
      <c r="AE187" s="1">
        <v>1444</v>
      </c>
      <c r="AF187" s="1">
        <v>254</v>
      </c>
      <c r="AG187" s="1">
        <v>24</v>
      </c>
      <c r="AH187" s="1">
        <v>17098</v>
      </c>
      <c r="AI187" s="1">
        <v>2853</v>
      </c>
      <c r="AJ187" s="1">
        <v>1662</v>
      </c>
      <c r="AK187" s="1">
        <v>5911</v>
      </c>
      <c r="AL187" s="1">
        <v>408</v>
      </c>
      <c r="AM187" s="1">
        <v>113</v>
      </c>
      <c r="AN187" s="2" t="s">
        <v>590</v>
      </c>
    </row>
    <row r="188" spans="1:40" ht="28.2" x14ac:dyDescent="0.3">
      <c r="A188" s="1">
        <v>10330</v>
      </c>
      <c r="B188" s="2" t="s">
        <v>1231</v>
      </c>
      <c r="C188" s="2" t="s">
        <v>1232</v>
      </c>
      <c r="D188" s="1">
        <v>25</v>
      </c>
      <c r="E188" s="2" t="s">
        <v>196</v>
      </c>
      <c r="F188" s="50" t="s">
        <v>188</v>
      </c>
      <c r="G188" s="2" t="s">
        <v>1233</v>
      </c>
      <c r="H188" s="1">
        <v>19475</v>
      </c>
      <c r="I188" s="1">
        <v>17493</v>
      </c>
      <c r="J188" s="2" t="s">
        <v>685</v>
      </c>
      <c r="K188" s="2" t="s">
        <v>1234</v>
      </c>
      <c r="L188" s="2" t="s">
        <v>589</v>
      </c>
      <c r="M188" s="1">
        <v>1057</v>
      </c>
      <c r="N188" s="1">
        <v>27637</v>
      </c>
      <c r="O188" s="2" t="s">
        <v>905</v>
      </c>
      <c r="P188" s="2" t="s">
        <v>50</v>
      </c>
      <c r="Q188" s="2" t="s">
        <v>215</v>
      </c>
      <c r="R188" s="2" t="s">
        <v>96</v>
      </c>
      <c r="S188" s="2" t="s">
        <v>50</v>
      </c>
      <c r="T188" s="1">
        <v>13069</v>
      </c>
      <c r="U188" s="2" t="s">
        <v>51</v>
      </c>
      <c r="V188" s="1">
        <v>3109</v>
      </c>
      <c r="W188" s="1">
        <v>2527</v>
      </c>
      <c r="X188" s="2" t="s">
        <v>101</v>
      </c>
      <c r="Y188" s="2" t="s">
        <v>277</v>
      </c>
      <c r="Z188" s="2" t="s">
        <v>1214</v>
      </c>
      <c r="AA188" s="2" t="s">
        <v>882</v>
      </c>
      <c r="AB188" s="1">
        <v>14568</v>
      </c>
      <c r="AC188" s="1">
        <v>8203</v>
      </c>
      <c r="AD188" s="1">
        <v>3574</v>
      </c>
      <c r="AE188" s="1">
        <v>1063</v>
      </c>
      <c r="AF188" s="1">
        <v>210</v>
      </c>
      <c r="AG188" s="1">
        <v>19</v>
      </c>
      <c r="AH188" s="1">
        <v>6682</v>
      </c>
      <c r="AI188" s="1">
        <v>8611</v>
      </c>
      <c r="AJ188" s="1">
        <v>683</v>
      </c>
      <c r="AK188" s="1">
        <v>3218</v>
      </c>
      <c r="AL188" s="1">
        <v>266</v>
      </c>
      <c r="AM188" s="1">
        <v>62</v>
      </c>
      <c r="AN188" s="2" t="s">
        <v>590</v>
      </c>
    </row>
    <row r="189" spans="1:40" x14ac:dyDescent="0.3">
      <c r="A189" s="1">
        <v>9676</v>
      </c>
      <c r="B189" s="2" t="s">
        <v>1235</v>
      </c>
      <c r="C189" s="2" t="s">
        <v>1236</v>
      </c>
      <c r="D189" s="1">
        <v>27</v>
      </c>
      <c r="E189" s="2" t="s">
        <v>299</v>
      </c>
      <c r="F189" s="50" t="s">
        <v>986</v>
      </c>
      <c r="G189" s="2" t="s">
        <v>1237</v>
      </c>
      <c r="H189" s="1">
        <v>7903</v>
      </c>
      <c r="I189" s="1">
        <v>7368</v>
      </c>
      <c r="J189" s="2" t="s">
        <v>1238</v>
      </c>
      <c r="K189" s="2" t="s">
        <v>1239</v>
      </c>
      <c r="L189" s="2" t="s">
        <v>1170</v>
      </c>
      <c r="M189" s="1">
        <v>413</v>
      </c>
      <c r="N189" s="1">
        <v>10628</v>
      </c>
      <c r="O189" s="2" t="s">
        <v>283</v>
      </c>
      <c r="P189" s="2" t="s">
        <v>166</v>
      </c>
      <c r="Q189" s="2" t="s">
        <v>463</v>
      </c>
      <c r="R189" s="2" t="s">
        <v>96</v>
      </c>
      <c r="S189" s="2" t="s">
        <v>50</v>
      </c>
      <c r="T189" s="1">
        <v>5243</v>
      </c>
      <c r="U189" s="2" t="s">
        <v>51</v>
      </c>
      <c r="V189" s="1">
        <v>1090</v>
      </c>
      <c r="W189" s="1">
        <v>984</v>
      </c>
      <c r="X189" s="2" t="s">
        <v>362</v>
      </c>
      <c r="Y189" s="2" t="s">
        <v>412</v>
      </c>
      <c r="Z189" s="2" t="s">
        <v>399</v>
      </c>
      <c r="AA189" s="2" t="s">
        <v>547</v>
      </c>
      <c r="AB189" s="1">
        <v>5385</v>
      </c>
      <c r="AC189" s="1">
        <v>3242</v>
      </c>
      <c r="AD189" s="1">
        <v>1459</v>
      </c>
      <c r="AE189" s="1">
        <v>438</v>
      </c>
      <c r="AF189" s="1">
        <v>91</v>
      </c>
      <c r="AG189" s="1">
        <v>13</v>
      </c>
      <c r="AH189" s="1">
        <v>5822</v>
      </c>
      <c r="AI189" s="1">
        <v>234</v>
      </c>
      <c r="AJ189" s="1">
        <v>410</v>
      </c>
      <c r="AK189" s="1">
        <v>1324</v>
      </c>
      <c r="AL189" s="1">
        <v>117</v>
      </c>
      <c r="AM189" s="1">
        <v>12</v>
      </c>
      <c r="AN189" s="2" t="s">
        <v>590</v>
      </c>
    </row>
    <row r="190" spans="1:40" x14ac:dyDescent="0.3">
      <c r="A190" s="1">
        <v>9083</v>
      </c>
      <c r="B190" s="2" t="s">
        <v>1240</v>
      </c>
      <c r="C190" s="2" t="s">
        <v>1241</v>
      </c>
      <c r="D190" s="1">
        <v>30</v>
      </c>
      <c r="E190" s="2" t="s">
        <v>59</v>
      </c>
      <c r="F190" s="50" t="s">
        <v>3514</v>
      </c>
      <c r="G190" s="2" t="s">
        <v>1242</v>
      </c>
      <c r="H190" s="1">
        <v>17902</v>
      </c>
      <c r="I190" s="1">
        <v>16184</v>
      </c>
      <c r="J190" s="2" t="s">
        <v>1243</v>
      </c>
      <c r="K190" s="2" t="s">
        <v>960</v>
      </c>
      <c r="L190" s="2" t="s">
        <v>80</v>
      </c>
      <c r="M190" s="1">
        <v>947</v>
      </c>
      <c r="N190" s="1">
        <v>24917</v>
      </c>
      <c r="O190" s="2" t="s">
        <v>311</v>
      </c>
      <c r="P190" s="2" t="s">
        <v>202</v>
      </c>
      <c r="Q190" s="2" t="s">
        <v>276</v>
      </c>
      <c r="R190" s="2" t="s">
        <v>96</v>
      </c>
      <c r="S190" s="2" t="s">
        <v>67</v>
      </c>
      <c r="T190" s="1">
        <v>12081</v>
      </c>
      <c r="U190" s="2" t="s">
        <v>51</v>
      </c>
      <c r="V190" s="1">
        <v>2286</v>
      </c>
      <c r="W190" s="1">
        <v>2017</v>
      </c>
      <c r="X190" s="2" t="s">
        <v>98</v>
      </c>
      <c r="Y190" s="2" t="s">
        <v>285</v>
      </c>
      <c r="Z190" s="2" t="s">
        <v>932</v>
      </c>
      <c r="AA190" s="2" t="s">
        <v>1244</v>
      </c>
      <c r="AB190" s="1">
        <v>12836</v>
      </c>
      <c r="AC190" s="1">
        <v>7646</v>
      </c>
      <c r="AD190" s="1">
        <v>3265</v>
      </c>
      <c r="AE190" s="1">
        <v>978</v>
      </c>
      <c r="AF190" s="1">
        <v>169</v>
      </c>
      <c r="AG190" s="1">
        <v>23</v>
      </c>
      <c r="AH190" s="1">
        <v>13052</v>
      </c>
      <c r="AI190" s="1">
        <v>572</v>
      </c>
      <c r="AJ190" s="1">
        <v>743</v>
      </c>
      <c r="AK190" s="1">
        <v>3296</v>
      </c>
      <c r="AL190" s="1">
        <v>234</v>
      </c>
      <c r="AM190" s="1">
        <v>48</v>
      </c>
      <c r="AN190" s="2" t="s">
        <v>590</v>
      </c>
    </row>
    <row r="191" spans="1:40" x14ac:dyDescent="0.3">
      <c r="A191" s="1">
        <v>17585</v>
      </c>
      <c r="B191" s="2" t="s">
        <v>1245</v>
      </c>
      <c r="C191" s="2" t="s">
        <v>1246</v>
      </c>
      <c r="D191" s="1">
        <v>20</v>
      </c>
      <c r="E191" s="2" t="s">
        <v>104</v>
      </c>
      <c r="F191" s="50" t="s">
        <v>1125</v>
      </c>
      <c r="G191" s="2" t="s">
        <v>1247</v>
      </c>
      <c r="H191" s="1">
        <v>10145</v>
      </c>
      <c r="I191" s="1">
        <v>9196</v>
      </c>
      <c r="J191" s="2" t="s">
        <v>1243</v>
      </c>
      <c r="K191" s="2" t="s">
        <v>353</v>
      </c>
      <c r="L191" s="2" t="s">
        <v>46</v>
      </c>
      <c r="M191" s="1">
        <v>546</v>
      </c>
      <c r="N191" s="1">
        <v>14300</v>
      </c>
      <c r="O191" s="2" t="s">
        <v>646</v>
      </c>
      <c r="P191" s="2" t="s">
        <v>48</v>
      </c>
      <c r="Q191" s="2" t="s">
        <v>65</v>
      </c>
      <c r="R191" s="2" t="s">
        <v>50</v>
      </c>
      <c r="S191" s="2" t="s">
        <v>67</v>
      </c>
      <c r="T191" s="1">
        <v>6800</v>
      </c>
      <c r="U191" s="2" t="s">
        <v>51</v>
      </c>
      <c r="V191" s="1">
        <v>1343</v>
      </c>
      <c r="W191" s="1">
        <v>1248</v>
      </c>
      <c r="X191" s="2" t="s">
        <v>277</v>
      </c>
      <c r="Y191" s="2" t="s">
        <v>285</v>
      </c>
      <c r="Z191" s="2" t="s">
        <v>653</v>
      </c>
      <c r="AA191" s="2" t="s">
        <v>783</v>
      </c>
      <c r="AB191" s="1">
        <v>7500</v>
      </c>
      <c r="AC191" s="1">
        <v>4283</v>
      </c>
      <c r="AD191" s="1">
        <v>1826</v>
      </c>
      <c r="AE191" s="1">
        <v>568</v>
      </c>
      <c r="AF191" s="1">
        <v>109</v>
      </c>
      <c r="AG191" s="1">
        <v>14</v>
      </c>
      <c r="AH191" s="1">
        <v>6953</v>
      </c>
      <c r="AI191" s="1">
        <v>646</v>
      </c>
      <c r="AJ191" s="1">
        <v>539</v>
      </c>
      <c r="AK191" s="1">
        <v>1841</v>
      </c>
      <c r="AL191" s="1">
        <v>139</v>
      </c>
      <c r="AM191" s="1">
        <v>83</v>
      </c>
      <c r="AN191" s="2" t="s">
        <v>561</v>
      </c>
    </row>
    <row r="192" spans="1:40" ht="28.2" x14ac:dyDescent="0.3">
      <c r="A192" s="1">
        <v>12708</v>
      </c>
      <c r="B192" s="2" t="s">
        <v>1248</v>
      </c>
      <c r="C192" s="2" t="s">
        <v>1249</v>
      </c>
      <c r="D192" s="1">
        <v>22</v>
      </c>
      <c r="E192" s="2" t="s">
        <v>1250</v>
      </c>
      <c r="F192" s="50" t="s">
        <v>1251</v>
      </c>
      <c r="G192" s="2" t="s">
        <v>1252</v>
      </c>
      <c r="H192" s="1">
        <v>7748</v>
      </c>
      <c r="I192" s="1">
        <v>7499</v>
      </c>
      <c r="J192" s="2" t="s">
        <v>1253</v>
      </c>
      <c r="K192" s="2">
        <v>82</v>
      </c>
      <c r="L192" s="2" t="s">
        <v>541</v>
      </c>
      <c r="M192" s="1">
        <v>382</v>
      </c>
      <c r="N192" s="1">
        <v>10192</v>
      </c>
      <c r="O192" s="2" t="s">
        <v>234</v>
      </c>
      <c r="P192" s="2" t="s">
        <v>202</v>
      </c>
      <c r="Q192" s="2" t="s">
        <v>283</v>
      </c>
      <c r="R192" s="2" t="s">
        <v>50</v>
      </c>
      <c r="S192" s="2" t="s">
        <v>50</v>
      </c>
      <c r="T192" s="1">
        <v>5017</v>
      </c>
      <c r="U192" s="2" t="s">
        <v>51</v>
      </c>
      <c r="V192" s="1">
        <v>1231</v>
      </c>
      <c r="W192" s="1">
        <v>1237</v>
      </c>
      <c r="X192" s="2">
        <v>1</v>
      </c>
      <c r="Y192" s="2" t="s">
        <v>464</v>
      </c>
      <c r="Z192" s="2" t="s">
        <v>324</v>
      </c>
      <c r="AA192" s="2" t="s">
        <v>315</v>
      </c>
      <c r="AB192" s="1">
        <v>5175</v>
      </c>
      <c r="AC192" s="1">
        <v>3057</v>
      </c>
      <c r="AD192" s="1">
        <v>1328</v>
      </c>
      <c r="AE192" s="1">
        <v>510</v>
      </c>
      <c r="AF192" s="1">
        <v>105</v>
      </c>
      <c r="AG192" s="1">
        <v>17</v>
      </c>
      <c r="AH192" s="1">
        <v>5414</v>
      </c>
      <c r="AI192" s="1">
        <v>548</v>
      </c>
      <c r="AJ192" s="1">
        <v>180</v>
      </c>
      <c r="AK192" s="1">
        <v>1525</v>
      </c>
      <c r="AL192" s="1">
        <v>84</v>
      </c>
      <c r="AM192" s="1">
        <v>16</v>
      </c>
      <c r="AN192" s="2" t="s">
        <v>561</v>
      </c>
    </row>
    <row r="193" spans="1:40" x14ac:dyDescent="0.3">
      <c r="A193" s="1">
        <v>7440</v>
      </c>
      <c r="B193" s="2" t="s">
        <v>1254</v>
      </c>
      <c r="C193" s="2" t="s">
        <v>1255</v>
      </c>
      <c r="D193" s="1">
        <v>29</v>
      </c>
      <c r="E193" s="2" t="s">
        <v>459</v>
      </c>
      <c r="F193" s="50" t="s">
        <v>3514</v>
      </c>
      <c r="G193" s="2" t="s">
        <v>76</v>
      </c>
      <c r="H193" s="1">
        <v>18365</v>
      </c>
      <c r="I193" s="1">
        <v>15907</v>
      </c>
      <c r="J193" s="2" t="s">
        <v>400</v>
      </c>
      <c r="K193" s="2" t="s">
        <v>1256</v>
      </c>
      <c r="L193" s="2" t="s">
        <v>179</v>
      </c>
      <c r="M193" s="1">
        <v>1047</v>
      </c>
      <c r="N193" s="1">
        <v>27129</v>
      </c>
      <c r="O193" s="2" t="s">
        <v>167</v>
      </c>
      <c r="P193" s="2" t="s">
        <v>67</v>
      </c>
      <c r="Q193" s="2" t="s">
        <v>95</v>
      </c>
      <c r="R193" s="2" t="s">
        <v>96</v>
      </c>
      <c r="S193" s="2" t="s">
        <v>96</v>
      </c>
      <c r="T193" s="1">
        <v>12658</v>
      </c>
      <c r="U193" s="2" t="s">
        <v>51</v>
      </c>
      <c r="V193" s="1">
        <v>2832</v>
      </c>
      <c r="W193" s="1">
        <v>1829</v>
      </c>
      <c r="X193" s="2" t="s">
        <v>496</v>
      </c>
      <c r="Y193" s="2" t="s">
        <v>277</v>
      </c>
      <c r="Z193" s="2" t="s">
        <v>955</v>
      </c>
      <c r="AA193" s="2" t="s">
        <v>547</v>
      </c>
      <c r="AB193" s="1">
        <v>14471</v>
      </c>
      <c r="AC193" s="1">
        <v>8308</v>
      </c>
      <c r="AD193" s="1">
        <v>3226</v>
      </c>
      <c r="AE193" s="1">
        <v>931</v>
      </c>
      <c r="AF193" s="1">
        <v>172</v>
      </c>
      <c r="AG193" s="1">
        <v>21</v>
      </c>
      <c r="AH193" s="1">
        <v>3839</v>
      </c>
      <c r="AI193" s="1">
        <v>10111</v>
      </c>
      <c r="AJ193" s="1">
        <v>563</v>
      </c>
      <c r="AK193" s="1">
        <v>3592</v>
      </c>
      <c r="AL193" s="1">
        <v>238</v>
      </c>
      <c r="AM193" s="1">
        <v>44</v>
      </c>
      <c r="AN193" s="2" t="s">
        <v>590</v>
      </c>
    </row>
    <row r="194" spans="1:40" x14ac:dyDescent="0.3">
      <c r="A194" s="1">
        <v>16872</v>
      </c>
      <c r="B194" s="2" t="s">
        <v>1257</v>
      </c>
      <c r="C194" s="2" t="s">
        <v>1258</v>
      </c>
      <c r="D194" s="1">
        <v>21</v>
      </c>
      <c r="E194" s="2" t="s">
        <v>209</v>
      </c>
      <c r="F194" s="50" t="s">
        <v>1259</v>
      </c>
      <c r="G194" s="2" t="s">
        <v>1259</v>
      </c>
      <c r="H194" s="1">
        <v>8014</v>
      </c>
      <c r="I194" s="1">
        <v>7478</v>
      </c>
      <c r="J194" s="2" t="s">
        <v>1260</v>
      </c>
      <c r="K194" s="2" t="s">
        <v>253</v>
      </c>
      <c r="L194" s="2" t="s">
        <v>589</v>
      </c>
      <c r="M194" s="1">
        <v>408</v>
      </c>
      <c r="N194" s="1">
        <v>10886</v>
      </c>
      <c r="O194" s="2" t="s">
        <v>283</v>
      </c>
      <c r="P194" s="2" t="s">
        <v>48</v>
      </c>
      <c r="Q194" s="2" t="s">
        <v>463</v>
      </c>
      <c r="R194" s="2" t="s">
        <v>96</v>
      </c>
      <c r="S194" s="2" t="s">
        <v>50</v>
      </c>
      <c r="T194" s="1">
        <v>5285</v>
      </c>
      <c r="U194" s="2" t="s">
        <v>51</v>
      </c>
      <c r="V194" s="1">
        <v>946</v>
      </c>
      <c r="W194" s="1">
        <v>931</v>
      </c>
      <c r="X194" s="2" t="s">
        <v>449</v>
      </c>
      <c r="Y194" s="2" t="s">
        <v>472</v>
      </c>
      <c r="Z194" s="2" t="s">
        <v>576</v>
      </c>
      <c r="AA194" s="2" t="s">
        <v>1083</v>
      </c>
      <c r="AB194" s="1">
        <v>5601</v>
      </c>
      <c r="AC194" s="1">
        <v>3233</v>
      </c>
      <c r="AD194" s="1">
        <v>1478</v>
      </c>
      <c r="AE194" s="1">
        <v>478</v>
      </c>
      <c r="AF194" s="1">
        <v>89</v>
      </c>
      <c r="AG194" s="1">
        <v>7</v>
      </c>
      <c r="AH194" s="1">
        <v>5742</v>
      </c>
      <c r="AI194" s="1">
        <v>173</v>
      </c>
      <c r="AJ194" s="1">
        <v>540</v>
      </c>
      <c r="AK194" s="1">
        <v>1476</v>
      </c>
      <c r="AL194" s="1">
        <v>63</v>
      </c>
      <c r="AM194" s="1">
        <v>60</v>
      </c>
      <c r="AN194" s="2" t="s">
        <v>295</v>
      </c>
    </row>
    <row r="195" spans="1:40" x14ac:dyDescent="0.3">
      <c r="A195" s="1">
        <v>16314</v>
      </c>
      <c r="B195" s="2" t="s">
        <v>1261</v>
      </c>
      <c r="C195" s="2" t="s">
        <v>1262</v>
      </c>
      <c r="D195" s="1">
        <v>24</v>
      </c>
      <c r="E195" s="2" t="s">
        <v>104</v>
      </c>
      <c r="F195" s="50" t="s">
        <v>3514</v>
      </c>
      <c r="G195" s="2" t="s">
        <v>1263</v>
      </c>
      <c r="H195" s="1">
        <v>11087</v>
      </c>
      <c r="I195" s="1">
        <v>10300</v>
      </c>
      <c r="J195" s="2" t="s">
        <v>1164</v>
      </c>
      <c r="K195" s="2" t="s">
        <v>1130</v>
      </c>
      <c r="L195" s="2" t="s">
        <v>658</v>
      </c>
      <c r="M195" s="1">
        <v>581</v>
      </c>
      <c r="N195" s="1">
        <v>15327</v>
      </c>
      <c r="O195" s="2" t="s">
        <v>311</v>
      </c>
      <c r="P195" s="2" t="s">
        <v>235</v>
      </c>
      <c r="Q195" s="2" t="s">
        <v>225</v>
      </c>
      <c r="R195" s="2" t="s">
        <v>96</v>
      </c>
      <c r="S195" s="2" t="s">
        <v>50</v>
      </c>
      <c r="T195" s="1">
        <v>7366</v>
      </c>
      <c r="U195" s="2" t="s">
        <v>51</v>
      </c>
      <c r="V195" s="1">
        <v>1735</v>
      </c>
      <c r="W195" s="1">
        <v>1631</v>
      </c>
      <c r="X195" s="2" t="s">
        <v>590</v>
      </c>
      <c r="Y195" s="2" t="s">
        <v>590</v>
      </c>
      <c r="Z195" s="2" t="s">
        <v>728</v>
      </c>
      <c r="AA195" s="2" t="s">
        <v>882</v>
      </c>
      <c r="AB195" s="1">
        <v>7961</v>
      </c>
      <c r="AC195" s="1">
        <v>4630</v>
      </c>
      <c r="AD195" s="1">
        <v>1933</v>
      </c>
      <c r="AE195" s="1">
        <v>644</v>
      </c>
      <c r="AF195" s="1">
        <v>136</v>
      </c>
      <c r="AG195" s="1">
        <v>23</v>
      </c>
      <c r="AH195" s="1">
        <v>8327</v>
      </c>
      <c r="AI195" s="1">
        <v>113</v>
      </c>
      <c r="AJ195" s="1">
        <v>724</v>
      </c>
      <c r="AK195" s="1">
        <v>1736</v>
      </c>
      <c r="AL195" s="1">
        <v>188</v>
      </c>
      <c r="AM195" s="1">
        <v>31</v>
      </c>
      <c r="AN195" s="2" t="s">
        <v>362</v>
      </c>
    </row>
    <row r="196" spans="1:40" x14ac:dyDescent="0.3">
      <c r="A196" s="1">
        <v>13138</v>
      </c>
      <c r="B196" s="2" t="s">
        <v>1264</v>
      </c>
      <c r="C196" s="2" t="s">
        <v>1265</v>
      </c>
      <c r="D196" s="1">
        <v>25</v>
      </c>
      <c r="E196" s="2" t="s">
        <v>42</v>
      </c>
      <c r="F196" s="50" t="s">
        <v>981</v>
      </c>
      <c r="G196" s="2" t="s">
        <v>1266</v>
      </c>
      <c r="H196" s="1">
        <v>22548</v>
      </c>
      <c r="I196" s="1">
        <v>20403</v>
      </c>
      <c r="J196" s="2" t="s">
        <v>1267</v>
      </c>
      <c r="K196" s="2" t="s">
        <v>353</v>
      </c>
      <c r="L196" s="2" t="s">
        <v>164</v>
      </c>
      <c r="M196" s="1">
        <v>1199</v>
      </c>
      <c r="N196" s="1">
        <v>31846</v>
      </c>
      <c r="O196" s="2" t="s">
        <v>646</v>
      </c>
      <c r="P196" s="2" t="s">
        <v>67</v>
      </c>
      <c r="Q196" s="2" t="s">
        <v>65</v>
      </c>
      <c r="R196" s="2" t="s">
        <v>96</v>
      </c>
      <c r="S196" s="2" t="s">
        <v>66</v>
      </c>
      <c r="T196" s="1">
        <v>15203</v>
      </c>
      <c r="U196" s="2" t="s">
        <v>51</v>
      </c>
      <c r="V196" s="1">
        <v>4195</v>
      </c>
      <c r="W196" s="1">
        <v>3247</v>
      </c>
      <c r="X196" s="2" t="s">
        <v>168</v>
      </c>
      <c r="Y196" s="2" t="s">
        <v>206</v>
      </c>
      <c r="Z196" s="2" t="s">
        <v>1268</v>
      </c>
      <c r="AA196" s="2" t="s">
        <v>671</v>
      </c>
      <c r="AB196" s="1">
        <v>16643</v>
      </c>
      <c r="AC196" s="1">
        <v>9669</v>
      </c>
      <c r="AD196" s="1">
        <v>4031</v>
      </c>
      <c r="AE196" s="1">
        <v>1228</v>
      </c>
      <c r="AF196" s="1">
        <v>242</v>
      </c>
      <c r="AG196" s="1">
        <v>33</v>
      </c>
      <c r="AH196" s="1">
        <v>7140</v>
      </c>
      <c r="AI196" s="1">
        <v>10178</v>
      </c>
      <c r="AJ196" s="1">
        <v>934</v>
      </c>
      <c r="AK196" s="1">
        <v>3969</v>
      </c>
      <c r="AL196" s="1">
        <v>317</v>
      </c>
      <c r="AM196" s="1">
        <v>101</v>
      </c>
      <c r="AN196" s="2" t="s">
        <v>561</v>
      </c>
    </row>
    <row r="197" spans="1:40" x14ac:dyDescent="0.3">
      <c r="A197" s="1">
        <v>9056</v>
      </c>
      <c r="B197" s="2" t="s">
        <v>1269</v>
      </c>
      <c r="C197" s="2" t="s">
        <v>1270</v>
      </c>
      <c r="D197" s="1">
        <v>26</v>
      </c>
      <c r="E197" s="2" t="s">
        <v>459</v>
      </c>
      <c r="F197" s="50" t="s">
        <v>3514</v>
      </c>
      <c r="G197" s="2" t="s">
        <v>1271</v>
      </c>
      <c r="H197" s="1">
        <v>18522</v>
      </c>
      <c r="I197" s="1">
        <v>17181</v>
      </c>
      <c r="J197" s="2" t="s">
        <v>1272</v>
      </c>
      <c r="K197" s="2" t="s">
        <v>178</v>
      </c>
      <c r="L197" s="2" t="s">
        <v>46</v>
      </c>
      <c r="M197" s="1">
        <v>977</v>
      </c>
      <c r="N197" s="1">
        <v>25766</v>
      </c>
      <c r="O197" s="2" t="s">
        <v>311</v>
      </c>
      <c r="P197" s="2" t="s">
        <v>48</v>
      </c>
      <c r="Q197" s="2" t="s">
        <v>225</v>
      </c>
      <c r="R197" s="2" t="s">
        <v>96</v>
      </c>
      <c r="S197" s="2" t="s">
        <v>50</v>
      </c>
      <c r="T197" s="1">
        <v>12250</v>
      </c>
      <c r="U197" s="2" t="s">
        <v>51</v>
      </c>
      <c r="V197" s="1">
        <v>2966</v>
      </c>
      <c r="W197" s="1">
        <v>2851</v>
      </c>
      <c r="X197" s="2" t="s">
        <v>407</v>
      </c>
      <c r="Y197" s="2" t="s">
        <v>590</v>
      </c>
      <c r="Z197" s="2" t="s">
        <v>932</v>
      </c>
      <c r="AA197" s="2" t="s">
        <v>100</v>
      </c>
      <c r="AB197" s="1">
        <v>13516</v>
      </c>
      <c r="AC197" s="1">
        <v>7590</v>
      </c>
      <c r="AD197" s="1">
        <v>3354</v>
      </c>
      <c r="AE197" s="1">
        <v>1029</v>
      </c>
      <c r="AF197" s="1">
        <v>250</v>
      </c>
      <c r="AG197" s="1">
        <v>27</v>
      </c>
      <c r="AH197" s="1">
        <v>7283</v>
      </c>
      <c r="AI197" s="1">
        <v>6180</v>
      </c>
      <c r="AJ197" s="1">
        <v>1061</v>
      </c>
      <c r="AK197" s="1">
        <v>3739</v>
      </c>
      <c r="AL197" s="1">
        <v>223</v>
      </c>
      <c r="AM197" s="1">
        <v>78</v>
      </c>
      <c r="AN197" s="2" t="s">
        <v>590</v>
      </c>
    </row>
    <row r="198" spans="1:40" x14ac:dyDescent="0.3">
      <c r="A198" s="1">
        <v>16323</v>
      </c>
      <c r="B198" s="2" t="s">
        <v>1273</v>
      </c>
      <c r="C198" s="2" t="s">
        <v>1274</v>
      </c>
      <c r="D198" s="1">
        <v>21</v>
      </c>
      <c r="E198" s="2" t="s">
        <v>299</v>
      </c>
      <c r="F198" s="50" t="s">
        <v>936</v>
      </c>
      <c r="G198" s="2" t="s">
        <v>1275</v>
      </c>
      <c r="H198" s="1">
        <v>11884</v>
      </c>
      <c r="I198" s="1">
        <v>10793</v>
      </c>
      <c r="J198" s="2" t="s">
        <v>448</v>
      </c>
      <c r="K198" s="2" t="s">
        <v>1042</v>
      </c>
      <c r="L198" s="2" t="s">
        <v>46</v>
      </c>
      <c r="M198" s="1">
        <v>657</v>
      </c>
      <c r="N198" s="1">
        <v>16993</v>
      </c>
      <c r="O198" s="2" t="s">
        <v>905</v>
      </c>
      <c r="P198" s="2" t="s">
        <v>202</v>
      </c>
      <c r="Q198" s="2" t="s">
        <v>65</v>
      </c>
      <c r="R198" s="2" t="s">
        <v>50</v>
      </c>
      <c r="S198" s="2" t="s">
        <v>67</v>
      </c>
      <c r="T198" s="1">
        <v>7934</v>
      </c>
      <c r="U198" s="2" t="s">
        <v>51</v>
      </c>
      <c r="V198" s="1">
        <v>1423</v>
      </c>
      <c r="W198" s="1">
        <v>1266</v>
      </c>
      <c r="X198" s="2" t="s">
        <v>370</v>
      </c>
      <c r="Y198" s="2" t="s">
        <v>472</v>
      </c>
      <c r="Z198" s="2" t="s">
        <v>1214</v>
      </c>
      <c r="AA198" s="2" t="s">
        <v>1276</v>
      </c>
      <c r="AB198" s="1">
        <v>9059</v>
      </c>
      <c r="AC198" s="1">
        <v>4981</v>
      </c>
      <c r="AD198" s="1">
        <v>2126</v>
      </c>
      <c r="AE198" s="1">
        <v>672</v>
      </c>
      <c r="AF198" s="1">
        <v>140</v>
      </c>
      <c r="AG198" s="1">
        <v>15</v>
      </c>
      <c r="AH198" s="1">
        <v>8605</v>
      </c>
      <c r="AI198" s="1">
        <v>606</v>
      </c>
      <c r="AJ198" s="1">
        <v>486</v>
      </c>
      <c r="AK198" s="1">
        <v>2079</v>
      </c>
      <c r="AL198" s="1">
        <v>124</v>
      </c>
      <c r="AM198" s="1">
        <v>37</v>
      </c>
      <c r="AN198" s="2" t="s">
        <v>561</v>
      </c>
    </row>
    <row r="199" spans="1:40" x14ac:dyDescent="0.3">
      <c r="A199" s="1">
        <v>9108</v>
      </c>
      <c r="B199" s="2" t="s">
        <v>1277</v>
      </c>
      <c r="C199" s="2" t="s">
        <v>1278</v>
      </c>
      <c r="D199" s="1">
        <v>25</v>
      </c>
      <c r="E199" s="2" t="s">
        <v>299</v>
      </c>
      <c r="F199" s="50" t="s">
        <v>3514</v>
      </c>
      <c r="G199" s="2" t="s">
        <v>1279</v>
      </c>
      <c r="H199" s="1">
        <v>12952</v>
      </c>
      <c r="I199" s="1">
        <v>11725</v>
      </c>
      <c r="J199" s="2" t="s">
        <v>925</v>
      </c>
      <c r="K199" s="2">
        <v>76</v>
      </c>
      <c r="L199" s="2" t="s">
        <v>398</v>
      </c>
      <c r="M199" s="1">
        <v>718</v>
      </c>
      <c r="N199" s="1">
        <v>18208</v>
      </c>
      <c r="O199" s="2" t="s">
        <v>646</v>
      </c>
      <c r="P199" s="2" t="s">
        <v>202</v>
      </c>
      <c r="Q199" s="2" t="s">
        <v>65</v>
      </c>
      <c r="R199" s="2" t="s">
        <v>96</v>
      </c>
      <c r="S199" s="2" t="s">
        <v>96</v>
      </c>
      <c r="T199" s="1">
        <v>8719</v>
      </c>
      <c r="U199" s="2" t="s">
        <v>51</v>
      </c>
      <c r="V199" s="1">
        <v>1889</v>
      </c>
      <c r="W199" s="1">
        <v>1716</v>
      </c>
      <c r="X199" s="2" t="s">
        <v>561</v>
      </c>
      <c r="Y199" s="2" t="s">
        <v>412</v>
      </c>
      <c r="Z199" s="2" t="s">
        <v>1280</v>
      </c>
      <c r="AA199" s="2" t="s">
        <v>577</v>
      </c>
      <c r="AB199" s="1">
        <v>9489</v>
      </c>
      <c r="AC199" s="1">
        <v>5483</v>
      </c>
      <c r="AD199" s="1">
        <v>2375</v>
      </c>
      <c r="AE199" s="1">
        <v>737</v>
      </c>
      <c r="AF199" s="1">
        <v>112</v>
      </c>
      <c r="AG199" s="1">
        <v>12</v>
      </c>
      <c r="AH199" s="1">
        <v>8633</v>
      </c>
      <c r="AI199" s="1">
        <v>1246</v>
      </c>
      <c r="AJ199" s="1">
        <v>867</v>
      </c>
      <c r="AK199" s="1">
        <v>2023</v>
      </c>
      <c r="AL199" s="1">
        <v>171</v>
      </c>
      <c r="AM199" s="1">
        <v>30</v>
      </c>
      <c r="AN199" s="2" t="s">
        <v>590</v>
      </c>
    </row>
    <row r="200" spans="1:40" x14ac:dyDescent="0.3">
      <c r="A200" s="1">
        <v>9288</v>
      </c>
      <c r="B200" s="2" t="s">
        <v>1281</v>
      </c>
      <c r="C200" s="2" t="s">
        <v>1282</v>
      </c>
      <c r="D200" s="1">
        <v>29</v>
      </c>
      <c r="E200" s="2" t="s">
        <v>477</v>
      </c>
      <c r="F200" s="50" t="s">
        <v>3514</v>
      </c>
      <c r="G200" s="2" t="s">
        <v>1283</v>
      </c>
      <c r="H200" s="1">
        <v>8271</v>
      </c>
      <c r="I200" s="1">
        <v>7614</v>
      </c>
      <c r="J200" s="2" t="s">
        <v>1284</v>
      </c>
      <c r="K200" s="2">
        <v>77</v>
      </c>
      <c r="L200" s="2" t="s">
        <v>122</v>
      </c>
      <c r="M200" s="1">
        <v>452</v>
      </c>
      <c r="N200" s="1">
        <v>11472</v>
      </c>
      <c r="O200" s="2" t="s">
        <v>311</v>
      </c>
      <c r="P200" s="2" t="s">
        <v>48</v>
      </c>
      <c r="Q200" s="2" t="s">
        <v>322</v>
      </c>
      <c r="R200" s="2" t="s">
        <v>66</v>
      </c>
      <c r="S200" s="2" t="s">
        <v>96</v>
      </c>
      <c r="T200" s="1">
        <v>5547</v>
      </c>
      <c r="U200" s="2" t="s">
        <v>51</v>
      </c>
      <c r="V200" s="1">
        <v>1363</v>
      </c>
      <c r="W200" s="1">
        <v>1102</v>
      </c>
      <c r="X200" s="2" t="s">
        <v>69</v>
      </c>
      <c r="Y200" s="2" t="s">
        <v>561</v>
      </c>
      <c r="Z200" s="2" t="s">
        <v>901</v>
      </c>
      <c r="AA200" s="2" t="s">
        <v>392</v>
      </c>
      <c r="AB200" s="1">
        <v>5925</v>
      </c>
      <c r="AC200" s="1">
        <v>3512</v>
      </c>
      <c r="AD200" s="1">
        <v>1469</v>
      </c>
      <c r="AE200" s="1">
        <v>454</v>
      </c>
      <c r="AF200" s="1">
        <v>101</v>
      </c>
      <c r="AG200" s="1">
        <v>11</v>
      </c>
      <c r="AH200" s="1">
        <v>3205</v>
      </c>
      <c r="AI200" s="1">
        <v>3251</v>
      </c>
      <c r="AJ200" s="1">
        <v>528</v>
      </c>
      <c r="AK200" s="1">
        <v>1231</v>
      </c>
      <c r="AL200" s="1">
        <v>54</v>
      </c>
      <c r="AM200" s="1">
        <v>23</v>
      </c>
      <c r="AN200" s="2" t="s">
        <v>590</v>
      </c>
    </row>
    <row r="201" spans="1:40" x14ac:dyDescent="0.3">
      <c r="A201" s="1">
        <v>885</v>
      </c>
      <c r="B201" s="2" t="s">
        <v>1285</v>
      </c>
      <c r="C201" s="2" t="s">
        <v>1286</v>
      </c>
      <c r="D201" s="1">
        <v>30</v>
      </c>
      <c r="E201" s="2" t="s">
        <v>545</v>
      </c>
      <c r="F201" s="50" t="s">
        <v>447</v>
      </c>
      <c r="G201" s="2" t="s">
        <v>1287</v>
      </c>
      <c r="H201" s="1">
        <v>29037</v>
      </c>
      <c r="I201" s="1">
        <v>26340</v>
      </c>
      <c r="J201" s="2" t="s">
        <v>760</v>
      </c>
      <c r="K201" s="2" t="s">
        <v>1288</v>
      </c>
      <c r="L201" s="2" t="s">
        <v>224</v>
      </c>
      <c r="M201" s="1">
        <v>1559</v>
      </c>
      <c r="N201" s="1">
        <v>40766</v>
      </c>
      <c r="O201" s="2" t="s">
        <v>646</v>
      </c>
      <c r="P201" s="2" t="s">
        <v>202</v>
      </c>
      <c r="Q201" s="2" t="s">
        <v>276</v>
      </c>
      <c r="R201" s="2" t="s">
        <v>96</v>
      </c>
      <c r="S201" s="2" t="s">
        <v>66</v>
      </c>
      <c r="T201" s="1">
        <v>19497</v>
      </c>
      <c r="U201" s="2" t="s">
        <v>51</v>
      </c>
      <c r="V201" s="1">
        <v>4355</v>
      </c>
      <c r="W201" s="1">
        <v>4110</v>
      </c>
      <c r="X201" s="2" t="s">
        <v>590</v>
      </c>
      <c r="Y201" s="2" t="s">
        <v>412</v>
      </c>
      <c r="Z201" s="2" t="s">
        <v>1289</v>
      </c>
      <c r="AA201" s="2" t="s">
        <v>384</v>
      </c>
      <c r="AB201" s="1">
        <v>21269</v>
      </c>
      <c r="AC201" s="1">
        <v>12275</v>
      </c>
      <c r="AD201" s="1">
        <v>5330</v>
      </c>
      <c r="AE201" s="1">
        <v>1559</v>
      </c>
      <c r="AF201" s="1">
        <v>302</v>
      </c>
      <c r="AG201" s="1">
        <v>31</v>
      </c>
      <c r="AH201" s="1">
        <v>17746</v>
      </c>
      <c r="AI201" s="1">
        <v>4005</v>
      </c>
      <c r="AJ201" s="1">
        <v>1357</v>
      </c>
      <c r="AK201" s="1">
        <v>5331</v>
      </c>
      <c r="AL201" s="1">
        <v>413</v>
      </c>
      <c r="AM201" s="1">
        <v>214</v>
      </c>
      <c r="AN201" s="2" t="s">
        <v>590</v>
      </c>
    </row>
    <row r="202" spans="1:40" x14ac:dyDescent="0.3">
      <c r="A202" s="1">
        <v>5479</v>
      </c>
      <c r="B202" s="2" t="s">
        <v>1290</v>
      </c>
      <c r="C202" s="2" t="s">
        <v>1291</v>
      </c>
      <c r="D202" s="1">
        <v>27</v>
      </c>
      <c r="E202" s="2" t="s">
        <v>452</v>
      </c>
      <c r="F202" s="50" t="s">
        <v>338</v>
      </c>
      <c r="G202" s="2" t="s">
        <v>1292</v>
      </c>
      <c r="H202" s="1">
        <v>25493</v>
      </c>
      <c r="I202" s="1">
        <v>23890</v>
      </c>
      <c r="J202" s="2" t="s">
        <v>1293</v>
      </c>
      <c r="K202" s="2" t="s">
        <v>361</v>
      </c>
      <c r="L202" s="2" t="s">
        <v>575</v>
      </c>
      <c r="M202" s="1">
        <v>1313</v>
      </c>
      <c r="N202" s="1">
        <v>34614</v>
      </c>
      <c r="O202" s="2" t="s">
        <v>283</v>
      </c>
      <c r="P202" s="2" t="s">
        <v>235</v>
      </c>
      <c r="Q202" s="2" t="s">
        <v>463</v>
      </c>
      <c r="R202" s="2" t="s">
        <v>96</v>
      </c>
      <c r="S202" s="2" t="s">
        <v>96</v>
      </c>
      <c r="T202" s="1">
        <v>16897</v>
      </c>
      <c r="U202" s="2" t="s">
        <v>51</v>
      </c>
      <c r="V202" s="1">
        <v>3831</v>
      </c>
      <c r="W202" s="1">
        <v>3737</v>
      </c>
      <c r="X202" s="2" t="s">
        <v>412</v>
      </c>
      <c r="Y202" s="2" t="s">
        <v>407</v>
      </c>
      <c r="Z202" s="2" t="s">
        <v>170</v>
      </c>
      <c r="AA202" s="2" t="s">
        <v>267</v>
      </c>
      <c r="AB202" s="1">
        <v>17717</v>
      </c>
      <c r="AC202" s="1">
        <v>10501</v>
      </c>
      <c r="AD202" s="1">
        <v>4587</v>
      </c>
      <c r="AE202" s="1">
        <v>1459</v>
      </c>
      <c r="AF202" s="1">
        <v>314</v>
      </c>
      <c r="AG202" s="1">
        <v>36</v>
      </c>
      <c r="AH202" s="1">
        <v>18561</v>
      </c>
      <c r="AI202" s="1">
        <v>471</v>
      </c>
      <c r="AJ202" s="1">
        <v>1792</v>
      </c>
      <c r="AK202" s="1">
        <v>4237</v>
      </c>
      <c r="AL202" s="1">
        <v>382</v>
      </c>
      <c r="AM202" s="1">
        <v>96</v>
      </c>
      <c r="AN202" s="2" t="s">
        <v>590</v>
      </c>
    </row>
    <row r="203" spans="1:40" x14ac:dyDescent="0.3">
      <c r="A203" s="1">
        <v>11617</v>
      </c>
      <c r="B203" s="2" t="s">
        <v>1294</v>
      </c>
      <c r="C203" s="2" t="s">
        <v>1295</v>
      </c>
      <c r="D203" s="1">
        <v>19</v>
      </c>
      <c r="E203" s="2" t="s">
        <v>1296</v>
      </c>
      <c r="F203" s="50" t="s">
        <v>250</v>
      </c>
      <c r="G203" s="2" t="s">
        <v>1297</v>
      </c>
      <c r="H203" s="1">
        <v>10305</v>
      </c>
      <c r="I203" s="1">
        <v>9931</v>
      </c>
      <c r="J203" s="2" t="s">
        <v>1298</v>
      </c>
      <c r="K203" s="2" t="s">
        <v>200</v>
      </c>
      <c r="L203" s="2" t="s">
        <v>575</v>
      </c>
      <c r="M203" s="1">
        <v>537</v>
      </c>
      <c r="N203" s="1">
        <v>13737</v>
      </c>
      <c r="O203" s="2" t="s">
        <v>180</v>
      </c>
      <c r="P203" s="2" t="s">
        <v>48</v>
      </c>
      <c r="Q203" s="2" t="s">
        <v>311</v>
      </c>
      <c r="R203" s="2" t="s">
        <v>67</v>
      </c>
      <c r="S203" s="2" t="s">
        <v>67</v>
      </c>
      <c r="T203" s="1">
        <v>6684</v>
      </c>
      <c r="U203" s="2" t="s">
        <v>51</v>
      </c>
      <c r="V203" s="1">
        <v>1671</v>
      </c>
      <c r="W203" s="1">
        <v>1613</v>
      </c>
      <c r="X203" s="2" t="s">
        <v>407</v>
      </c>
      <c r="Y203" s="2" t="s">
        <v>277</v>
      </c>
      <c r="Z203" s="2" t="s">
        <v>1020</v>
      </c>
      <c r="AA203" s="2" t="s">
        <v>1122</v>
      </c>
      <c r="AB203" s="1">
        <v>7053</v>
      </c>
      <c r="AC203" s="1">
        <v>4037</v>
      </c>
      <c r="AD203" s="1">
        <v>1842</v>
      </c>
      <c r="AE203" s="1">
        <v>657</v>
      </c>
      <c r="AF203" s="1">
        <v>127</v>
      </c>
      <c r="AG203" s="1">
        <v>21</v>
      </c>
      <c r="AH203" s="1">
        <v>7535</v>
      </c>
      <c r="AI203" s="1">
        <v>60</v>
      </c>
      <c r="AJ203" s="1">
        <v>469</v>
      </c>
      <c r="AK203" s="1">
        <v>2111</v>
      </c>
      <c r="AL203" s="1">
        <v>139</v>
      </c>
      <c r="AM203" s="1">
        <v>16</v>
      </c>
      <c r="AN203" s="2" t="s">
        <v>561</v>
      </c>
    </row>
    <row r="204" spans="1:40" ht="42" x14ac:dyDescent="0.3">
      <c r="A204" s="1">
        <v>9686</v>
      </c>
      <c r="B204" s="2" t="s">
        <v>1299</v>
      </c>
      <c r="C204" s="2" t="s">
        <v>1300</v>
      </c>
      <c r="D204" s="1">
        <v>26</v>
      </c>
      <c r="E204" s="2" t="s">
        <v>150</v>
      </c>
      <c r="F204" s="50" t="s">
        <v>1301</v>
      </c>
      <c r="G204" s="2" t="s">
        <v>1302</v>
      </c>
      <c r="H204" s="1">
        <v>16191</v>
      </c>
      <c r="I204" s="1">
        <v>14502</v>
      </c>
      <c r="J204" s="2" t="s">
        <v>1303</v>
      </c>
      <c r="K204" s="2" t="s">
        <v>1234</v>
      </c>
      <c r="L204" s="2" t="s">
        <v>541</v>
      </c>
      <c r="M204" s="1">
        <v>897</v>
      </c>
      <c r="N204" s="1">
        <v>23347</v>
      </c>
      <c r="O204" s="2" t="s">
        <v>463</v>
      </c>
      <c r="P204" s="2" t="s">
        <v>48</v>
      </c>
      <c r="Q204" s="2" t="s">
        <v>144</v>
      </c>
      <c r="R204" s="2" t="s">
        <v>50</v>
      </c>
      <c r="S204" s="2" t="s">
        <v>50</v>
      </c>
      <c r="T204" s="1">
        <v>10996</v>
      </c>
      <c r="U204" s="2" t="s">
        <v>51</v>
      </c>
      <c r="V204" s="1">
        <v>2957</v>
      </c>
      <c r="W204" s="1">
        <v>2250</v>
      </c>
      <c r="X204" s="2" t="s">
        <v>1120</v>
      </c>
      <c r="Y204" s="2" t="s">
        <v>111</v>
      </c>
      <c r="Z204" s="2" t="s">
        <v>347</v>
      </c>
      <c r="AA204" s="2" t="s">
        <v>1122</v>
      </c>
      <c r="AB204" s="1">
        <v>12351</v>
      </c>
      <c r="AC204" s="1">
        <v>7054</v>
      </c>
      <c r="AD204" s="1">
        <v>2890</v>
      </c>
      <c r="AE204" s="1">
        <v>870</v>
      </c>
      <c r="AF204" s="1">
        <v>163</v>
      </c>
      <c r="AG204" s="1">
        <v>19</v>
      </c>
      <c r="AH204" s="1">
        <v>4576</v>
      </c>
      <c r="AI204" s="1">
        <v>8064</v>
      </c>
      <c r="AJ204" s="1">
        <v>592</v>
      </c>
      <c r="AK204" s="1">
        <v>2785</v>
      </c>
      <c r="AL204" s="1">
        <v>166</v>
      </c>
      <c r="AM204" s="1">
        <v>49</v>
      </c>
      <c r="AN204" s="2" t="s">
        <v>304</v>
      </c>
    </row>
    <row r="205" spans="1:40" ht="28.2" x14ac:dyDescent="0.3">
      <c r="A205" s="1">
        <v>17011</v>
      </c>
      <c r="B205" s="2" t="s">
        <v>1304</v>
      </c>
      <c r="C205" s="2" t="s">
        <v>1305</v>
      </c>
      <c r="D205" s="1">
        <v>20</v>
      </c>
      <c r="E205" s="2" t="s">
        <v>75</v>
      </c>
      <c r="F205" s="50" t="s">
        <v>491</v>
      </c>
      <c r="G205" s="2" t="s">
        <v>1306</v>
      </c>
      <c r="H205" s="1">
        <v>7532</v>
      </c>
      <c r="I205" s="1">
        <v>6744</v>
      </c>
      <c r="J205" s="2" t="s">
        <v>292</v>
      </c>
      <c r="K205" s="2">
        <v>77</v>
      </c>
      <c r="L205" s="2" t="s">
        <v>46</v>
      </c>
      <c r="M205" s="1">
        <v>396</v>
      </c>
      <c r="N205" s="1">
        <v>10659</v>
      </c>
      <c r="O205" s="2" t="s">
        <v>646</v>
      </c>
      <c r="P205" s="2" t="s">
        <v>48</v>
      </c>
      <c r="Q205" s="2" t="s">
        <v>215</v>
      </c>
      <c r="R205" s="2" t="s">
        <v>66</v>
      </c>
      <c r="S205" s="2" t="s">
        <v>96</v>
      </c>
      <c r="T205" s="1">
        <v>5166</v>
      </c>
      <c r="U205" s="2" t="s">
        <v>51</v>
      </c>
      <c r="V205" s="1">
        <v>1199</v>
      </c>
      <c r="W205" s="1">
        <v>983</v>
      </c>
      <c r="X205" s="2" t="s">
        <v>114</v>
      </c>
      <c r="Y205" s="2" t="s">
        <v>277</v>
      </c>
      <c r="Z205" s="2" t="s">
        <v>1165</v>
      </c>
      <c r="AA205" s="2" t="s">
        <v>267</v>
      </c>
      <c r="AB205" s="1">
        <v>5493</v>
      </c>
      <c r="AC205" s="1">
        <v>3359</v>
      </c>
      <c r="AD205" s="1">
        <v>1332</v>
      </c>
      <c r="AE205" s="1">
        <v>391</v>
      </c>
      <c r="AF205" s="1">
        <v>84</v>
      </c>
      <c r="AG205" s="1">
        <v>0</v>
      </c>
      <c r="AH205" s="1">
        <v>5469</v>
      </c>
      <c r="AI205" s="1">
        <v>569</v>
      </c>
      <c r="AJ205" s="1">
        <v>327</v>
      </c>
      <c r="AK205" s="1">
        <v>1080</v>
      </c>
      <c r="AL205" s="1">
        <v>84</v>
      </c>
      <c r="AM205" s="1">
        <v>26</v>
      </c>
      <c r="AN205" s="2" t="s">
        <v>362</v>
      </c>
    </row>
    <row r="206" spans="1:40" x14ac:dyDescent="0.3">
      <c r="A206" s="1">
        <v>15683</v>
      </c>
      <c r="B206" s="2" t="s">
        <v>1307</v>
      </c>
      <c r="C206" s="2" t="s">
        <v>1308</v>
      </c>
      <c r="D206" s="1">
        <v>20</v>
      </c>
      <c r="E206" s="2" t="s">
        <v>209</v>
      </c>
      <c r="F206" s="50" t="s">
        <v>210</v>
      </c>
      <c r="G206" s="2" t="s">
        <v>211</v>
      </c>
      <c r="H206" s="1">
        <v>10379</v>
      </c>
      <c r="I206" s="1">
        <v>9750</v>
      </c>
      <c r="J206" s="2" t="s">
        <v>1309</v>
      </c>
      <c r="K206" s="2">
        <v>79</v>
      </c>
      <c r="L206" s="2" t="s">
        <v>122</v>
      </c>
      <c r="M206" s="1">
        <v>540</v>
      </c>
      <c r="N206" s="1">
        <v>14298</v>
      </c>
      <c r="O206" s="2" t="s">
        <v>495</v>
      </c>
      <c r="P206" s="2" t="s">
        <v>202</v>
      </c>
      <c r="Q206" s="2" t="s">
        <v>167</v>
      </c>
      <c r="R206" s="2" t="s">
        <v>50</v>
      </c>
      <c r="S206" s="2" t="s">
        <v>50</v>
      </c>
      <c r="T206" s="1">
        <v>6823</v>
      </c>
      <c r="U206" s="2" t="s">
        <v>51</v>
      </c>
      <c r="V206" s="1">
        <v>1638</v>
      </c>
      <c r="W206" s="1">
        <v>1699</v>
      </c>
      <c r="X206" s="2" t="s">
        <v>472</v>
      </c>
      <c r="Y206" s="2" t="s">
        <v>407</v>
      </c>
      <c r="Z206" s="2" t="s">
        <v>1310</v>
      </c>
      <c r="AA206" s="2" t="s">
        <v>659</v>
      </c>
      <c r="AB206" s="1">
        <v>7475</v>
      </c>
      <c r="AC206" s="1">
        <v>4178</v>
      </c>
      <c r="AD206" s="1">
        <v>1869</v>
      </c>
      <c r="AE206" s="1">
        <v>655</v>
      </c>
      <c r="AF206" s="1">
        <v>107</v>
      </c>
      <c r="AG206" s="1">
        <v>14</v>
      </c>
      <c r="AH206" s="1">
        <v>7792</v>
      </c>
      <c r="AI206" s="1">
        <v>101</v>
      </c>
      <c r="AJ206" s="1">
        <v>568</v>
      </c>
      <c r="AK206" s="1">
        <v>1831</v>
      </c>
      <c r="AL206" s="1">
        <v>67</v>
      </c>
      <c r="AM206" s="1">
        <v>44</v>
      </c>
      <c r="AN206" s="2" t="s">
        <v>362</v>
      </c>
    </row>
    <row r="207" spans="1:40" ht="28.2" x14ac:dyDescent="0.3">
      <c r="A207" s="1">
        <v>9618</v>
      </c>
      <c r="B207" s="2" t="s">
        <v>1311</v>
      </c>
      <c r="C207" s="2" t="s">
        <v>1312</v>
      </c>
      <c r="D207" s="1">
        <v>25</v>
      </c>
      <c r="E207" s="2" t="s">
        <v>895</v>
      </c>
      <c r="F207" s="50" t="s">
        <v>130</v>
      </c>
      <c r="G207" s="2" t="s">
        <v>1313</v>
      </c>
      <c r="H207" s="1">
        <v>23191</v>
      </c>
      <c r="I207" s="1">
        <v>21037</v>
      </c>
      <c r="J207" s="2" t="s">
        <v>1218</v>
      </c>
      <c r="K207" s="2" t="s">
        <v>531</v>
      </c>
      <c r="L207" s="2" t="s">
        <v>224</v>
      </c>
      <c r="M207" s="1">
        <v>1253</v>
      </c>
      <c r="N207" s="1">
        <v>33161</v>
      </c>
      <c r="O207" s="2" t="s">
        <v>905</v>
      </c>
      <c r="P207" s="2" t="s">
        <v>202</v>
      </c>
      <c r="Q207" s="2" t="s">
        <v>215</v>
      </c>
      <c r="R207" s="2" t="s">
        <v>50</v>
      </c>
      <c r="S207" s="2" t="s">
        <v>67</v>
      </c>
      <c r="T207" s="1">
        <v>15639</v>
      </c>
      <c r="U207" s="2" t="s">
        <v>51</v>
      </c>
      <c r="V207" s="1">
        <v>2523</v>
      </c>
      <c r="W207" s="1">
        <v>2509</v>
      </c>
      <c r="X207" s="2" t="s">
        <v>255</v>
      </c>
      <c r="Y207" s="2" t="s">
        <v>1314</v>
      </c>
      <c r="Z207" s="2" t="s">
        <v>391</v>
      </c>
      <c r="AA207" s="2" t="s">
        <v>1315</v>
      </c>
      <c r="AB207" s="1">
        <v>17522</v>
      </c>
      <c r="AC207" s="1">
        <v>9932</v>
      </c>
      <c r="AD207" s="1">
        <v>4176</v>
      </c>
      <c r="AE207" s="1">
        <v>1242</v>
      </c>
      <c r="AF207" s="1">
        <v>264</v>
      </c>
      <c r="AG207" s="1">
        <v>25</v>
      </c>
      <c r="AH207" s="1">
        <v>16842</v>
      </c>
      <c r="AI207" s="1">
        <v>364</v>
      </c>
      <c r="AJ207" s="1">
        <v>1715</v>
      </c>
      <c r="AK207" s="1">
        <v>3931</v>
      </c>
      <c r="AL207" s="1">
        <v>326</v>
      </c>
      <c r="AM207" s="1">
        <v>78</v>
      </c>
      <c r="AN207" s="2" t="s">
        <v>304</v>
      </c>
    </row>
    <row r="208" spans="1:40" x14ac:dyDescent="0.3">
      <c r="A208" s="1">
        <v>5388</v>
      </c>
      <c r="B208" s="2" t="s">
        <v>1316</v>
      </c>
      <c r="C208" s="2" t="s">
        <v>1317</v>
      </c>
      <c r="D208" s="1">
        <v>28</v>
      </c>
      <c r="E208" s="2" t="s">
        <v>327</v>
      </c>
      <c r="F208" s="50" t="s">
        <v>3514</v>
      </c>
      <c r="G208" s="2" t="s">
        <v>1318</v>
      </c>
      <c r="H208" s="1">
        <v>33812</v>
      </c>
      <c r="I208" s="1">
        <v>30796</v>
      </c>
      <c r="J208" s="2" t="s">
        <v>775</v>
      </c>
      <c r="K208" s="2">
        <v>82</v>
      </c>
      <c r="L208" s="2" t="s">
        <v>1319</v>
      </c>
      <c r="M208" s="1">
        <v>1757</v>
      </c>
      <c r="N208" s="1">
        <v>46953</v>
      </c>
      <c r="O208" s="2" t="s">
        <v>311</v>
      </c>
      <c r="P208" s="2" t="s">
        <v>553</v>
      </c>
      <c r="Q208" s="2" t="s">
        <v>322</v>
      </c>
      <c r="R208" s="2" t="s">
        <v>96</v>
      </c>
      <c r="S208" s="2" t="s">
        <v>96</v>
      </c>
      <c r="T208" s="1">
        <v>22894</v>
      </c>
      <c r="U208" s="2" t="s">
        <v>51</v>
      </c>
      <c r="V208" s="1">
        <v>4845</v>
      </c>
      <c r="W208" s="1">
        <v>4113</v>
      </c>
      <c r="X208" s="2" t="s">
        <v>169</v>
      </c>
      <c r="Y208" s="2" t="s">
        <v>407</v>
      </c>
      <c r="Z208" s="2" t="s">
        <v>443</v>
      </c>
      <c r="AA208" s="2" t="s">
        <v>648</v>
      </c>
      <c r="AB208" s="1">
        <v>24059</v>
      </c>
      <c r="AC208" s="1">
        <v>14496</v>
      </c>
      <c r="AD208" s="1">
        <v>6246</v>
      </c>
      <c r="AE208" s="1">
        <v>1825</v>
      </c>
      <c r="AF208" s="1">
        <v>297</v>
      </c>
      <c r="AG208" s="1">
        <v>30</v>
      </c>
      <c r="AH208" s="1">
        <v>21723</v>
      </c>
      <c r="AI208" s="1">
        <v>3916</v>
      </c>
      <c r="AJ208" s="1">
        <v>1780</v>
      </c>
      <c r="AK208" s="1">
        <v>5507</v>
      </c>
      <c r="AL208" s="1">
        <v>671</v>
      </c>
      <c r="AM208" s="1">
        <v>257</v>
      </c>
      <c r="AN208" s="2" t="s">
        <v>304</v>
      </c>
    </row>
    <row r="209" spans="1:40" x14ac:dyDescent="0.3">
      <c r="A209" s="1">
        <v>17145</v>
      </c>
      <c r="B209" s="2" t="s">
        <v>1320</v>
      </c>
      <c r="C209" s="2" t="s">
        <v>1321</v>
      </c>
      <c r="D209" s="1">
        <v>21</v>
      </c>
      <c r="E209" s="2" t="s">
        <v>467</v>
      </c>
      <c r="F209" s="50" t="s">
        <v>468</v>
      </c>
      <c r="G209" s="2" t="s">
        <v>468</v>
      </c>
      <c r="H209" s="1">
        <v>21206</v>
      </c>
      <c r="I209" s="1">
        <v>19252</v>
      </c>
      <c r="J209" s="2" t="s">
        <v>1322</v>
      </c>
      <c r="K209" s="2" t="s">
        <v>1183</v>
      </c>
      <c r="L209" s="2" t="s">
        <v>1170</v>
      </c>
      <c r="M209" s="1">
        <v>1127</v>
      </c>
      <c r="N209" s="1">
        <v>30404</v>
      </c>
      <c r="O209" s="2" t="s">
        <v>905</v>
      </c>
      <c r="P209" s="2" t="s">
        <v>202</v>
      </c>
      <c r="Q209" s="2" t="s">
        <v>215</v>
      </c>
      <c r="R209" s="2" t="s">
        <v>66</v>
      </c>
      <c r="S209" s="2" t="s">
        <v>50</v>
      </c>
      <c r="T209" s="1">
        <v>14268</v>
      </c>
      <c r="U209" s="2" t="s">
        <v>51</v>
      </c>
      <c r="V209" s="1">
        <v>2605</v>
      </c>
      <c r="W209" s="1">
        <v>2454</v>
      </c>
      <c r="X209" s="2" t="s">
        <v>590</v>
      </c>
      <c r="Y209" s="2" t="s">
        <v>472</v>
      </c>
      <c r="Z209" s="2" t="s">
        <v>821</v>
      </c>
      <c r="AA209" s="2" t="s">
        <v>1052</v>
      </c>
      <c r="AB209" s="1">
        <v>16136</v>
      </c>
      <c r="AC209" s="1">
        <v>9022</v>
      </c>
      <c r="AD209" s="1">
        <v>3845</v>
      </c>
      <c r="AE209" s="1">
        <v>1139</v>
      </c>
      <c r="AF209" s="1">
        <v>233</v>
      </c>
      <c r="AG209" s="1">
        <v>29</v>
      </c>
      <c r="AH209" s="1">
        <v>16167</v>
      </c>
      <c r="AI209" s="1">
        <v>492</v>
      </c>
      <c r="AJ209" s="1">
        <v>940</v>
      </c>
      <c r="AK209" s="1">
        <v>3358</v>
      </c>
      <c r="AL209" s="1">
        <v>263</v>
      </c>
      <c r="AM209" s="1">
        <v>57</v>
      </c>
      <c r="AN209" s="2" t="s">
        <v>561</v>
      </c>
    </row>
    <row r="210" spans="1:40" ht="42" x14ac:dyDescent="0.3">
      <c r="A210" s="1">
        <v>10168</v>
      </c>
      <c r="B210" s="2" t="s">
        <v>1323</v>
      </c>
      <c r="C210" s="2" t="s">
        <v>1324</v>
      </c>
      <c r="D210" s="1">
        <v>28</v>
      </c>
      <c r="E210" s="2" t="s">
        <v>209</v>
      </c>
      <c r="F210" s="50" t="s">
        <v>3514</v>
      </c>
      <c r="G210" s="2" t="s">
        <v>1325</v>
      </c>
      <c r="H210" s="1">
        <v>14489</v>
      </c>
      <c r="I210" s="1">
        <v>13618</v>
      </c>
      <c r="J210" s="2" t="s">
        <v>1326</v>
      </c>
      <c r="K210" s="2" t="s">
        <v>686</v>
      </c>
      <c r="L210" s="2" t="s">
        <v>46</v>
      </c>
      <c r="M210" s="1">
        <v>768</v>
      </c>
      <c r="N210" s="1">
        <v>19801</v>
      </c>
      <c r="O210" s="2" t="s">
        <v>495</v>
      </c>
      <c r="P210" s="2" t="s">
        <v>235</v>
      </c>
      <c r="Q210" s="2" t="s">
        <v>463</v>
      </c>
      <c r="R210" s="2" t="s">
        <v>50</v>
      </c>
      <c r="S210" s="2" t="s">
        <v>50</v>
      </c>
      <c r="T210" s="1">
        <v>9641</v>
      </c>
      <c r="U210" s="2" t="s">
        <v>51</v>
      </c>
      <c r="V210" s="1">
        <v>1995</v>
      </c>
      <c r="W210" s="1">
        <v>1930</v>
      </c>
      <c r="X210" s="2" t="s">
        <v>412</v>
      </c>
      <c r="Y210" s="2" t="s">
        <v>255</v>
      </c>
      <c r="Z210" s="2" t="s">
        <v>1327</v>
      </c>
      <c r="AA210" s="2" t="s">
        <v>746</v>
      </c>
      <c r="AB210" s="1">
        <v>10160</v>
      </c>
      <c r="AC210" s="1">
        <v>6059</v>
      </c>
      <c r="AD210" s="1">
        <v>2550</v>
      </c>
      <c r="AE210" s="1">
        <v>816</v>
      </c>
      <c r="AF210" s="1">
        <v>198</v>
      </c>
      <c r="AG210" s="1">
        <v>18</v>
      </c>
      <c r="AH210" s="1">
        <v>10743</v>
      </c>
      <c r="AI210" s="1">
        <v>141</v>
      </c>
      <c r="AJ210" s="1">
        <v>952</v>
      </c>
      <c r="AK210" s="1">
        <v>2511</v>
      </c>
      <c r="AL210" s="1">
        <v>152</v>
      </c>
      <c r="AM210" s="1">
        <v>21</v>
      </c>
      <c r="AN210" s="2" t="s">
        <v>304</v>
      </c>
    </row>
    <row r="211" spans="1:40" ht="28.2" x14ac:dyDescent="0.3">
      <c r="A211" s="1">
        <v>2544</v>
      </c>
      <c r="B211" s="2" t="s">
        <v>1328</v>
      </c>
      <c r="C211" s="2" t="s">
        <v>1329</v>
      </c>
      <c r="D211" s="1">
        <v>28</v>
      </c>
      <c r="E211" s="2" t="s">
        <v>104</v>
      </c>
      <c r="F211" s="50" t="s">
        <v>1330</v>
      </c>
      <c r="G211" s="2" t="s">
        <v>1331</v>
      </c>
      <c r="H211" s="1">
        <v>7551</v>
      </c>
      <c r="I211" s="1">
        <v>6978</v>
      </c>
      <c r="J211" s="2" t="s">
        <v>1332</v>
      </c>
      <c r="K211" s="2" t="s">
        <v>862</v>
      </c>
      <c r="L211" s="2">
        <v>2</v>
      </c>
      <c r="M211" s="1">
        <v>398</v>
      </c>
      <c r="N211" s="1">
        <v>10626</v>
      </c>
      <c r="O211" s="2" t="s">
        <v>646</v>
      </c>
      <c r="P211" s="2" t="s">
        <v>96</v>
      </c>
      <c r="Q211" s="2" t="s">
        <v>322</v>
      </c>
      <c r="R211" s="2" t="s">
        <v>96</v>
      </c>
      <c r="S211" s="2" t="s">
        <v>96</v>
      </c>
      <c r="T211" s="1">
        <v>5061</v>
      </c>
      <c r="U211" s="2" t="s">
        <v>51</v>
      </c>
      <c r="V211" s="1">
        <v>1275</v>
      </c>
      <c r="W211" s="1">
        <v>942</v>
      </c>
      <c r="X211" s="2" t="s">
        <v>323</v>
      </c>
      <c r="Y211" s="2" t="s">
        <v>370</v>
      </c>
      <c r="Z211" s="2" t="s">
        <v>347</v>
      </c>
      <c r="AA211" s="2" t="s">
        <v>354</v>
      </c>
      <c r="AB211" s="1">
        <v>5565</v>
      </c>
      <c r="AC211" s="1">
        <v>3220</v>
      </c>
      <c r="AD211" s="1">
        <v>1314</v>
      </c>
      <c r="AE211" s="1">
        <v>418</v>
      </c>
      <c r="AF211" s="1">
        <v>96</v>
      </c>
      <c r="AG211" s="1">
        <v>13</v>
      </c>
      <c r="AH211" s="1">
        <v>1140</v>
      </c>
      <c r="AI211" s="1">
        <v>4956</v>
      </c>
      <c r="AJ211" s="1">
        <v>247</v>
      </c>
      <c r="AK211" s="1">
        <v>1168</v>
      </c>
      <c r="AL211" s="1">
        <v>43</v>
      </c>
      <c r="AM211" s="1">
        <v>16</v>
      </c>
      <c r="AN211" s="2" t="s">
        <v>464</v>
      </c>
    </row>
    <row r="212" spans="1:40" x14ac:dyDescent="0.3">
      <c r="A212" s="1">
        <v>10449</v>
      </c>
      <c r="B212" s="2" t="s">
        <v>1333</v>
      </c>
      <c r="C212" s="2" t="s">
        <v>1334</v>
      </c>
      <c r="D212" s="1">
        <v>25</v>
      </c>
      <c r="E212" s="2" t="s">
        <v>1335</v>
      </c>
      <c r="F212" s="50" t="s">
        <v>3514</v>
      </c>
      <c r="G212" s="2" t="s">
        <v>1336</v>
      </c>
      <c r="H212" s="1">
        <v>16229</v>
      </c>
      <c r="I212" s="1">
        <v>14827</v>
      </c>
      <c r="J212" s="2" t="s">
        <v>1337</v>
      </c>
      <c r="K212" s="2" t="s">
        <v>939</v>
      </c>
      <c r="L212" s="2" t="s">
        <v>46</v>
      </c>
      <c r="M212" s="1">
        <v>870</v>
      </c>
      <c r="N212" s="1">
        <v>22834</v>
      </c>
      <c r="O212" s="2" t="s">
        <v>646</v>
      </c>
      <c r="P212" s="2" t="s">
        <v>48</v>
      </c>
      <c r="Q212" s="2" t="s">
        <v>276</v>
      </c>
      <c r="R212" s="2" t="s">
        <v>50</v>
      </c>
      <c r="S212" s="2" t="s">
        <v>67</v>
      </c>
      <c r="T212" s="1">
        <v>10968</v>
      </c>
      <c r="U212" s="2" t="s">
        <v>51</v>
      </c>
      <c r="V212" s="1">
        <v>2234</v>
      </c>
      <c r="W212" s="1">
        <v>1908</v>
      </c>
      <c r="X212" s="2" t="s">
        <v>172</v>
      </c>
      <c r="Y212" s="2" t="s">
        <v>449</v>
      </c>
      <c r="Z212" s="2" t="s">
        <v>278</v>
      </c>
      <c r="AA212" s="2" t="s">
        <v>746</v>
      </c>
      <c r="AB212" s="1">
        <v>11866</v>
      </c>
      <c r="AC212" s="1">
        <v>7007</v>
      </c>
      <c r="AD212" s="1">
        <v>2867</v>
      </c>
      <c r="AE212" s="1">
        <v>903</v>
      </c>
      <c r="AF212" s="1">
        <v>176</v>
      </c>
      <c r="AG212" s="1">
        <v>15</v>
      </c>
      <c r="AH212" s="1">
        <v>12309</v>
      </c>
      <c r="AI212" s="1">
        <v>227</v>
      </c>
      <c r="AJ212" s="1">
        <v>535</v>
      </c>
      <c r="AK212" s="1">
        <v>2959</v>
      </c>
      <c r="AL212" s="1">
        <v>219</v>
      </c>
      <c r="AM212" s="1">
        <v>43</v>
      </c>
      <c r="AN212" s="2" t="s">
        <v>304</v>
      </c>
    </row>
    <row r="213" spans="1:40" x14ac:dyDescent="0.3">
      <c r="A213" s="1">
        <v>3849</v>
      </c>
      <c r="B213" s="2" t="s">
        <v>1338</v>
      </c>
      <c r="C213" s="2" t="s">
        <v>1339</v>
      </c>
      <c r="D213" s="1">
        <v>27</v>
      </c>
      <c r="E213" s="2" t="s">
        <v>545</v>
      </c>
      <c r="F213" s="50" t="s">
        <v>1340</v>
      </c>
      <c r="G213" s="2" t="s">
        <v>605</v>
      </c>
      <c r="H213" s="1">
        <v>37544</v>
      </c>
      <c r="I213" s="1">
        <v>35005</v>
      </c>
      <c r="J213" s="2" t="s">
        <v>652</v>
      </c>
      <c r="K213" s="2" t="s">
        <v>540</v>
      </c>
      <c r="L213" s="2">
        <v>4</v>
      </c>
      <c r="M213" s="1">
        <v>1955</v>
      </c>
      <c r="N213" s="1">
        <v>51388</v>
      </c>
      <c r="O213" s="2" t="s">
        <v>495</v>
      </c>
      <c r="P213" s="2" t="s">
        <v>235</v>
      </c>
      <c r="Q213" s="2" t="s">
        <v>167</v>
      </c>
      <c r="R213" s="2" t="s">
        <v>66</v>
      </c>
      <c r="S213" s="2" t="s">
        <v>66</v>
      </c>
      <c r="T213" s="1">
        <v>24935</v>
      </c>
      <c r="U213" s="2" t="s">
        <v>51</v>
      </c>
      <c r="V213" s="1">
        <v>7189</v>
      </c>
      <c r="W213" s="1">
        <v>6363</v>
      </c>
      <c r="X213" s="2" t="s">
        <v>98</v>
      </c>
      <c r="Y213" s="2" t="s">
        <v>206</v>
      </c>
      <c r="Z213" s="2" t="s">
        <v>777</v>
      </c>
      <c r="AA213" s="2" t="s">
        <v>712</v>
      </c>
      <c r="AB213" s="1">
        <v>26453</v>
      </c>
      <c r="AC213" s="1">
        <v>15449</v>
      </c>
      <c r="AD213" s="1">
        <v>6913</v>
      </c>
      <c r="AE213" s="1">
        <v>2130</v>
      </c>
      <c r="AF213" s="1">
        <v>407</v>
      </c>
      <c r="AG213" s="1">
        <v>36</v>
      </c>
      <c r="AH213" s="1">
        <v>14368</v>
      </c>
      <c r="AI213" s="1">
        <v>12911</v>
      </c>
      <c r="AJ213" s="1">
        <v>1228</v>
      </c>
      <c r="AK213" s="1">
        <v>7496</v>
      </c>
      <c r="AL213" s="1">
        <v>602</v>
      </c>
      <c r="AM213" s="1">
        <v>1001</v>
      </c>
      <c r="AN213" s="2" t="s">
        <v>304</v>
      </c>
    </row>
    <row r="214" spans="1:40" ht="28.2" x14ac:dyDescent="0.3">
      <c r="A214" s="1">
        <v>15940</v>
      </c>
      <c r="B214" s="2" t="s">
        <v>1341</v>
      </c>
      <c r="C214" s="2" t="s">
        <v>1342</v>
      </c>
      <c r="D214" s="1">
        <v>24</v>
      </c>
      <c r="E214" s="2" t="s">
        <v>327</v>
      </c>
      <c r="F214" s="50" t="s">
        <v>1343</v>
      </c>
      <c r="G214" s="2" t="s">
        <v>1344</v>
      </c>
      <c r="H214" s="1">
        <v>15166</v>
      </c>
      <c r="I214" s="1">
        <v>14052</v>
      </c>
      <c r="J214" s="2" t="s">
        <v>633</v>
      </c>
      <c r="K214" s="2" t="s">
        <v>1195</v>
      </c>
      <c r="L214" s="2" t="s">
        <v>294</v>
      </c>
      <c r="M214" s="1">
        <v>785</v>
      </c>
      <c r="N214" s="1">
        <v>21220</v>
      </c>
      <c r="O214" s="2" t="s">
        <v>646</v>
      </c>
      <c r="P214" s="2" t="s">
        <v>202</v>
      </c>
      <c r="Q214" s="2" t="s">
        <v>322</v>
      </c>
      <c r="R214" s="2" t="s">
        <v>66</v>
      </c>
      <c r="S214" s="2" t="s">
        <v>66</v>
      </c>
      <c r="T214" s="1">
        <v>10143</v>
      </c>
      <c r="U214" s="2" t="s">
        <v>51</v>
      </c>
      <c r="V214" s="1">
        <v>1899</v>
      </c>
      <c r="W214" s="1">
        <v>1811</v>
      </c>
      <c r="X214" s="2" t="s">
        <v>304</v>
      </c>
      <c r="Y214" s="2" t="s">
        <v>503</v>
      </c>
      <c r="Z214" s="2" t="s">
        <v>1345</v>
      </c>
      <c r="AA214" s="2" t="s">
        <v>828</v>
      </c>
      <c r="AB214" s="1">
        <v>11077</v>
      </c>
      <c r="AC214" s="1">
        <v>6398</v>
      </c>
      <c r="AD214" s="1">
        <v>2691</v>
      </c>
      <c r="AE214" s="1">
        <v>854</v>
      </c>
      <c r="AF214" s="1">
        <v>176</v>
      </c>
      <c r="AG214" s="1">
        <v>24</v>
      </c>
      <c r="AH214" s="1">
        <v>11123</v>
      </c>
      <c r="AI214" s="1">
        <v>231</v>
      </c>
      <c r="AJ214" s="1">
        <v>1151</v>
      </c>
      <c r="AK214" s="1">
        <v>2466</v>
      </c>
      <c r="AL214" s="1">
        <v>179</v>
      </c>
      <c r="AM214" s="1">
        <v>56</v>
      </c>
      <c r="AN214" s="2" t="s">
        <v>295</v>
      </c>
    </row>
    <row r="215" spans="1:40" ht="28.2" x14ac:dyDescent="0.3">
      <c r="A215" s="1">
        <v>19926</v>
      </c>
      <c r="B215" s="2" t="s">
        <v>1346</v>
      </c>
      <c r="C215" s="2" t="s">
        <v>1347</v>
      </c>
      <c r="D215" s="1">
        <v>23</v>
      </c>
      <c r="E215" s="2" t="s">
        <v>42</v>
      </c>
      <c r="F215" s="50" t="s">
        <v>1348</v>
      </c>
      <c r="G215" s="2" t="s">
        <v>1349</v>
      </c>
      <c r="H215" s="1">
        <v>10973</v>
      </c>
      <c r="I215" s="1">
        <v>9994</v>
      </c>
      <c r="J215" s="2" t="s">
        <v>1350</v>
      </c>
      <c r="K215" s="2" t="s">
        <v>1351</v>
      </c>
      <c r="L215" s="2" t="s">
        <v>1352</v>
      </c>
      <c r="M215" s="1">
        <v>591</v>
      </c>
      <c r="N215" s="1">
        <v>15808</v>
      </c>
      <c r="O215" s="2" t="s">
        <v>463</v>
      </c>
      <c r="P215" s="2" t="s">
        <v>67</v>
      </c>
      <c r="Q215" s="2" t="s">
        <v>215</v>
      </c>
      <c r="R215" s="2" t="s">
        <v>66</v>
      </c>
      <c r="S215" s="2" t="s">
        <v>96</v>
      </c>
      <c r="T215" s="1">
        <v>7361</v>
      </c>
      <c r="U215" s="2" t="s">
        <v>51</v>
      </c>
      <c r="V215" s="1">
        <v>1913</v>
      </c>
      <c r="W215" s="1">
        <v>1554</v>
      </c>
      <c r="X215" s="2" t="s">
        <v>101</v>
      </c>
      <c r="Y215" s="2" t="s">
        <v>362</v>
      </c>
      <c r="Z215" s="2" t="s">
        <v>237</v>
      </c>
      <c r="AA215" s="2" t="s">
        <v>126</v>
      </c>
      <c r="AB215" s="1">
        <v>8447</v>
      </c>
      <c r="AC215" s="1">
        <v>4657</v>
      </c>
      <c r="AD215" s="1">
        <v>1937</v>
      </c>
      <c r="AE215" s="1">
        <v>641</v>
      </c>
      <c r="AF215" s="1">
        <v>111</v>
      </c>
      <c r="AG215" s="1">
        <v>15</v>
      </c>
      <c r="AH215" s="1">
        <v>4043</v>
      </c>
      <c r="AI215" s="1">
        <v>4871</v>
      </c>
      <c r="AJ215" s="1">
        <v>190</v>
      </c>
      <c r="AK215" s="1">
        <v>1701</v>
      </c>
      <c r="AL215" s="1">
        <v>175</v>
      </c>
      <c r="AM215" s="1">
        <v>55</v>
      </c>
      <c r="AN215" s="2" t="s">
        <v>277</v>
      </c>
    </row>
    <row r="216" spans="1:40" x14ac:dyDescent="0.3">
      <c r="A216" s="1">
        <v>14759</v>
      </c>
      <c r="B216" s="2" t="s">
        <v>1353</v>
      </c>
      <c r="C216" s="2" t="s">
        <v>1354</v>
      </c>
      <c r="D216" s="1">
        <v>23</v>
      </c>
      <c r="E216" s="2" t="s">
        <v>318</v>
      </c>
      <c r="F216" s="50" t="s">
        <v>1355</v>
      </c>
      <c r="G216" s="2" t="s">
        <v>1356</v>
      </c>
      <c r="H216" s="1">
        <v>15214</v>
      </c>
      <c r="I216" s="1">
        <v>14387</v>
      </c>
      <c r="J216" s="2" t="s">
        <v>1357</v>
      </c>
      <c r="K216" s="2" t="s">
        <v>868</v>
      </c>
      <c r="L216" s="2" t="s">
        <v>589</v>
      </c>
      <c r="M216" s="1">
        <v>768</v>
      </c>
      <c r="N216" s="1">
        <v>20592</v>
      </c>
      <c r="O216" s="2" t="s">
        <v>283</v>
      </c>
      <c r="P216" s="2" t="s">
        <v>202</v>
      </c>
      <c r="Q216" s="2" t="s">
        <v>905</v>
      </c>
      <c r="R216" s="2" t="s">
        <v>96</v>
      </c>
      <c r="S216" s="2" t="s">
        <v>96</v>
      </c>
      <c r="T216" s="1">
        <v>10122</v>
      </c>
      <c r="U216" s="2" t="s">
        <v>51</v>
      </c>
      <c r="V216" s="1">
        <v>2427</v>
      </c>
      <c r="W216" s="1">
        <v>2290</v>
      </c>
      <c r="X216" s="2" t="s">
        <v>590</v>
      </c>
      <c r="Y216" s="2" t="s">
        <v>464</v>
      </c>
      <c r="Z216" s="2" t="s">
        <v>1358</v>
      </c>
      <c r="AA216" s="2" t="s">
        <v>994</v>
      </c>
      <c r="AB216" s="1">
        <v>10470</v>
      </c>
      <c r="AC216" s="1">
        <v>6338</v>
      </c>
      <c r="AD216" s="1">
        <v>2725</v>
      </c>
      <c r="AE216" s="1">
        <v>843</v>
      </c>
      <c r="AF216" s="1">
        <v>183</v>
      </c>
      <c r="AG216" s="1">
        <v>33</v>
      </c>
      <c r="AH216" s="1">
        <v>11491</v>
      </c>
      <c r="AI216" s="1">
        <v>173</v>
      </c>
      <c r="AJ216" s="1">
        <v>737</v>
      </c>
      <c r="AK216" s="1">
        <v>2617</v>
      </c>
      <c r="AL216" s="1">
        <v>135</v>
      </c>
      <c r="AM216" s="1">
        <v>98</v>
      </c>
      <c r="AN216" s="2" t="s">
        <v>362</v>
      </c>
    </row>
    <row r="217" spans="1:40" ht="28.2" x14ac:dyDescent="0.3">
      <c r="A217" s="1">
        <v>11842</v>
      </c>
      <c r="B217" s="2" t="s">
        <v>1359</v>
      </c>
      <c r="C217" s="2" t="s">
        <v>1360</v>
      </c>
      <c r="D217" s="1">
        <v>22</v>
      </c>
      <c r="E217" s="2" t="s">
        <v>1144</v>
      </c>
      <c r="F217" s="50" t="s">
        <v>1361</v>
      </c>
      <c r="G217" s="2" t="s">
        <v>1362</v>
      </c>
      <c r="H217" s="1">
        <v>8110</v>
      </c>
      <c r="I217" s="1">
        <v>7557</v>
      </c>
      <c r="J217" s="2" t="s">
        <v>1105</v>
      </c>
      <c r="K217" s="2" t="s">
        <v>1363</v>
      </c>
      <c r="L217" s="2" t="s">
        <v>216</v>
      </c>
      <c r="M217" s="1">
        <v>425</v>
      </c>
      <c r="N217" s="1">
        <v>11070</v>
      </c>
      <c r="O217" s="2" t="s">
        <v>495</v>
      </c>
      <c r="P217" s="2" t="s">
        <v>50</v>
      </c>
      <c r="Q217" s="2" t="s">
        <v>167</v>
      </c>
      <c r="R217" s="2" t="s">
        <v>135</v>
      </c>
      <c r="S217" s="2" t="s">
        <v>66</v>
      </c>
      <c r="T217" s="1">
        <v>5420</v>
      </c>
      <c r="U217" s="2" t="s">
        <v>51</v>
      </c>
      <c r="V217" s="1">
        <v>1558</v>
      </c>
      <c r="W217" s="1">
        <v>1275</v>
      </c>
      <c r="X217" s="2" t="s">
        <v>114</v>
      </c>
      <c r="Y217" s="2" t="s">
        <v>169</v>
      </c>
      <c r="Z217" s="2" t="s">
        <v>324</v>
      </c>
      <c r="AA217" s="2" t="s">
        <v>1364</v>
      </c>
      <c r="AB217" s="1">
        <v>5650</v>
      </c>
      <c r="AC217" s="1">
        <v>3377</v>
      </c>
      <c r="AD217" s="1">
        <v>1494</v>
      </c>
      <c r="AE217" s="1">
        <v>457</v>
      </c>
      <c r="AF217" s="1">
        <v>86</v>
      </c>
      <c r="AG217" s="1">
        <v>6</v>
      </c>
      <c r="AH217" s="1">
        <v>2720</v>
      </c>
      <c r="AI217" s="1">
        <v>3573</v>
      </c>
      <c r="AJ217" s="1">
        <v>231</v>
      </c>
      <c r="AK217" s="1">
        <v>1528</v>
      </c>
      <c r="AL217" s="1">
        <v>57</v>
      </c>
      <c r="AM217" s="1">
        <v>11</v>
      </c>
      <c r="AN217" s="2" t="s">
        <v>295</v>
      </c>
    </row>
    <row r="218" spans="1:40" ht="28.2" x14ac:dyDescent="0.3">
      <c r="A218" s="1">
        <v>7016</v>
      </c>
      <c r="B218" s="2" t="s">
        <v>1365</v>
      </c>
      <c r="C218" s="2" t="s">
        <v>1366</v>
      </c>
      <c r="D218" s="1">
        <v>32</v>
      </c>
      <c r="E218" s="2" t="s">
        <v>209</v>
      </c>
      <c r="F218" s="50" t="s">
        <v>1367</v>
      </c>
      <c r="G218" s="2" t="s">
        <v>1368</v>
      </c>
      <c r="H218" s="1">
        <v>9305</v>
      </c>
      <c r="I218" s="1">
        <v>8614</v>
      </c>
      <c r="J218" s="2" t="s">
        <v>252</v>
      </c>
      <c r="K218" s="2" t="s">
        <v>1369</v>
      </c>
      <c r="L218" s="2" t="s">
        <v>331</v>
      </c>
      <c r="M218" s="1">
        <v>500</v>
      </c>
      <c r="N218" s="1">
        <v>12856</v>
      </c>
      <c r="O218" s="2" t="s">
        <v>311</v>
      </c>
      <c r="P218" s="2" t="s">
        <v>434</v>
      </c>
      <c r="Q218" s="2" t="s">
        <v>225</v>
      </c>
      <c r="R218" s="2" t="s">
        <v>202</v>
      </c>
      <c r="S218" s="2" t="s">
        <v>48</v>
      </c>
      <c r="T218" s="1">
        <v>6250</v>
      </c>
      <c r="U218" s="2" t="s">
        <v>51</v>
      </c>
      <c r="V218" s="1">
        <v>1306</v>
      </c>
      <c r="W218" s="1">
        <v>1254</v>
      </c>
      <c r="X218" s="2" t="s">
        <v>407</v>
      </c>
      <c r="Y218" s="2" t="s">
        <v>255</v>
      </c>
      <c r="Z218" s="2" t="s">
        <v>728</v>
      </c>
      <c r="AA218" s="2" t="s">
        <v>933</v>
      </c>
      <c r="AB218" s="1">
        <v>6606</v>
      </c>
      <c r="AC218" s="1">
        <v>3935</v>
      </c>
      <c r="AD218" s="1">
        <v>1695</v>
      </c>
      <c r="AE218" s="1">
        <v>509</v>
      </c>
      <c r="AF218" s="1">
        <v>102</v>
      </c>
      <c r="AG218" s="1">
        <v>9</v>
      </c>
      <c r="AH218" s="1">
        <v>6800</v>
      </c>
      <c r="AI218" s="1">
        <v>46</v>
      </c>
      <c r="AJ218" s="1">
        <v>659</v>
      </c>
      <c r="AK218" s="1">
        <v>1724</v>
      </c>
      <c r="AL218" s="1">
        <v>88</v>
      </c>
      <c r="AM218" s="1">
        <v>15</v>
      </c>
      <c r="AN218" s="2" t="s">
        <v>304</v>
      </c>
    </row>
    <row r="219" spans="1:40" ht="28.2" x14ac:dyDescent="0.3">
      <c r="A219" s="1">
        <v>14602</v>
      </c>
      <c r="B219" s="2" t="s">
        <v>1370</v>
      </c>
      <c r="C219" s="2" t="s">
        <v>1371</v>
      </c>
      <c r="D219" s="1">
        <v>23</v>
      </c>
      <c r="E219" s="2" t="s">
        <v>1070</v>
      </c>
      <c r="F219" s="50" t="s">
        <v>1372</v>
      </c>
      <c r="G219" s="2" t="s">
        <v>1373</v>
      </c>
      <c r="H219" s="1">
        <v>9052</v>
      </c>
      <c r="I219" s="1">
        <v>8397</v>
      </c>
      <c r="J219" s="2" t="s">
        <v>352</v>
      </c>
      <c r="K219" s="2" t="s">
        <v>582</v>
      </c>
      <c r="L219" s="2" t="s">
        <v>471</v>
      </c>
      <c r="M219" s="1">
        <v>472</v>
      </c>
      <c r="N219" s="1">
        <v>12716</v>
      </c>
      <c r="O219" s="2" t="s">
        <v>646</v>
      </c>
      <c r="P219" s="2" t="s">
        <v>50</v>
      </c>
      <c r="Q219" s="2" t="s">
        <v>322</v>
      </c>
      <c r="R219" s="2" t="s">
        <v>50</v>
      </c>
      <c r="S219" s="2" t="s">
        <v>67</v>
      </c>
      <c r="T219" s="1">
        <v>6050</v>
      </c>
      <c r="U219" s="2" t="s">
        <v>51</v>
      </c>
      <c r="V219" s="1">
        <v>1426</v>
      </c>
      <c r="W219" s="1">
        <v>1194</v>
      </c>
      <c r="X219" s="2" t="s">
        <v>127</v>
      </c>
      <c r="Y219" s="2" t="s">
        <v>464</v>
      </c>
      <c r="Z219" s="2" t="s">
        <v>237</v>
      </c>
      <c r="AA219" s="2" t="s">
        <v>100</v>
      </c>
      <c r="AB219" s="1">
        <v>6666</v>
      </c>
      <c r="AC219" s="1">
        <v>3819</v>
      </c>
      <c r="AD219" s="1">
        <v>1601</v>
      </c>
      <c r="AE219" s="1">
        <v>497</v>
      </c>
      <c r="AF219" s="1">
        <v>125</v>
      </c>
      <c r="AG219" s="1">
        <v>8</v>
      </c>
      <c r="AH219" s="1">
        <v>2402</v>
      </c>
      <c r="AI219" s="1">
        <v>4746</v>
      </c>
      <c r="AJ219" s="1">
        <v>267</v>
      </c>
      <c r="AK219" s="1">
        <v>1543</v>
      </c>
      <c r="AL219" s="1">
        <v>84</v>
      </c>
      <c r="AM219" s="1">
        <v>32</v>
      </c>
      <c r="AN219" s="2" t="s">
        <v>277</v>
      </c>
    </row>
    <row r="220" spans="1:40" x14ac:dyDescent="0.3">
      <c r="A220" s="1">
        <v>2469</v>
      </c>
      <c r="B220" s="2" t="s">
        <v>1374</v>
      </c>
      <c r="C220" s="2" t="s">
        <v>1375</v>
      </c>
      <c r="D220" s="1">
        <v>32</v>
      </c>
      <c r="E220" s="2" t="s">
        <v>196</v>
      </c>
      <c r="F220" s="50" t="s">
        <v>1376</v>
      </c>
      <c r="G220" s="2" t="s">
        <v>1377</v>
      </c>
      <c r="H220" s="1">
        <v>31980</v>
      </c>
      <c r="I220" s="1">
        <v>29096</v>
      </c>
      <c r="J220" s="2" t="s">
        <v>1378</v>
      </c>
      <c r="K220" s="2" t="s">
        <v>601</v>
      </c>
      <c r="L220" s="2" t="s">
        <v>390</v>
      </c>
      <c r="M220" s="1">
        <v>1745</v>
      </c>
      <c r="N220" s="1">
        <v>45680</v>
      </c>
      <c r="O220" s="2" t="s">
        <v>905</v>
      </c>
      <c r="P220" s="2" t="s">
        <v>48</v>
      </c>
      <c r="Q220" s="2" t="s">
        <v>65</v>
      </c>
      <c r="R220" s="2" t="s">
        <v>96</v>
      </c>
      <c r="S220" s="2" t="s">
        <v>50</v>
      </c>
      <c r="T220" s="1">
        <v>21552</v>
      </c>
      <c r="U220" s="2" t="s">
        <v>51</v>
      </c>
      <c r="V220" s="1">
        <v>4269</v>
      </c>
      <c r="W220" s="1">
        <v>3762</v>
      </c>
      <c r="X220" s="2" t="s">
        <v>98</v>
      </c>
      <c r="Y220" s="2">
        <v>1</v>
      </c>
      <c r="Z220" s="2" t="s">
        <v>347</v>
      </c>
      <c r="AA220" s="2" t="s">
        <v>1379</v>
      </c>
      <c r="AB220" s="1">
        <v>24128</v>
      </c>
      <c r="AC220" s="1">
        <v>13704</v>
      </c>
      <c r="AD220" s="1">
        <v>5692</v>
      </c>
      <c r="AE220" s="1">
        <v>1795</v>
      </c>
      <c r="AF220" s="1">
        <v>329</v>
      </c>
      <c r="AG220" s="1">
        <v>32</v>
      </c>
      <c r="AH220" s="1">
        <v>19160</v>
      </c>
      <c r="AI220" s="1">
        <v>5310</v>
      </c>
      <c r="AJ220" s="1">
        <v>1048</v>
      </c>
      <c r="AK220" s="1">
        <v>6084</v>
      </c>
      <c r="AL220" s="1">
        <v>326</v>
      </c>
      <c r="AM220" s="1">
        <v>91</v>
      </c>
      <c r="AN220" s="2" t="s">
        <v>304</v>
      </c>
    </row>
    <row r="221" spans="1:40" ht="28.2" x14ac:dyDescent="0.3">
      <c r="A221" s="1">
        <v>5794</v>
      </c>
      <c r="B221" s="2" t="s">
        <v>1380</v>
      </c>
      <c r="C221" s="2" t="s">
        <v>1381</v>
      </c>
      <c r="D221" s="1">
        <v>27</v>
      </c>
      <c r="E221" s="2" t="s">
        <v>708</v>
      </c>
      <c r="F221" s="50" t="s">
        <v>709</v>
      </c>
      <c r="G221" s="2" t="s">
        <v>1382</v>
      </c>
      <c r="H221" s="1">
        <v>37751</v>
      </c>
      <c r="I221" s="1">
        <v>36211</v>
      </c>
      <c r="J221" s="2" t="s">
        <v>551</v>
      </c>
      <c r="K221" s="2" t="s">
        <v>1383</v>
      </c>
      <c r="L221" s="2" t="s">
        <v>1384</v>
      </c>
      <c r="M221" s="1">
        <v>1953</v>
      </c>
      <c r="N221" s="1">
        <v>51605</v>
      </c>
      <c r="O221" s="2" t="s">
        <v>495</v>
      </c>
      <c r="P221" s="2" t="s">
        <v>553</v>
      </c>
      <c r="Q221" s="2" t="s">
        <v>905</v>
      </c>
      <c r="R221" s="2" t="s">
        <v>96</v>
      </c>
      <c r="S221" s="2" t="s">
        <v>96</v>
      </c>
      <c r="T221" s="1">
        <v>24485</v>
      </c>
      <c r="U221" s="2" t="s">
        <v>51</v>
      </c>
      <c r="V221" s="1">
        <v>6162</v>
      </c>
      <c r="W221" s="1">
        <v>6265</v>
      </c>
      <c r="X221" s="2" t="s">
        <v>245</v>
      </c>
      <c r="Y221" s="2" t="s">
        <v>590</v>
      </c>
      <c r="Z221" s="2" t="s">
        <v>795</v>
      </c>
      <c r="AA221" s="2" t="s">
        <v>1385</v>
      </c>
      <c r="AB221" s="1">
        <v>27120</v>
      </c>
      <c r="AC221" s="1">
        <v>14806</v>
      </c>
      <c r="AD221" s="1">
        <v>6775</v>
      </c>
      <c r="AE221" s="1">
        <v>2338</v>
      </c>
      <c r="AF221" s="1">
        <v>497</v>
      </c>
      <c r="AG221" s="1">
        <v>69</v>
      </c>
      <c r="AH221" s="1">
        <v>26945</v>
      </c>
      <c r="AI221" s="1">
        <v>2296</v>
      </c>
      <c r="AJ221" s="1">
        <v>1304</v>
      </c>
      <c r="AK221" s="1">
        <v>6539</v>
      </c>
      <c r="AL221" s="1">
        <v>644</v>
      </c>
      <c r="AM221" s="1">
        <v>95</v>
      </c>
      <c r="AN221" s="2" t="s">
        <v>304</v>
      </c>
    </row>
    <row r="222" spans="1:40" ht="28.2" x14ac:dyDescent="0.3">
      <c r="A222" s="1">
        <v>13054</v>
      </c>
      <c r="B222" s="2" t="s">
        <v>1386</v>
      </c>
      <c r="C222" s="2" t="s">
        <v>1387</v>
      </c>
      <c r="D222" s="1">
        <v>20</v>
      </c>
      <c r="E222" s="2" t="s">
        <v>299</v>
      </c>
      <c r="F222" s="50" t="s">
        <v>1388</v>
      </c>
      <c r="G222" s="2" t="s">
        <v>1389</v>
      </c>
      <c r="H222" s="1">
        <v>10590</v>
      </c>
      <c r="I222" s="1">
        <v>10011</v>
      </c>
      <c r="J222" s="2" t="s">
        <v>1390</v>
      </c>
      <c r="K222" s="2" t="s">
        <v>108</v>
      </c>
      <c r="L222" s="2" t="s">
        <v>80</v>
      </c>
      <c r="M222" s="1">
        <v>564</v>
      </c>
      <c r="N222" s="1">
        <v>14357</v>
      </c>
      <c r="O222" s="2" t="s">
        <v>283</v>
      </c>
      <c r="P222" s="2" t="s">
        <v>202</v>
      </c>
      <c r="Q222" s="2" t="s">
        <v>905</v>
      </c>
      <c r="R222" s="2" t="s">
        <v>50</v>
      </c>
      <c r="S222" s="2" t="s">
        <v>50</v>
      </c>
      <c r="T222" s="1">
        <v>7020</v>
      </c>
      <c r="U222" s="2" t="s">
        <v>51</v>
      </c>
      <c r="V222" s="1">
        <v>1931</v>
      </c>
      <c r="W222" s="1">
        <v>1927</v>
      </c>
      <c r="X222" s="2">
        <v>1</v>
      </c>
      <c r="Y222" s="2" t="s">
        <v>370</v>
      </c>
      <c r="Z222" s="2" t="s">
        <v>554</v>
      </c>
      <c r="AA222" s="2" t="s">
        <v>193</v>
      </c>
      <c r="AB222" s="1">
        <v>7337</v>
      </c>
      <c r="AC222" s="1">
        <v>4348</v>
      </c>
      <c r="AD222" s="1">
        <v>1926</v>
      </c>
      <c r="AE222" s="1">
        <v>607</v>
      </c>
      <c r="AF222" s="1">
        <v>126</v>
      </c>
      <c r="AG222" s="1">
        <v>13</v>
      </c>
      <c r="AH222" s="1">
        <v>7208</v>
      </c>
      <c r="AI222" s="1">
        <v>1002</v>
      </c>
      <c r="AJ222" s="1">
        <v>518</v>
      </c>
      <c r="AK222" s="1">
        <v>1726</v>
      </c>
      <c r="AL222" s="1">
        <v>128</v>
      </c>
      <c r="AM222" s="1">
        <v>44</v>
      </c>
      <c r="AN222" s="2" t="s">
        <v>362</v>
      </c>
    </row>
    <row r="223" spans="1:40" ht="28.2" x14ac:dyDescent="0.3">
      <c r="A223" s="1">
        <v>964</v>
      </c>
      <c r="B223" s="2" t="s">
        <v>1391</v>
      </c>
      <c r="C223" s="2" t="s">
        <v>1392</v>
      </c>
      <c r="D223" s="1">
        <v>30</v>
      </c>
      <c r="E223" s="2" t="s">
        <v>1144</v>
      </c>
      <c r="F223" s="50" t="s">
        <v>3514</v>
      </c>
      <c r="G223" s="2" t="s">
        <v>1393</v>
      </c>
      <c r="H223" s="1">
        <v>28048</v>
      </c>
      <c r="I223" s="1">
        <v>25564</v>
      </c>
      <c r="J223" s="2" t="s">
        <v>1114</v>
      </c>
      <c r="K223" s="2" t="s">
        <v>800</v>
      </c>
      <c r="L223" s="2">
        <v>4</v>
      </c>
      <c r="M223" s="1">
        <v>1489</v>
      </c>
      <c r="N223" s="1">
        <v>39475</v>
      </c>
      <c r="O223" s="2" t="s">
        <v>646</v>
      </c>
      <c r="P223" s="2" t="s">
        <v>67</v>
      </c>
      <c r="Q223" s="2" t="s">
        <v>276</v>
      </c>
      <c r="R223" s="2" t="s">
        <v>66</v>
      </c>
      <c r="S223" s="2" t="s">
        <v>96</v>
      </c>
      <c r="T223" s="1">
        <v>18989</v>
      </c>
      <c r="U223" s="2" t="s">
        <v>51</v>
      </c>
      <c r="V223" s="1">
        <v>4836</v>
      </c>
      <c r="W223" s="1">
        <v>3930</v>
      </c>
      <c r="X223" s="2" t="s">
        <v>101</v>
      </c>
      <c r="Y223" s="2" t="s">
        <v>362</v>
      </c>
      <c r="Z223" s="2" t="s">
        <v>473</v>
      </c>
      <c r="AA223" s="2" t="s">
        <v>665</v>
      </c>
      <c r="AB223" s="1">
        <v>20486</v>
      </c>
      <c r="AC223" s="1">
        <v>12087</v>
      </c>
      <c r="AD223" s="1">
        <v>5072</v>
      </c>
      <c r="AE223" s="1">
        <v>1536</v>
      </c>
      <c r="AF223" s="1">
        <v>274</v>
      </c>
      <c r="AG223" s="1">
        <v>20</v>
      </c>
      <c r="AH223" s="1">
        <v>6302</v>
      </c>
      <c r="AI223" s="1">
        <v>15808</v>
      </c>
      <c r="AJ223" s="1">
        <v>813</v>
      </c>
      <c r="AK223" s="1">
        <v>4672</v>
      </c>
      <c r="AL223" s="1">
        <v>413</v>
      </c>
      <c r="AM223" s="1">
        <v>77</v>
      </c>
      <c r="AN223" s="2" t="s">
        <v>304</v>
      </c>
    </row>
    <row r="224" spans="1:40" x14ac:dyDescent="0.3">
      <c r="A224" s="1">
        <v>10994</v>
      </c>
      <c r="B224" s="2" t="s">
        <v>1394</v>
      </c>
      <c r="C224" s="2" t="s">
        <v>1395</v>
      </c>
      <c r="D224" s="1">
        <v>20</v>
      </c>
      <c r="E224" s="2" t="s">
        <v>196</v>
      </c>
      <c r="F224" s="50" t="s">
        <v>1396</v>
      </c>
      <c r="G224" s="2" t="s">
        <v>1397</v>
      </c>
      <c r="H224" s="1">
        <v>21743</v>
      </c>
      <c r="I224" s="1">
        <v>20242</v>
      </c>
      <c r="J224" s="2" t="s">
        <v>1398</v>
      </c>
      <c r="K224" s="2" t="s">
        <v>837</v>
      </c>
      <c r="L224" s="2" t="s">
        <v>398</v>
      </c>
      <c r="M224" s="1">
        <v>1120</v>
      </c>
      <c r="N224" s="1">
        <v>29840</v>
      </c>
      <c r="O224" s="2" t="s">
        <v>495</v>
      </c>
      <c r="P224" s="2" t="s">
        <v>235</v>
      </c>
      <c r="Q224" s="2" t="s">
        <v>167</v>
      </c>
      <c r="R224" s="2" t="s">
        <v>96</v>
      </c>
      <c r="S224" s="2" t="s">
        <v>50</v>
      </c>
      <c r="T224" s="1">
        <v>14585</v>
      </c>
      <c r="U224" s="2" t="s">
        <v>51</v>
      </c>
      <c r="V224" s="1">
        <v>3383</v>
      </c>
      <c r="W224" s="1">
        <v>3138</v>
      </c>
      <c r="X224" s="2" t="s">
        <v>277</v>
      </c>
      <c r="Y224" s="2" t="s">
        <v>590</v>
      </c>
      <c r="Z224" s="2" t="s">
        <v>718</v>
      </c>
      <c r="AA224" s="2" t="s">
        <v>734</v>
      </c>
      <c r="AB224" s="1">
        <v>15255</v>
      </c>
      <c r="AC224" s="1">
        <v>9161</v>
      </c>
      <c r="AD224" s="1">
        <v>3973</v>
      </c>
      <c r="AE224" s="1">
        <v>1193</v>
      </c>
      <c r="AF224" s="1">
        <v>233</v>
      </c>
      <c r="AG224" s="1">
        <v>25</v>
      </c>
      <c r="AH224" s="1">
        <v>14788</v>
      </c>
      <c r="AI224" s="1">
        <v>2122</v>
      </c>
      <c r="AJ224" s="1">
        <v>969</v>
      </c>
      <c r="AK224" s="1">
        <v>3546</v>
      </c>
      <c r="AL224" s="1">
        <v>271</v>
      </c>
      <c r="AM224" s="1">
        <v>115</v>
      </c>
      <c r="AN224" s="2" t="s">
        <v>370</v>
      </c>
    </row>
    <row r="225" spans="1:40" ht="28.2" x14ac:dyDescent="0.3">
      <c r="A225" s="1">
        <v>15369</v>
      </c>
      <c r="B225" s="2" t="s">
        <v>1399</v>
      </c>
      <c r="C225" s="2" t="s">
        <v>1400</v>
      </c>
      <c r="D225" s="1">
        <v>20</v>
      </c>
      <c r="E225" s="2" t="s">
        <v>467</v>
      </c>
      <c r="F225" s="50" t="s">
        <v>1401</v>
      </c>
      <c r="G225" s="2" t="s">
        <v>1402</v>
      </c>
      <c r="H225" s="1">
        <v>12310</v>
      </c>
      <c r="I225" s="1">
        <v>11124</v>
      </c>
      <c r="J225" s="2" t="s">
        <v>1357</v>
      </c>
      <c r="K225" s="2" t="s">
        <v>645</v>
      </c>
      <c r="L225" s="2" t="s">
        <v>201</v>
      </c>
      <c r="M225" s="1">
        <v>657</v>
      </c>
      <c r="N225" s="1">
        <v>17461</v>
      </c>
      <c r="O225" s="2" t="s">
        <v>905</v>
      </c>
      <c r="P225" s="2" t="s">
        <v>48</v>
      </c>
      <c r="Q225" s="2" t="s">
        <v>65</v>
      </c>
      <c r="R225" s="2" t="s">
        <v>50</v>
      </c>
      <c r="S225" s="2" t="s">
        <v>50</v>
      </c>
      <c r="T225" s="1">
        <v>8386</v>
      </c>
      <c r="U225" s="2" t="s">
        <v>51</v>
      </c>
      <c r="V225" s="1">
        <v>1756</v>
      </c>
      <c r="W225" s="1">
        <v>1490</v>
      </c>
      <c r="X225" s="2" t="s">
        <v>169</v>
      </c>
      <c r="Y225" s="2" t="s">
        <v>412</v>
      </c>
      <c r="Z225" s="2" t="s">
        <v>1214</v>
      </c>
      <c r="AA225" s="2" t="s">
        <v>560</v>
      </c>
      <c r="AB225" s="1">
        <v>9075</v>
      </c>
      <c r="AC225" s="1">
        <v>5354</v>
      </c>
      <c r="AD225" s="1">
        <v>2273</v>
      </c>
      <c r="AE225" s="1">
        <v>634</v>
      </c>
      <c r="AF225" s="1">
        <v>117</v>
      </c>
      <c r="AG225" s="1">
        <v>8</v>
      </c>
      <c r="AH225" s="1">
        <v>7726</v>
      </c>
      <c r="AI225" s="1">
        <v>2197</v>
      </c>
      <c r="AJ225" s="1">
        <v>215</v>
      </c>
      <c r="AK225" s="1">
        <v>2006</v>
      </c>
      <c r="AL225" s="1">
        <v>148</v>
      </c>
      <c r="AM225" s="1">
        <v>41</v>
      </c>
      <c r="AN225" s="2" t="s">
        <v>561</v>
      </c>
    </row>
    <row r="226" spans="1:40" ht="28.2" x14ac:dyDescent="0.3">
      <c r="A226" s="1">
        <v>7528</v>
      </c>
      <c r="B226" s="2" t="s">
        <v>1403</v>
      </c>
      <c r="C226" s="2" t="s">
        <v>1404</v>
      </c>
      <c r="D226" s="1">
        <v>28</v>
      </c>
      <c r="E226" s="2" t="s">
        <v>545</v>
      </c>
      <c r="F226" s="50" t="s">
        <v>605</v>
      </c>
      <c r="G226" s="2" t="s">
        <v>605</v>
      </c>
      <c r="H226" s="1">
        <v>33075</v>
      </c>
      <c r="I226" s="1">
        <v>30004</v>
      </c>
      <c r="J226" s="2" t="s">
        <v>1405</v>
      </c>
      <c r="K226" s="2" t="s">
        <v>418</v>
      </c>
      <c r="L226" s="2" t="s">
        <v>294</v>
      </c>
      <c r="M226" s="1">
        <v>1791</v>
      </c>
      <c r="N226" s="1">
        <v>47130</v>
      </c>
      <c r="O226" s="2" t="s">
        <v>905</v>
      </c>
      <c r="P226" s="2" t="s">
        <v>166</v>
      </c>
      <c r="Q226" s="2" t="s">
        <v>65</v>
      </c>
      <c r="R226" s="2" t="s">
        <v>96</v>
      </c>
      <c r="S226" s="2" t="s">
        <v>50</v>
      </c>
      <c r="T226" s="1">
        <v>22418</v>
      </c>
      <c r="U226" s="2" t="s">
        <v>51</v>
      </c>
      <c r="V226" s="1">
        <v>4166</v>
      </c>
      <c r="W226" s="1">
        <v>3869</v>
      </c>
      <c r="X226" s="2" t="s">
        <v>277</v>
      </c>
      <c r="Y226" s="2" t="s">
        <v>503</v>
      </c>
      <c r="Z226" s="2" t="s">
        <v>183</v>
      </c>
      <c r="AA226" s="2" t="s">
        <v>828</v>
      </c>
      <c r="AB226" s="1">
        <v>24712</v>
      </c>
      <c r="AC226" s="1">
        <v>14335</v>
      </c>
      <c r="AD226" s="1">
        <v>5934</v>
      </c>
      <c r="AE226" s="1">
        <v>1795</v>
      </c>
      <c r="AF226" s="1">
        <v>321</v>
      </c>
      <c r="AG226" s="1">
        <v>33</v>
      </c>
      <c r="AH226" s="1">
        <v>24818</v>
      </c>
      <c r="AI226" s="1">
        <v>744</v>
      </c>
      <c r="AJ226" s="1">
        <v>1307</v>
      </c>
      <c r="AK226" s="1">
        <v>5724</v>
      </c>
      <c r="AL226" s="1">
        <v>378</v>
      </c>
      <c r="AM226" s="1">
        <v>156</v>
      </c>
      <c r="AN226" s="2" t="s">
        <v>304</v>
      </c>
    </row>
    <row r="227" spans="1:40" x14ac:dyDescent="0.3">
      <c r="A227" s="1">
        <v>17504</v>
      </c>
      <c r="B227" s="2" t="s">
        <v>1406</v>
      </c>
      <c r="C227" s="2" t="s">
        <v>1407</v>
      </c>
      <c r="D227" s="1">
        <v>21</v>
      </c>
      <c r="E227" s="2" t="s">
        <v>327</v>
      </c>
      <c r="F227" s="50" t="s">
        <v>1408</v>
      </c>
      <c r="G227" s="2" t="s">
        <v>1409</v>
      </c>
      <c r="H227" s="1">
        <v>12891</v>
      </c>
      <c r="I227" s="1">
        <v>12282</v>
      </c>
      <c r="J227" s="2" t="s">
        <v>1410</v>
      </c>
      <c r="K227" s="2" t="s">
        <v>274</v>
      </c>
      <c r="L227" s="2" t="s">
        <v>612</v>
      </c>
      <c r="M227" s="1">
        <v>649</v>
      </c>
      <c r="N227" s="1">
        <v>17432</v>
      </c>
      <c r="O227" s="2" t="s">
        <v>283</v>
      </c>
      <c r="P227" s="2" t="s">
        <v>235</v>
      </c>
      <c r="Q227" s="2" t="s">
        <v>905</v>
      </c>
      <c r="R227" s="2" t="s">
        <v>96</v>
      </c>
      <c r="S227" s="2" t="s">
        <v>96</v>
      </c>
      <c r="T227" s="1">
        <v>8505</v>
      </c>
      <c r="U227" s="2" t="s">
        <v>51</v>
      </c>
      <c r="V227" s="1">
        <v>2239</v>
      </c>
      <c r="W227" s="1">
        <v>2167</v>
      </c>
      <c r="X227" s="2" t="s">
        <v>412</v>
      </c>
      <c r="Y227" s="2" t="s">
        <v>561</v>
      </c>
      <c r="Z227" s="2" t="s">
        <v>278</v>
      </c>
      <c r="AA227" s="2" t="s">
        <v>193</v>
      </c>
      <c r="AB227" s="1">
        <v>8927</v>
      </c>
      <c r="AC227" s="1">
        <v>5242</v>
      </c>
      <c r="AD227" s="1">
        <v>2339</v>
      </c>
      <c r="AE227" s="1">
        <v>744</v>
      </c>
      <c r="AF227" s="1">
        <v>161</v>
      </c>
      <c r="AG227" s="1">
        <v>19</v>
      </c>
      <c r="AH227" s="1">
        <v>9774</v>
      </c>
      <c r="AI227" s="1">
        <v>202</v>
      </c>
      <c r="AJ227" s="1">
        <v>704</v>
      </c>
      <c r="AK227" s="1">
        <v>2083</v>
      </c>
      <c r="AL227" s="1">
        <v>129</v>
      </c>
      <c r="AM227" s="1">
        <v>27</v>
      </c>
      <c r="AN227" s="2" t="s">
        <v>370</v>
      </c>
    </row>
    <row r="228" spans="1:40" x14ac:dyDescent="0.3">
      <c r="A228" s="1">
        <v>12018</v>
      </c>
      <c r="B228" s="2" t="s">
        <v>1411</v>
      </c>
      <c r="C228" s="2" t="s">
        <v>1412</v>
      </c>
      <c r="D228" s="1">
        <v>21</v>
      </c>
      <c r="E228" s="2" t="s">
        <v>196</v>
      </c>
      <c r="F228" s="50" t="s">
        <v>1396</v>
      </c>
      <c r="G228" s="2" t="s">
        <v>1413</v>
      </c>
      <c r="H228" s="1">
        <v>15953</v>
      </c>
      <c r="I228" s="1">
        <v>14907</v>
      </c>
      <c r="J228" s="2" t="s">
        <v>1159</v>
      </c>
      <c r="K228" s="2" t="s">
        <v>424</v>
      </c>
      <c r="L228" s="2" t="s">
        <v>164</v>
      </c>
      <c r="M228" s="1">
        <v>832</v>
      </c>
      <c r="N228" s="1">
        <v>22223</v>
      </c>
      <c r="O228" s="2" t="s">
        <v>311</v>
      </c>
      <c r="P228" s="2" t="s">
        <v>235</v>
      </c>
      <c r="Q228" s="2" t="s">
        <v>225</v>
      </c>
      <c r="R228" s="2" t="s">
        <v>67</v>
      </c>
      <c r="S228" s="2" t="s">
        <v>48</v>
      </c>
      <c r="T228" s="1">
        <v>10631</v>
      </c>
      <c r="U228" s="2" t="s">
        <v>51</v>
      </c>
      <c r="V228" s="1">
        <v>2338</v>
      </c>
      <c r="W228" s="1">
        <v>2269</v>
      </c>
      <c r="X228" s="2" t="s">
        <v>412</v>
      </c>
      <c r="Y228" s="2" t="s">
        <v>449</v>
      </c>
      <c r="Z228" s="2" t="s">
        <v>795</v>
      </c>
      <c r="AA228" s="2" t="s">
        <v>577</v>
      </c>
      <c r="AB228" s="1">
        <v>11592</v>
      </c>
      <c r="AC228" s="1">
        <v>6664</v>
      </c>
      <c r="AD228" s="1">
        <v>2845</v>
      </c>
      <c r="AE228" s="1">
        <v>916</v>
      </c>
      <c r="AF228" s="1">
        <v>179</v>
      </c>
      <c r="AG228" s="1">
        <v>27</v>
      </c>
      <c r="AH228" s="1">
        <v>12450</v>
      </c>
      <c r="AI228" s="1">
        <v>161</v>
      </c>
      <c r="AJ228" s="1">
        <v>615</v>
      </c>
      <c r="AK228" s="1">
        <v>2577</v>
      </c>
      <c r="AL228" s="1">
        <v>167</v>
      </c>
      <c r="AM228" s="1">
        <v>34</v>
      </c>
      <c r="AN228" s="2" t="s">
        <v>362</v>
      </c>
    </row>
    <row r="229" spans="1:40" ht="28.2" x14ac:dyDescent="0.3">
      <c r="A229" s="1">
        <v>8513</v>
      </c>
      <c r="B229" s="2" t="s">
        <v>1414</v>
      </c>
      <c r="C229" s="2" t="s">
        <v>1415</v>
      </c>
      <c r="D229" s="1">
        <v>23</v>
      </c>
      <c r="E229" s="2" t="s">
        <v>459</v>
      </c>
      <c r="F229" s="50" t="s">
        <v>3514</v>
      </c>
      <c r="G229" s="2" t="s">
        <v>1416</v>
      </c>
      <c r="H229" s="1">
        <v>12452</v>
      </c>
      <c r="I229" s="1">
        <v>11848</v>
      </c>
      <c r="J229" s="2" t="s">
        <v>292</v>
      </c>
      <c r="K229" s="2" t="s">
        <v>639</v>
      </c>
      <c r="L229" s="2" t="s">
        <v>93</v>
      </c>
      <c r="M229" s="1">
        <v>653</v>
      </c>
      <c r="N229" s="1">
        <v>17182</v>
      </c>
      <c r="O229" s="2" t="s">
        <v>311</v>
      </c>
      <c r="P229" s="2" t="s">
        <v>202</v>
      </c>
      <c r="Q229" s="2" t="s">
        <v>463</v>
      </c>
      <c r="R229" s="2" t="s">
        <v>50</v>
      </c>
      <c r="S229" s="2" t="s">
        <v>67</v>
      </c>
      <c r="T229" s="1">
        <v>8170</v>
      </c>
      <c r="U229" s="2" t="s">
        <v>51</v>
      </c>
      <c r="V229" s="1">
        <v>2071</v>
      </c>
      <c r="W229" s="1">
        <v>2084</v>
      </c>
      <c r="X229" s="2" t="s">
        <v>285</v>
      </c>
      <c r="Y229" s="2" t="s">
        <v>464</v>
      </c>
      <c r="Z229" s="2" t="s">
        <v>237</v>
      </c>
      <c r="AA229" s="2" t="s">
        <v>126</v>
      </c>
      <c r="AB229" s="1">
        <v>9012</v>
      </c>
      <c r="AC229" s="1">
        <v>5001</v>
      </c>
      <c r="AD229" s="1">
        <v>2258</v>
      </c>
      <c r="AE229" s="1">
        <v>737</v>
      </c>
      <c r="AF229" s="1">
        <v>146</v>
      </c>
      <c r="AG229" s="1">
        <v>28</v>
      </c>
      <c r="AH229" s="1">
        <v>8085</v>
      </c>
      <c r="AI229" s="1">
        <v>1511</v>
      </c>
      <c r="AJ229" s="1">
        <v>563</v>
      </c>
      <c r="AK229" s="1">
        <v>2162</v>
      </c>
      <c r="AL229" s="1">
        <v>122</v>
      </c>
      <c r="AM229" s="1">
        <v>26</v>
      </c>
      <c r="AN229" s="2" t="s">
        <v>304</v>
      </c>
    </row>
    <row r="230" spans="1:40" ht="28.2" x14ac:dyDescent="0.3">
      <c r="A230" s="1">
        <v>11954</v>
      </c>
      <c r="B230" s="2" t="s">
        <v>1417</v>
      </c>
      <c r="C230" s="2" t="s">
        <v>1418</v>
      </c>
      <c r="D230" s="1">
        <v>26</v>
      </c>
      <c r="E230" s="2" t="s">
        <v>1092</v>
      </c>
      <c r="F230" s="50" t="s">
        <v>319</v>
      </c>
      <c r="G230" s="2" t="s">
        <v>1419</v>
      </c>
      <c r="H230" s="1">
        <v>13998</v>
      </c>
      <c r="I230" s="1">
        <v>13241</v>
      </c>
      <c r="J230" s="2" t="s">
        <v>808</v>
      </c>
      <c r="K230" s="2" t="s">
        <v>1029</v>
      </c>
      <c r="L230" s="2" t="s">
        <v>282</v>
      </c>
      <c r="M230" s="1">
        <v>731</v>
      </c>
      <c r="N230" s="1">
        <v>19399</v>
      </c>
      <c r="O230" s="2" t="s">
        <v>311</v>
      </c>
      <c r="P230" s="2" t="s">
        <v>166</v>
      </c>
      <c r="Q230" s="2" t="s">
        <v>167</v>
      </c>
      <c r="R230" s="2" t="s">
        <v>67</v>
      </c>
      <c r="S230" s="2" t="s">
        <v>202</v>
      </c>
      <c r="T230" s="1">
        <v>9218</v>
      </c>
      <c r="U230" s="2" t="s">
        <v>51</v>
      </c>
      <c r="V230" s="1">
        <v>2156</v>
      </c>
      <c r="W230" s="1">
        <v>2189</v>
      </c>
      <c r="X230" s="2" t="s">
        <v>245</v>
      </c>
      <c r="Y230" s="2" t="s">
        <v>412</v>
      </c>
      <c r="Z230" s="2" t="s">
        <v>324</v>
      </c>
      <c r="AA230" s="2" t="s">
        <v>969</v>
      </c>
      <c r="AB230" s="1">
        <v>10181</v>
      </c>
      <c r="AC230" s="1">
        <v>5673</v>
      </c>
      <c r="AD230" s="1">
        <v>2509</v>
      </c>
      <c r="AE230" s="1">
        <v>855</v>
      </c>
      <c r="AF230" s="1">
        <v>163</v>
      </c>
      <c r="AG230" s="1">
        <v>18</v>
      </c>
      <c r="AH230" s="1">
        <v>10972</v>
      </c>
      <c r="AI230" s="1">
        <v>88</v>
      </c>
      <c r="AJ230" s="1">
        <v>607</v>
      </c>
      <c r="AK230" s="1">
        <v>2144</v>
      </c>
      <c r="AL230" s="1">
        <v>208</v>
      </c>
      <c r="AM230" s="1">
        <v>20</v>
      </c>
      <c r="AN230" s="2" t="s">
        <v>362</v>
      </c>
    </row>
    <row r="231" spans="1:40" ht="28.2" x14ac:dyDescent="0.3">
      <c r="A231" s="1">
        <v>17147</v>
      </c>
      <c r="B231" s="2" t="s">
        <v>1420</v>
      </c>
      <c r="C231" s="2" t="s">
        <v>1421</v>
      </c>
      <c r="D231" s="1">
        <v>25</v>
      </c>
      <c r="E231" s="2" t="s">
        <v>1422</v>
      </c>
      <c r="F231" s="50" t="s">
        <v>1251</v>
      </c>
      <c r="G231" s="2" t="s">
        <v>1423</v>
      </c>
      <c r="H231" s="1">
        <v>11595</v>
      </c>
      <c r="I231" s="1">
        <v>11175</v>
      </c>
      <c r="J231" s="2" t="s">
        <v>1424</v>
      </c>
      <c r="K231" s="2" t="s">
        <v>1425</v>
      </c>
      <c r="L231" s="2" t="s">
        <v>282</v>
      </c>
      <c r="M231" s="1">
        <v>575</v>
      </c>
      <c r="N231" s="1">
        <v>15349</v>
      </c>
      <c r="O231" s="2" t="s">
        <v>234</v>
      </c>
      <c r="P231" s="2" t="s">
        <v>202</v>
      </c>
      <c r="Q231" s="2" t="s">
        <v>495</v>
      </c>
      <c r="R231" s="2" t="s">
        <v>50</v>
      </c>
      <c r="S231" s="2" t="s">
        <v>50</v>
      </c>
      <c r="T231" s="1">
        <v>7622</v>
      </c>
      <c r="U231" s="2" t="s">
        <v>51</v>
      </c>
      <c r="V231" s="1">
        <v>1759</v>
      </c>
      <c r="W231" s="1">
        <v>1770</v>
      </c>
      <c r="X231" s="2" t="s">
        <v>285</v>
      </c>
      <c r="Y231" s="2" t="s">
        <v>304</v>
      </c>
      <c r="Z231" s="2" t="s">
        <v>1327</v>
      </c>
      <c r="AA231" s="2" t="s">
        <v>267</v>
      </c>
      <c r="AB231" s="1">
        <v>7727</v>
      </c>
      <c r="AC231" s="1">
        <v>4667</v>
      </c>
      <c r="AD231" s="1">
        <v>2097</v>
      </c>
      <c r="AE231" s="1">
        <v>710</v>
      </c>
      <c r="AF231" s="1">
        <v>136</v>
      </c>
      <c r="AG231" s="1">
        <v>12</v>
      </c>
      <c r="AH231" s="1">
        <v>9041</v>
      </c>
      <c r="AI231" s="1">
        <v>176</v>
      </c>
      <c r="AJ231" s="1">
        <v>336</v>
      </c>
      <c r="AK231" s="1">
        <v>1910</v>
      </c>
      <c r="AL231" s="1">
        <v>147</v>
      </c>
      <c r="AM231" s="1">
        <v>20</v>
      </c>
      <c r="AN231" s="2" t="s">
        <v>561</v>
      </c>
    </row>
    <row r="232" spans="1:40" x14ac:dyDescent="0.3">
      <c r="A232" s="1">
        <v>12731</v>
      </c>
      <c r="B232" s="2" t="s">
        <v>1426</v>
      </c>
      <c r="C232" s="2" t="s">
        <v>1427</v>
      </c>
      <c r="D232" s="1">
        <v>25</v>
      </c>
      <c r="E232" s="2" t="s">
        <v>59</v>
      </c>
      <c r="F232" s="50" t="s">
        <v>60</v>
      </c>
      <c r="G232" s="2" t="s">
        <v>1242</v>
      </c>
      <c r="H232" s="1">
        <v>20009</v>
      </c>
      <c r="I232" s="1">
        <v>18104</v>
      </c>
      <c r="J232" s="2" t="s">
        <v>1260</v>
      </c>
      <c r="K232" s="2" t="s">
        <v>723</v>
      </c>
      <c r="L232" s="2" t="s">
        <v>398</v>
      </c>
      <c r="M232" s="1">
        <v>1099</v>
      </c>
      <c r="N232" s="1">
        <v>28808</v>
      </c>
      <c r="O232" s="2" t="s">
        <v>463</v>
      </c>
      <c r="P232" s="2" t="s">
        <v>202</v>
      </c>
      <c r="Q232" s="2" t="s">
        <v>215</v>
      </c>
      <c r="R232" s="2" t="s">
        <v>50</v>
      </c>
      <c r="S232" s="2" t="s">
        <v>67</v>
      </c>
      <c r="T232" s="1">
        <v>13627</v>
      </c>
      <c r="U232" s="2" t="s">
        <v>51</v>
      </c>
      <c r="V232" s="1">
        <v>2444</v>
      </c>
      <c r="W232" s="1">
        <v>2320</v>
      </c>
      <c r="X232" s="2" t="s">
        <v>304</v>
      </c>
      <c r="Y232" s="2" t="s">
        <v>472</v>
      </c>
      <c r="Z232" s="2" t="s">
        <v>217</v>
      </c>
      <c r="AA232" s="2" t="s">
        <v>1052</v>
      </c>
      <c r="AB232" s="1">
        <v>15181</v>
      </c>
      <c r="AC232" s="1">
        <v>8772</v>
      </c>
      <c r="AD232" s="1">
        <v>3551</v>
      </c>
      <c r="AE232" s="1">
        <v>1103</v>
      </c>
      <c r="AF232" s="1">
        <v>179</v>
      </c>
      <c r="AG232" s="1">
        <v>22</v>
      </c>
      <c r="AH232" s="1">
        <v>14096</v>
      </c>
      <c r="AI232" s="1">
        <v>741</v>
      </c>
      <c r="AJ232" s="1">
        <v>1463</v>
      </c>
      <c r="AK232" s="1">
        <v>3308</v>
      </c>
      <c r="AL232" s="1">
        <v>197</v>
      </c>
      <c r="AM232" s="1">
        <v>259</v>
      </c>
      <c r="AN232" s="2" t="s">
        <v>561</v>
      </c>
    </row>
    <row r="233" spans="1:40" x14ac:dyDescent="0.3">
      <c r="A233" s="1">
        <v>9258</v>
      </c>
      <c r="B233" s="2" t="s">
        <v>1428</v>
      </c>
      <c r="C233" s="2" t="s">
        <v>1429</v>
      </c>
      <c r="D233" s="1">
        <v>23</v>
      </c>
      <c r="E233" s="2" t="s">
        <v>459</v>
      </c>
      <c r="F233" s="50" t="s">
        <v>3514</v>
      </c>
      <c r="G233" s="2" t="s">
        <v>1430</v>
      </c>
      <c r="H233" s="1">
        <v>15002</v>
      </c>
      <c r="I233" s="1">
        <v>13962</v>
      </c>
      <c r="J233" s="2" t="s">
        <v>1431</v>
      </c>
      <c r="K233" s="2" t="s">
        <v>1047</v>
      </c>
      <c r="L233" s="2" t="s">
        <v>425</v>
      </c>
      <c r="M233" s="1">
        <v>795</v>
      </c>
      <c r="N233" s="1">
        <v>20701</v>
      </c>
      <c r="O233" s="2" t="s">
        <v>311</v>
      </c>
      <c r="P233" s="2" t="s">
        <v>202</v>
      </c>
      <c r="Q233" s="2" t="s">
        <v>225</v>
      </c>
      <c r="R233" s="2" t="s">
        <v>50</v>
      </c>
      <c r="S233" s="2" t="s">
        <v>48</v>
      </c>
      <c r="T233" s="1">
        <v>10078</v>
      </c>
      <c r="U233" s="2" t="s">
        <v>51</v>
      </c>
      <c r="V233" s="1">
        <v>2213</v>
      </c>
      <c r="W233" s="1">
        <v>2140</v>
      </c>
      <c r="X233" s="2" t="s">
        <v>412</v>
      </c>
      <c r="Y233" s="2" t="s">
        <v>412</v>
      </c>
      <c r="Z233" s="2" t="s">
        <v>567</v>
      </c>
      <c r="AA233" s="2" t="s">
        <v>384</v>
      </c>
      <c r="AB233" s="1">
        <v>10623</v>
      </c>
      <c r="AC233" s="1">
        <v>6335</v>
      </c>
      <c r="AD233" s="1">
        <v>2739</v>
      </c>
      <c r="AE233" s="1">
        <v>843</v>
      </c>
      <c r="AF233" s="1">
        <v>145</v>
      </c>
      <c r="AG233" s="1">
        <v>16</v>
      </c>
      <c r="AH233" s="1">
        <v>10613</v>
      </c>
      <c r="AI233" s="1">
        <v>801</v>
      </c>
      <c r="AJ233" s="1">
        <v>741</v>
      </c>
      <c r="AK233" s="1">
        <v>2714</v>
      </c>
      <c r="AL233" s="1">
        <v>134</v>
      </c>
      <c r="AM233" s="1">
        <v>33</v>
      </c>
      <c r="AN233" s="2" t="s">
        <v>304</v>
      </c>
    </row>
    <row r="234" spans="1:40" x14ac:dyDescent="0.3">
      <c r="A234" s="1">
        <v>8543</v>
      </c>
      <c r="B234" s="2" t="s">
        <v>1432</v>
      </c>
      <c r="C234" s="2" t="s">
        <v>1433</v>
      </c>
      <c r="D234" s="1">
        <v>25</v>
      </c>
      <c r="E234" s="2" t="s">
        <v>327</v>
      </c>
      <c r="F234" s="50" t="s">
        <v>3514</v>
      </c>
      <c r="G234" s="2" t="s">
        <v>1434</v>
      </c>
      <c r="H234" s="1">
        <v>8076</v>
      </c>
      <c r="I234" s="1">
        <v>7502</v>
      </c>
      <c r="J234" s="2" t="s">
        <v>177</v>
      </c>
      <c r="K234" s="2" t="s">
        <v>1435</v>
      </c>
      <c r="L234" s="2" t="s">
        <v>52</v>
      </c>
      <c r="M234" s="1">
        <v>429</v>
      </c>
      <c r="N234" s="1">
        <v>11195</v>
      </c>
      <c r="O234" s="2" t="s">
        <v>311</v>
      </c>
      <c r="P234" s="2" t="s">
        <v>96</v>
      </c>
      <c r="Q234" s="2" t="s">
        <v>225</v>
      </c>
      <c r="R234" s="2" t="s">
        <v>66</v>
      </c>
      <c r="S234" s="2" t="s">
        <v>50</v>
      </c>
      <c r="T234" s="1">
        <v>5421</v>
      </c>
      <c r="U234" s="2" t="s">
        <v>51</v>
      </c>
      <c r="V234" s="1">
        <v>1319</v>
      </c>
      <c r="W234" s="1">
        <v>880</v>
      </c>
      <c r="X234" s="2" t="s">
        <v>216</v>
      </c>
      <c r="Y234" s="2" t="s">
        <v>370</v>
      </c>
      <c r="Z234" s="2" t="s">
        <v>333</v>
      </c>
      <c r="AA234" s="2" t="s">
        <v>497</v>
      </c>
      <c r="AB234" s="1">
        <v>5774</v>
      </c>
      <c r="AC234" s="1">
        <v>3391</v>
      </c>
      <c r="AD234" s="1">
        <v>1503</v>
      </c>
      <c r="AE234" s="1">
        <v>436</v>
      </c>
      <c r="AF234" s="1">
        <v>84</v>
      </c>
      <c r="AG234" s="1">
        <v>7</v>
      </c>
      <c r="AH234" s="1">
        <v>2545</v>
      </c>
      <c r="AI234" s="1">
        <v>3905</v>
      </c>
      <c r="AJ234" s="1">
        <v>181</v>
      </c>
      <c r="AK234" s="1">
        <v>1393</v>
      </c>
      <c r="AL234" s="1">
        <v>51</v>
      </c>
      <c r="AM234" s="1">
        <v>10</v>
      </c>
      <c r="AN234" s="2" t="s">
        <v>304</v>
      </c>
    </row>
    <row r="235" spans="1:40" x14ac:dyDescent="0.3">
      <c r="A235" s="1">
        <v>4076</v>
      </c>
      <c r="B235" s="2" t="s">
        <v>1436</v>
      </c>
      <c r="C235" s="2" t="s">
        <v>1437</v>
      </c>
      <c r="D235" s="1">
        <v>29</v>
      </c>
      <c r="E235" s="2" t="s">
        <v>452</v>
      </c>
      <c r="F235" s="50" t="s">
        <v>537</v>
      </c>
      <c r="G235" s="2" t="s">
        <v>1438</v>
      </c>
      <c r="H235" s="1">
        <v>17911</v>
      </c>
      <c r="I235" s="1">
        <v>16694</v>
      </c>
      <c r="J235" s="2" t="s">
        <v>611</v>
      </c>
      <c r="K235" s="2" t="s">
        <v>424</v>
      </c>
      <c r="L235" s="2" t="s">
        <v>179</v>
      </c>
      <c r="M235" s="1">
        <v>943</v>
      </c>
      <c r="N235" s="1">
        <v>25018</v>
      </c>
      <c r="O235" s="2" t="s">
        <v>311</v>
      </c>
      <c r="P235" s="2" t="s">
        <v>166</v>
      </c>
      <c r="Q235" s="2" t="s">
        <v>225</v>
      </c>
      <c r="R235" s="2" t="s">
        <v>67</v>
      </c>
      <c r="S235" s="2" t="s">
        <v>67</v>
      </c>
      <c r="T235" s="1">
        <v>12006</v>
      </c>
      <c r="U235" s="2" t="s">
        <v>51</v>
      </c>
      <c r="V235" s="1">
        <v>2860</v>
      </c>
      <c r="W235" s="1">
        <v>2739</v>
      </c>
      <c r="X235" s="2" t="s">
        <v>407</v>
      </c>
      <c r="Y235" s="2" t="s">
        <v>590</v>
      </c>
      <c r="Z235" s="2" t="s">
        <v>728</v>
      </c>
      <c r="AA235" s="2" t="s">
        <v>882</v>
      </c>
      <c r="AB235" s="1">
        <v>13012</v>
      </c>
      <c r="AC235" s="1">
        <v>7556</v>
      </c>
      <c r="AD235" s="1">
        <v>3256</v>
      </c>
      <c r="AE235" s="1">
        <v>952</v>
      </c>
      <c r="AF235" s="1">
        <v>223</v>
      </c>
      <c r="AG235" s="1">
        <v>19</v>
      </c>
      <c r="AH235" s="1">
        <v>14074</v>
      </c>
      <c r="AI235" s="1">
        <v>39</v>
      </c>
      <c r="AJ235" s="1">
        <v>1083</v>
      </c>
      <c r="AK235" s="1">
        <v>2570</v>
      </c>
      <c r="AL235" s="1">
        <v>164</v>
      </c>
      <c r="AM235" s="1">
        <v>14</v>
      </c>
      <c r="AN235" s="2" t="s">
        <v>362</v>
      </c>
    </row>
    <row r="236" spans="1:40" ht="28.2" x14ac:dyDescent="0.3">
      <c r="A236" s="1">
        <v>3997</v>
      </c>
      <c r="B236" s="2" t="s">
        <v>1439</v>
      </c>
      <c r="C236" s="2" t="s">
        <v>1440</v>
      </c>
      <c r="D236" s="1">
        <v>25</v>
      </c>
      <c r="E236" s="2" t="s">
        <v>683</v>
      </c>
      <c r="F236" s="50" t="s">
        <v>3514</v>
      </c>
      <c r="G236" s="2" t="s">
        <v>1441</v>
      </c>
      <c r="H236" s="1">
        <v>18549</v>
      </c>
      <c r="I236" s="1">
        <v>16810</v>
      </c>
      <c r="J236" s="2" t="s">
        <v>1442</v>
      </c>
      <c r="K236" s="2" t="s">
        <v>1119</v>
      </c>
      <c r="L236" s="2" t="s">
        <v>1170</v>
      </c>
      <c r="M236" s="1">
        <v>1008</v>
      </c>
      <c r="N236" s="1">
        <v>26413</v>
      </c>
      <c r="O236" s="2" t="s">
        <v>905</v>
      </c>
      <c r="P236" s="2" t="s">
        <v>202</v>
      </c>
      <c r="Q236" s="2" t="s">
        <v>65</v>
      </c>
      <c r="R236" s="2" t="s">
        <v>96</v>
      </c>
      <c r="S236" s="2" t="s">
        <v>67</v>
      </c>
      <c r="T236" s="1">
        <v>12673</v>
      </c>
      <c r="U236" s="2" t="s">
        <v>51</v>
      </c>
      <c r="V236" s="1">
        <v>1933</v>
      </c>
      <c r="W236" s="1">
        <v>1661</v>
      </c>
      <c r="X236" s="2" t="s">
        <v>206</v>
      </c>
      <c r="Y236" s="2" t="s">
        <v>950</v>
      </c>
      <c r="Z236" s="2" t="s">
        <v>473</v>
      </c>
      <c r="AA236" s="2" t="s">
        <v>1443</v>
      </c>
      <c r="AB236" s="1">
        <v>13740</v>
      </c>
      <c r="AC236" s="1">
        <v>8159</v>
      </c>
      <c r="AD236" s="1">
        <v>3368</v>
      </c>
      <c r="AE236" s="1">
        <v>966</v>
      </c>
      <c r="AF236" s="1">
        <v>156</v>
      </c>
      <c r="AG236" s="1">
        <v>24</v>
      </c>
      <c r="AH236" s="1">
        <v>13621</v>
      </c>
      <c r="AI236" s="1">
        <v>302</v>
      </c>
      <c r="AJ236" s="1">
        <v>1086</v>
      </c>
      <c r="AK236" s="1">
        <v>3346</v>
      </c>
      <c r="AL236" s="1">
        <v>204</v>
      </c>
      <c r="AM236" s="1">
        <v>33</v>
      </c>
      <c r="AN236" s="2" t="s">
        <v>304</v>
      </c>
    </row>
    <row r="237" spans="1:40" ht="28.2" x14ac:dyDescent="0.3">
      <c r="A237" s="1">
        <v>15072</v>
      </c>
      <c r="B237" s="2" t="s">
        <v>1444</v>
      </c>
      <c r="C237" s="2" t="s">
        <v>1445</v>
      </c>
      <c r="D237" s="1">
        <v>24</v>
      </c>
      <c r="E237" s="2" t="s">
        <v>403</v>
      </c>
      <c r="F237" s="50" t="s">
        <v>1446</v>
      </c>
      <c r="G237" s="2" t="s">
        <v>1447</v>
      </c>
      <c r="H237" s="1">
        <v>7326</v>
      </c>
      <c r="I237" s="1">
        <v>6646</v>
      </c>
      <c r="J237" s="2" t="s">
        <v>652</v>
      </c>
      <c r="K237" s="2" t="s">
        <v>916</v>
      </c>
      <c r="L237" s="2" t="s">
        <v>949</v>
      </c>
      <c r="M237" s="1">
        <v>398</v>
      </c>
      <c r="N237" s="1">
        <v>10487</v>
      </c>
      <c r="O237" s="2" t="s">
        <v>905</v>
      </c>
      <c r="P237" s="2" t="s">
        <v>67</v>
      </c>
      <c r="Q237" s="2" t="s">
        <v>215</v>
      </c>
      <c r="R237" s="2" t="s">
        <v>66</v>
      </c>
      <c r="S237" s="2" t="s">
        <v>96</v>
      </c>
      <c r="T237" s="1">
        <v>5012</v>
      </c>
      <c r="U237" s="2" t="s">
        <v>51</v>
      </c>
      <c r="V237" s="1">
        <v>1214</v>
      </c>
      <c r="W237" s="1">
        <v>943</v>
      </c>
      <c r="X237" s="2" t="s">
        <v>168</v>
      </c>
      <c r="Y237" s="2" t="s">
        <v>561</v>
      </c>
      <c r="Z237" s="2" t="s">
        <v>286</v>
      </c>
      <c r="AA237" s="2" t="s">
        <v>305</v>
      </c>
      <c r="AB237" s="1">
        <v>5475</v>
      </c>
      <c r="AC237" s="1">
        <v>3259</v>
      </c>
      <c r="AD237" s="1">
        <v>1276</v>
      </c>
      <c r="AE237" s="1">
        <v>401</v>
      </c>
      <c r="AF237" s="1">
        <v>68</v>
      </c>
      <c r="AG237" s="1">
        <v>8</v>
      </c>
      <c r="AH237" s="1">
        <v>2604</v>
      </c>
      <c r="AI237" s="1">
        <v>3064</v>
      </c>
      <c r="AJ237" s="1">
        <v>357</v>
      </c>
      <c r="AK237" s="1">
        <v>1147</v>
      </c>
      <c r="AL237" s="1">
        <v>137</v>
      </c>
      <c r="AM237" s="1">
        <v>58</v>
      </c>
      <c r="AN237" s="2" t="s">
        <v>295</v>
      </c>
    </row>
    <row r="238" spans="1:40" x14ac:dyDescent="0.3">
      <c r="A238" s="1">
        <v>11748</v>
      </c>
      <c r="B238" s="2" t="s">
        <v>1448</v>
      </c>
      <c r="C238" s="2" t="s">
        <v>1449</v>
      </c>
      <c r="D238" s="1">
        <v>28</v>
      </c>
      <c r="E238" s="2" t="s">
        <v>104</v>
      </c>
      <c r="F238" s="50" t="s">
        <v>3514</v>
      </c>
      <c r="G238" s="2" t="s">
        <v>1450</v>
      </c>
      <c r="H238" s="1">
        <v>11650</v>
      </c>
      <c r="I238" s="1">
        <v>10558</v>
      </c>
      <c r="J238" s="2" t="s">
        <v>1451</v>
      </c>
      <c r="K238" s="2" t="s">
        <v>486</v>
      </c>
      <c r="L238" s="2" t="s">
        <v>589</v>
      </c>
      <c r="M238" s="1">
        <v>640</v>
      </c>
      <c r="N238" s="1">
        <v>16832</v>
      </c>
      <c r="O238" s="2" t="s">
        <v>463</v>
      </c>
      <c r="P238" s="2" t="s">
        <v>67</v>
      </c>
      <c r="Q238" s="2" t="s">
        <v>215</v>
      </c>
      <c r="R238" s="2" t="s">
        <v>135</v>
      </c>
      <c r="S238" s="2" t="s">
        <v>66</v>
      </c>
      <c r="T238" s="1">
        <v>7934</v>
      </c>
      <c r="U238" s="2" t="s">
        <v>51</v>
      </c>
      <c r="V238" s="1">
        <v>1948</v>
      </c>
      <c r="W238" s="1">
        <v>1683</v>
      </c>
      <c r="X238" s="2" t="s">
        <v>206</v>
      </c>
      <c r="Y238" s="2" t="s">
        <v>277</v>
      </c>
      <c r="Z238" s="2" t="s">
        <v>777</v>
      </c>
      <c r="AA238" s="2" t="s">
        <v>315</v>
      </c>
      <c r="AB238" s="1">
        <v>8898</v>
      </c>
      <c r="AC238" s="1">
        <v>5105</v>
      </c>
      <c r="AD238" s="1">
        <v>2087</v>
      </c>
      <c r="AE238" s="1">
        <v>606</v>
      </c>
      <c r="AF238" s="1">
        <v>127</v>
      </c>
      <c r="AG238" s="1">
        <v>9</v>
      </c>
      <c r="AH238" s="1">
        <v>3059</v>
      </c>
      <c r="AI238" s="1">
        <v>5846</v>
      </c>
      <c r="AJ238" s="1">
        <v>589</v>
      </c>
      <c r="AK238" s="1">
        <v>2008</v>
      </c>
      <c r="AL238" s="1">
        <v>157</v>
      </c>
      <c r="AM238" s="1">
        <v>29</v>
      </c>
      <c r="AN238" s="2" t="s">
        <v>464</v>
      </c>
    </row>
    <row r="239" spans="1:40" ht="28.2" x14ac:dyDescent="0.3">
      <c r="A239" s="1">
        <v>13578</v>
      </c>
      <c r="B239" s="2" t="s">
        <v>1452</v>
      </c>
      <c r="C239" s="2" t="s">
        <v>1453</v>
      </c>
      <c r="D239" s="1">
        <v>21</v>
      </c>
      <c r="E239" s="2" t="s">
        <v>459</v>
      </c>
      <c r="F239" s="50" t="s">
        <v>812</v>
      </c>
      <c r="G239" s="2" t="s">
        <v>1454</v>
      </c>
      <c r="H239" s="1">
        <v>16813</v>
      </c>
      <c r="I239" s="1">
        <v>16097</v>
      </c>
      <c r="J239" s="2" t="s">
        <v>1455</v>
      </c>
      <c r="K239" s="2" t="s">
        <v>154</v>
      </c>
      <c r="L239" s="2" t="s">
        <v>462</v>
      </c>
      <c r="M239" s="1">
        <v>892</v>
      </c>
      <c r="N239" s="1">
        <v>23471</v>
      </c>
      <c r="O239" s="2" t="s">
        <v>311</v>
      </c>
      <c r="P239" s="2" t="s">
        <v>202</v>
      </c>
      <c r="Q239" s="2" t="s">
        <v>463</v>
      </c>
      <c r="R239" s="2" t="s">
        <v>48</v>
      </c>
      <c r="S239" s="2" t="s">
        <v>202</v>
      </c>
      <c r="T239" s="1">
        <v>11013</v>
      </c>
      <c r="U239" s="2" t="s">
        <v>51</v>
      </c>
      <c r="V239" s="1">
        <v>2331</v>
      </c>
      <c r="W239" s="1">
        <v>2465</v>
      </c>
      <c r="X239" s="2" t="s">
        <v>820</v>
      </c>
      <c r="Y239" s="2" t="s">
        <v>285</v>
      </c>
      <c r="Z239" s="2" t="s">
        <v>391</v>
      </c>
      <c r="AA239" s="2" t="s">
        <v>933</v>
      </c>
      <c r="AB239" s="1">
        <v>12458</v>
      </c>
      <c r="AC239" s="1">
        <v>6811</v>
      </c>
      <c r="AD239" s="1">
        <v>2923</v>
      </c>
      <c r="AE239" s="1">
        <v>991</v>
      </c>
      <c r="AF239" s="1">
        <v>257</v>
      </c>
      <c r="AG239" s="1">
        <v>31</v>
      </c>
      <c r="AH239" s="1">
        <v>12834</v>
      </c>
      <c r="AI239" s="1">
        <v>130</v>
      </c>
      <c r="AJ239" s="1">
        <v>739</v>
      </c>
      <c r="AK239" s="1">
        <v>2992</v>
      </c>
      <c r="AL239" s="1">
        <v>146</v>
      </c>
      <c r="AM239" s="1">
        <v>17</v>
      </c>
      <c r="AN239" s="2" t="s">
        <v>561</v>
      </c>
    </row>
    <row r="240" spans="1:40" ht="28.2" x14ac:dyDescent="0.3">
      <c r="A240" s="1">
        <v>13188</v>
      </c>
      <c r="B240" s="2" t="s">
        <v>1456</v>
      </c>
      <c r="C240" s="2" t="s">
        <v>1457</v>
      </c>
      <c r="D240" s="1">
        <v>24</v>
      </c>
      <c r="E240" s="2" t="s">
        <v>459</v>
      </c>
      <c r="F240" s="50" t="s">
        <v>3514</v>
      </c>
      <c r="G240" s="2" t="s">
        <v>1458</v>
      </c>
      <c r="H240" s="1">
        <v>11657</v>
      </c>
      <c r="I240" s="1">
        <v>10854</v>
      </c>
      <c r="J240" s="2" t="s">
        <v>886</v>
      </c>
      <c r="K240" s="2" t="s">
        <v>253</v>
      </c>
      <c r="L240" s="2" t="s">
        <v>949</v>
      </c>
      <c r="M240" s="1">
        <v>626</v>
      </c>
      <c r="N240" s="1">
        <v>16210</v>
      </c>
      <c r="O240" s="2" t="s">
        <v>311</v>
      </c>
      <c r="P240" s="2" t="s">
        <v>166</v>
      </c>
      <c r="Q240" s="2" t="s">
        <v>225</v>
      </c>
      <c r="R240" s="2" t="s">
        <v>50</v>
      </c>
      <c r="S240" s="2" t="s">
        <v>67</v>
      </c>
      <c r="T240" s="1">
        <v>7836</v>
      </c>
      <c r="U240" s="2" t="s">
        <v>51</v>
      </c>
      <c r="V240" s="1">
        <v>1705</v>
      </c>
      <c r="W240" s="1">
        <v>1715</v>
      </c>
      <c r="X240" s="2" t="s">
        <v>285</v>
      </c>
      <c r="Y240" s="2" t="s">
        <v>449</v>
      </c>
      <c r="Z240" s="2" t="s">
        <v>517</v>
      </c>
      <c r="AA240" s="2" t="s">
        <v>648</v>
      </c>
      <c r="AB240" s="1">
        <v>8374</v>
      </c>
      <c r="AC240" s="1">
        <v>4949</v>
      </c>
      <c r="AD240" s="1">
        <v>2089</v>
      </c>
      <c r="AE240" s="1">
        <v>674</v>
      </c>
      <c r="AF240" s="1">
        <v>112</v>
      </c>
      <c r="AG240" s="1">
        <v>12</v>
      </c>
      <c r="AH240" s="1">
        <v>7896</v>
      </c>
      <c r="AI240" s="1">
        <v>583</v>
      </c>
      <c r="AJ240" s="1">
        <v>960</v>
      </c>
      <c r="AK240" s="1">
        <v>2047</v>
      </c>
      <c r="AL240" s="1">
        <v>168</v>
      </c>
      <c r="AM240" s="1">
        <v>23</v>
      </c>
      <c r="AN240" s="2" t="s">
        <v>362</v>
      </c>
    </row>
    <row r="241" spans="1:40" x14ac:dyDescent="0.3">
      <c r="A241" s="1">
        <v>13239</v>
      </c>
      <c r="B241" s="2" t="s">
        <v>1459</v>
      </c>
      <c r="C241" s="2" t="s">
        <v>1460</v>
      </c>
      <c r="D241" s="1">
        <v>23</v>
      </c>
      <c r="E241" s="2" t="s">
        <v>1144</v>
      </c>
      <c r="F241" s="50" t="s">
        <v>308</v>
      </c>
      <c r="G241" s="2" t="s">
        <v>309</v>
      </c>
      <c r="H241" s="1">
        <v>23498</v>
      </c>
      <c r="I241" s="1">
        <v>21535</v>
      </c>
      <c r="J241" s="2" t="s">
        <v>1461</v>
      </c>
      <c r="K241" s="2" t="s">
        <v>617</v>
      </c>
      <c r="L241" s="2" t="s">
        <v>949</v>
      </c>
      <c r="M241" s="1">
        <v>1269</v>
      </c>
      <c r="N241" s="1">
        <v>33537</v>
      </c>
      <c r="O241" s="2" t="s">
        <v>905</v>
      </c>
      <c r="P241" s="2" t="s">
        <v>202</v>
      </c>
      <c r="Q241" s="2" t="s">
        <v>65</v>
      </c>
      <c r="R241" s="2" t="s">
        <v>96</v>
      </c>
      <c r="S241" s="2" t="s">
        <v>50</v>
      </c>
      <c r="T241" s="1">
        <v>15888</v>
      </c>
      <c r="U241" s="2" t="s">
        <v>51</v>
      </c>
      <c r="V241" s="1">
        <v>3552</v>
      </c>
      <c r="W241" s="1">
        <v>3290</v>
      </c>
      <c r="X241" s="2" t="s">
        <v>277</v>
      </c>
      <c r="Y241" s="2" t="s">
        <v>412</v>
      </c>
      <c r="Z241" s="2" t="s">
        <v>1462</v>
      </c>
      <c r="AA241" s="2" t="s">
        <v>933</v>
      </c>
      <c r="AB241" s="1">
        <v>17649</v>
      </c>
      <c r="AC241" s="1">
        <v>10084</v>
      </c>
      <c r="AD241" s="1">
        <v>4290</v>
      </c>
      <c r="AE241" s="1">
        <v>1246</v>
      </c>
      <c r="AF241" s="1">
        <v>244</v>
      </c>
      <c r="AG241" s="1">
        <v>24</v>
      </c>
      <c r="AH241" s="1">
        <v>18090</v>
      </c>
      <c r="AI241" s="1">
        <v>322</v>
      </c>
      <c r="AJ241" s="1">
        <v>1175</v>
      </c>
      <c r="AK241" s="1">
        <v>3607</v>
      </c>
      <c r="AL241" s="1">
        <v>278</v>
      </c>
      <c r="AM241" s="1">
        <v>88</v>
      </c>
      <c r="AN241" s="2" t="s">
        <v>362</v>
      </c>
    </row>
    <row r="242" spans="1:40" x14ac:dyDescent="0.3">
      <c r="A242" s="1">
        <v>11250</v>
      </c>
      <c r="B242" s="2" t="s">
        <v>1463</v>
      </c>
      <c r="C242" s="2" t="s">
        <v>1464</v>
      </c>
      <c r="D242" s="1">
        <v>25</v>
      </c>
      <c r="E242" s="2" t="s">
        <v>1033</v>
      </c>
      <c r="F242" s="50" t="s">
        <v>1465</v>
      </c>
      <c r="G242" s="2" t="s">
        <v>1466</v>
      </c>
      <c r="H242" s="1">
        <v>19554</v>
      </c>
      <c r="I242" s="1">
        <v>17753</v>
      </c>
      <c r="J242" s="2" t="s">
        <v>1159</v>
      </c>
      <c r="K242" s="2">
        <v>74</v>
      </c>
      <c r="L242" s="2" t="s">
        <v>589</v>
      </c>
      <c r="M242" s="1">
        <v>1069</v>
      </c>
      <c r="N242" s="1">
        <v>28457</v>
      </c>
      <c r="O242" s="2" t="s">
        <v>463</v>
      </c>
      <c r="P242" s="2" t="s">
        <v>67</v>
      </c>
      <c r="Q242" s="2" t="s">
        <v>144</v>
      </c>
      <c r="R242" s="2" t="s">
        <v>66</v>
      </c>
      <c r="S242" s="2" t="s">
        <v>50</v>
      </c>
      <c r="T242" s="1">
        <v>13288</v>
      </c>
      <c r="U242" s="2" t="s">
        <v>51</v>
      </c>
      <c r="V242" s="1">
        <v>2124</v>
      </c>
      <c r="W242" s="1">
        <v>1924</v>
      </c>
      <c r="X242" s="2" t="s">
        <v>561</v>
      </c>
      <c r="Y242" s="2" t="s">
        <v>950</v>
      </c>
      <c r="Z242" s="2" t="s">
        <v>1467</v>
      </c>
      <c r="AA242" s="2" t="s">
        <v>1468</v>
      </c>
      <c r="AB242" s="1">
        <v>15169</v>
      </c>
      <c r="AC242" s="1">
        <v>8548</v>
      </c>
      <c r="AD242" s="1">
        <v>3471</v>
      </c>
      <c r="AE242" s="1">
        <v>1031</v>
      </c>
      <c r="AF242" s="1">
        <v>219</v>
      </c>
      <c r="AG242" s="1">
        <v>19</v>
      </c>
      <c r="AH242" s="1">
        <v>15374</v>
      </c>
      <c r="AI242" s="1">
        <v>128</v>
      </c>
      <c r="AJ242" s="1">
        <v>650</v>
      </c>
      <c r="AK242" s="1">
        <v>3202</v>
      </c>
      <c r="AL242" s="1">
        <v>213</v>
      </c>
      <c r="AM242" s="1">
        <v>53</v>
      </c>
      <c r="AN242" s="2" t="s">
        <v>464</v>
      </c>
    </row>
    <row r="243" spans="1:40" ht="28.2" x14ac:dyDescent="0.3">
      <c r="A243" s="1">
        <v>10589</v>
      </c>
      <c r="B243" s="2" t="s">
        <v>1469</v>
      </c>
      <c r="C243" s="2" t="s">
        <v>1470</v>
      </c>
      <c r="D243" s="1">
        <v>29</v>
      </c>
      <c r="E243" s="2" t="s">
        <v>75</v>
      </c>
      <c r="F243" s="50" t="s">
        <v>1471</v>
      </c>
      <c r="G243" s="2" t="s">
        <v>1472</v>
      </c>
      <c r="H243" s="1">
        <v>9899</v>
      </c>
      <c r="I243" s="1">
        <v>9295</v>
      </c>
      <c r="J243" s="2" t="s">
        <v>573</v>
      </c>
      <c r="K243" s="2" t="s">
        <v>837</v>
      </c>
      <c r="L243" s="2" t="s">
        <v>589</v>
      </c>
      <c r="M243" s="1">
        <v>516</v>
      </c>
      <c r="N243" s="1">
        <v>13467</v>
      </c>
      <c r="O243" s="2" t="s">
        <v>283</v>
      </c>
      <c r="P243" s="2" t="s">
        <v>235</v>
      </c>
      <c r="Q243" s="2" t="s">
        <v>463</v>
      </c>
      <c r="R243" s="2" t="s">
        <v>66</v>
      </c>
      <c r="S243" s="2" t="s">
        <v>50</v>
      </c>
      <c r="T243" s="1">
        <v>6659</v>
      </c>
      <c r="U243" s="2" t="s">
        <v>51</v>
      </c>
      <c r="V243" s="1">
        <v>1052</v>
      </c>
      <c r="W243" s="1">
        <v>1053</v>
      </c>
      <c r="X243" s="2">
        <v>1</v>
      </c>
      <c r="Y243" s="2" t="s">
        <v>950</v>
      </c>
      <c r="Z243" s="2" t="s">
        <v>1165</v>
      </c>
      <c r="AA243" s="2" t="s">
        <v>1276</v>
      </c>
      <c r="AB243" s="1">
        <v>6808</v>
      </c>
      <c r="AC243" s="1">
        <v>4185</v>
      </c>
      <c r="AD243" s="1">
        <v>1834</v>
      </c>
      <c r="AE243" s="1">
        <v>524</v>
      </c>
      <c r="AF243" s="1">
        <v>106</v>
      </c>
      <c r="AG243" s="1">
        <v>10</v>
      </c>
      <c r="AH243" s="1">
        <v>7534</v>
      </c>
      <c r="AI243" s="1">
        <v>57</v>
      </c>
      <c r="AJ243" s="1">
        <v>367</v>
      </c>
      <c r="AK243" s="1">
        <v>1834</v>
      </c>
      <c r="AL243" s="1">
        <v>109</v>
      </c>
      <c r="AM243" s="1">
        <v>13</v>
      </c>
      <c r="AN243" s="2" t="s">
        <v>304</v>
      </c>
    </row>
    <row r="244" spans="1:40" ht="28.2" x14ac:dyDescent="0.3">
      <c r="A244" s="1">
        <v>12937</v>
      </c>
      <c r="B244" s="2" t="s">
        <v>1473</v>
      </c>
      <c r="C244" s="2" t="s">
        <v>1474</v>
      </c>
      <c r="D244" s="1">
        <v>23</v>
      </c>
      <c r="E244" s="2" t="s">
        <v>459</v>
      </c>
      <c r="F244" s="50" t="s">
        <v>319</v>
      </c>
      <c r="G244" s="2" t="s">
        <v>1475</v>
      </c>
      <c r="H244" s="1">
        <v>9790</v>
      </c>
      <c r="I244" s="1">
        <v>8809</v>
      </c>
      <c r="J244" s="2" t="s">
        <v>132</v>
      </c>
      <c r="K244" s="2" t="s">
        <v>1476</v>
      </c>
      <c r="L244" s="2">
        <v>3</v>
      </c>
      <c r="M244" s="1">
        <v>529</v>
      </c>
      <c r="N244" s="1">
        <v>14082</v>
      </c>
      <c r="O244" s="2" t="s">
        <v>905</v>
      </c>
      <c r="P244" s="2" t="s">
        <v>50</v>
      </c>
      <c r="Q244" s="2" t="s">
        <v>215</v>
      </c>
      <c r="R244" s="2" t="s">
        <v>96</v>
      </c>
      <c r="S244" s="2" t="s">
        <v>67</v>
      </c>
      <c r="T244" s="1">
        <v>6755</v>
      </c>
      <c r="U244" s="2" t="s">
        <v>51</v>
      </c>
      <c r="V244" s="1">
        <v>1615</v>
      </c>
      <c r="W244" s="1">
        <v>1224</v>
      </c>
      <c r="X244" s="2" t="s">
        <v>56</v>
      </c>
      <c r="Y244" s="2" t="s">
        <v>561</v>
      </c>
      <c r="Z244" s="2" t="s">
        <v>795</v>
      </c>
      <c r="AA244" s="2" t="s">
        <v>376</v>
      </c>
      <c r="AB244" s="1">
        <v>7327</v>
      </c>
      <c r="AC244" s="1">
        <v>4418</v>
      </c>
      <c r="AD244" s="1">
        <v>1742</v>
      </c>
      <c r="AE244" s="1">
        <v>499</v>
      </c>
      <c r="AF244" s="1">
        <v>89</v>
      </c>
      <c r="AG244" s="1">
        <v>7</v>
      </c>
      <c r="AH244" s="1">
        <v>3317</v>
      </c>
      <c r="AI244" s="1">
        <v>4460</v>
      </c>
      <c r="AJ244" s="1">
        <v>378</v>
      </c>
      <c r="AK244" s="1">
        <v>1559</v>
      </c>
      <c r="AL244" s="1">
        <v>90</v>
      </c>
      <c r="AM244" s="1">
        <v>20</v>
      </c>
      <c r="AN244" s="2" t="s">
        <v>277</v>
      </c>
    </row>
    <row r="245" spans="1:40" ht="28.2" x14ac:dyDescent="0.3">
      <c r="A245" s="1">
        <v>10892</v>
      </c>
      <c r="B245" s="2" t="s">
        <v>1477</v>
      </c>
      <c r="C245" s="2" t="s">
        <v>1478</v>
      </c>
      <c r="D245" s="1">
        <v>24</v>
      </c>
      <c r="E245" s="2" t="s">
        <v>1479</v>
      </c>
      <c r="F245" s="50" t="s">
        <v>3514</v>
      </c>
      <c r="G245" s="2" t="s">
        <v>1480</v>
      </c>
      <c r="H245" s="1">
        <v>16750</v>
      </c>
      <c r="I245" s="1">
        <v>15402</v>
      </c>
      <c r="J245" s="2" t="s">
        <v>1481</v>
      </c>
      <c r="K245" s="2">
        <v>79</v>
      </c>
      <c r="L245" s="2" t="s">
        <v>658</v>
      </c>
      <c r="M245" s="1">
        <v>926</v>
      </c>
      <c r="N245" s="1">
        <v>23830</v>
      </c>
      <c r="O245" s="2" t="s">
        <v>905</v>
      </c>
      <c r="P245" s="2" t="s">
        <v>166</v>
      </c>
      <c r="Q245" s="2" t="s">
        <v>276</v>
      </c>
      <c r="R245" s="2" t="s">
        <v>67</v>
      </c>
      <c r="S245" s="2" t="s">
        <v>48</v>
      </c>
      <c r="T245" s="1">
        <v>11318</v>
      </c>
      <c r="U245" s="2" t="s">
        <v>51</v>
      </c>
      <c r="V245" s="1">
        <v>2422</v>
      </c>
      <c r="W245" s="1">
        <v>2286</v>
      </c>
      <c r="X245" s="2" t="s">
        <v>590</v>
      </c>
      <c r="Y245" s="2" t="s">
        <v>255</v>
      </c>
      <c r="Z245" s="2" t="s">
        <v>137</v>
      </c>
      <c r="AA245" s="2" t="s">
        <v>739</v>
      </c>
      <c r="AB245" s="1">
        <v>12512</v>
      </c>
      <c r="AC245" s="1">
        <v>7185</v>
      </c>
      <c r="AD245" s="1">
        <v>3027</v>
      </c>
      <c r="AE245" s="1">
        <v>923</v>
      </c>
      <c r="AF245" s="1">
        <v>173</v>
      </c>
      <c r="AG245" s="1">
        <v>10</v>
      </c>
      <c r="AH245" s="1">
        <v>12507</v>
      </c>
      <c r="AI245" s="1">
        <v>304</v>
      </c>
      <c r="AJ245" s="1">
        <v>689</v>
      </c>
      <c r="AK245" s="1">
        <v>2994</v>
      </c>
      <c r="AL245" s="1">
        <v>246</v>
      </c>
      <c r="AM245" s="1">
        <v>81</v>
      </c>
      <c r="AN245" s="2" t="s">
        <v>370</v>
      </c>
    </row>
    <row r="246" spans="1:40" x14ac:dyDescent="0.3">
      <c r="A246" s="1">
        <v>7964</v>
      </c>
      <c r="B246" s="2" t="s">
        <v>1482</v>
      </c>
      <c r="C246" s="2" t="s">
        <v>1483</v>
      </c>
      <c r="D246" s="1">
        <v>27</v>
      </c>
      <c r="E246" s="2" t="s">
        <v>196</v>
      </c>
      <c r="F246" s="50" t="s">
        <v>1396</v>
      </c>
      <c r="G246" s="2" t="s">
        <v>1484</v>
      </c>
      <c r="H246" s="1">
        <v>27065</v>
      </c>
      <c r="I246" s="1">
        <v>24531</v>
      </c>
      <c r="J246" s="2" t="s">
        <v>1485</v>
      </c>
      <c r="K246" s="2" t="s">
        <v>999</v>
      </c>
      <c r="L246" s="2" t="s">
        <v>164</v>
      </c>
      <c r="M246" s="1">
        <v>1475</v>
      </c>
      <c r="N246" s="1">
        <v>38976</v>
      </c>
      <c r="O246" s="2" t="s">
        <v>463</v>
      </c>
      <c r="P246" s="2" t="s">
        <v>67</v>
      </c>
      <c r="Q246" s="2" t="s">
        <v>215</v>
      </c>
      <c r="R246" s="2" t="s">
        <v>96</v>
      </c>
      <c r="S246" s="2" t="s">
        <v>66</v>
      </c>
      <c r="T246" s="1">
        <v>18532</v>
      </c>
      <c r="U246" s="2" t="s">
        <v>51</v>
      </c>
      <c r="V246" s="1">
        <v>4972</v>
      </c>
      <c r="W246" s="1">
        <v>3775</v>
      </c>
      <c r="X246" s="2" t="s">
        <v>56</v>
      </c>
      <c r="Y246" s="2" t="s">
        <v>111</v>
      </c>
      <c r="Z246" s="2" t="s">
        <v>1214</v>
      </c>
      <c r="AA246" s="2" t="s">
        <v>497</v>
      </c>
      <c r="AB246" s="1">
        <v>20444</v>
      </c>
      <c r="AC246" s="1">
        <v>12006</v>
      </c>
      <c r="AD246" s="1">
        <v>4844</v>
      </c>
      <c r="AE246" s="1">
        <v>1390</v>
      </c>
      <c r="AF246" s="1">
        <v>268</v>
      </c>
      <c r="AG246" s="1">
        <v>24</v>
      </c>
      <c r="AH246" s="1">
        <v>6605</v>
      </c>
      <c r="AI246" s="1">
        <v>13070</v>
      </c>
      <c r="AJ246" s="1">
        <v>2144</v>
      </c>
      <c r="AK246" s="1">
        <v>4790</v>
      </c>
      <c r="AL246" s="1">
        <v>367</v>
      </c>
      <c r="AM246" s="1">
        <v>172</v>
      </c>
      <c r="AN246" s="2" t="s">
        <v>407</v>
      </c>
    </row>
    <row r="247" spans="1:40" x14ac:dyDescent="0.3">
      <c r="A247" s="1">
        <v>13843</v>
      </c>
      <c r="B247" s="2" t="s">
        <v>1486</v>
      </c>
      <c r="C247" s="2" t="s">
        <v>1487</v>
      </c>
      <c r="D247" s="1">
        <v>19</v>
      </c>
      <c r="E247" s="2" t="s">
        <v>196</v>
      </c>
      <c r="F247" s="50" t="s">
        <v>1488</v>
      </c>
      <c r="G247" s="2" t="s">
        <v>1489</v>
      </c>
      <c r="H247" s="1">
        <v>8479</v>
      </c>
      <c r="I247" s="1">
        <v>7731</v>
      </c>
      <c r="J247" s="2" t="s">
        <v>301</v>
      </c>
      <c r="K247" s="2">
        <v>71</v>
      </c>
      <c r="L247" s="2" t="s">
        <v>275</v>
      </c>
      <c r="M247" s="1">
        <v>454</v>
      </c>
      <c r="N247" s="1">
        <v>12275</v>
      </c>
      <c r="O247" s="2" t="s">
        <v>463</v>
      </c>
      <c r="P247" s="2" t="s">
        <v>96</v>
      </c>
      <c r="Q247" s="2" t="s">
        <v>215</v>
      </c>
      <c r="R247" s="2" t="s">
        <v>96</v>
      </c>
      <c r="S247" s="2" t="s">
        <v>50</v>
      </c>
      <c r="T247" s="1">
        <v>5748</v>
      </c>
      <c r="U247" s="2" t="s">
        <v>51</v>
      </c>
      <c r="V247" s="1">
        <v>1320</v>
      </c>
      <c r="W247" s="1">
        <v>1005</v>
      </c>
      <c r="X247" s="2" t="s">
        <v>1120</v>
      </c>
      <c r="Y247" s="2" t="s">
        <v>464</v>
      </c>
      <c r="Z247" s="2" t="s">
        <v>1490</v>
      </c>
      <c r="AA247" s="2" t="s">
        <v>659</v>
      </c>
      <c r="AB247" s="1">
        <v>6527</v>
      </c>
      <c r="AC247" s="1">
        <v>3674</v>
      </c>
      <c r="AD247" s="1">
        <v>1515</v>
      </c>
      <c r="AE247" s="1">
        <v>466</v>
      </c>
      <c r="AF247" s="1">
        <v>88</v>
      </c>
      <c r="AG247" s="1">
        <v>5</v>
      </c>
      <c r="AH247" s="1">
        <v>2884</v>
      </c>
      <c r="AI247" s="1">
        <v>3894</v>
      </c>
      <c r="AJ247" s="1">
        <v>144</v>
      </c>
      <c r="AK247" s="1">
        <v>1499</v>
      </c>
      <c r="AL247" s="1">
        <v>66</v>
      </c>
      <c r="AM247" s="1">
        <v>24</v>
      </c>
      <c r="AN247" s="2" t="s">
        <v>464</v>
      </c>
    </row>
    <row r="248" spans="1:40" ht="42" x14ac:dyDescent="0.3">
      <c r="A248" s="1">
        <v>10610</v>
      </c>
      <c r="B248" s="2" t="s">
        <v>1491</v>
      </c>
      <c r="C248" s="2" t="s">
        <v>1492</v>
      </c>
      <c r="D248" s="1">
        <v>24</v>
      </c>
      <c r="E248" s="2" t="s">
        <v>196</v>
      </c>
      <c r="F248" s="50" t="s">
        <v>1396</v>
      </c>
      <c r="G248" s="2" t="s">
        <v>1493</v>
      </c>
      <c r="H248" s="1">
        <v>18323</v>
      </c>
      <c r="I248" s="1">
        <v>16980</v>
      </c>
      <c r="J248" s="2" t="s">
        <v>744</v>
      </c>
      <c r="K248" s="2" t="s">
        <v>1494</v>
      </c>
      <c r="L248" s="2" t="s">
        <v>93</v>
      </c>
      <c r="M248" s="1">
        <v>978</v>
      </c>
      <c r="N248" s="1">
        <v>26051</v>
      </c>
      <c r="O248" s="2" t="s">
        <v>905</v>
      </c>
      <c r="P248" s="2" t="s">
        <v>67</v>
      </c>
      <c r="Q248" s="2" t="s">
        <v>276</v>
      </c>
      <c r="R248" s="2" t="s">
        <v>50</v>
      </c>
      <c r="S248" s="2" t="s">
        <v>50</v>
      </c>
      <c r="T248" s="1">
        <v>12351</v>
      </c>
      <c r="U248" s="2" t="s">
        <v>51</v>
      </c>
      <c r="V248" s="1">
        <v>2432</v>
      </c>
      <c r="W248" s="1">
        <v>2263</v>
      </c>
      <c r="X248" s="2" t="s">
        <v>464</v>
      </c>
      <c r="Y248" s="2" t="s">
        <v>285</v>
      </c>
      <c r="Z248" s="2" t="s">
        <v>427</v>
      </c>
      <c r="AA248" s="2" t="s">
        <v>1244</v>
      </c>
      <c r="AB248" s="1">
        <v>13700</v>
      </c>
      <c r="AC248" s="1">
        <v>7858</v>
      </c>
      <c r="AD248" s="1">
        <v>3274</v>
      </c>
      <c r="AE248" s="1">
        <v>987</v>
      </c>
      <c r="AF248" s="1">
        <v>204</v>
      </c>
      <c r="AG248" s="1">
        <v>28</v>
      </c>
      <c r="AH248" s="1">
        <v>13187</v>
      </c>
      <c r="AI248" s="1">
        <v>814</v>
      </c>
      <c r="AJ248" s="1">
        <v>988</v>
      </c>
      <c r="AK248" s="1">
        <v>3113</v>
      </c>
      <c r="AL248" s="1">
        <v>215</v>
      </c>
      <c r="AM248" s="1">
        <v>54</v>
      </c>
      <c r="AN248" s="2" t="s">
        <v>277</v>
      </c>
    </row>
    <row r="249" spans="1:40" x14ac:dyDescent="0.3">
      <c r="A249" s="1">
        <v>8124</v>
      </c>
      <c r="B249" s="2" t="s">
        <v>1495</v>
      </c>
      <c r="C249" s="2" t="s">
        <v>1496</v>
      </c>
      <c r="D249" s="1">
        <v>26</v>
      </c>
      <c r="E249" s="2" t="s">
        <v>75</v>
      </c>
      <c r="F249" s="50" t="s">
        <v>1497</v>
      </c>
      <c r="G249" s="2" t="s">
        <v>1498</v>
      </c>
      <c r="H249" s="1">
        <v>23631</v>
      </c>
      <c r="I249" s="1">
        <v>21705</v>
      </c>
      <c r="J249" s="2" t="s">
        <v>751</v>
      </c>
      <c r="K249" s="2" t="s">
        <v>1499</v>
      </c>
      <c r="L249" s="2" t="s">
        <v>471</v>
      </c>
      <c r="M249" s="1">
        <v>1279</v>
      </c>
      <c r="N249" s="1">
        <v>33713</v>
      </c>
      <c r="O249" s="2" t="s">
        <v>905</v>
      </c>
      <c r="P249" s="2" t="s">
        <v>48</v>
      </c>
      <c r="Q249" s="2" t="s">
        <v>65</v>
      </c>
      <c r="R249" s="2" t="s">
        <v>96</v>
      </c>
      <c r="S249" s="2" t="s">
        <v>96</v>
      </c>
      <c r="T249" s="1">
        <v>16050</v>
      </c>
      <c r="U249" s="2" t="s">
        <v>51</v>
      </c>
      <c r="V249" s="1">
        <v>3711</v>
      </c>
      <c r="W249" s="1">
        <v>2752</v>
      </c>
      <c r="X249" s="2" t="s">
        <v>323</v>
      </c>
      <c r="Y249" s="2" t="s">
        <v>277</v>
      </c>
      <c r="Z249" s="2" t="s">
        <v>473</v>
      </c>
      <c r="AA249" s="2" t="s">
        <v>267</v>
      </c>
      <c r="AB249" s="1">
        <v>17663</v>
      </c>
      <c r="AC249" s="1">
        <v>10292</v>
      </c>
      <c r="AD249" s="1">
        <v>4253</v>
      </c>
      <c r="AE249" s="1">
        <v>1219</v>
      </c>
      <c r="AF249" s="1">
        <v>258</v>
      </c>
      <c r="AG249" s="1">
        <v>28</v>
      </c>
      <c r="AH249" s="1">
        <v>5078</v>
      </c>
      <c r="AI249" s="1">
        <v>11946</v>
      </c>
      <c r="AJ249" s="1">
        <v>1134</v>
      </c>
      <c r="AK249" s="1">
        <v>5142</v>
      </c>
      <c r="AL249" s="1">
        <v>290</v>
      </c>
      <c r="AM249" s="1">
        <v>78</v>
      </c>
      <c r="AN249" s="2" t="s">
        <v>407</v>
      </c>
    </row>
    <row r="250" spans="1:40" ht="28.2" x14ac:dyDescent="0.3">
      <c r="A250" s="1">
        <v>11485</v>
      </c>
      <c r="B250" s="2" t="s">
        <v>1500</v>
      </c>
      <c r="C250" s="2" t="s">
        <v>1501</v>
      </c>
      <c r="D250" s="1">
        <v>26</v>
      </c>
      <c r="E250" s="2" t="s">
        <v>299</v>
      </c>
      <c r="F250" s="50" t="s">
        <v>936</v>
      </c>
      <c r="G250" s="2" t="s">
        <v>1502</v>
      </c>
      <c r="H250" s="1">
        <v>17732</v>
      </c>
      <c r="I250" s="1">
        <v>16298</v>
      </c>
      <c r="J250" s="2" t="s">
        <v>1503</v>
      </c>
      <c r="K250" s="2" t="s">
        <v>1183</v>
      </c>
      <c r="L250" s="2" t="s">
        <v>589</v>
      </c>
      <c r="M250" s="1">
        <v>1004</v>
      </c>
      <c r="N250" s="1">
        <v>25565</v>
      </c>
      <c r="O250" s="2" t="s">
        <v>463</v>
      </c>
      <c r="P250" s="2" t="s">
        <v>166</v>
      </c>
      <c r="Q250" s="2" t="s">
        <v>65</v>
      </c>
      <c r="R250" s="2" t="s">
        <v>96</v>
      </c>
      <c r="S250" s="2" t="s">
        <v>66</v>
      </c>
      <c r="T250" s="1">
        <v>11968</v>
      </c>
      <c r="U250" s="2" t="s">
        <v>51</v>
      </c>
      <c r="V250" s="1">
        <v>2470</v>
      </c>
      <c r="W250" s="1">
        <v>2493</v>
      </c>
      <c r="X250" s="2" t="s">
        <v>285</v>
      </c>
      <c r="Y250" s="2" t="s">
        <v>285</v>
      </c>
      <c r="Z250" s="2" t="s">
        <v>99</v>
      </c>
      <c r="AA250" s="2" t="s">
        <v>783</v>
      </c>
      <c r="AB250" s="1">
        <v>13597</v>
      </c>
      <c r="AC250" s="1">
        <v>7608</v>
      </c>
      <c r="AD250" s="1">
        <v>3183</v>
      </c>
      <c r="AE250" s="1">
        <v>970</v>
      </c>
      <c r="AF250" s="1">
        <v>187</v>
      </c>
      <c r="AG250" s="1">
        <v>20</v>
      </c>
      <c r="AH250" s="1">
        <v>12729</v>
      </c>
      <c r="AI250" s="1">
        <v>369</v>
      </c>
      <c r="AJ250" s="1">
        <v>1400</v>
      </c>
      <c r="AK250" s="1">
        <v>2987</v>
      </c>
      <c r="AL250" s="1">
        <v>228</v>
      </c>
      <c r="AM250" s="1">
        <v>63</v>
      </c>
      <c r="AN250" s="2" t="s">
        <v>561</v>
      </c>
    </row>
    <row r="251" spans="1:40" x14ac:dyDescent="0.3">
      <c r="A251" s="1">
        <v>8394</v>
      </c>
      <c r="B251" s="2" t="s">
        <v>1504</v>
      </c>
      <c r="C251" s="2" t="s">
        <v>1505</v>
      </c>
      <c r="D251" s="1">
        <v>24</v>
      </c>
      <c r="E251" s="2" t="s">
        <v>196</v>
      </c>
      <c r="F251" s="50" t="s">
        <v>1093</v>
      </c>
      <c r="G251" s="2" t="s">
        <v>1506</v>
      </c>
      <c r="H251" s="1">
        <v>28608</v>
      </c>
      <c r="I251" s="1">
        <v>26504</v>
      </c>
      <c r="J251" s="2" t="s">
        <v>1046</v>
      </c>
      <c r="K251" s="2" t="s">
        <v>424</v>
      </c>
      <c r="L251" s="2" t="s">
        <v>80</v>
      </c>
      <c r="M251" s="1">
        <v>1530</v>
      </c>
      <c r="N251" s="1">
        <v>40253</v>
      </c>
      <c r="O251" s="2" t="s">
        <v>646</v>
      </c>
      <c r="P251" s="2" t="s">
        <v>235</v>
      </c>
      <c r="Q251" s="2" t="s">
        <v>322</v>
      </c>
      <c r="R251" s="2" t="s">
        <v>96</v>
      </c>
      <c r="S251" s="2" t="s">
        <v>50</v>
      </c>
      <c r="T251" s="1">
        <v>19286</v>
      </c>
      <c r="U251" s="2" t="s">
        <v>51</v>
      </c>
      <c r="V251" s="1">
        <v>3937</v>
      </c>
      <c r="W251" s="1">
        <v>4085</v>
      </c>
      <c r="X251" s="2" t="s">
        <v>472</v>
      </c>
      <c r="Y251" s="2" t="s">
        <v>285</v>
      </c>
      <c r="Z251" s="2" t="s">
        <v>809</v>
      </c>
      <c r="AA251" s="2" t="s">
        <v>746</v>
      </c>
      <c r="AB251" s="1">
        <v>20967</v>
      </c>
      <c r="AC251" s="1">
        <v>12196</v>
      </c>
      <c r="AD251" s="1">
        <v>5229</v>
      </c>
      <c r="AE251" s="1">
        <v>1544</v>
      </c>
      <c r="AF251" s="1">
        <v>293</v>
      </c>
      <c r="AG251" s="1">
        <v>24</v>
      </c>
      <c r="AH251" s="1">
        <v>22141</v>
      </c>
      <c r="AI251" s="1">
        <v>195</v>
      </c>
      <c r="AJ251" s="1">
        <v>1006</v>
      </c>
      <c r="AK251" s="1">
        <v>4923</v>
      </c>
      <c r="AL251" s="1">
        <v>363</v>
      </c>
      <c r="AM251" s="1">
        <v>33</v>
      </c>
      <c r="AN251" s="2" t="s">
        <v>407</v>
      </c>
    </row>
    <row r="252" spans="1:40" ht="28.2" x14ac:dyDescent="0.3">
      <c r="A252" s="1">
        <v>16647</v>
      </c>
      <c r="B252" s="2" t="s">
        <v>1507</v>
      </c>
      <c r="C252" s="2" t="s">
        <v>1508</v>
      </c>
      <c r="D252" s="1">
        <v>21</v>
      </c>
      <c r="E252" s="2" t="s">
        <v>459</v>
      </c>
      <c r="F252" s="50" t="s">
        <v>825</v>
      </c>
      <c r="G252" s="2" t="s">
        <v>1509</v>
      </c>
      <c r="H252" s="1">
        <v>14742</v>
      </c>
      <c r="I252" s="1">
        <v>13762</v>
      </c>
      <c r="J252" s="2" t="s">
        <v>1218</v>
      </c>
      <c r="K252" s="2" t="s">
        <v>1510</v>
      </c>
      <c r="L252" s="2" t="s">
        <v>1004</v>
      </c>
      <c r="M252" s="1">
        <v>802</v>
      </c>
      <c r="N252" s="1">
        <v>20805</v>
      </c>
      <c r="O252" s="2" t="s">
        <v>646</v>
      </c>
      <c r="P252" s="2" t="s">
        <v>166</v>
      </c>
      <c r="Q252" s="2" t="s">
        <v>322</v>
      </c>
      <c r="R252" s="2" t="s">
        <v>48</v>
      </c>
      <c r="S252" s="2" t="s">
        <v>235</v>
      </c>
      <c r="T252" s="1">
        <v>9905</v>
      </c>
      <c r="U252" s="2" t="s">
        <v>51</v>
      </c>
      <c r="V252" s="1">
        <v>1760</v>
      </c>
      <c r="W252" s="1">
        <v>1732</v>
      </c>
      <c r="X252" s="2" t="s">
        <v>449</v>
      </c>
      <c r="Y252" s="2" t="s">
        <v>820</v>
      </c>
      <c r="Z252" s="2" t="s">
        <v>54</v>
      </c>
      <c r="AA252" s="2" t="s">
        <v>247</v>
      </c>
      <c r="AB252" s="1">
        <v>10900</v>
      </c>
      <c r="AC252" s="1">
        <v>6267</v>
      </c>
      <c r="AD252" s="1">
        <v>2651</v>
      </c>
      <c r="AE252" s="1">
        <v>799</v>
      </c>
      <c r="AF252" s="1">
        <v>164</v>
      </c>
      <c r="AG252" s="1">
        <v>24</v>
      </c>
      <c r="AH252" s="1">
        <v>10900</v>
      </c>
      <c r="AI252" s="1">
        <v>197</v>
      </c>
      <c r="AJ252" s="1">
        <v>911</v>
      </c>
      <c r="AK252" s="1">
        <v>2523</v>
      </c>
      <c r="AL252" s="1">
        <v>239</v>
      </c>
      <c r="AM252" s="1">
        <v>34</v>
      </c>
      <c r="AN252" s="2" t="s">
        <v>561</v>
      </c>
    </row>
    <row r="253" spans="1:40" ht="28.2" x14ac:dyDescent="0.3">
      <c r="A253" s="1">
        <v>8248</v>
      </c>
      <c r="B253" s="2" t="s">
        <v>1511</v>
      </c>
      <c r="C253" s="2" t="s">
        <v>1512</v>
      </c>
      <c r="D253" s="1">
        <v>28</v>
      </c>
      <c r="E253" s="2" t="s">
        <v>1070</v>
      </c>
      <c r="F253" s="50" t="s">
        <v>599</v>
      </c>
      <c r="G253" s="2" t="s">
        <v>1513</v>
      </c>
      <c r="H253" s="1">
        <v>25423</v>
      </c>
      <c r="I253" s="1">
        <v>24235</v>
      </c>
      <c r="J253" s="2" t="s">
        <v>448</v>
      </c>
      <c r="K253" s="2" t="s">
        <v>108</v>
      </c>
      <c r="L253" s="2" t="s">
        <v>589</v>
      </c>
      <c r="M253" s="1">
        <v>1317</v>
      </c>
      <c r="N253" s="1">
        <v>34768</v>
      </c>
      <c r="O253" s="2" t="s">
        <v>495</v>
      </c>
      <c r="P253" s="2" t="s">
        <v>235</v>
      </c>
      <c r="Q253" s="2" t="s">
        <v>905</v>
      </c>
      <c r="R253" s="2" t="s">
        <v>67</v>
      </c>
      <c r="S253" s="2" t="s">
        <v>67</v>
      </c>
      <c r="T253" s="1">
        <v>16853</v>
      </c>
      <c r="U253" s="2" t="s">
        <v>51</v>
      </c>
      <c r="V253" s="1">
        <v>4024</v>
      </c>
      <c r="W253" s="1">
        <v>3779</v>
      </c>
      <c r="X253" s="2" t="s">
        <v>590</v>
      </c>
      <c r="Y253" s="2" t="s">
        <v>590</v>
      </c>
      <c r="Z253" s="2" t="s">
        <v>718</v>
      </c>
      <c r="AA253" s="2" t="s">
        <v>994</v>
      </c>
      <c r="AB253" s="1">
        <v>17915</v>
      </c>
      <c r="AC253" s="1">
        <v>10444</v>
      </c>
      <c r="AD253" s="1">
        <v>4631</v>
      </c>
      <c r="AE253" s="1">
        <v>1446</v>
      </c>
      <c r="AF253" s="1">
        <v>299</v>
      </c>
      <c r="AG253" s="1">
        <v>33</v>
      </c>
      <c r="AH253" s="1">
        <v>19134</v>
      </c>
      <c r="AI253" s="1">
        <v>187</v>
      </c>
      <c r="AJ253" s="1">
        <v>1158</v>
      </c>
      <c r="AK253" s="1">
        <v>4483</v>
      </c>
      <c r="AL253" s="1">
        <v>292</v>
      </c>
      <c r="AM253" s="1">
        <v>237</v>
      </c>
      <c r="AN253" s="2" t="s">
        <v>407</v>
      </c>
    </row>
    <row r="254" spans="1:40" ht="28.2" x14ac:dyDescent="0.3">
      <c r="A254" s="1">
        <v>3055</v>
      </c>
      <c r="B254" s="2" t="s">
        <v>1514</v>
      </c>
      <c r="C254" s="2" t="s">
        <v>1515</v>
      </c>
      <c r="D254" s="1">
        <v>28</v>
      </c>
      <c r="E254" s="2" t="s">
        <v>545</v>
      </c>
      <c r="F254" s="50" t="s">
        <v>1340</v>
      </c>
      <c r="G254" s="2" t="s">
        <v>605</v>
      </c>
      <c r="H254" s="1">
        <v>35063</v>
      </c>
      <c r="I254" s="1">
        <v>32431</v>
      </c>
      <c r="J254" s="2" t="s">
        <v>1516</v>
      </c>
      <c r="K254" s="2" t="s">
        <v>837</v>
      </c>
      <c r="L254" s="2" t="s">
        <v>1517</v>
      </c>
      <c r="M254" s="1">
        <v>1893</v>
      </c>
      <c r="N254" s="1">
        <v>49688</v>
      </c>
      <c r="O254" s="2" t="s">
        <v>646</v>
      </c>
      <c r="P254" s="2" t="s">
        <v>434</v>
      </c>
      <c r="Q254" s="2" t="s">
        <v>276</v>
      </c>
      <c r="R254" s="2" t="s">
        <v>96</v>
      </c>
      <c r="S254" s="2" t="s">
        <v>66</v>
      </c>
      <c r="T254" s="1">
        <v>23622</v>
      </c>
      <c r="U254" s="2" t="s">
        <v>51</v>
      </c>
      <c r="V254" s="1">
        <v>4372</v>
      </c>
      <c r="W254" s="1">
        <v>4035</v>
      </c>
      <c r="X254" s="2" t="s">
        <v>277</v>
      </c>
      <c r="Y254" s="2" t="s">
        <v>503</v>
      </c>
      <c r="Z254" s="2" t="s">
        <v>1214</v>
      </c>
      <c r="AA254" s="2" t="s">
        <v>257</v>
      </c>
      <c r="AB254" s="1">
        <v>26066</v>
      </c>
      <c r="AC254" s="1">
        <v>15014</v>
      </c>
      <c r="AD254" s="1">
        <v>6304</v>
      </c>
      <c r="AE254" s="1">
        <v>1887</v>
      </c>
      <c r="AF254" s="1">
        <v>383</v>
      </c>
      <c r="AG254" s="1">
        <v>34</v>
      </c>
      <c r="AH254" s="1">
        <v>23260</v>
      </c>
      <c r="AI254" s="1">
        <v>1373</v>
      </c>
      <c r="AJ254" s="1">
        <v>2914</v>
      </c>
      <c r="AK254" s="1">
        <v>6307</v>
      </c>
      <c r="AL254" s="1">
        <v>1003</v>
      </c>
      <c r="AM254" s="1">
        <v>270</v>
      </c>
      <c r="AN254" s="2" t="s">
        <v>407</v>
      </c>
    </row>
    <row r="255" spans="1:40" ht="28.2" x14ac:dyDescent="0.3">
      <c r="A255" s="1">
        <v>13229</v>
      </c>
      <c r="B255" s="2" t="s">
        <v>1518</v>
      </c>
      <c r="C255" s="2" t="s">
        <v>1519</v>
      </c>
      <c r="D255" s="1">
        <v>20</v>
      </c>
      <c r="E255" s="2" t="s">
        <v>459</v>
      </c>
      <c r="F255" s="50" t="s">
        <v>571</v>
      </c>
      <c r="G255" s="2" t="s">
        <v>1520</v>
      </c>
      <c r="H255" s="1">
        <v>7426</v>
      </c>
      <c r="I255" s="1">
        <v>6938</v>
      </c>
      <c r="J255" s="2" t="s">
        <v>1521</v>
      </c>
      <c r="K255" s="2" t="s">
        <v>617</v>
      </c>
      <c r="L255" s="2" t="s">
        <v>164</v>
      </c>
      <c r="M255" s="1">
        <v>410</v>
      </c>
      <c r="N255" s="1">
        <v>10503</v>
      </c>
      <c r="O255" s="2" t="s">
        <v>646</v>
      </c>
      <c r="P255" s="2" t="s">
        <v>202</v>
      </c>
      <c r="Q255" s="2" t="s">
        <v>322</v>
      </c>
      <c r="R255" s="2" t="s">
        <v>67</v>
      </c>
      <c r="S255" s="2" t="s">
        <v>50</v>
      </c>
      <c r="T255" s="1">
        <v>4989</v>
      </c>
      <c r="U255" s="2" t="s">
        <v>51</v>
      </c>
      <c r="V255" s="1">
        <v>962</v>
      </c>
      <c r="W255" s="1">
        <v>897</v>
      </c>
      <c r="X255" s="2" t="s">
        <v>464</v>
      </c>
      <c r="Y255" s="2" t="s">
        <v>245</v>
      </c>
      <c r="Z255" s="2" t="s">
        <v>383</v>
      </c>
      <c r="AA255" s="2" t="s">
        <v>1101</v>
      </c>
      <c r="AB255" s="1">
        <v>5514</v>
      </c>
      <c r="AC255" s="1">
        <v>3158</v>
      </c>
      <c r="AD255" s="1">
        <v>1326</v>
      </c>
      <c r="AE255" s="1">
        <v>414</v>
      </c>
      <c r="AF255" s="1">
        <v>81</v>
      </c>
      <c r="AG255" s="1">
        <v>10</v>
      </c>
      <c r="AH255" s="1">
        <v>4615</v>
      </c>
      <c r="AI255" s="1">
        <v>785</v>
      </c>
      <c r="AJ255" s="1">
        <v>548</v>
      </c>
      <c r="AK255" s="1">
        <v>1372</v>
      </c>
      <c r="AL255" s="1">
        <v>98</v>
      </c>
      <c r="AM255" s="1">
        <v>30</v>
      </c>
      <c r="AN255" s="2" t="s">
        <v>295</v>
      </c>
    </row>
    <row r="256" spans="1:40" ht="28.2" x14ac:dyDescent="0.3">
      <c r="A256" s="1">
        <v>8764</v>
      </c>
      <c r="B256" s="2" t="s">
        <v>1522</v>
      </c>
      <c r="C256" s="2" t="s">
        <v>1523</v>
      </c>
      <c r="D256" s="1">
        <v>25</v>
      </c>
      <c r="E256" s="2" t="s">
        <v>150</v>
      </c>
      <c r="F256" s="50" t="s">
        <v>3514</v>
      </c>
      <c r="G256" s="2" t="s">
        <v>1524</v>
      </c>
      <c r="H256" s="1">
        <v>11142</v>
      </c>
      <c r="I256" s="1">
        <v>10475</v>
      </c>
      <c r="J256" s="2" t="s">
        <v>1378</v>
      </c>
      <c r="K256" s="2">
        <v>79</v>
      </c>
      <c r="L256" s="2" t="s">
        <v>93</v>
      </c>
      <c r="M256" s="1">
        <v>618</v>
      </c>
      <c r="N256" s="1">
        <v>15666</v>
      </c>
      <c r="O256" s="2" t="s">
        <v>646</v>
      </c>
      <c r="P256" s="2" t="s">
        <v>553</v>
      </c>
      <c r="Q256" s="2" t="s">
        <v>225</v>
      </c>
      <c r="R256" s="2" t="s">
        <v>67</v>
      </c>
      <c r="S256" s="2" t="s">
        <v>50</v>
      </c>
      <c r="T256" s="1">
        <v>7441</v>
      </c>
      <c r="U256" s="2" t="s">
        <v>51</v>
      </c>
      <c r="V256" s="1">
        <v>1564</v>
      </c>
      <c r="W256" s="1">
        <v>1626</v>
      </c>
      <c r="X256" s="2" t="s">
        <v>472</v>
      </c>
      <c r="Y256" s="2" t="s">
        <v>285</v>
      </c>
      <c r="Z256" s="2" t="s">
        <v>246</v>
      </c>
      <c r="AA256" s="2" t="s">
        <v>933</v>
      </c>
      <c r="AB256" s="1">
        <v>8225</v>
      </c>
      <c r="AC256" s="1">
        <v>4653</v>
      </c>
      <c r="AD256" s="1">
        <v>2034</v>
      </c>
      <c r="AE256" s="1">
        <v>618</v>
      </c>
      <c r="AF256" s="1">
        <v>115</v>
      </c>
      <c r="AG256" s="1">
        <v>21</v>
      </c>
      <c r="AH256" s="1">
        <v>8186</v>
      </c>
      <c r="AI256" s="1">
        <v>98</v>
      </c>
      <c r="AJ256" s="1">
        <v>846</v>
      </c>
      <c r="AK256" s="1">
        <v>1883</v>
      </c>
      <c r="AL256" s="1">
        <v>117</v>
      </c>
      <c r="AM256" s="1">
        <v>32</v>
      </c>
      <c r="AN256" s="2" t="s">
        <v>407</v>
      </c>
    </row>
    <row r="257" spans="1:40" ht="28.2" x14ac:dyDescent="0.3">
      <c r="A257" s="1">
        <v>15255</v>
      </c>
      <c r="B257" s="2" t="s">
        <v>1525</v>
      </c>
      <c r="C257" s="2" t="s">
        <v>1526</v>
      </c>
      <c r="D257" s="1">
        <v>24</v>
      </c>
      <c r="E257" s="2" t="s">
        <v>459</v>
      </c>
      <c r="F257" s="50" t="s">
        <v>3514</v>
      </c>
      <c r="G257" s="2" t="s">
        <v>1527</v>
      </c>
      <c r="H257" s="1">
        <v>7290</v>
      </c>
      <c r="I257" s="1">
        <v>6722</v>
      </c>
      <c r="J257" s="2" t="s">
        <v>1528</v>
      </c>
      <c r="K257" s="2" t="s">
        <v>1529</v>
      </c>
      <c r="L257" s="2" t="s">
        <v>462</v>
      </c>
      <c r="M257" s="1">
        <v>397</v>
      </c>
      <c r="N257" s="1">
        <v>10421</v>
      </c>
      <c r="O257" s="2" t="s">
        <v>905</v>
      </c>
      <c r="P257" s="2" t="s">
        <v>50</v>
      </c>
      <c r="Q257" s="2" t="s">
        <v>276</v>
      </c>
      <c r="R257" s="2" t="s">
        <v>50</v>
      </c>
      <c r="S257" s="2" t="s">
        <v>50</v>
      </c>
      <c r="T257" s="1">
        <v>4937</v>
      </c>
      <c r="U257" s="2" t="s">
        <v>51</v>
      </c>
      <c r="V257" s="1">
        <v>1221</v>
      </c>
      <c r="W257" s="1">
        <v>916</v>
      </c>
      <c r="X257" s="2" t="s">
        <v>442</v>
      </c>
      <c r="Y257" s="2" t="s">
        <v>362</v>
      </c>
      <c r="Z257" s="2" t="s">
        <v>391</v>
      </c>
      <c r="AA257" s="2" t="s">
        <v>542</v>
      </c>
      <c r="AB257" s="1">
        <v>5484</v>
      </c>
      <c r="AC257" s="1">
        <v>3148</v>
      </c>
      <c r="AD257" s="1">
        <v>1311</v>
      </c>
      <c r="AE257" s="1">
        <v>402</v>
      </c>
      <c r="AF257" s="1">
        <v>66</v>
      </c>
      <c r="AG257" s="1">
        <v>10</v>
      </c>
      <c r="AH257" s="1">
        <v>1161</v>
      </c>
      <c r="AI257" s="1">
        <v>4695</v>
      </c>
      <c r="AJ257" s="1">
        <v>184</v>
      </c>
      <c r="AK257" s="1">
        <v>1124</v>
      </c>
      <c r="AL257" s="1">
        <v>102</v>
      </c>
      <c r="AM257" s="1">
        <v>49</v>
      </c>
      <c r="AN257" s="2" t="s">
        <v>277</v>
      </c>
    </row>
    <row r="258" spans="1:40" ht="28.2" x14ac:dyDescent="0.3">
      <c r="A258" s="1">
        <v>12699</v>
      </c>
      <c r="B258" s="2" t="s">
        <v>1530</v>
      </c>
      <c r="C258" s="2" t="s">
        <v>1531</v>
      </c>
      <c r="D258" s="1">
        <v>27</v>
      </c>
      <c r="E258" s="2" t="s">
        <v>327</v>
      </c>
      <c r="F258" s="50" t="s">
        <v>3514</v>
      </c>
      <c r="G258" s="2" t="s">
        <v>1532</v>
      </c>
      <c r="H258" s="1">
        <v>15139</v>
      </c>
      <c r="I258" s="1">
        <v>13810</v>
      </c>
      <c r="J258" s="2" t="s">
        <v>1533</v>
      </c>
      <c r="K258" s="2" t="s">
        <v>999</v>
      </c>
      <c r="L258" s="2" t="s">
        <v>80</v>
      </c>
      <c r="M258" s="1">
        <v>809</v>
      </c>
      <c r="N258" s="1">
        <v>21729</v>
      </c>
      <c r="O258" s="2" t="s">
        <v>905</v>
      </c>
      <c r="P258" s="2" t="s">
        <v>67</v>
      </c>
      <c r="Q258" s="2" t="s">
        <v>65</v>
      </c>
      <c r="R258" s="2" t="s">
        <v>66</v>
      </c>
      <c r="S258" s="2" t="s">
        <v>96</v>
      </c>
      <c r="T258" s="1">
        <v>10363</v>
      </c>
      <c r="U258" s="2" t="s">
        <v>51</v>
      </c>
      <c r="V258" s="1">
        <v>2654</v>
      </c>
      <c r="W258" s="1">
        <v>2035</v>
      </c>
      <c r="X258" s="2" t="s">
        <v>516</v>
      </c>
      <c r="Y258" s="2" t="s">
        <v>370</v>
      </c>
      <c r="Z258" s="2" t="s">
        <v>718</v>
      </c>
      <c r="AA258" s="2" t="s">
        <v>805</v>
      </c>
      <c r="AB258" s="1">
        <v>11366</v>
      </c>
      <c r="AC258" s="1">
        <v>6696</v>
      </c>
      <c r="AD258" s="1">
        <v>2735</v>
      </c>
      <c r="AE258" s="1">
        <v>766</v>
      </c>
      <c r="AF258" s="1">
        <v>155</v>
      </c>
      <c r="AG258" s="1">
        <v>11</v>
      </c>
      <c r="AH258" s="1">
        <v>2551</v>
      </c>
      <c r="AI258" s="1">
        <v>9550</v>
      </c>
      <c r="AJ258" s="1">
        <v>371</v>
      </c>
      <c r="AK258" s="1">
        <v>2422</v>
      </c>
      <c r="AL258" s="1">
        <v>221</v>
      </c>
      <c r="AM258" s="1">
        <v>73</v>
      </c>
      <c r="AN258" s="2" t="s">
        <v>295</v>
      </c>
    </row>
    <row r="259" spans="1:40" x14ac:dyDescent="0.3">
      <c r="A259" s="1">
        <v>8604</v>
      </c>
      <c r="B259" s="2" t="s">
        <v>1534</v>
      </c>
      <c r="C259" s="2" t="s">
        <v>1535</v>
      </c>
      <c r="D259" s="1">
        <v>28</v>
      </c>
      <c r="E259" s="2" t="s">
        <v>209</v>
      </c>
      <c r="F259" s="50" t="s">
        <v>3514</v>
      </c>
      <c r="G259" s="2" t="s">
        <v>1536</v>
      </c>
      <c r="H259" s="1">
        <v>15892</v>
      </c>
      <c r="I259" s="1">
        <v>14709</v>
      </c>
      <c r="J259" s="2" t="s">
        <v>1537</v>
      </c>
      <c r="K259" s="2" t="s">
        <v>892</v>
      </c>
      <c r="L259" s="2" t="s">
        <v>782</v>
      </c>
      <c r="M259" s="1">
        <v>874</v>
      </c>
      <c r="N259" s="1">
        <v>22423</v>
      </c>
      <c r="O259" s="2" t="s">
        <v>646</v>
      </c>
      <c r="P259" s="2" t="s">
        <v>553</v>
      </c>
      <c r="Q259" s="2" t="s">
        <v>322</v>
      </c>
      <c r="R259" s="2" t="s">
        <v>66</v>
      </c>
      <c r="S259" s="2" t="s">
        <v>66</v>
      </c>
      <c r="T259" s="1">
        <v>10799</v>
      </c>
      <c r="U259" s="2" t="s">
        <v>51</v>
      </c>
      <c r="V259" s="1">
        <v>2329</v>
      </c>
      <c r="W259" s="1">
        <v>2153</v>
      </c>
      <c r="X259" s="2" t="s">
        <v>277</v>
      </c>
      <c r="Y259" s="2" t="s">
        <v>412</v>
      </c>
      <c r="Z259" s="2" t="s">
        <v>1538</v>
      </c>
      <c r="AA259" s="2" t="s">
        <v>844</v>
      </c>
      <c r="AB259" s="1">
        <v>11624</v>
      </c>
      <c r="AC259" s="1">
        <v>6913</v>
      </c>
      <c r="AD259" s="1">
        <v>2890</v>
      </c>
      <c r="AE259" s="1">
        <v>805</v>
      </c>
      <c r="AF259" s="1">
        <v>173</v>
      </c>
      <c r="AG259" s="1">
        <v>18</v>
      </c>
      <c r="AH259" s="1">
        <v>10678</v>
      </c>
      <c r="AI259" s="1">
        <v>591</v>
      </c>
      <c r="AJ259" s="1">
        <v>1946</v>
      </c>
      <c r="AK259" s="1">
        <v>2381</v>
      </c>
      <c r="AL259" s="1">
        <v>251</v>
      </c>
      <c r="AM259" s="1">
        <v>94</v>
      </c>
      <c r="AN259" s="2" t="s">
        <v>407</v>
      </c>
    </row>
    <row r="260" spans="1:40" x14ac:dyDescent="0.3">
      <c r="A260" s="1">
        <v>16612</v>
      </c>
      <c r="B260" s="2" t="s">
        <v>1539</v>
      </c>
      <c r="C260" s="2" t="s">
        <v>1540</v>
      </c>
      <c r="D260" s="1">
        <v>21</v>
      </c>
      <c r="E260" s="2" t="s">
        <v>75</v>
      </c>
      <c r="F260" s="50" t="s">
        <v>308</v>
      </c>
      <c r="G260" s="2" t="s">
        <v>1541</v>
      </c>
      <c r="H260" s="1">
        <v>20651</v>
      </c>
      <c r="I260" s="1">
        <v>19814</v>
      </c>
      <c r="J260" s="2" t="s">
        <v>959</v>
      </c>
      <c r="K260" s="2" t="s">
        <v>911</v>
      </c>
      <c r="L260" s="2" t="s">
        <v>294</v>
      </c>
      <c r="M260" s="1">
        <v>1076</v>
      </c>
      <c r="N260" s="1">
        <v>28750</v>
      </c>
      <c r="O260" s="2" t="s">
        <v>311</v>
      </c>
      <c r="P260" s="2" t="s">
        <v>202</v>
      </c>
      <c r="Q260" s="2" t="s">
        <v>463</v>
      </c>
      <c r="R260" s="2" t="s">
        <v>66</v>
      </c>
      <c r="S260" s="2" t="s">
        <v>135</v>
      </c>
      <c r="T260" s="1">
        <v>13571</v>
      </c>
      <c r="U260" s="2" t="s">
        <v>51</v>
      </c>
      <c r="V260" s="1">
        <v>3372</v>
      </c>
      <c r="W260" s="1">
        <v>3298</v>
      </c>
      <c r="X260" s="2" t="s">
        <v>449</v>
      </c>
      <c r="Y260" s="2" t="s">
        <v>590</v>
      </c>
      <c r="Z260" s="2" t="s">
        <v>1310</v>
      </c>
      <c r="AA260" s="2" t="s">
        <v>697</v>
      </c>
      <c r="AB260" s="1">
        <v>15179</v>
      </c>
      <c r="AC260" s="1">
        <v>8339</v>
      </c>
      <c r="AD260" s="1">
        <v>3725</v>
      </c>
      <c r="AE260" s="1">
        <v>1199</v>
      </c>
      <c r="AF260" s="1">
        <v>275</v>
      </c>
      <c r="AG260" s="1">
        <v>33</v>
      </c>
      <c r="AH260" s="1">
        <v>14899</v>
      </c>
      <c r="AI260" s="1">
        <v>1015</v>
      </c>
      <c r="AJ260" s="1">
        <v>973</v>
      </c>
      <c r="AK260" s="1">
        <v>3520</v>
      </c>
      <c r="AL260" s="1">
        <v>181</v>
      </c>
      <c r="AM260" s="1">
        <v>98</v>
      </c>
      <c r="AN260" s="2" t="s">
        <v>295</v>
      </c>
    </row>
    <row r="261" spans="1:40" x14ac:dyDescent="0.3">
      <c r="A261" s="1">
        <v>13230</v>
      </c>
      <c r="B261" s="2" t="s">
        <v>1542</v>
      </c>
      <c r="C261" s="2" t="s">
        <v>1543</v>
      </c>
      <c r="D261" s="1">
        <v>22</v>
      </c>
      <c r="E261" s="2" t="s">
        <v>459</v>
      </c>
      <c r="F261" s="50" t="s">
        <v>1544</v>
      </c>
      <c r="G261" s="2" t="s">
        <v>1545</v>
      </c>
      <c r="H261" s="1">
        <v>18189</v>
      </c>
      <c r="I261" s="1">
        <v>17218</v>
      </c>
      <c r="J261" s="2" t="s">
        <v>968</v>
      </c>
      <c r="K261" s="2" t="s">
        <v>540</v>
      </c>
      <c r="L261" s="2" t="s">
        <v>471</v>
      </c>
      <c r="M261" s="1">
        <v>958</v>
      </c>
      <c r="N261" s="1">
        <v>25283</v>
      </c>
      <c r="O261" s="2" t="s">
        <v>311</v>
      </c>
      <c r="P261" s="2" t="s">
        <v>48</v>
      </c>
      <c r="Q261" s="2" t="s">
        <v>167</v>
      </c>
      <c r="R261" s="2" t="s">
        <v>67</v>
      </c>
      <c r="S261" s="2" t="s">
        <v>48</v>
      </c>
      <c r="T261" s="1">
        <v>12204</v>
      </c>
      <c r="U261" s="2" t="s">
        <v>51</v>
      </c>
      <c r="V261" s="1">
        <v>2754</v>
      </c>
      <c r="W261" s="1">
        <v>2592</v>
      </c>
      <c r="X261" s="2" t="s">
        <v>590</v>
      </c>
      <c r="Y261" s="2" t="s">
        <v>407</v>
      </c>
      <c r="Z261" s="2" t="s">
        <v>237</v>
      </c>
      <c r="AA261" s="2" t="s">
        <v>279</v>
      </c>
      <c r="AB261" s="1">
        <v>13079</v>
      </c>
      <c r="AC261" s="1">
        <v>7759</v>
      </c>
      <c r="AD261" s="1">
        <v>3174</v>
      </c>
      <c r="AE261" s="1">
        <v>1031</v>
      </c>
      <c r="AF261" s="1">
        <v>211</v>
      </c>
      <c r="AG261" s="1">
        <v>29</v>
      </c>
      <c r="AH261" s="1">
        <v>12955</v>
      </c>
      <c r="AI261" s="1">
        <v>1155</v>
      </c>
      <c r="AJ261" s="1">
        <v>1023</v>
      </c>
      <c r="AK261" s="1">
        <v>2946</v>
      </c>
      <c r="AL261" s="1">
        <v>135</v>
      </c>
      <c r="AM261" s="1">
        <v>35</v>
      </c>
      <c r="AN261" s="2" t="s">
        <v>295</v>
      </c>
    </row>
    <row r="262" spans="1:40" x14ac:dyDescent="0.3">
      <c r="A262" s="1">
        <v>2644</v>
      </c>
      <c r="B262" s="2" t="s">
        <v>1546</v>
      </c>
      <c r="C262" s="2" t="s">
        <v>1547</v>
      </c>
      <c r="D262" s="1">
        <v>32</v>
      </c>
      <c r="E262" s="2" t="s">
        <v>459</v>
      </c>
      <c r="F262" s="50" t="s">
        <v>3514</v>
      </c>
      <c r="G262" s="2" t="s">
        <v>1548</v>
      </c>
      <c r="H262" s="1">
        <v>16611</v>
      </c>
      <c r="I262" s="1">
        <v>15079</v>
      </c>
      <c r="J262" s="2" t="s">
        <v>1549</v>
      </c>
      <c r="K262" s="2" t="s">
        <v>1550</v>
      </c>
      <c r="L262" s="2">
        <v>5</v>
      </c>
      <c r="M262" s="1">
        <v>937</v>
      </c>
      <c r="N262" s="1">
        <v>24398</v>
      </c>
      <c r="O262" s="2" t="s">
        <v>167</v>
      </c>
      <c r="P262" s="2" t="s">
        <v>235</v>
      </c>
      <c r="Q262" s="2" t="s">
        <v>144</v>
      </c>
      <c r="R262" s="2" t="s">
        <v>50</v>
      </c>
      <c r="S262" s="2" t="s">
        <v>67</v>
      </c>
      <c r="T262" s="1">
        <v>11321</v>
      </c>
      <c r="U262" s="2" t="s">
        <v>51</v>
      </c>
      <c r="V262" s="1">
        <v>1560</v>
      </c>
      <c r="W262" s="1">
        <v>1391</v>
      </c>
      <c r="X262" s="2" t="s">
        <v>370</v>
      </c>
      <c r="Y262" s="2" t="s">
        <v>1551</v>
      </c>
      <c r="Z262" s="2" t="s">
        <v>955</v>
      </c>
      <c r="AA262" s="2" t="s">
        <v>1552</v>
      </c>
      <c r="AB262" s="1">
        <v>13077</v>
      </c>
      <c r="AC262" s="1">
        <v>7327</v>
      </c>
      <c r="AD262" s="1">
        <v>2944</v>
      </c>
      <c r="AE262" s="1">
        <v>859</v>
      </c>
      <c r="AF262" s="1">
        <v>172</v>
      </c>
      <c r="AG262" s="1">
        <v>19</v>
      </c>
      <c r="AH262" s="1">
        <v>12322</v>
      </c>
      <c r="AI262" s="1">
        <v>242</v>
      </c>
      <c r="AJ262" s="1">
        <v>565</v>
      </c>
      <c r="AK262" s="1">
        <v>2929</v>
      </c>
      <c r="AL262" s="1">
        <v>249</v>
      </c>
      <c r="AM262" s="1">
        <v>336</v>
      </c>
      <c r="AN262" s="2" t="s">
        <v>407</v>
      </c>
    </row>
    <row r="263" spans="1:40" ht="28.2" x14ac:dyDescent="0.3">
      <c r="A263" s="1">
        <v>12564</v>
      </c>
      <c r="B263" s="2" t="s">
        <v>1553</v>
      </c>
      <c r="C263" s="2" t="s">
        <v>1554</v>
      </c>
      <c r="D263" s="1">
        <v>24</v>
      </c>
      <c r="E263" s="2" t="s">
        <v>477</v>
      </c>
      <c r="F263" s="50" t="s">
        <v>3514</v>
      </c>
      <c r="G263" s="2" t="s">
        <v>1555</v>
      </c>
      <c r="H263" s="1">
        <v>7345</v>
      </c>
      <c r="I263" s="1">
        <v>7036</v>
      </c>
      <c r="J263" s="2" t="s">
        <v>1556</v>
      </c>
      <c r="K263" s="2" t="s">
        <v>424</v>
      </c>
      <c r="L263" s="2" t="s">
        <v>541</v>
      </c>
      <c r="M263" s="1">
        <v>398</v>
      </c>
      <c r="N263" s="1">
        <v>10155</v>
      </c>
      <c r="O263" s="2" t="s">
        <v>311</v>
      </c>
      <c r="P263" s="2" t="s">
        <v>202</v>
      </c>
      <c r="Q263" s="2" t="s">
        <v>463</v>
      </c>
      <c r="R263" s="2" t="s">
        <v>67</v>
      </c>
      <c r="S263" s="2" t="s">
        <v>67</v>
      </c>
      <c r="T263" s="1">
        <v>4847</v>
      </c>
      <c r="U263" s="2" t="s">
        <v>51</v>
      </c>
      <c r="V263" s="1">
        <v>1227</v>
      </c>
      <c r="W263" s="1">
        <v>1160</v>
      </c>
      <c r="X263" s="2" t="s">
        <v>590</v>
      </c>
      <c r="Y263" s="2" t="s">
        <v>277</v>
      </c>
      <c r="Z263" s="2" t="s">
        <v>443</v>
      </c>
      <c r="AA263" s="2" t="s">
        <v>1385</v>
      </c>
      <c r="AB263" s="1">
        <v>5308</v>
      </c>
      <c r="AC263" s="1">
        <v>2975</v>
      </c>
      <c r="AD263" s="1">
        <v>1358</v>
      </c>
      <c r="AE263" s="1">
        <v>411</v>
      </c>
      <c r="AF263" s="1">
        <v>94</v>
      </c>
      <c r="AG263" s="1">
        <v>9</v>
      </c>
      <c r="AH263" s="1">
        <v>5479</v>
      </c>
      <c r="AI263" s="1">
        <v>81</v>
      </c>
      <c r="AJ263" s="1">
        <v>514</v>
      </c>
      <c r="AK263" s="1">
        <v>1213</v>
      </c>
      <c r="AL263" s="1">
        <v>68</v>
      </c>
      <c r="AM263" s="1">
        <v>13</v>
      </c>
      <c r="AN263" s="2" t="s">
        <v>362</v>
      </c>
    </row>
    <row r="264" spans="1:40" ht="28.2" x14ac:dyDescent="0.3">
      <c r="A264" s="1">
        <v>2553</v>
      </c>
      <c r="B264" s="2" t="s">
        <v>1557</v>
      </c>
      <c r="C264" s="2" t="s">
        <v>1558</v>
      </c>
      <c r="D264" s="1">
        <v>29</v>
      </c>
      <c r="E264" s="2" t="s">
        <v>327</v>
      </c>
      <c r="F264" s="50" t="s">
        <v>3514</v>
      </c>
      <c r="G264" s="2" t="s">
        <v>1559</v>
      </c>
      <c r="H264" s="1">
        <v>39509</v>
      </c>
      <c r="I264" s="1">
        <v>36701</v>
      </c>
      <c r="J264" s="2" t="s">
        <v>652</v>
      </c>
      <c r="K264" s="2" t="s">
        <v>645</v>
      </c>
      <c r="L264" s="2" t="s">
        <v>224</v>
      </c>
      <c r="M264" s="1">
        <v>2127</v>
      </c>
      <c r="N264" s="1">
        <v>56083</v>
      </c>
      <c r="O264" s="2" t="s">
        <v>905</v>
      </c>
      <c r="P264" s="2" t="s">
        <v>202</v>
      </c>
      <c r="Q264" s="2" t="s">
        <v>276</v>
      </c>
      <c r="R264" s="2" t="s">
        <v>66</v>
      </c>
      <c r="S264" s="2" t="s">
        <v>66</v>
      </c>
      <c r="T264" s="1">
        <v>26714</v>
      </c>
      <c r="U264" s="2" t="s">
        <v>51</v>
      </c>
      <c r="V264" s="1">
        <v>6308</v>
      </c>
      <c r="W264" s="1">
        <v>5876</v>
      </c>
      <c r="X264" s="2" t="s">
        <v>464</v>
      </c>
      <c r="Y264" s="2" t="s">
        <v>304</v>
      </c>
      <c r="Z264" s="2" t="s">
        <v>809</v>
      </c>
      <c r="AA264" s="2" t="s">
        <v>882</v>
      </c>
      <c r="AB264" s="1">
        <v>29369</v>
      </c>
      <c r="AC264" s="1">
        <v>17049</v>
      </c>
      <c r="AD264" s="1">
        <v>7065</v>
      </c>
      <c r="AE264" s="1">
        <v>2156</v>
      </c>
      <c r="AF264" s="1">
        <v>402</v>
      </c>
      <c r="AG264" s="1">
        <v>42</v>
      </c>
      <c r="AH264" s="1">
        <v>20396</v>
      </c>
      <c r="AI264" s="1">
        <v>8929</v>
      </c>
      <c r="AJ264" s="1">
        <v>2183</v>
      </c>
      <c r="AK264" s="1">
        <v>6728</v>
      </c>
      <c r="AL264" s="1">
        <v>638</v>
      </c>
      <c r="AM264" s="1">
        <v>680</v>
      </c>
      <c r="AN264" s="2" t="s">
        <v>407</v>
      </c>
    </row>
    <row r="265" spans="1:40" ht="28.2" x14ac:dyDescent="0.3">
      <c r="A265" s="1">
        <v>9174</v>
      </c>
      <c r="B265" s="2" t="s">
        <v>1560</v>
      </c>
      <c r="C265" s="2" t="s">
        <v>1561</v>
      </c>
      <c r="D265" s="1">
        <v>27</v>
      </c>
      <c r="E265" s="2" t="s">
        <v>270</v>
      </c>
      <c r="F265" s="50" t="s">
        <v>3514</v>
      </c>
      <c r="G265" s="2" t="s">
        <v>1562</v>
      </c>
      <c r="H265" s="1">
        <v>9678</v>
      </c>
      <c r="I265" s="1">
        <v>8833</v>
      </c>
      <c r="J265" s="2" t="s">
        <v>1563</v>
      </c>
      <c r="K265" s="2" t="s">
        <v>776</v>
      </c>
      <c r="L265" s="2" t="s">
        <v>1170</v>
      </c>
      <c r="M265" s="1">
        <v>540</v>
      </c>
      <c r="N265" s="1">
        <v>13851</v>
      </c>
      <c r="O265" s="2" t="s">
        <v>905</v>
      </c>
      <c r="P265" s="2" t="s">
        <v>235</v>
      </c>
      <c r="Q265" s="2" t="s">
        <v>65</v>
      </c>
      <c r="R265" s="2" t="s">
        <v>48</v>
      </c>
      <c r="S265" s="2" t="s">
        <v>48</v>
      </c>
      <c r="T265" s="1">
        <v>6660</v>
      </c>
      <c r="U265" s="2" t="s">
        <v>51</v>
      </c>
      <c r="V265" s="1">
        <v>1480</v>
      </c>
      <c r="W265" s="1">
        <v>1057</v>
      </c>
      <c r="X265" s="2" t="s">
        <v>203</v>
      </c>
      <c r="Y265" s="2" t="s">
        <v>464</v>
      </c>
      <c r="Z265" s="2" t="s">
        <v>1289</v>
      </c>
      <c r="AA265" s="2" t="s">
        <v>789</v>
      </c>
      <c r="AB265" s="1">
        <v>7191</v>
      </c>
      <c r="AC265" s="1">
        <v>4344</v>
      </c>
      <c r="AD265" s="1">
        <v>1712</v>
      </c>
      <c r="AE265" s="1">
        <v>515</v>
      </c>
      <c r="AF265" s="1">
        <v>81</v>
      </c>
      <c r="AG265" s="1">
        <v>8</v>
      </c>
      <c r="AH265" s="1">
        <v>3834</v>
      </c>
      <c r="AI265" s="1">
        <v>3315</v>
      </c>
      <c r="AJ265" s="1">
        <v>470</v>
      </c>
      <c r="AK265" s="1">
        <v>1906</v>
      </c>
      <c r="AL265" s="1">
        <v>155</v>
      </c>
      <c r="AM265" s="1">
        <v>25</v>
      </c>
      <c r="AN265" s="2" t="s">
        <v>407</v>
      </c>
    </row>
    <row r="266" spans="1:40" ht="28.2" x14ac:dyDescent="0.3">
      <c r="A266" s="1">
        <v>9612</v>
      </c>
      <c r="B266" s="2" t="s">
        <v>1564</v>
      </c>
      <c r="C266" s="2" t="s">
        <v>1565</v>
      </c>
      <c r="D266" s="1">
        <v>24</v>
      </c>
      <c r="E266" s="2" t="s">
        <v>196</v>
      </c>
      <c r="F266" s="50" t="s">
        <v>3514</v>
      </c>
      <c r="G266" s="2" t="s">
        <v>1566</v>
      </c>
      <c r="H266" s="1">
        <v>15534</v>
      </c>
      <c r="I266" s="1">
        <v>14571</v>
      </c>
      <c r="J266" s="2" t="s">
        <v>573</v>
      </c>
      <c r="K266" s="2" t="s">
        <v>92</v>
      </c>
      <c r="L266" s="2" t="s">
        <v>282</v>
      </c>
      <c r="M266" s="1">
        <v>817</v>
      </c>
      <c r="N266" s="1">
        <v>21619</v>
      </c>
      <c r="O266" s="2" t="s">
        <v>311</v>
      </c>
      <c r="P266" s="2" t="s">
        <v>235</v>
      </c>
      <c r="Q266" s="2" t="s">
        <v>225</v>
      </c>
      <c r="R266" s="2" t="s">
        <v>96</v>
      </c>
      <c r="S266" s="2" t="s">
        <v>50</v>
      </c>
      <c r="T266" s="1">
        <v>10528</v>
      </c>
      <c r="U266" s="2" t="s">
        <v>51</v>
      </c>
      <c r="V266" s="1">
        <v>2330</v>
      </c>
      <c r="W266" s="1">
        <v>2104</v>
      </c>
      <c r="X266" s="2" t="s">
        <v>362</v>
      </c>
      <c r="Y266" s="2" t="s">
        <v>407</v>
      </c>
      <c r="Z266" s="2" t="s">
        <v>795</v>
      </c>
      <c r="AA266" s="2" t="s">
        <v>602</v>
      </c>
      <c r="AB266" s="1">
        <v>11091</v>
      </c>
      <c r="AC266" s="1">
        <v>6710</v>
      </c>
      <c r="AD266" s="1">
        <v>2822</v>
      </c>
      <c r="AE266" s="1">
        <v>823</v>
      </c>
      <c r="AF266" s="1">
        <v>154</v>
      </c>
      <c r="AG266" s="1">
        <v>19</v>
      </c>
      <c r="AH266" s="1">
        <v>11047</v>
      </c>
      <c r="AI266" s="1">
        <v>874</v>
      </c>
      <c r="AJ266" s="1">
        <v>837</v>
      </c>
      <c r="AK266" s="1">
        <v>2489</v>
      </c>
      <c r="AL266" s="1">
        <v>210</v>
      </c>
      <c r="AM266" s="1">
        <v>107</v>
      </c>
      <c r="AN266" s="2" t="s">
        <v>407</v>
      </c>
    </row>
    <row r="267" spans="1:40" x14ac:dyDescent="0.3">
      <c r="A267" s="1">
        <v>9043</v>
      </c>
      <c r="B267" s="2" t="s">
        <v>1567</v>
      </c>
      <c r="C267" s="2" t="s">
        <v>1568</v>
      </c>
      <c r="D267" s="1">
        <v>28</v>
      </c>
      <c r="E267" s="2" t="s">
        <v>500</v>
      </c>
      <c r="F267" s="50" t="s">
        <v>3514</v>
      </c>
      <c r="G267" s="2" t="s">
        <v>1569</v>
      </c>
      <c r="H267" s="1">
        <v>15394</v>
      </c>
      <c r="I267" s="1">
        <v>14358</v>
      </c>
      <c r="J267" s="2" t="s">
        <v>968</v>
      </c>
      <c r="K267" s="2" t="s">
        <v>939</v>
      </c>
      <c r="L267" s="2">
        <v>3</v>
      </c>
      <c r="M267" s="1">
        <v>835</v>
      </c>
      <c r="N267" s="1">
        <v>21741</v>
      </c>
      <c r="O267" s="2" t="s">
        <v>646</v>
      </c>
      <c r="P267" s="2" t="s">
        <v>202</v>
      </c>
      <c r="Q267" s="2" t="s">
        <v>322</v>
      </c>
      <c r="R267" s="2" t="s">
        <v>50</v>
      </c>
      <c r="S267" s="2" t="s">
        <v>48</v>
      </c>
      <c r="T267" s="1">
        <v>10431</v>
      </c>
      <c r="U267" s="2" t="s">
        <v>51</v>
      </c>
      <c r="V267" s="1">
        <v>1773</v>
      </c>
      <c r="W267" s="1">
        <v>1746</v>
      </c>
      <c r="X267" s="2" t="s">
        <v>449</v>
      </c>
      <c r="Y267" s="2" t="s">
        <v>1570</v>
      </c>
      <c r="Z267" s="2" t="s">
        <v>1571</v>
      </c>
      <c r="AA267" s="2" t="s">
        <v>1572</v>
      </c>
      <c r="AB267" s="1">
        <v>11310</v>
      </c>
      <c r="AC267" s="1">
        <v>6617</v>
      </c>
      <c r="AD267" s="1">
        <v>2854</v>
      </c>
      <c r="AE267" s="1">
        <v>787</v>
      </c>
      <c r="AF267" s="1">
        <v>157</v>
      </c>
      <c r="AG267" s="1">
        <v>16</v>
      </c>
      <c r="AH267" s="1">
        <v>10775</v>
      </c>
      <c r="AI267" s="1">
        <v>609</v>
      </c>
      <c r="AJ267" s="1">
        <v>737</v>
      </c>
      <c r="AK267" s="1">
        <v>2943</v>
      </c>
      <c r="AL267" s="1">
        <v>141</v>
      </c>
      <c r="AM267" s="1">
        <v>219</v>
      </c>
      <c r="AN267" s="2" t="s">
        <v>407</v>
      </c>
    </row>
    <row r="268" spans="1:40" x14ac:dyDescent="0.3">
      <c r="A268" s="1">
        <v>10842</v>
      </c>
      <c r="B268" s="2" t="s">
        <v>1573</v>
      </c>
      <c r="C268" s="2" t="s">
        <v>1574</v>
      </c>
      <c r="D268" s="1">
        <v>25</v>
      </c>
      <c r="E268" s="2" t="s">
        <v>104</v>
      </c>
      <c r="F268" s="50" t="s">
        <v>1180</v>
      </c>
      <c r="G268" s="2" t="s">
        <v>1575</v>
      </c>
      <c r="H268" s="1">
        <v>11128</v>
      </c>
      <c r="I268" s="1">
        <v>10262</v>
      </c>
      <c r="J268" s="2" t="s">
        <v>1576</v>
      </c>
      <c r="K268" s="2" t="s">
        <v>1494</v>
      </c>
      <c r="L268" s="2" t="s">
        <v>201</v>
      </c>
      <c r="M268" s="1">
        <v>618</v>
      </c>
      <c r="N268" s="1">
        <v>15955</v>
      </c>
      <c r="O268" s="2" t="s">
        <v>905</v>
      </c>
      <c r="P268" s="2" t="s">
        <v>202</v>
      </c>
      <c r="Q268" s="2" t="s">
        <v>65</v>
      </c>
      <c r="R268" s="2" t="s">
        <v>96</v>
      </c>
      <c r="S268" s="2" t="s">
        <v>50</v>
      </c>
      <c r="T268" s="1">
        <v>7624</v>
      </c>
      <c r="U268" s="2" t="s">
        <v>51</v>
      </c>
      <c r="V268" s="1">
        <v>1557</v>
      </c>
      <c r="W268" s="1">
        <v>1353</v>
      </c>
      <c r="X268" s="2" t="s">
        <v>84</v>
      </c>
      <c r="Y268" s="2" t="s">
        <v>255</v>
      </c>
      <c r="Z268" s="2" t="s">
        <v>137</v>
      </c>
      <c r="AA268" s="2" t="s">
        <v>363</v>
      </c>
      <c r="AB268" s="1">
        <v>8331</v>
      </c>
      <c r="AC268" s="1">
        <v>4947</v>
      </c>
      <c r="AD268" s="1">
        <v>1995</v>
      </c>
      <c r="AE268" s="1">
        <v>546</v>
      </c>
      <c r="AF268" s="1">
        <v>127</v>
      </c>
      <c r="AG268" s="1">
        <v>9</v>
      </c>
      <c r="AH268" s="1">
        <v>7137</v>
      </c>
      <c r="AI268" s="1">
        <v>1499</v>
      </c>
      <c r="AJ268" s="1">
        <v>612</v>
      </c>
      <c r="AK268" s="1">
        <v>1717</v>
      </c>
      <c r="AL268" s="1">
        <v>182</v>
      </c>
      <c r="AM268" s="1">
        <v>29</v>
      </c>
      <c r="AN268" s="2" t="s">
        <v>277</v>
      </c>
    </row>
    <row r="269" spans="1:40" ht="28.2" x14ac:dyDescent="0.3">
      <c r="A269" s="1">
        <v>10870</v>
      </c>
      <c r="B269" s="2" t="s">
        <v>1577</v>
      </c>
      <c r="C269" s="2" t="s">
        <v>1578</v>
      </c>
      <c r="D269" s="1">
        <v>27</v>
      </c>
      <c r="E269" s="2" t="s">
        <v>403</v>
      </c>
      <c r="F269" s="50" t="s">
        <v>1446</v>
      </c>
      <c r="G269" s="2" t="s">
        <v>1579</v>
      </c>
      <c r="H269" s="1">
        <v>15043</v>
      </c>
      <c r="I269" s="1">
        <v>14018</v>
      </c>
      <c r="J269" s="2" t="s">
        <v>1051</v>
      </c>
      <c r="K269" s="2" t="s">
        <v>639</v>
      </c>
      <c r="L269" s="2" t="s">
        <v>612</v>
      </c>
      <c r="M269" s="1">
        <v>813</v>
      </c>
      <c r="N269" s="1">
        <v>21372</v>
      </c>
      <c r="O269" s="2" t="s">
        <v>905</v>
      </c>
      <c r="P269" s="2" t="s">
        <v>202</v>
      </c>
      <c r="Q269" s="2" t="s">
        <v>322</v>
      </c>
      <c r="R269" s="2" t="s">
        <v>66</v>
      </c>
      <c r="S269" s="2" t="s">
        <v>96</v>
      </c>
      <c r="T269" s="1">
        <v>10215</v>
      </c>
      <c r="U269" s="2" t="s">
        <v>51</v>
      </c>
      <c r="V269" s="1">
        <v>1929</v>
      </c>
      <c r="W269" s="1">
        <v>1794</v>
      </c>
      <c r="X269" s="2" t="s">
        <v>277</v>
      </c>
      <c r="Y269" s="2" t="s">
        <v>245</v>
      </c>
      <c r="Z269" s="2" t="s">
        <v>473</v>
      </c>
      <c r="AA269" s="2" t="s">
        <v>518</v>
      </c>
      <c r="AB269" s="1">
        <v>11157</v>
      </c>
      <c r="AC269" s="1">
        <v>6539</v>
      </c>
      <c r="AD269" s="1">
        <v>2713</v>
      </c>
      <c r="AE269" s="1">
        <v>789</v>
      </c>
      <c r="AF269" s="1">
        <v>159</v>
      </c>
      <c r="AG269" s="1">
        <v>15</v>
      </c>
      <c r="AH269" s="1">
        <v>10285</v>
      </c>
      <c r="AI269" s="1">
        <v>819</v>
      </c>
      <c r="AJ269" s="1">
        <v>845</v>
      </c>
      <c r="AK269" s="1">
        <v>2647</v>
      </c>
      <c r="AL269" s="1">
        <v>214</v>
      </c>
      <c r="AM269" s="1">
        <v>274</v>
      </c>
      <c r="AN269" s="2" t="s">
        <v>295</v>
      </c>
    </row>
    <row r="270" spans="1:40" ht="28.2" x14ac:dyDescent="0.3">
      <c r="A270" s="1">
        <v>8957</v>
      </c>
      <c r="B270" s="2" t="s">
        <v>1580</v>
      </c>
      <c r="C270" s="2" t="s">
        <v>1581</v>
      </c>
      <c r="D270" s="1">
        <v>33</v>
      </c>
      <c r="E270" s="2" t="s">
        <v>209</v>
      </c>
      <c r="F270" s="50" t="s">
        <v>3514</v>
      </c>
      <c r="G270" s="2" t="s">
        <v>1582</v>
      </c>
      <c r="H270" s="1">
        <v>12939</v>
      </c>
      <c r="I270" s="1">
        <v>12240</v>
      </c>
      <c r="J270" s="2" t="s">
        <v>1583</v>
      </c>
      <c r="K270" s="2">
        <v>78</v>
      </c>
      <c r="L270" s="2" t="s">
        <v>462</v>
      </c>
      <c r="M270" s="1">
        <v>708</v>
      </c>
      <c r="N270" s="1">
        <v>17977</v>
      </c>
      <c r="O270" s="2" t="s">
        <v>311</v>
      </c>
      <c r="P270" s="2" t="s">
        <v>166</v>
      </c>
      <c r="Q270" s="2" t="s">
        <v>167</v>
      </c>
      <c r="R270" s="2" t="s">
        <v>67</v>
      </c>
      <c r="S270" s="2" t="s">
        <v>67</v>
      </c>
      <c r="T270" s="1">
        <v>8707</v>
      </c>
      <c r="U270" s="2" t="s">
        <v>51</v>
      </c>
      <c r="V270" s="1">
        <v>1950</v>
      </c>
      <c r="W270" s="1">
        <v>1928</v>
      </c>
      <c r="X270" s="2" t="s">
        <v>255</v>
      </c>
      <c r="Y270" s="2" t="s">
        <v>412</v>
      </c>
      <c r="Z270" s="2" t="s">
        <v>170</v>
      </c>
      <c r="AA270" s="2" t="s">
        <v>648</v>
      </c>
      <c r="AB270" s="1">
        <v>9270</v>
      </c>
      <c r="AC270" s="1">
        <v>5490</v>
      </c>
      <c r="AD270" s="1">
        <v>2368</v>
      </c>
      <c r="AE270" s="1">
        <v>691</v>
      </c>
      <c r="AF270" s="1">
        <v>150</v>
      </c>
      <c r="AG270" s="1">
        <v>8</v>
      </c>
      <c r="AH270" s="1">
        <v>8779</v>
      </c>
      <c r="AI270" s="1">
        <v>860</v>
      </c>
      <c r="AJ270" s="1">
        <v>796</v>
      </c>
      <c r="AK270" s="1">
        <v>2280</v>
      </c>
      <c r="AL270" s="1">
        <v>119</v>
      </c>
      <c r="AM270" s="1">
        <v>129</v>
      </c>
      <c r="AN270" s="2" t="s">
        <v>407</v>
      </c>
    </row>
    <row r="271" spans="1:40" x14ac:dyDescent="0.3">
      <c r="A271" s="1">
        <v>11942</v>
      </c>
      <c r="B271" s="2" t="s">
        <v>1584</v>
      </c>
      <c r="C271" s="2" t="s">
        <v>1585</v>
      </c>
      <c r="D271" s="1">
        <v>22</v>
      </c>
      <c r="E271" s="2" t="s">
        <v>1144</v>
      </c>
      <c r="F271" s="51" t="s">
        <v>1034</v>
      </c>
      <c r="G271" s="2" t="s">
        <v>309</v>
      </c>
      <c r="H271" s="1">
        <v>22503</v>
      </c>
      <c r="I271" s="1">
        <v>20537</v>
      </c>
      <c r="J271" s="2" t="s">
        <v>1586</v>
      </c>
      <c r="K271" s="2" t="s">
        <v>601</v>
      </c>
      <c r="L271" s="2" t="s">
        <v>462</v>
      </c>
      <c r="M271" s="1">
        <v>1252</v>
      </c>
      <c r="N271" s="1">
        <v>33082</v>
      </c>
      <c r="O271" s="2" t="s">
        <v>167</v>
      </c>
      <c r="P271" s="2" t="s">
        <v>48</v>
      </c>
      <c r="Q271" s="2" t="s">
        <v>144</v>
      </c>
      <c r="R271" s="2" t="s">
        <v>66</v>
      </c>
      <c r="S271" s="2" t="s">
        <v>96</v>
      </c>
      <c r="T271" s="1">
        <v>15402</v>
      </c>
      <c r="U271" s="2" t="s">
        <v>51</v>
      </c>
      <c r="V271" s="1">
        <v>3303</v>
      </c>
      <c r="W271" s="1">
        <v>3029</v>
      </c>
      <c r="X271" s="2" t="s">
        <v>295</v>
      </c>
      <c r="Y271" s="2" t="s">
        <v>255</v>
      </c>
      <c r="Z271" s="2" t="s">
        <v>473</v>
      </c>
      <c r="AA271" s="2" t="s">
        <v>746</v>
      </c>
      <c r="AB271" s="1">
        <v>17680</v>
      </c>
      <c r="AC271" s="1">
        <v>9966</v>
      </c>
      <c r="AD271" s="1">
        <v>4031</v>
      </c>
      <c r="AE271" s="1">
        <v>1169</v>
      </c>
      <c r="AF271" s="1">
        <v>212</v>
      </c>
      <c r="AG271" s="1">
        <v>24</v>
      </c>
      <c r="AH271" s="1">
        <v>15539</v>
      </c>
      <c r="AI271" s="1">
        <v>2389</v>
      </c>
      <c r="AJ271" s="1">
        <v>636</v>
      </c>
      <c r="AK271" s="1">
        <v>3695</v>
      </c>
      <c r="AL271" s="1">
        <v>259</v>
      </c>
      <c r="AM271" s="1">
        <v>52</v>
      </c>
      <c r="AN271" s="2" t="s">
        <v>295</v>
      </c>
    </row>
    <row r="272" spans="1:40" x14ac:dyDescent="0.3">
      <c r="A272" s="1">
        <v>12317</v>
      </c>
      <c r="B272" s="2" t="s">
        <v>1587</v>
      </c>
      <c r="C272" s="2" t="s">
        <v>1588</v>
      </c>
      <c r="D272" s="1">
        <v>21</v>
      </c>
      <c r="E272" s="2" t="s">
        <v>187</v>
      </c>
      <c r="F272" s="50" t="s">
        <v>1589</v>
      </c>
      <c r="G272" s="2" t="s">
        <v>1590</v>
      </c>
      <c r="H272" s="1">
        <v>10884</v>
      </c>
      <c r="I272" s="1">
        <v>10448</v>
      </c>
      <c r="J272" s="2" t="s">
        <v>827</v>
      </c>
      <c r="K272" s="2" t="s">
        <v>1130</v>
      </c>
      <c r="L272" s="2" t="s">
        <v>275</v>
      </c>
      <c r="M272" s="1">
        <v>567</v>
      </c>
      <c r="N272" s="1">
        <v>14903</v>
      </c>
      <c r="O272" s="2" t="s">
        <v>495</v>
      </c>
      <c r="P272" s="2" t="s">
        <v>202</v>
      </c>
      <c r="Q272" s="2" t="s">
        <v>905</v>
      </c>
      <c r="R272" s="2" t="s">
        <v>96</v>
      </c>
      <c r="S272" s="2" t="s">
        <v>50</v>
      </c>
      <c r="T272" s="1">
        <v>7267</v>
      </c>
      <c r="U272" s="2" t="s">
        <v>51</v>
      </c>
      <c r="V272" s="1">
        <v>1546</v>
      </c>
      <c r="W272" s="1">
        <v>1485</v>
      </c>
      <c r="X272" s="2" t="s">
        <v>407</v>
      </c>
      <c r="Y272" s="2" t="s">
        <v>449</v>
      </c>
      <c r="Z272" s="2" t="s">
        <v>705</v>
      </c>
      <c r="AA272" s="2" t="s">
        <v>659</v>
      </c>
      <c r="AB272" s="1">
        <v>7636</v>
      </c>
      <c r="AC272" s="1">
        <v>4546</v>
      </c>
      <c r="AD272" s="1">
        <v>1977</v>
      </c>
      <c r="AE272" s="1">
        <v>602</v>
      </c>
      <c r="AF272" s="1">
        <v>132</v>
      </c>
      <c r="AG272" s="1">
        <v>10</v>
      </c>
      <c r="AH272" s="1">
        <v>6725</v>
      </c>
      <c r="AI272" s="1">
        <v>1731</v>
      </c>
      <c r="AJ272" s="1">
        <v>464</v>
      </c>
      <c r="AK272" s="1">
        <v>1886</v>
      </c>
      <c r="AL272" s="1">
        <v>91</v>
      </c>
      <c r="AM272" s="1">
        <v>23</v>
      </c>
      <c r="AN272" s="2" t="s">
        <v>277</v>
      </c>
    </row>
    <row r="273" spans="1:40" x14ac:dyDescent="0.3">
      <c r="A273" s="1">
        <v>16726</v>
      </c>
      <c r="B273" s="2" t="s">
        <v>1591</v>
      </c>
      <c r="C273" s="2" t="s">
        <v>1592</v>
      </c>
      <c r="D273" s="1">
        <v>19</v>
      </c>
      <c r="E273" s="2" t="s">
        <v>545</v>
      </c>
      <c r="F273" s="50" t="s">
        <v>3514</v>
      </c>
      <c r="G273" s="2" t="s">
        <v>1593</v>
      </c>
      <c r="H273" s="1">
        <v>8450</v>
      </c>
      <c r="I273" s="1">
        <v>7744</v>
      </c>
      <c r="J273" s="2" t="s">
        <v>1594</v>
      </c>
      <c r="K273" s="2">
        <v>72</v>
      </c>
      <c r="L273" s="2" t="s">
        <v>425</v>
      </c>
      <c r="M273" s="1">
        <v>461</v>
      </c>
      <c r="N273" s="1">
        <v>12400</v>
      </c>
      <c r="O273" s="2" t="s">
        <v>167</v>
      </c>
      <c r="P273" s="2" t="s">
        <v>50</v>
      </c>
      <c r="Q273" s="2" t="s">
        <v>144</v>
      </c>
      <c r="R273" s="2" t="s">
        <v>96</v>
      </c>
      <c r="S273" s="2" t="s">
        <v>66</v>
      </c>
      <c r="T273" s="1">
        <v>5769</v>
      </c>
      <c r="U273" s="2" t="s">
        <v>51</v>
      </c>
      <c r="V273" s="1">
        <v>1213</v>
      </c>
      <c r="W273" s="1">
        <v>1029</v>
      </c>
      <c r="X273" s="2" t="s">
        <v>169</v>
      </c>
      <c r="Y273" s="2" t="s">
        <v>449</v>
      </c>
      <c r="Z273" s="2" t="s">
        <v>473</v>
      </c>
      <c r="AA273" s="2" t="s">
        <v>577</v>
      </c>
      <c r="AB273" s="1">
        <v>6631</v>
      </c>
      <c r="AC273" s="1">
        <v>3724</v>
      </c>
      <c r="AD273" s="1">
        <v>1505</v>
      </c>
      <c r="AE273" s="1">
        <v>454</v>
      </c>
      <c r="AF273" s="1">
        <v>76</v>
      </c>
      <c r="AG273" s="1">
        <v>10</v>
      </c>
      <c r="AH273" s="1">
        <v>2736</v>
      </c>
      <c r="AI273" s="1">
        <v>3909</v>
      </c>
      <c r="AJ273" s="1">
        <v>181</v>
      </c>
      <c r="AK273" s="1">
        <v>1552</v>
      </c>
      <c r="AL273" s="1">
        <v>67</v>
      </c>
      <c r="AM273" s="1">
        <v>48</v>
      </c>
      <c r="AN273" s="2" t="s">
        <v>464</v>
      </c>
    </row>
    <row r="274" spans="1:40" x14ac:dyDescent="0.3">
      <c r="A274" s="1">
        <v>7443</v>
      </c>
      <c r="B274" s="2" t="s">
        <v>1595</v>
      </c>
      <c r="C274" s="2" t="s">
        <v>1596</v>
      </c>
      <c r="D274" s="1">
        <v>27</v>
      </c>
      <c r="E274" s="2" t="s">
        <v>545</v>
      </c>
      <c r="F274" s="50" t="s">
        <v>1065</v>
      </c>
      <c r="G274" s="2" t="s">
        <v>1597</v>
      </c>
      <c r="H274" s="1">
        <v>32522</v>
      </c>
      <c r="I274" s="1">
        <v>30773</v>
      </c>
      <c r="J274" s="2" t="s">
        <v>61</v>
      </c>
      <c r="K274" s="2" t="s">
        <v>368</v>
      </c>
      <c r="L274" s="2">
        <v>5</v>
      </c>
      <c r="M274" s="1">
        <v>1734</v>
      </c>
      <c r="N274" s="1">
        <v>45940</v>
      </c>
      <c r="O274" s="2" t="s">
        <v>646</v>
      </c>
      <c r="P274" s="2" t="s">
        <v>235</v>
      </c>
      <c r="Q274" s="2" t="s">
        <v>225</v>
      </c>
      <c r="R274" s="2" t="s">
        <v>96</v>
      </c>
      <c r="S274" s="2" t="s">
        <v>96</v>
      </c>
      <c r="T274" s="1">
        <v>21834</v>
      </c>
      <c r="U274" s="2" t="s">
        <v>51</v>
      </c>
      <c r="V274" s="1">
        <v>5174</v>
      </c>
      <c r="W274" s="1">
        <v>5113</v>
      </c>
      <c r="X274" s="2" t="s">
        <v>255</v>
      </c>
      <c r="Y274" s="2" t="s">
        <v>407</v>
      </c>
      <c r="Z274" s="2" t="s">
        <v>795</v>
      </c>
      <c r="AA274" s="2" t="s">
        <v>267</v>
      </c>
      <c r="AB274" s="1">
        <v>24106</v>
      </c>
      <c r="AC274" s="1">
        <v>13847</v>
      </c>
      <c r="AD274" s="1">
        <v>5769</v>
      </c>
      <c r="AE274" s="1">
        <v>1806</v>
      </c>
      <c r="AF274" s="1">
        <v>360</v>
      </c>
      <c r="AG274" s="1">
        <v>52</v>
      </c>
      <c r="AH274" s="1">
        <v>16619</v>
      </c>
      <c r="AI274" s="1">
        <v>8144</v>
      </c>
      <c r="AJ274" s="1">
        <v>1155</v>
      </c>
      <c r="AK274" s="1">
        <v>6023</v>
      </c>
      <c r="AL274" s="1">
        <v>479</v>
      </c>
      <c r="AM274" s="1">
        <v>167</v>
      </c>
      <c r="AN274" s="2" t="s">
        <v>407</v>
      </c>
    </row>
    <row r="275" spans="1:40" x14ac:dyDescent="0.3">
      <c r="A275" s="1">
        <v>16487</v>
      </c>
      <c r="B275" s="2" t="s">
        <v>1598</v>
      </c>
      <c r="C275" s="2" t="s">
        <v>1599</v>
      </c>
      <c r="D275" s="1">
        <v>20</v>
      </c>
      <c r="E275" s="2" t="s">
        <v>545</v>
      </c>
      <c r="F275" s="50" t="s">
        <v>1600</v>
      </c>
      <c r="G275" s="2" t="s">
        <v>1355</v>
      </c>
      <c r="H275" s="1">
        <v>11072</v>
      </c>
      <c r="I275" s="1">
        <v>10401</v>
      </c>
      <c r="J275" s="2" t="s">
        <v>1601</v>
      </c>
      <c r="K275" s="2" t="s">
        <v>999</v>
      </c>
      <c r="L275" s="2" t="s">
        <v>93</v>
      </c>
      <c r="M275" s="1">
        <v>579</v>
      </c>
      <c r="N275" s="1">
        <v>15674</v>
      </c>
      <c r="O275" s="2" t="s">
        <v>646</v>
      </c>
      <c r="P275" s="2" t="s">
        <v>50</v>
      </c>
      <c r="Q275" s="2" t="s">
        <v>322</v>
      </c>
      <c r="R275" s="2" t="s">
        <v>66</v>
      </c>
      <c r="S275" s="2" t="s">
        <v>96</v>
      </c>
      <c r="T275" s="1">
        <v>7495</v>
      </c>
      <c r="U275" s="2" t="s">
        <v>51</v>
      </c>
      <c r="V275" s="1">
        <v>1832</v>
      </c>
      <c r="W275" s="1">
        <v>1524</v>
      </c>
      <c r="X275" s="2" t="s">
        <v>147</v>
      </c>
      <c r="Y275" s="2" t="s">
        <v>295</v>
      </c>
      <c r="Z275" s="2" t="s">
        <v>427</v>
      </c>
      <c r="AA275" s="2" t="s">
        <v>994</v>
      </c>
      <c r="AB275" s="1">
        <v>8179</v>
      </c>
      <c r="AC275" s="1">
        <v>4783</v>
      </c>
      <c r="AD275" s="1">
        <v>2001</v>
      </c>
      <c r="AE275" s="1">
        <v>568</v>
      </c>
      <c r="AF275" s="1">
        <v>132</v>
      </c>
      <c r="AG275" s="1">
        <v>11</v>
      </c>
      <c r="AH275" s="1">
        <v>3661</v>
      </c>
      <c r="AI275" s="1">
        <v>5245</v>
      </c>
      <c r="AJ275" s="1">
        <v>264</v>
      </c>
      <c r="AK275" s="1">
        <v>1785</v>
      </c>
      <c r="AL275" s="1">
        <v>121</v>
      </c>
      <c r="AM275" s="1">
        <v>35</v>
      </c>
      <c r="AN275" s="2" t="s">
        <v>590</v>
      </c>
    </row>
    <row r="276" spans="1:40" x14ac:dyDescent="0.3">
      <c r="A276" s="1">
        <v>18717</v>
      </c>
      <c r="B276" s="2" t="s">
        <v>1602</v>
      </c>
      <c r="C276" s="2" t="s">
        <v>1603</v>
      </c>
      <c r="D276" s="1">
        <v>20</v>
      </c>
      <c r="E276" s="2" t="s">
        <v>104</v>
      </c>
      <c r="F276" s="50" t="s">
        <v>1604</v>
      </c>
      <c r="G276" s="2" t="s">
        <v>1605</v>
      </c>
      <c r="H276" s="1">
        <v>7598</v>
      </c>
      <c r="I276" s="1">
        <v>7082</v>
      </c>
      <c r="J276" s="2" t="s">
        <v>968</v>
      </c>
      <c r="K276" s="2" t="s">
        <v>1057</v>
      </c>
      <c r="L276" s="2" t="s">
        <v>390</v>
      </c>
      <c r="M276" s="1">
        <v>399</v>
      </c>
      <c r="N276" s="1">
        <v>10815</v>
      </c>
      <c r="O276" s="2" t="s">
        <v>905</v>
      </c>
      <c r="P276" s="2" t="s">
        <v>67</v>
      </c>
      <c r="Q276" s="2" t="s">
        <v>276</v>
      </c>
      <c r="R276" s="2" t="s">
        <v>50</v>
      </c>
      <c r="S276" s="2" t="s">
        <v>50</v>
      </c>
      <c r="T276" s="1">
        <v>5165</v>
      </c>
      <c r="U276" s="2" t="s">
        <v>51</v>
      </c>
      <c r="V276" s="1">
        <v>1135</v>
      </c>
      <c r="W276" s="1">
        <v>1135</v>
      </c>
      <c r="X276" s="2">
        <v>1</v>
      </c>
      <c r="Y276" s="2" t="s">
        <v>449</v>
      </c>
      <c r="Z276" s="2" t="s">
        <v>576</v>
      </c>
      <c r="AA276" s="2" t="s">
        <v>648</v>
      </c>
      <c r="AB276" s="1">
        <v>5650</v>
      </c>
      <c r="AC276" s="1">
        <v>3316</v>
      </c>
      <c r="AD276" s="1">
        <v>1343</v>
      </c>
      <c r="AE276" s="1">
        <v>433</v>
      </c>
      <c r="AF276" s="1">
        <v>68</v>
      </c>
      <c r="AG276" s="1">
        <v>5</v>
      </c>
      <c r="AH276" s="1">
        <v>5686</v>
      </c>
      <c r="AI276" s="1">
        <v>430</v>
      </c>
      <c r="AJ276" s="1">
        <v>218</v>
      </c>
      <c r="AK276" s="1">
        <v>1172</v>
      </c>
      <c r="AL276" s="1">
        <v>88</v>
      </c>
      <c r="AM276" s="1">
        <v>36</v>
      </c>
      <c r="AN276" s="2" t="s">
        <v>277</v>
      </c>
    </row>
    <row r="277" spans="1:40" x14ac:dyDescent="0.3">
      <c r="A277" s="1">
        <v>8138</v>
      </c>
      <c r="B277" s="2" t="s">
        <v>1606</v>
      </c>
      <c r="C277" s="2" t="s">
        <v>1607</v>
      </c>
      <c r="D277" s="1">
        <v>27</v>
      </c>
      <c r="E277" s="2" t="s">
        <v>792</v>
      </c>
      <c r="F277" s="50" t="s">
        <v>3514</v>
      </c>
      <c r="G277" s="2" t="s">
        <v>1608</v>
      </c>
      <c r="H277" s="1">
        <v>14255</v>
      </c>
      <c r="I277" s="1">
        <v>13246</v>
      </c>
      <c r="J277" s="2" t="s">
        <v>212</v>
      </c>
      <c r="K277" s="2" t="s">
        <v>1195</v>
      </c>
      <c r="L277" s="2" t="s">
        <v>1609</v>
      </c>
      <c r="M277" s="1">
        <v>774</v>
      </c>
      <c r="N277" s="1">
        <v>20539</v>
      </c>
      <c r="O277" s="2" t="s">
        <v>463</v>
      </c>
      <c r="P277" s="2" t="s">
        <v>235</v>
      </c>
      <c r="Q277" s="2" t="s">
        <v>65</v>
      </c>
      <c r="R277" s="2" t="s">
        <v>135</v>
      </c>
      <c r="S277" s="2" t="s">
        <v>66</v>
      </c>
      <c r="T277" s="1">
        <v>9655</v>
      </c>
      <c r="U277" s="2" t="s">
        <v>51</v>
      </c>
      <c r="V277" s="1">
        <v>1928</v>
      </c>
      <c r="W277" s="1">
        <v>1923</v>
      </c>
      <c r="X277" s="2">
        <v>1</v>
      </c>
      <c r="Y277" s="2" t="s">
        <v>245</v>
      </c>
      <c r="Z277" s="2" t="s">
        <v>583</v>
      </c>
      <c r="AA277" s="2" t="s">
        <v>933</v>
      </c>
      <c r="AB277" s="1">
        <v>10884</v>
      </c>
      <c r="AC277" s="1">
        <v>6129</v>
      </c>
      <c r="AD277" s="1">
        <v>2611</v>
      </c>
      <c r="AE277" s="1">
        <v>772</v>
      </c>
      <c r="AF277" s="1">
        <v>127</v>
      </c>
      <c r="AG277" s="1">
        <v>16</v>
      </c>
      <c r="AH277" s="1">
        <v>9318</v>
      </c>
      <c r="AI277" s="1">
        <v>739</v>
      </c>
      <c r="AJ277" s="1">
        <v>1122</v>
      </c>
      <c r="AK277" s="1">
        <v>2278</v>
      </c>
      <c r="AL277" s="1">
        <v>310</v>
      </c>
      <c r="AM277" s="1">
        <v>507</v>
      </c>
      <c r="AN277" s="2" t="s">
        <v>412</v>
      </c>
    </row>
    <row r="278" spans="1:40" ht="28.2" x14ac:dyDescent="0.3">
      <c r="A278" s="1">
        <v>839</v>
      </c>
      <c r="B278" s="2" t="s">
        <v>1610</v>
      </c>
      <c r="C278" s="2" t="s">
        <v>1611</v>
      </c>
      <c r="D278" s="1">
        <v>31</v>
      </c>
      <c r="E278" s="2" t="s">
        <v>209</v>
      </c>
      <c r="F278" s="50" t="s">
        <v>1117</v>
      </c>
      <c r="G278" s="2" t="s">
        <v>1612</v>
      </c>
      <c r="H278" s="1">
        <v>11088</v>
      </c>
      <c r="I278" s="1">
        <v>10380</v>
      </c>
      <c r="J278" s="2" t="s">
        <v>1613</v>
      </c>
      <c r="K278" s="2" t="s">
        <v>368</v>
      </c>
      <c r="L278" s="2" t="s">
        <v>462</v>
      </c>
      <c r="M278" s="1">
        <v>619</v>
      </c>
      <c r="N278" s="1">
        <v>15737</v>
      </c>
      <c r="O278" s="2" t="s">
        <v>905</v>
      </c>
      <c r="P278" s="2" t="s">
        <v>166</v>
      </c>
      <c r="Q278" s="2" t="s">
        <v>322</v>
      </c>
      <c r="R278" s="2" t="s">
        <v>67</v>
      </c>
      <c r="S278" s="2" t="s">
        <v>67</v>
      </c>
      <c r="T278" s="1">
        <v>7522</v>
      </c>
      <c r="U278" s="2" t="s">
        <v>51</v>
      </c>
      <c r="V278" s="1">
        <v>1359</v>
      </c>
      <c r="W278" s="1">
        <v>1332</v>
      </c>
      <c r="X278" s="2" t="s">
        <v>449</v>
      </c>
      <c r="Y278" s="2" t="s">
        <v>472</v>
      </c>
      <c r="Z278" s="2" t="s">
        <v>1614</v>
      </c>
      <c r="AA278" s="2" t="s">
        <v>978</v>
      </c>
      <c r="AB278" s="1">
        <v>8215</v>
      </c>
      <c r="AC278" s="1">
        <v>4803</v>
      </c>
      <c r="AD278" s="1">
        <v>2013</v>
      </c>
      <c r="AE278" s="1">
        <v>578</v>
      </c>
      <c r="AF278" s="1">
        <v>115</v>
      </c>
      <c r="AG278" s="1">
        <v>13</v>
      </c>
      <c r="AH278" s="1">
        <v>7448</v>
      </c>
      <c r="AI278" s="1">
        <v>313</v>
      </c>
      <c r="AJ278" s="1">
        <v>1102</v>
      </c>
      <c r="AK278" s="1">
        <v>2090</v>
      </c>
      <c r="AL278" s="1">
        <v>115</v>
      </c>
      <c r="AM278" s="1">
        <v>45</v>
      </c>
      <c r="AN278" s="2" t="s">
        <v>412</v>
      </c>
    </row>
    <row r="279" spans="1:40" ht="28.2" x14ac:dyDescent="0.3">
      <c r="A279" s="1">
        <v>4576</v>
      </c>
      <c r="B279" s="2" t="s">
        <v>1615</v>
      </c>
      <c r="C279" s="2" t="s">
        <v>1616</v>
      </c>
      <c r="D279" s="1">
        <v>26</v>
      </c>
      <c r="E279" s="2" t="s">
        <v>895</v>
      </c>
      <c r="F279" s="50" t="s">
        <v>1617</v>
      </c>
      <c r="G279" s="2" t="s">
        <v>1618</v>
      </c>
      <c r="H279" s="1">
        <v>8385</v>
      </c>
      <c r="I279" s="1">
        <v>7808</v>
      </c>
      <c r="J279" s="2" t="s">
        <v>974</v>
      </c>
      <c r="K279" s="2" t="s">
        <v>1089</v>
      </c>
      <c r="L279" s="2" t="s">
        <v>122</v>
      </c>
      <c r="M279" s="1">
        <v>449</v>
      </c>
      <c r="N279" s="1">
        <v>11891</v>
      </c>
      <c r="O279" s="2" t="s">
        <v>646</v>
      </c>
      <c r="P279" s="2" t="s">
        <v>50</v>
      </c>
      <c r="Q279" s="2" t="s">
        <v>322</v>
      </c>
      <c r="R279" s="2" t="s">
        <v>96</v>
      </c>
      <c r="S279" s="2" t="s">
        <v>50</v>
      </c>
      <c r="T279" s="1">
        <v>5715</v>
      </c>
      <c r="U279" s="2" t="s">
        <v>51</v>
      </c>
      <c r="V279" s="1">
        <v>1333</v>
      </c>
      <c r="W279" s="1">
        <v>1047</v>
      </c>
      <c r="X279" s="2" t="s">
        <v>717</v>
      </c>
      <c r="Y279" s="2" t="s">
        <v>277</v>
      </c>
      <c r="Z279" s="2" t="s">
        <v>427</v>
      </c>
      <c r="AA279" s="2" t="s">
        <v>534</v>
      </c>
      <c r="AB279" s="1">
        <v>6176</v>
      </c>
      <c r="AC279" s="1">
        <v>3662</v>
      </c>
      <c r="AD279" s="1">
        <v>1528</v>
      </c>
      <c r="AE279" s="1">
        <v>443</v>
      </c>
      <c r="AF279" s="1">
        <v>72</v>
      </c>
      <c r="AG279" s="1">
        <v>10</v>
      </c>
      <c r="AH279" s="1">
        <v>2086</v>
      </c>
      <c r="AI279" s="1">
        <v>4246</v>
      </c>
      <c r="AJ279" s="1">
        <v>512</v>
      </c>
      <c r="AK279" s="1">
        <v>1468</v>
      </c>
      <c r="AL279" s="1">
        <v>72</v>
      </c>
      <c r="AM279" s="1">
        <v>33</v>
      </c>
      <c r="AN279" s="2" t="s">
        <v>464</v>
      </c>
    </row>
    <row r="280" spans="1:40" x14ac:dyDescent="0.3">
      <c r="A280" s="1">
        <v>10557</v>
      </c>
      <c r="B280" s="2" t="s">
        <v>1619</v>
      </c>
      <c r="C280" s="2" t="s">
        <v>1620</v>
      </c>
      <c r="D280" s="1">
        <v>28</v>
      </c>
      <c r="E280" s="2" t="s">
        <v>104</v>
      </c>
      <c r="F280" s="50" t="s">
        <v>1180</v>
      </c>
      <c r="G280" s="2" t="s">
        <v>1621</v>
      </c>
      <c r="H280" s="1">
        <v>13563</v>
      </c>
      <c r="I280" s="1">
        <v>12364</v>
      </c>
      <c r="J280" s="2" t="s">
        <v>1622</v>
      </c>
      <c r="K280" s="2" t="s">
        <v>1623</v>
      </c>
      <c r="L280" s="2" t="s">
        <v>214</v>
      </c>
      <c r="M280" s="1">
        <v>771</v>
      </c>
      <c r="N280" s="1">
        <v>20177</v>
      </c>
      <c r="O280" s="2" t="s">
        <v>225</v>
      </c>
      <c r="P280" s="2" t="s">
        <v>67</v>
      </c>
      <c r="Q280" s="2" t="s">
        <v>49</v>
      </c>
      <c r="R280" s="2" t="s">
        <v>66</v>
      </c>
      <c r="S280" s="2" t="s">
        <v>96</v>
      </c>
      <c r="T280" s="1">
        <v>9310</v>
      </c>
      <c r="U280" s="2" t="s">
        <v>51</v>
      </c>
      <c r="V280" s="1">
        <v>2343</v>
      </c>
      <c r="W280" s="1">
        <v>1737</v>
      </c>
      <c r="X280" s="2" t="s">
        <v>323</v>
      </c>
      <c r="Y280" s="2" t="s">
        <v>561</v>
      </c>
      <c r="Z280" s="2" t="s">
        <v>473</v>
      </c>
      <c r="AA280" s="2" t="s">
        <v>697</v>
      </c>
      <c r="AB280" s="1">
        <v>10867</v>
      </c>
      <c r="AC280" s="1">
        <v>6055</v>
      </c>
      <c r="AD280" s="1">
        <v>2423</v>
      </c>
      <c r="AE280" s="1">
        <v>682</v>
      </c>
      <c r="AF280" s="1">
        <v>134</v>
      </c>
      <c r="AG280" s="1">
        <v>16</v>
      </c>
      <c r="AH280" s="1">
        <v>2757</v>
      </c>
      <c r="AI280" s="1">
        <v>7755</v>
      </c>
      <c r="AJ280" s="1">
        <v>510</v>
      </c>
      <c r="AK280" s="1">
        <v>2413</v>
      </c>
      <c r="AL280" s="1">
        <v>101</v>
      </c>
      <c r="AM280" s="1">
        <v>54</v>
      </c>
      <c r="AN280" s="2" t="s">
        <v>412</v>
      </c>
    </row>
    <row r="281" spans="1:40" ht="28.2" x14ac:dyDescent="0.3">
      <c r="A281" s="1">
        <v>8523</v>
      </c>
      <c r="B281" s="2" t="s">
        <v>1624</v>
      </c>
      <c r="C281" s="2" t="s">
        <v>1625</v>
      </c>
      <c r="D281" s="1">
        <v>26</v>
      </c>
      <c r="E281" s="2" t="s">
        <v>459</v>
      </c>
      <c r="F281" s="50" t="s">
        <v>3514</v>
      </c>
      <c r="G281" s="2" t="s">
        <v>1626</v>
      </c>
      <c r="H281" s="1">
        <v>26620</v>
      </c>
      <c r="I281" s="1">
        <v>25304</v>
      </c>
      <c r="J281" s="2" t="s">
        <v>1627</v>
      </c>
      <c r="K281" s="2" t="s">
        <v>948</v>
      </c>
      <c r="L281" s="2" t="s">
        <v>122</v>
      </c>
      <c r="M281" s="1">
        <v>1438</v>
      </c>
      <c r="N281" s="1">
        <v>37326</v>
      </c>
      <c r="O281" s="2" t="s">
        <v>646</v>
      </c>
      <c r="P281" s="2" t="s">
        <v>235</v>
      </c>
      <c r="Q281" s="2" t="s">
        <v>167</v>
      </c>
      <c r="R281" s="2" t="s">
        <v>67</v>
      </c>
      <c r="S281" s="2" t="s">
        <v>50</v>
      </c>
      <c r="T281" s="1">
        <v>17847</v>
      </c>
      <c r="U281" s="2" t="s">
        <v>51</v>
      </c>
      <c r="V281" s="1">
        <v>4197</v>
      </c>
      <c r="W281" s="1">
        <v>3980</v>
      </c>
      <c r="X281" s="2" t="s">
        <v>304</v>
      </c>
      <c r="Y281" s="2" t="s">
        <v>304</v>
      </c>
      <c r="Z281" s="2" t="s">
        <v>183</v>
      </c>
      <c r="AA281" s="2" t="s">
        <v>436</v>
      </c>
      <c r="AB281" s="1">
        <v>19479</v>
      </c>
      <c r="AC281" s="1">
        <v>11207</v>
      </c>
      <c r="AD281" s="1">
        <v>4876</v>
      </c>
      <c r="AE281" s="1">
        <v>1439</v>
      </c>
      <c r="AF281" s="1">
        <v>292</v>
      </c>
      <c r="AG281" s="1">
        <v>33</v>
      </c>
      <c r="AH281" s="1">
        <v>18462</v>
      </c>
      <c r="AI281" s="1">
        <v>2211</v>
      </c>
      <c r="AJ281" s="1">
        <v>797</v>
      </c>
      <c r="AK281" s="1">
        <v>4839</v>
      </c>
      <c r="AL281" s="1">
        <v>241</v>
      </c>
      <c r="AM281" s="1">
        <v>126</v>
      </c>
      <c r="AN281" s="2" t="s">
        <v>412</v>
      </c>
    </row>
    <row r="282" spans="1:40" x14ac:dyDescent="0.3">
      <c r="A282" s="1">
        <v>9278</v>
      </c>
      <c r="B282" s="2" t="s">
        <v>1628</v>
      </c>
      <c r="C282" s="2" t="s">
        <v>1629</v>
      </c>
      <c r="D282" s="1">
        <v>24</v>
      </c>
      <c r="E282" s="2" t="s">
        <v>545</v>
      </c>
      <c r="F282" s="50" t="s">
        <v>197</v>
      </c>
      <c r="G282" s="2" t="s">
        <v>1630</v>
      </c>
      <c r="H282" s="1">
        <v>25076</v>
      </c>
      <c r="I282" s="1">
        <v>23752</v>
      </c>
      <c r="J282" s="2" t="s">
        <v>1631</v>
      </c>
      <c r="K282" s="2" t="s">
        <v>843</v>
      </c>
      <c r="L282" s="2" t="s">
        <v>80</v>
      </c>
      <c r="M282" s="1">
        <v>1355</v>
      </c>
      <c r="N282" s="1">
        <v>35650</v>
      </c>
      <c r="O282" s="2" t="s">
        <v>905</v>
      </c>
      <c r="P282" s="2" t="s">
        <v>235</v>
      </c>
      <c r="Q282" s="2" t="s">
        <v>225</v>
      </c>
      <c r="R282" s="2" t="s">
        <v>50</v>
      </c>
      <c r="S282" s="2" t="s">
        <v>50</v>
      </c>
      <c r="T282" s="1">
        <v>16867</v>
      </c>
      <c r="U282" s="2" t="s">
        <v>51</v>
      </c>
      <c r="V282" s="1">
        <v>3898</v>
      </c>
      <c r="W282" s="1">
        <v>3763</v>
      </c>
      <c r="X282" s="2" t="s">
        <v>407</v>
      </c>
      <c r="Y282" s="2" t="s">
        <v>407</v>
      </c>
      <c r="Z282" s="2" t="s">
        <v>795</v>
      </c>
      <c r="AA282" s="2" t="s">
        <v>789</v>
      </c>
      <c r="AB282" s="1">
        <v>18783</v>
      </c>
      <c r="AC282" s="1">
        <v>10715</v>
      </c>
      <c r="AD282" s="1">
        <v>4466</v>
      </c>
      <c r="AE282" s="1">
        <v>1344</v>
      </c>
      <c r="AF282" s="1">
        <v>313</v>
      </c>
      <c r="AG282" s="1">
        <v>29</v>
      </c>
      <c r="AH282" s="1">
        <v>18513</v>
      </c>
      <c r="AI282" s="1">
        <v>979</v>
      </c>
      <c r="AJ282" s="1">
        <v>1004</v>
      </c>
      <c r="AK282" s="1">
        <v>4320</v>
      </c>
      <c r="AL282" s="1">
        <v>239</v>
      </c>
      <c r="AM282" s="1">
        <v>73</v>
      </c>
      <c r="AN282" s="2" t="s">
        <v>412</v>
      </c>
    </row>
    <row r="283" spans="1:40" ht="28.2" x14ac:dyDescent="0.3">
      <c r="A283" s="1">
        <v>10705</v>
      </c>
      <c r="B283" s="2" t="s">
        <v>1632</v>
      </c>
      <c r="C283" s="2" t="s">
        <v>1633</v>
      </c>
      <c r="D283" s="1">
        <v>24</v>
      </c>
      <c r="E283" s="2" t="s">
        <v>477</v>
      </c>
      <c r="F283" s="50" t="s">
        <v>271</v>
      </c>
      <c r="G283" s="2" t="s">
        <v>1634</v>
      </c>
      <c r="H283" s="1">
        <v>9693</v>
      </c>
      <c r="I283" s="1">
        <v>9024</v>
      </c>
      <c r="J283" s="2" t="s">
        <v>1635</v>
      </c>
      <c r="K283" s="2" t="s">
        <v>1042</v>
      </c>
      <c r="L283" s="2" t="s">
        <v>275</v>
      </c>
      <c r="M283" s="1">
        <v>531</v>
      </c>
      <c r="N283" s="1">
        <v>13727</v>
      </c>
      <c r="O283" s="2" t="s">
        <v>646</v>
      </c>
      <c r="P283" s="2" t="s">
        <v>48</v>
      </c>
      <c r="Q283" s="2" t="s">
        <v>322</v>
      </c>
      <c r="R283" s="2" t="s">
        <v>50</v>
      </c>
      <c r="S283" s="2" t="s">
        <v>67</v>
      </c>
      <c r="T283" s="1">
        <v>6642</v>
      </c>
      <c r="U283" s="2" t="s">
        <v>51</v>
      </c>
      <c r="V283" s="1">
        <v>1086</v>
      </c>
      <c r="W283" s="1">
        <v>990</v>
      </c>
      <c r="X283" s="2" t="s">
        <v>561</v>
      </c>
      <c r="Y283" s="2" t="s">
        <v>1570</v>
      </c>
      <c r="Z283" s="2" t="s">
        <v>1462</v>
      </c>
      <c r="AA283" s="2" t="s">
        <v>1636</v>
      </c>
      <c r="AB283" s="1">
        <v>7085</v>
      </c>
      <c r="AC283" s="1">
        <v>4302</v>
      </c>
      <c r="AD283" s="1">
        <v>1733</v>
      </c>
      <c r="AE283" s="1">
        <v>516</v>
      </c>
      <c r="AF283" s="1">
        <v>78</v>
      </c>
      <c r="AG283" s="1">
        <v>13</v>
      </c>
      <c r="AH283" s="1">
        <v>7478</v>
      </c>
      <c r="AI283" s="1">
        <v>103</v>
      </c>
      <c r="AJ283" s="1">
        <v>449</v>
      </c>
      <c r="AK283" s="1">
        <v>1558</v>
      </c>
      <c r="AL283" s="1">
        <v>71</v>
      </c>
      <c r="AM283" s="1">
        <v>66</v>
      </c>
      <c r="AN283" s="2" t="s">
        <v>464</v>
      </c>
    </row>
    <row r="284" spans="1:40" ht="28.2" x14ac:dyDescent="0.3">
      <c r="A284" s="1">
        <v>14171</v>
      </c>
      <c r="B284" s="2" t="s">
        <v>1637</v>
      </c>
      <c r="C284" s="2" t="s">
        <v>1638</v>
      </c>
      <c r="D284" s="1">
        <v>25</v>
      </c>
      <c r="E284" s="2" t="s">
        <v>59</v>
      </c>
      <c r="F284" s="50" t="s">
        <v>3514</v>
      </c>
      <c r="G284" s="2" t="s">
        <v>1639</v>
      </c>
      <c r="H284" s="1">
        <v>6850</v>
      </c>
      <c r="I284" s="1">
        <v>6166</v>
      </c>
      <c r="J284" s="2" t="s">
        <v>454</v>
      </c>
      <c r="K284" s="2" t="s">
        <v>1640</v>
      </c>
      <c r="L284" s="2" t="s">
        <v>1170</v>
      </c>
      <c r="M284" s="1">
        <v>382</v>
      </c>
      <c r="N284" s="1">
        <v>10184</v>
      </c>
      <c r="O284" s="2" t="s">
        <v>225</v>
      </c>
      <c r="P284" s="2" t="s">
        <v>50</v>
      </c>
      <c r="Q284" s="2" t="s">
        <v>49</v>
      </c>
      <c r="R284" s="2" t="s">
        <v>135</v>
      </c>
      <c r="S284" s="2" t="s">
        <v>96</v>
      </c>
      <c r="T284" s="1">
        <v>4767</v>
      </c>
      <c r="U284" s="2" t="s">
        <v>51</v>
      </c>
      <c r="V284" s="1">
        <v>1105</v>
      </c>
      <c r="W284" s="1">
        <v>774</v>
      </c>
      <c r="X284" s="2" t="s">
        <v>236</v>
      </c>
      <c r="Y284" s="2" t="s">
        <v>277</v>
      </c>
      <c r="Z284" s="2" t="s">
        <v>324</v>
      </c>
      <c r="AA284" s="2" t="s">
        <v>86</v>
      </c>
      <c r="AB284" s="1">
        <v>5417</v>
      </c>
      <c r="AC284" s="1">
        <v>3154</v>
      </c>
      <c r="AD284" s="1">
        <v>1206</v>
      </c>
      <c r="AE284" s="1">
        <v>346</v>
      </c>
      <c r="AF284" s="1">
        <v>59</v>
      </c>
      <c r="AG284" s="1">
        <v>2</v>
      </c>
      <c r="AH284" s="1">
        <v>1733</v>
      </c>
      <c r="AI284" s="1">
        <v>3560</v>
      </c>
      <c r="AJ284" s="1">
        <v>164</v>
      </c>
      <c r="AK284" s="1">
        <v>1273</v>
      </c>
      <c r="AL284" s="1">
        <v>118</v>
      </c>
      <c r="AM284" s="1">
        <v>33</v>
      </c>
      <c r="AN284" s="2" t="s">
        <v>464</v>
      </c>
    </row>
    <row r="285" spans="1:40" x14ac:dyDescent="0.3">
      <c r="A285" s="1">
        <v>8998</v>
      </c>
      <c r="B285" s="2" t="s">
        <v>1641</v>
      </c>
      <c r="C285" s="2" t="s">
        <v>1642</v>
      </c>
      <c r="D285" s="1">
        <v>26</v>
      </c>
      <c r="E285" s="2" t="s">
        <v>1643</v>
      </c>
      <c r="F285" s="50" t="s">
        <v>1644</v>
      </c>
      <c r="G285" s="2" t="s">
        <v>1645</v>
      </c>
      <c r="H285" s="1">
        <v>16258</v>
      </c>
      <c r="I285" s="1">
        <v>15385</v>
      </c>
      <c r="J285" s="2" t="s">
        <v>1159</v>
      </c>
      <c r="K285" s="2" t="s">
        <v>1057</v>
      </c>
      <c r="L285" s="2" t="s">
        <v>282</v>
      </c>
      <c r="M285" s="1">
        <v>889</v>
      </c>
      <c r="N285" s="1">
        <v>23444</v>
      </c>
      <c r="O285" s="2" t="s">
        <v>463</v>
      </c>
      <c r="P285" s="2" t="s">
        <v>202</v>
      </c>
      <c r="Q285" s="2" t="s">
        <v>322</v>
      </c>
      <c r="R285" s="2" t="s">
        <v>96</v>
      </c>
      <c r="S285" s="2" t="s">
        <v>67</v>
      </c>
      <c r="T285" s="1">
        <v>10873</v>
      </c>
      <c r="U285" s="2" t="s">
        <v>51</v>
      </c>
      <c r="V285" s="1">
        <v>2147</v>
      </c>
      <c r="W285" s="1">
        <v>2008</v>
      </c>
      <c r="X285" s="2" t="s">
        <v>464</v>
      </c>
      <c r="Y285" s="2" t="s">
        <v>245</v>
      </c>
      <c r="Z285" s="2" t="s">
        <v>1467</v>
      </c>
      <c r="AA285" s="2" t="s">
        <v>852</v>
      </c>
      <c r="AB285" s="1">
        <v>12571</v>
      </c>
      <c r="AC285" s="1">
        <v>6831</v>
      </c>
      <c r="AD285" s="1">
        <v>2943</v>
      </c>
      <c r="AE285" s="1">
        <v>875</v>
      </c>
      <c r="AF285" s="1">
        <v>204</v>
      </c>
      <c r="AG285" s="1">
        <v>20</v>
      </c>
      <c r="AH285" s="1">
        <v>11910</v>
      </c>
      <c r="AI285" s="1">
        <v>343</v>
      </c>
      <c r="AJ285" s="1">
        <v>856</v>
      </c>
      <c r="AK285" s="1">
        <v>2886</v>
      </c>
      <c r="AL285" s="1">
        <v>237</v>
      </c>
      <c r="AM285" s="1">
        <v>84</v>
      </c>
      <c r="AN285" s="2" t="s">
        <v>412</v>
      </c>
    </row>
    <row r="286" spans="1:40" x14ac:dyDescent="0.3">
      <c r="A286" s="1">
        <v>14148</v>
      </c>
      <c r="B286" s="2" t="s">
        <v>1646</v>
      </c>
      <c r="C286" s="2" t="s">
        <v>1647</v>
      </c>
      <c r="D286" s="1">
        <v>23</v>
      </c>
      <c r="E286" s="2" t="s">
        <v>196</v>
      </c>
      <c r="F286" s="50" t="s">
        <v>1396</v>
      </c>
      <c r="G286" s="2" t="s">
        <v>1648</v>
      </c>
      <c r="H286" s="1">
        <v>14978</v>
      </c>
      <c r="I286" s="1">
        <v>13998</v>
      </c>
      <c r="J286" s="2" t="s">
        <v>273</v>
      </c>
      <c r="K286" s="2" t="s">
        <v>1119</v>
      </c>
      <c r="L286" s="2" t="s">
        <v>80</v>
      </c>
      <c r="M286" s="1">
        <v>825</v>
      </c>
      <c r="N286" s="1">
        <v>21810</v>
      </c>
      <c r="O286" s="2" t="s">
        <v>463</v>
      </c>
      <c r="P286" s="2" t="s">
        <v>202</v>
      </c>
      <c r="Q286" s="2" t="s">
        <v>65</v>
      </c>
      <c r="R286" s="2" t="s">
        <v>50</v>
      </c>
      <c r="S286" s="2" t="s">
        <v>67</v>
      </c>
      <c r="T286" s="1">
        <v>10109</v>
      </c>
      <c r="U286" s="2" t="s">
        <v>51</v>
      </c>
      <c r="V286" s="1">
        <v>2046</v>
      </c>
      <c r="W286" s="1">
        <v>1897</v>
      </c>
      <c r="X286" s="2" t="s">
        <v>277</v>
      </c>
      <c r="Y286" s="2" t="s">
        <v>285</v>
      </c>
      <c r="Z286" s="2" t="s">
        <v>576</v>
      </c>
      <c r="AA286" s="2" t="s">
        <v>852</v>
      </c>
      <c r="AB286" s="1">
        <v>11701</v>
      </c>
      <c r="AC286" s="1">
        <v>6437</v>
      </c>
      <c r="AD286" s="1">
        <v>2663</v>
      </c>
      <c r="AE286" s="1">
        <v>836</v>
      </c>
      <c r="AF286" s="1">
        <v>158</v>
      </c>
      <c r="AG286" s="1">
        <v>15</v>
      </c>
      <c r="AH286" s="1">
        <v>11236</v>
      </c>
      <c r="AI286" s="1">
        <v>326</v>
      </c>
      <c r="AJ286" s="1">
        <v>865</v>
      </c>
      <c r="AK286" s="1">
        <v>2357</v>
      </c>
      <c r="AL286" s="1">
        <v>174</v>
      </c>
      <c r="AM286" s="1">
        <v>65</v>
      </c>
      <c r="AN286" s="2" t="s">
        <v>295</v>
      </c>
    </row>
    <row r="287" spans="1:40" ht="28.2" x14ac:dyDescent="0.3">
      <c r="A287" s="1">
        <v>12092</v>
      </c>
      <c r="B287" s="2" t="s">
        <v>1649</v>
      </c>
      <c r="C287" s="2" t="s">
        <v>1650</v>
      </c>
      <c r="D287" s="1">
        <v>23</v>
      </c>
      <c r="E287" s="2" t="s">
        <v>512</v>
      </c>
      <c r="F287" s="50" t="s">
        <v>513</v>
      </c>
      <c r="G287" s="2" t="s">
        <v>1651</v>
      </c>
      <c r="H287" s="1">
        <v>10448</v>
      </c>
      <c r="I287" s="1">
        <v>9800</v>
      </c>
      <c r="J287" s="2" t="s">
        <v>1129</v>
      </c>
      <c r="K287" s="2" t="s">
        <v>263</v>
      </c>
      <c r="L287" s="2" t="s">
        <v>201</v>
      </c>
      <c r="M287" s="1">
        <v>561</v>
      </c>
      <c r="N287" s="1">
        <v>14866</v>
      </c>
      <c r="O287" s="2" t="s">
        <v>905</v>
      </c>
      <c r="P287" s="2" t="s">
        <v>235</v>
      </c>
      <c r="Q287" s="2" t="s">
        <v>322</v>
      </c>
      <c r="R287" s="2" t="s">
        <v>50</v>
      </c>
      <c r="S287" s="2" t="s">
        <v>50</v>
      </c>
      <c r="T287" s="1">
        <v>7086</v>
      </c>
      <c r="U287" s="2" t="s">
        <v>51</v>
      </c>
      <c r="V287" s="1">
        <v>1610</v>
      </c>
      <c r="W287" s="1">
        <v>1522</v>
      </c>
      <c r="X287" s="2" t="s">
        <v>590</v>
      </c>
      <c r="Y287" s="2" t="s">
        <v>407</v>
      </c>
      <c r="Z287" s="2" t="s">
        <v>718</v>
      </c>
      <c r="AA287" s="2" t="s">
        <v>602</v>
      </c>
      <c r="AB287" s="1">
        <v>7780</v>
      </c>
      <c r="AC287" s="1">
        <v>4514</v>
      </c>
      <c r="AD287" s="1">
        <v>1906</v>
      </c>
      <c r="AE287" s="1">
        <v>555</v>
      </c>
      <c r="AF287" s="1">
        <v>98</v>
      </c>
      <c r="AG287" s="1">
        <v>13</v>
      </c>
      <c r="AH287" s="1">
        <v>8002</v>
      </c>
      <c r="AI287" s="1">
        <v>175</v>
      </c>
      <c r="AJ287" s="1">
        <v>581</v>
      </c>
      <c r="AK287" s="1">
        <v>1600</v>
      </c>
      <c r="AL287" s="1">
        <v>99</v>
      </c>
      <c r="AM287" s="1">
        <v>30</v>
      </c>
      <c r="AN287" s="2" t="s">
        <v>362</v>
      </c>
    </row>
    <row r="288" spans="1:40" ht="28.2" x14ac:dyDescent="0.3">
      <c r="A288" s="1">
        <v>10761</v>
      </c>
      <c r="B288" s="2" t="s">
        <v>1652</v>
      </c>
      <c r="C288" s="2" t="s">
        <v>1653</v>
      </c>
      <c r="D288" s="1">
        <v>26</v>
      </c>
      <c r="E288" s="2" t="s">
        <v>467</v>
      </c>
      <c r="F288" s="50" t="s">
        <v>3514</v>
      </c>
      <c r="G288" s="2" t="s">
        <v>1654</v>
      </c>
      <c r="H288" s="1">
        <v>8697</v>
      </c>
      <c r="I288" s="1">
        <v>8268</v>
      </c>
      <c r="J288" s="2" t="s">
        <v>1655</v>
      </c>
      <c r="K288" s="2" t="s">
        <v>588</v>
      </c>
      <c r="L288" s="2" t="s">
        <v>46</v>
      </c>
      <c r="M288" s="1">
        <v>480</v>
      </c>
      <c r="N288" s="1">
        <v>12325</v>
      </c>
      <c r="O288" s="2" t="s">
        <v>646</v>
      </c>
      <c r="P288" s="2" t="s">
        <v>235</v>
      </c>
      <c r="Q288" s="2" t="s">
        <v>225</v>
      </c>
      <c r="R288" s="2" t="s">
        <v>50</v>
      </c>
      <c r="S288" s="2" t="s">
        <v>67</v>
      </c>
      <c r="T288" s="1">
        <v>5862</v>
      </c>
      <c r="U288" s="2" t="s">
        <v>51</v>
      </c>
      <c r="V288" s="1">
        <v>1052</v>
      </c>
      <c r="W288" s="1">
        <v>974</v>
      </c>
      <c r="X288" s="2" t="s">
        <v>277</v>
      </c>
      <c r="Y288" s="2" t="s">
        <v>472</v>
      </c>
      <c r="Z288" s="2" t="s">
        <v>1656</v>
      </c>
      <c r="AA288" s="2" t="s">
        <v>1083</v>
      </c>
      <c r="AB288" s="1">
        <v>6463</v>
      </c>
      <c r="AC288" s="1">
        <v>3740</v>
      </c>
      <c r="AD288" s="1">
        <v>1548</v>
      </c>
      <c r="AE288" s="1">
        <v>454</v>
      </c>
      <c r="AF288" s="1">
        <v>101</v>
      </c>
      <c r="AG288" s="1">
        <v>19</v>
      </c>
      <c r="AH288" s="1">
        <v>6093</v>
      </c>
      <c r="AI288" s="1">
        <v>210</v>
      </c>
      <c r="AJ288" s="1">
        <v>496</v>
      </c>
      <c r="AK288" s="1">
        <v>1808</v>
      </c>
      <c r="AL288" s="1">
        <v>92</v>
      </c>
      <c r="AM288" s="1">
        <v>25</v>
      </c>
      <c r="AN288" s="2" t="s">
        <v>464</v>
      </c>
    </row>
    <row r="289" spans="1:40" ht="42" x14ac:dyDescent="0.3">
      <c r="A289" s="1">
        <v>11231</v>
      </c>
      <c r="B289" s="2" t="s">
        <v>1657</v>
      </c>
      <c r="C289" s="2" t="s">
        <v>1658</v>
      </c>
      <c r="D289" s="1">
        <v>25</v>
      </c>
      <c r="E289" s="2" t="s">
        <v>500</v>
      </c>
      <c r="F289" s="50" t="s">
        <v>3514</v>
      </c>
      <c r="G289" s="2" t="s">
        <v>1659</v>
      </c>
      <c r="H289" s="1">
        <v>11748</v>
      </c>
      <c r="I289" s="1">
        <v>11373</v>
      </c>
      <c r="J289" s="2" t="s">
        <v>1390</v>
      </c>
      <c r="K289" s="2" t="s">
        <v>361</v>
      </c>
      <c r="L289" s="2" t="s">
        <v>658</v>
      </c>
      <c r="M289" s="1">
        <v>623</v>
      </c>
      <c r="N289" s="1">
        <v>16275</v>
      </c>
      <c r="O289" s="2" t="s">
        <v>311</v>
      </c>
      <c r="P289" s="2" t="s">
        <v>166</v>
      </c>
      <c r="Q289" s="2" t="s">
        <v>905</v>
      </c>
      <c r="R289" s="2" t="s">
        <v>96</v>
      </c>
      <c r="S289" s="2" t="s">
        <v>96</v>
      </c>
      <c r="T289" s="1">
        <v>7817</v>
      </c>
      <c r="U289" s="2" t="s">
        <v>51</v>
      </c>
      <c r="V289" s="1">
        <v>2050</v>
      </c>
      <c r="W289" s="1">
        <v>1937</v>
      </c>
      <c r="X289" s="2" t="s">
        <v>590</v>
      </c>
      <c r="Y289" s="2" t="s">
        <v>561</v>
      </c>
      <c r="Z289" s="2" t="s">
        <v>399</v>
      </c>
      <c r="AA289" s="2" t="s">
        <v>542</v>
      </c>
      <c r="AB289" s="1">
        <v>8458</v>
      </c>
      <c r="AC289" s="1">
        <v>4895</v>
      </c>
      <c r="AD289" s="1">
        <v>2098</v>
      </c>
      <c r="AE289" s="1">
        <v>658</v>
      </c>
      <c r="AF289" s="1">
        <v>147</v>
      </c>
      <c r="AG289" s="1">
        <v>19</v>
      </c>
      <c r="AH289" s="1">
        <v>8043</v>
      </c>
      <c r="AI289" s="1">
        <v>552</v>
      </c>
      <c r="AJ289" s="1">
        <v>967</v>
      </c>
      <c r="AK289" s="1">
        <v>2026</v>
      </c>
      <c r="AL289" s="1">
        <v>167</v>
      </c>
      <c r="AM289" s="1">
        <v>18</v>
      </c>
      <c r="AN289" s="2" t="s">
        <v>561</v>
      </c>
    </row>
    <row r="290" spans="1:40" x14ac:dyDescent="0.3">
      <c r="A290" s="1">
        <v>8771</v>
      </c>
      <c r="B290" s="2" t="s">
        <v>1660</v>
      </c>
      <c r="C290" s="2" t="s">
        <v>1661</v>
      </c>
      <c r="D290" s="1">
        <v>28</v>
      </c>
      <c r="E290" s="2" t="s">
        <v>299</v>
      </c>
      <c r="F290" s="50" t="s">
        <v>3514</v>
      </c>
      <c r="G290" s="2" t="s">
        <v>1662</v>
      </c>
      <c r="H290" s="1">
        <v>20989</v>
      </c>
      <c r="I290" s="1">
        <v>20058</v>
      </c>
      <c r="J290" s="2" t="s">
        <v>764</v>
      </c>
      <c r="K290" s="2" t="s">
        <v>960</v>
      </c>
      <c r="L290" s="2" t="s">
        <v>471</v>
      </c>
      <c r="M290" s="1">
        <v>1153</v>
      </c>
      <c r="N290" s="1">
        <v>29801</v>
      </c>
      <c r="O290" s="2" t="s">
        <v>905</v>
      </c>
      <c r="P290" s="2" t="s">
        <v>235</v>
      </c>
      <c r="Q290" s="2" t="s">
        <v>225</v>
      </c>
      <c r="R290" s="2" t="s">
        <v>50</v>
      </c>
      <c r="S290" s="2" t="s">
        <v>50</v>
      </c>
      <c r="T290" s="1">
        <v>14006</v>
      </c>
      <c r="U290" s="2" t="s">
        <v>51</v>
      </c>
      <c r="V290" s="1">
        <v>3249</v>
      </c>
      <c r="W290" s="1">
        <v>3541</v>
      </c>
      <c r="X290" s="2" t="s">
        <v>1314</v>
      </c>
      <c r="Y290" s="2" t="s">
        <v>255</v>
      </c>
      <c r="Z290" s="2" t="s">
        <v>125</v>
      </c>
      <c r="AA290" s="2" t="s">
        <v>789</v>
      </c>
      <c r="AB290" s="1">
        <v>15795</v>
      </c>
      <c r="AC290" s="1">
        <v>8793</v>
      </c>
      <c r="AD290" s="1">
        <v>3761</v>
      </c>
      <c r="AE290" s="1">
        <v>1163</v>
      </c>
      <c r="AF290" s="1">
        <v>264</v>
      </c>
      <c r="AG290" s="1">
        <v>25</v>
      </c>
      <c r="AH290" s="1">
        <v>15518</v>
      </c>
      <c r="AI290" s="1">
        <v>204</v>
      </c>
      <c r="AJ290" s="1">
        <v>1591</v>
      </c>
      <c r="AK290" s="1">
        <v>3442</v>
      </c>
      <c r="AL290" s="1">
        <v>221</v>
      </c>
      <c r="AM290" s="1">
        <v>61</v>
      </c>
      <c r="AN290" s="2" t="s">
        <v>412</v>
      </c>
    </row>
    <row r="291" spans="1:40" ht="28.2" x14ac:dyDescent="0.3">
      <c r="A291" s="1">
        <v>16948</v>
      </c>
      <c r="B291" s="2" t="s">
        <v>1663</v>
      </c>
      <c r="C291" s="2" t="s">
        <v>1664</v>
      </c>
      <c r="D291" s="1">
        <v>24</v>
      </c>
      <c r="E291" s="2" t="s">
        <v>75</v>
      </c>
      <c r="F291" s="50" t="s">
        <v>90</v>
      </c>
      <c r="G291" s="2" t="s">
        <v>90</v>
      </c>
      <c r="H291" s="1">
        <v>9492</v>
      </c>
      <c r="I291" s="1">
        <v>9060</v>
      </c>
      <c r="J291" s="2" t="s">
        <v>381</v>
      </c>
      <c r="K291" s="2" t="s">
        <v>819</v>
      </c>
      <c r="L291" s="2" t="s">
        <v>201</v>
      </c>
      <c r="M291" s="1">
        <v>508</v>
      </c>
      <c r="N291" s="1">
        <v>13542</v>
      </c>
      <c r="O291" s="2" t="s">
        <v>905</v>
      </c>
      <c r="P291" s="2" t="s">
        <v>235</v>
      </c>
      <c r="Q291" s="2" t="s">
        <v>225</v>
      </c>
      <c r="R291" s="2" t="s">
        <v>50</v>
      </c>
      <c r="S291" s="2" t="s">
        <v>66</v>
      </c>
      <c r="T291" s="1">
        <v>6354</v>
      </c>
      <c r="U291" s="2" t="s">
        <v>51</v>
      </c>
      <c r="V291" s="1">
        <v>1621</v>
      </c>
      <c r="W291" s="1">
        <v>1733</v>
      </c>
      <c r="X291" s="2" t="s">
        <v>1570</v>
      </c>
      <c r="Y291" s="2" t="s">
        <v>304</v>
      </c>
      <c r="Z291" s="2" t="s">
        <v>821</v>
      </c>
      <c r="AA291" s="2" t="s">
        <v>376</v>
      </c>
      <c r="AB291" s="1">
        <v>7188</v>
      </c>
      <c r="AC291" s="1">
        <v>4022</v>
      </c>
      <c r="AD291" s="1">
        <v>1681</v>
      </c>
      <c r="AE291" s="1">
        <v>512</v>
      </c>
      <c r="AF291" s="1">
        <v>123</v>
      </c>
      <c r="AG291" s="1">
        <v>16</v>
      </c>
      <c r="AH291" s="1">
        <v>7288</v>
      </c>
      <c r="AI291" s="1">
        <v>42</v>
      </c>
      <c r="AJ291" s="1">
        <v>417</v>
      </c>
      <c r="AK291" s="1">
        <v>1645</v>
      </c>
      <c r="AL291" s="1">
        <v>89</v>
      </c>
      <c r="AM291" s="1">
        <v>45</v>
      </c>
      <c r="AN291" s="2" t="s">
        <v>362</v>
      </c>
    </row>
    <row r="292" spans="1:40" ht="28.2" x14ac:dyDescent="0.3">
      <c r="A292" s="1">
        <v>13497</v>
      </c>
      <c r="B292" s="2" t="s">
        <v>1486</v>
      </c>
      <c r="C292" s="2" t="s">
        <v>1665</v>
      </c>
      <c r="D292" s="1">
        <v>24</v>
      </c>
      <c r="E292" s="2" t="s">
        <v>42</v>
      </c>
      <c r="F292" s="50" t="s">
        <v>1348</v>
      </c>
      <c r="G292" s="2" t="s">
        <v>1666</v>
      </c>
      <c r="H292" s="1">
        <v>22491</v>
      </c>
      <c r="I292" s="1">
        <v>21014</v>
      </c>
      <c r="J292" s="2" t="s">
        <v>1667</v>
      </c>
      <c r="K292" s="2" t="s">
        <v>948</v>
      </c>
      <c r="L292" s="2" t="s">
        <v>1004</v>
      </c>
      <c r="M292" s="1">
        <v>1224</v>
      </c>
      <c r="N292" s="1">
        <v>32709</v>
      </c>
      <c r="O292" s="2" t="s">
        <v>463</v>
      </c>
      <c r="P292" s="2" t="s">
        <v>235</v>
      </c>
      <c r="Q292" s="2" t="s">
        <v>65</v>
      </c>
      <c r="R292" s="2" t="s">
        <v>50</v>
      </c>
      <c r="S292" s="2" t="s">
        <v>50</v>
      </c>
      <c r="T292" s="1">
        <v>15284</v>
      </c>
      <c r="U292" s="2" t="s">
        <v>51</v>
      </c>
      <c r="V292" s="1">
        <v>3167</v>
      </c>
      <c r="W292" s="1">
        <v>2858</v>
      </c>
      <c r="X292" s="2" t="s">
        <v>362</v>
      </c>
      <c r="Y292" s="2" t="s">
        <v>255</v>
      </c>
      <c r="Z292" s="2" t="s">
        <v>391</v>
      </c>
      <c r="AA292" s="2" t="s">
        <v>640</v>
      </c>
      <c r="AB292" s="1">
        <v>17425</v>
      </c>
      <c r="AC292" s="1">
        <v>9841</v>
      </c>
      <c r="AD292" s="1">
        <v>3970</v>
      </c>
      <c r="AE292" s="1">
        <v>1205</v>
      </c>
      <c r="AF292" s="1">
        <v>245</v>
      </c>
      <c r="AG292" s="1">
        <v>23</v>
      </c>
      <c r="AH292" s="1">
        <v>14530</v>
      </c>
      <c r="AI292" s="1">
        <v>2790</v>
      </c>
      <c r="AJ292" s="1">
        <v>1111</v>
      </c>
      <c r="AK292" s="1">
        <v>3670</v>
      </c>
      <c r="AL292" s="1">
        <v>411</v>
      </c>
      <c r="AM292" s="1">
        <v>38</v>
      </c>
      <c r="AN292" s="2" t="s">
        <v>295</v>
      </c>
    </row>
    <row r="293" spans="1:40" ht="28.2" x14ac:dyDescent="0.3">
      <c r="A293" s="1">
        <v>9521</v>
      </c>
      <c r="B293" s="2" t="s">
        <v>1668</v>
      </c>
      <c r="C293" s="2" t="s">
        <v>1669</v>
      </c>
      <c r="D293" s="1">
        <v>23</v>
      </c>
      <c r="E293" s="2" t="s">
        <v>403</v>
      </c>
      <c r="F293" s="50" t="s">
        <v>271</v>
      </c>
      <c r="G293" s="2" t="s">
        <v>1670</v>
      </c>
      <c r="H293" s="1">
        <v>15000</v>
      </c>
      <c r="I293" s="1">
        <v>14372</v>
      </c>
      <c r="J293" s="2" t="s">
        <v>1671</v>
      </c>
      <c r="K293" s="2">
        <v>80</v>
      </c>
      <c r="L293" s="2" t="s">
        <v>46</v>
      </c>
      <c r="M293" s="1">
        <v>801</v>
      </c>
      <c r="N293" s="1">
        <v>21013</v>
      </c>
      <c r="O293" s="2" t="s">
        <v>646</v>
      </c>
      <c r="P293" s="2" t="s">
        <v>166</v>
      </c>
      <c r="Q293" s="2" t="s">
        <v>167</v>
      </c>
      <c r="R293" s="2" t="s">
        <v>50</v>
      </c>
      <c r="S293" s="2" t="s">
        <v>50</v>
      </c>
      <c r="T293" s="1">
        <v>10039</v>
      </c>
      <c r="U293" s="2" t="s">
        <v>51</v>
      </c>
      <c r="V293" s="1">
        <v>2381</v>
      </c>
      <c r="W293" s="1">
        <v>2396</v>
      </c>
      <c r="X293" s="2" t="s">
        <v>285</v>
      </c>
      <c r="Y293" s="2" t="s">
        <v>407</v>
      </c>
      <c r="Z293" s="2" t="s">
        <v>508</v>
      </c>
      <c r="AA293" s="2" t="s">
        <v>969</v>
      </c>
      <c r="AB293" s="1">
        <v>10974</v>
      </c>
      <c r="AC293" s="1">
        <v>6297</v>
      </c>
      <c r="AD293" s="1">
        <v>2722</v>
      </c>
      <c r="AE293" s="1">
        <v>838</v>
      </c>
      <c r="AF293" s="1">
        <v>165</v>
      </c>
      <c r="AG293" s="1">
        <v>17</v>
      </c>
      <c r="AH293" s="1">
        <v>11252</v>
      </c>
      <c r="AI293" s="1">
        <v>340</v>
      </c>
      <c r="AJ293" s="1">
        <v>684</v>
      </c>
      <c r="AK293" s="1">
        <v>2567</v>
      </c>
      <c r="AL293" s="1">
        <v>148</v>
      </c>
      <c r="AM293" s="1">
        <v>51</v>
      </c>
      <c r="AN293" s="2" t="s">
        <v>412</v>
      </c>
    </row>
    <row r="294" spans="1:40" ht="28.2" x14ac:dyDescent="0.3">
      <c r="A294" s="1">
        <v>8371</v>
      </c>
      <c r="B294" s="2" t="s">
        <v>1672</v>
      </c>
      <c r="C294" s="2" t="s">
        <v>1673</v>
      </c>
      <c r="D294" s="1">
        <v>26</v>
      </c>
      <c r="E294" s="2" t="s">
        <v>683</v>
      </c>
      <c r="F294" s="50" t="s">
        <v>1674</v>
      </c>
      <c r="G294" s="2" t="s">
        <v>1674</v>
      </c>
      <c r="H294" s="1">
        <v>24213</v>
      </c>
      <c r="I294" s="1">
        <v>22720</v>
      </c>
      <c r="J294" s="2" t="s">
        <v>1675</v>
      </c>
      <c r="K294" s="2" t="s">
        <v>531</v>
      </c>
      <c r="L294" s="2" t="s">
        <v>1170</v>
      </c>
      <c r="M294" s="1">
        <v>1315</v>
      </c>
      <c r="N294" s="1">
        <v>34818</v>
      </c>
      <c r="O294" s="2" t="s">
        <v>905</v>
      </c>
      <c r="P294" s="2" t="s">
        <v>235</v>
      </c>
      <c r="Q294" s="2" t="s">
        <v>276</v>
      </c>
      <c r="R294" s="2" t="s">
        <v>96</v>
      </c>
      <c r="S294" s="2" t="s">
        <v>67</v>
      </c>
      <c r="T294" s="1">
        <v>16410</v>
      </c>
      <c r="U294" s="2" t="s">
        <v>51</v>
      </c>
      <c r="V294" s="1">
        <v>3505</v>
      </c>
      <c r="W294" s="1">
        <v>3427</v>
      </c>
      <c r="X294" s="2" t="s">
        <v>449</v>
      </c>
      <c r="Y294" s="2" t="s">
        <v>255</v>
      </c>
      <c r="Z294" s="2" t="s">
        <v>821</v>
      </c>
      <c r="AA294" s="2" t="s">
        <v>408</v>
      </c>
      <c r="AB294" s="1">
        <v>18408</v>
      </c>
      <c r="AC294" s="1">
        <v>10479</v>
      </c>
      <c r="AD294" s="1">
        <v>4352</v>
      </c>
      <c r="AE294" s="1">
        <v>1315</v>
      </c>
      <c r="AF294" s="1">
        <v>239</v>
      </c>
      <c r="AG294" s="1">
        <v>25</v>
      </c>
      <c r="AH294" s="1">
        <v>17048</v>
      </c>
      <c r="AI294" s="1">
        <v>1257</v>
      </c>
      <c r="AJ294" s="1">
        <v>1328</v>
      </c>
      <c r="AK294" s="1">
        <v>4226</v>
      </c>
      <c r="AL294" s="1">
        <v>362</v>
      </c>
      <c r="AM294" s="1">
        <v>53</v>
      </c>
      <c r="AN294" s="2" t="s">
        <v>412</v>
      </c>
    </row>
    <row r="295" spans="1:40" ht="28.2" x14ac:dyDescent="0.3">
      <c r="A295" s="1">
        <v>2555</v>
      </c>
      <c r="B295" s="2" t="s">
        <v>1676</v>
      </c>
      <c r="C295" s="2" t="s">
        <v>1677</v>
      </c>
      <c r="D295" s="1">
        <v>33</v>
      </c>
      <c r="E295" s="2" t="s">
        <v>299</v>
      </c>
      <c r="F295" s="50" t="s">
        <v>3514</v>
      </c>
      <c r="G295" s="2" t="s">
        <v>1678</v>
      </c>
      <c r="H295" s="1">
        <v>9755</v>
      </c>
      <c r="I295" s="1">
        <v>9105</v>
      </c>
      <c r="J295" s="2" t="s">
        <v>1679</v>
      </c>
      <c r="K295" s="2" t="s">
        <v>1680</v>
      </c>
      <c r="L295" s="2" t="s">
        <v>575</v>
      </c>
      <c r="M295" s="1">
        <v>547</v>
      </c>
      <c r="N295" s="1">
        <v>14003</v>
      </c>
      <c r="O295" s="2" t="s">
        <v>905</v>
      </c>
      <c r="P295" s="2" t="s">
        <v>202</v>
      </c>
      <c r="Q295" s="2" t="s">
        <v>276</v>
      </c>
      <c r="R295" s="2" t="s">
        <v>96</v>
      </c>
      <c r="S295" s="2" t="s">
        <v>96</v>
      </c>
      <c r="T295" s="1">
        <v>6656</v>
      </c>
      <c r="U295" s="2" t="s">
        <v>51</v>
      </c>
      <c r="V295" s="1">
        <v>1771</v>
      </c>
      <c r="W295" s="1">
        <v>1377</v>
      </c>
      <c r="X295" s="2" t="s">
        <v>168</v>
      </c>
      <c r="Y295" s="2" t="s">
        <v>111</v>
      </c>
      <c r="Z295" s="2" t="s">
        <v>1681</v>
      </c>
      <c r="AA295" s="2" t="s">
        <v>863</v>
      </c>
      <c r="AB295" s="1">
        <v>7347</v>
      </c>
      <c r="AC295" s="1">
        <v>4288</v>
      </c>
      <c r="AD295" s="1">
        <v>1756</v>
      </c>
      <c r="AE295" s="1">
        <v>512</v>
      </c>
      <c r="AF295" s="1">
        <v>87</v>
      </c>
      <c r="AG295" s="1">
        <v>13</v>
      </c>
      <c r="AH295" s="1">
        <v>3399</v>
      </c>
      <c r="AI295" s="1">
        <v>3743</v>
      </c>
      <c r="AJ295" s="1">
        <v>554</v>
      </c>
      <c r="AK295" s="1">
        <v>1808</v>
      </c>
      <c r="AL295" s="1">
        <v>213</v>
      </c>
      <c r="AM295" s="1">
        <v>60</v>
      </c>
      <c r="AN295" s="2" t="s">
        <v>412</v>
      </c>
    </row>
    <row r="296" spans="1:40" ht="28.2" x14ac:dyDescent="0.3">
      <c r="A296" s="1">
        <v>19673</v>
      </c>
      <c r="B296" s="2" t="s">
        <v>1682</v>
      </c>
      <c r="C296" s="2" t="s">
        <v>1683</v>
      </c>
      <c r="D296" s="1">
        <v>18</v>
      </c>
      <c r="E296" s="2" t="s">
        <v>75</v>
      </c>
      <c r="F296" s="50" t="s">
        <v>1242</v>
      </c>
      <c r="G296" s="2" t="s">
        <v>1684</v>
      </c>
      <c r="H296" s="1">
        <v>9880</v>
      </c>
      <c r="I296" s="1">
        <v>9564</v>
      </c>
      <c r="J296" s="2" t="s">
        <v>1685</v>
      </c>
      <c r="K296" s="2" t="s">
        <v>263</v>
      </c>
      <c r="L296" s="2" t="s">
        <v>331</v>
      </c>
      <c r="M296" s="1">
        <v>516</v>
      </c>
      <c r="N296" s="1">
        <v>13868</v>
      </c>
      <c r="O296" s="2" t="s">
        <v>646</v>
      </c>
      <c r="P296" s="2" t="s">
        <v>202</v>
      </c>
      <c r="Q296" s="2" t="s">
        <v>463</v>
      </c>
      <c r="R296" s="2" t="s">
        <v>67</v>
      </c>
      <c r="S296" s="2" t="s">
        <v>50</v>
      </c>
      <c r="T296" s="1">
        <v>6551</v>
      </c>
      <c r="U296" s="2" t="s">
        <v>51</v>
      </c>
      <c r="V296" s="1">
        <v>1590</v>
      </c>
      <c r="W296" s="1">
        <v>1629</v>
      </c>
      <c r="X296" s="2" t="s">
        <v>245</v>
      </c>
      <c r="Y296" s="2" t="s">
        <v>407</v>
      </c>
      <c r="Z296" s="2" t="s">
        <v>728</v>
      </c>
      <c r="AA296" s="2" t="s">
        <v>697</v>
      </c>
      <c r="AB296" s="1">
        <v>7317</v>
      </c>
      <c r="AC296" s="1">
        <v>4068</v>
      </c>
      <c r="AD296" s="1">
        <v>1789</v>
      </c>
      <c r="AE296" s="1">
        <v>555</v>
      </c>
      <c r="AF296" s="1">
        <v>126</v>
      </c>
      <c r="AG296" s="1">
        <v>13</v>
      </c>
      <c r="AH296" s="1">
        <v>7360</v>
      </c>
      <c r="AI296" s="1">
        <v>436</v>
      </c>
      <c r="AJ296" s="1">
        <v>492</v>
      </c>
      <c r="AK296" s="1">
        <v>1500</v>
      </c>
      <c r="AL296" s="1">
        <v>87</v>
      </c>
      <c r="AM296" s="1">
        <v>39</v>
      </c>
      <c r="AN296" s="2" t="s">
        <v>295</v>
      </c>
    </row>
    <row r="297" spans="1:40" ht="42" x14ac:dyDescent="0.3">
      <c r="A297" s="1">
        <v>9279</v>
      </c>
      <c r="B297" s="2" t="s">
        <v>1686</v>
      </c>
      <c r="C297" s="2" t="s">
        <v>1687</v>
      </c>
      <c r="D297" s="1">
        <v>29</v>
      </c>
      <c r="E297" s="2" t="s">
        <v>545</v>
      </c>
      <c r="F297" s="50" t="s">
        <v>3514</v>
      </c>
      <c r="G297" s="2" t="s">
        <v>1688</v>
      </c>
      <c r="H297" s="1">
        <v>21475</v>
      </c>
      <c r="I297" s="1">
        <v>19530</v>
      </c>
      <c r="J297" s="2" t="s">
        <v>1689</v>
      </c>
      <c r="K297" s="2" t="s">
        <v>1529</v>
      </c>
      <c r="L297" s="2" t="s">
        <v>201</v>
      </c>
      <c r="M297" s="1">
        <v>1203</v>
      </c>
      <c r="N297" s="1">
        <v>32043</v>
      </c>
      <c r="O297" s="2" t="s">
        <v>225</v>
      </c>
      <c r="P297" s="2" t="s">
        <v>48</v>
      </c>
      <c r="Q297" s="2" t="s">
        <v>49</v>
      </c>
      <c r="R297" s="2" t="s">
        <v>96</v>
      </c>
      <c r="S297" s="2" t="s">
        <v>96</v>
      </c>
      <c r="T297" s="1">
        <v>14869</v>
      </c>
      <c r="U297" s="2" t="s">
        <v>51</v>
      </c>
      <c r="V297" s="1">
        <v>3384</v>
      </c>
      <c r="W297" s="1">
        <v>2520</v>
      </c>
      <c r="X297" s="2" t="s">
        <v>1106</v>
      </c>
      <c r="Y297" s="2" t="s">
        <v>590</v>
      </c>
      <c r="Z297" s="2" t="s">
        <v>324</v>
      </c>
      <c r="AA297" s="2" t="s">
        <v>659</v>
      </c>
      <c r="AB297" s="1">
        <v>17174</v>
      </c>
      <c r="AC297" s="1">
        <v>9754</v>
      </c>
      <c r="AD297" s="1">
        <v>3860</v>
      </c>
      <c r="AE297" s="1">
        <v>1042</v>
      </c>
      <c r="AF297" s="1">
        <v>190</v>
      </c>
      <c r="AG297" s="1">
        <v>23</v>
      </c>
      <c r="AH297" s="1">
        <v>6922</v>
      </c>
      <c r="AI297" s="1">
        <v>9827</v>
      </c>
      <c r="AJ297" s="1">
        <v>608</v>
      </c>
      <c r="AK297" s="1">
        <v>3788</v>
      </c>
      <c r="AL297" s="1">
        <v>308</v>
      </c>
      <c r="AM297" s="1">
        <v>107</v>
      </c>
      <c r="AN297" s="2" t="s">
        <v>412</v>
      </c>
    </row>
    <row r="298" spans="1:40" ht="28.2" x14ac:dyDescent="0.3">
      <c r="A298" s="1">
        <v>3847</v>
      </c>
      <c r="B298" s="2" t="s">
        <v>1690</v>
      </c>
      <c r="C298" s="2" t="s">
        <v>1691</v>
      </c>
      <c r="D298" s="1">
        <v>29</v>
      </c>
      <c r="E298" s="2" t="s">
        <v>545</v>
      </c>
      <c r="F298" s="50" t="s">
        <v>3514</v>
      </c>
      <c r="G298" s="2" t="s">
        <v>1692</v>
      </c>
      <c r="H298" s="1">
        <v>19778</v>
      </c>
      <c r="I298" s="1">
        <v>18708</v>
      </c>
      <c r="J298" s="2" t="s">
        <v>1586</v>
      </c>
      <c r="K298" s="2" t="s">
        <v>948</v>
      </c>
      <c r="L298" s="2" t="s">
        <v>201</v>
      </c>
      <c r="M298" s="1">
        <v>1050</v>
      </c>
      <c r="N298" s="1">
        <v>27577</v>
      </c>
      <c r="O298" s="2" t="s">
        <v>311</v>
      </c>
      <c r="P298" s="2" t="s">
        <v>166</v>
      </c>
      <c r="Q298" s="2" t="s">
        <v>167</v>
      </c>
      <c r="R298" s="2" t="s">
        <v>50</v>
      </c>
      <c r="S298" s="2" t="s">
        <v>50</v>
      </c>
      <c r="T298" s="1">
        <v>13463</v>
      </c>
      <c r="U298" s="2" t="s">
        <v>51</v>
      </c>
      <c r="V298" s="1">
        <v>2724</v>
      </c>
      <c r="W298" s="1">
        <v>2477</v>
      </c>
      <c r="X298" s="2" t="s">
        <v>561</v>
      </c>
      <c r="Y298" s="2" t="s">
        <v>255</v>
      </c>
      <c r="Z298" s="2" t="s">
        <v>795</v>
      </c>
      <c r="AA298" s="2" t="s">
        <v>408</v>
      </c>
      <c r="AB298" s="1">
        <v>14114</v>
      </c>
      <c r="AC298" s="1">
        <v>8651</v>
      </c>
      <c r="AD298" s="1">
        <v>3568</v>
      </c>
      <c r="AE298" s="1">
        <v>1042</v>
      </c>
      <c r="AF298" s="1">
        <v>179</v>
      </c>
      <c r="AG298" s="1">
        <v>23</v>
      </c>
      <c r="AH298" s="1">
        <v>13453</v>
      </c>
      <c r="AI298" s="1">
        <v>1722</v>
      </c>
      <c r="AJ298" s="1">
        <v>787</v>
      </c>
      <c r="AK298" s="1">
        <v>3336</v>
      </c>
      <c r="AL298" s="1">
        <v>384</v>
      </c>
      <c r="AM298" s="1">
        <v>128</v>
      </c>
      <c r="AN298" s="2" t="s">
        <v>412</v>
      </c>
    </row>
    <row r="299" spans="1:40" x14ac:dyDescent="0.3">
      <c r="A299" s="1">
        <v>9358</v>
      </c>
      <c r="B299" s="2" t="s">
        <v>1693</v>
      </c>
      <c r="C299" s="2" t="s">
        <v>1694</v>
      </c>
      <c r="D299" s="1">
        <v>25</v>
      </c>
      <c r="E299" s="3" t="s">
        <v>337</v>
      </c>
      <c r="F299" s="50" t="s">
        <v>3514</v>
      </c>
      <c r="G299" s="2" t="s">
        <v>1695</v>
      </c>
      <c r="H299" s="1">
        <v>9988</v>
      </c>
      <c r="I299" s="1">
        <v>9406</v>
      </c>
      <c r="J299" s="2" t="s">
        <v>1696</v>
      </c>
      <c r="K299" s="2" t="s">
        <v>486</v>
      </c>
      <c r="L299" s="2" t="s">
        <v>179</v>
      </c>
      <c r="M299" s="1">
        <v>549</v>
      </c>
      <c r="N299" s="1">
        <v>14256</v>
      </c>
      <c r="O299" s="2" t="s">
        <v>905</v>
      </c>
      <c r="P299" s="2" t="s">
        <v>50</v>
      </c>
      <c r="Q299" s="2" t="s">
        <v>322</v>
      </c>
      <c r="R299" s="2" t="s">
        <v>96</v>
      </c>
      <c r="S299" s="2" t="s">
        <v>50</v>
      </c>
      <c r="T299" s="1">
        <v>6792</v>
      </c>
      <c r="U299" s="2" t="s">
        <v>51</v>
      </c>
      <c r="V299" s="1">
        <v>1491</v>
      </c>
      <c r="W299" s="1">
        <v>1324</v>
      </c>
      <c r="X299" s="2" t="s">
        <v>98</v>
      </c>
      <c r="Y299" s="2" t="s">
        <v>412</v>
      </c>
      <c r="Z299" s="2" t="s">
        <v>955</v>
      </c>
      <c r="AA299" s="2" t="s">
        <v>676</v>
      </c>
      <c r="AB299" s="1">
        <v>7464</v>
      </c>
      <c r="AC299" s="1">
        <v>4355</v>
      </c>
      <c r="AD299" s="1">
        <v>1798</v>
      </c>
      <c r="AE299" s="1">
        <v>532</v>
      </c>
      <c r="AF299" s="1">
        <v>94</v>
      </c>
      <c r="AG299" s="1">
        <v>13</v>
      </c>
      <c r="AH299" s="1">
        <v>3446</v>
      </c>
      <c r="AI299" s="1">
        <v>4069</v>
      </c>
      <c r="AJ299" s="1">
        <v>351</v>
      </c>
      <c r="AK299" s="1">
        <v>2026</v>
      </c>
      <c r="AL299" s="1">
        <v>85</v>
      </c>
      <c r="AM299" s="1">
        <v>26</v>
      </c>
      <c r="AN299" s="2" t="s">
        <v>412</v>
      </c>
    </row>
    <row r="300" spans="1:40" x14ac:dyDescent="0.3">
      <c r="A300" s="1">
        <v>9349</v>
      </c>
      <c r="B300" s="2" t="s">
        <v>1697</v>
      </c>
      <c r="C300" s="2" t="s">
        <v>1698</v>
      </c>
      <c r="D300" s="1">
        <v>26</v>
      </c>
      <c r="E300" s="2" t="s">
        <v>59</v>
      </c>
      <c r="F300" s="50" t="s">
        <v>1699</v>
      </c>
      <c r="G300" s="2" t="s">
        <v>1700</v>
      </c>
      <c r="H300" s="1">
        <v>12635</v>
      </c>
      <c r="I300" s="1">
        <v>12043</v>
      </c>
      <c r="J300" s="2" t="s">
        <v>1627</v>
      </c>
      <c r="K300" s="2" t="s">
        <v>582</v>
      </c>
      <c r="L300" s="2" t="s">
        <v>471</v>
      </c>
      <c r="M300" s="1">
        <v>694</v>
      </c>
      <c r="N300" s="1">
        <v>18045</v>
      </c>
      <c r="O300" s="2" t="s">
        <v>905</v>
      </c>
      <c r="P300" s="2" t="s">
        <v>67</v>
      </c>
      <c r="Q300" s="2" t="s">
        <v>225</v>
      </c>
      <c r="R300" s="2" t="s">
        <v>50</v>
      </c>
      <c r="S300" s="2" t="s">
        <v>50</v>
      </c>
      <c r="T300" s="1">
        <v>8487</v>
      </c>
      <c r="U300" s="2" t="s">
        <v>51</v>
      </c>
      <c r="V300" s="1">
        <v>2101</v>
      </c>
      <c r="W300" s="1">
        <v>1832</v>
      </c>
      <c r="X300" s="2" t="s">
        <v>84</v>
      </c>
      <c r="Y300" s="2" t="s">
        <v>277</v>
      </c>
      <c r="Z300" s="2" t="s">
        <v>567</v>
      </c>
      <c r="AA300" s="2" t="s">
        <v>305</v>
      </c>
      <c r="AB300" s="1">
        <v>9558</v>
      </c>
      <c r="AC300" s="1">
        <v>5377</v>
      </c>
      <c r="AD300" s="1">
        <v>2243</v>
      </c>
      <c r="AE300" s="1">
        <v>716</v>
      </c>
      <c r="AF300" s="1">
        <v>131</v>
      </c>
      <c r="AG300" s="1">
        <v>20</v>
      </c>
      <c r="AH300" s="1">
        <v>4625</v>
      </c>
      <c r="AI300" s="1">
        <v>4915</v>
      </c>
      <c r="AJ300" s="1">
        <v>654</v>
      </c>
      <c r="AK300" s="1">
        <v>2264</v>
      </c>
      <c r="AL300" s="1">
        <v>125</v>
      </c>
      <c r="AM300" s="1">
        <v>77</v>
      </c>
      <c r="AN300" s="2" t="s">
        <v>412</v>
      </c>
    </row>
    <row r="301" spans="1:40" ht="28.2" x14ac:dyDescent="0.3">
      <c r="A301" s="1">
        <v>11777</v>
      </c>
      <c r="B301" s="2" t="s">
        <v>1701</v>
      </c>
      <c r="C301" s="2" t="s">
        <v>1702</v>
      </c>
      <c r="D301" s="1">
        <v>23</v>
      </c>
      <c r="E301" s="2" t="s">
        <v>1703</v>
      </c>
      <c r="F301" s="50" t="s">
        <v>701</v>
      </c>
      <c r="G301" s="2" t="s">
        <v>1704</v>
      </c>
      <c r="H301" s="1">
        <v>13472</v>
      </c>
      <c r="I301" s="1">
        <v>13101</v>
      </c>
      <c r="J301" s="2" t="s">
        <v>959</v>
      </c>
      <c r="K301" s="2" t="s">
        <v>686</v>
      </c>
      <c r="L301" s="2" t="s">
        <v>1352</v>
      </c>
      <c r="M301" s="1">
        <v>699</v>
      </c>
      <c r="N301" s="1">
        <v>18623</v>
      </c>
      <c r="O301" s="2" t="s">
        <v>311</v>
      </c>
      <c r="P301" s="2" t="s">
        <v>235</v>
      </c>
      <c r="Q301" s="2" t="s">
        <v>905</v>
      </c>
      <c r="R301" s="2" t="s">
        <v>96</v>
      </c>
      <c r="S301" s="2" t="s">
        <v>50</v>
      </c>
      <c r="T301" s="1">
        <v>8981</v>
      </c>
      <c r="U301" s="2" t="s">
        <v>51</v>
      </c>
      <c r="V301" s="1">
        <v>2333</v>
      </c>
      <c r="W301" s="1">
        <v>2356</v>
      </c>
      <c r="X301" s="2" t="s">
        <v>285</v>
      </c>
      <c r="Y301" s="2" t="s">
        <v>277</v>
      </c>
      <c r="Z301" s="2" t="s">
        <v>1358</v>
      </c>
      <c r="AA301" s="2" t="s">
        <v>354</v>
      </c>
      <c r="AB301" s="1">
        <v>9642</v>
      </c>
      <c r="AC301" s="1">
        <v>5656</v>
      </c>
      <c r="AD301" s="1">
        <v>2359</v>
      </c>
      <c r="AE301" s="1">
        <v>777</v>
      </c>
      <c r="AF301" s="1">
        <v>178</v>
      </c>
      <c r="AG301" s="1">
        <v>11</v>
      </c>
      <c r="AH301" s="1">
        <v>9432</v>
      </c>
      <c r="AI301" s="1">
        <v>849</v>
      </c>
      <c r="AJ301" s="1">
        <v>750</v>
      </c>
      <c r="AK301" s="1">
        <v>2233</v>
      </c>
      <c r="AL301" s="1">
        <v>184</v>
      </c>
      <c r="AM301" s="1">
        <v>71</v>
      </c>
      <c r="AN301" s="2" t="s">
        <v>277</v>
      </c>
    </row>
    <row r="302" spans="1:40" x14ac:dyDescent="0.3">
      <c r="A302" s="1">
        <v>5187</v>
      </c>
      <c r="B302" s="2" t="s">
        <v>1705</v>
      </c>
      <c r="C302" s="2" t="s">
        <v>1706</v>
      </c>
      <c r="D302" s="1">
        <v>33</v>
      </c>
      <c r="E302" s="2" t="s">
        <v>209</v>
      </c>
      <c r="F302" s="50" t="s">
        <v>1707</v>
      </c>
      <c r="G302" s="2" t="s">
        <v>1153</v>
      </c>
      <c r="H302" s="1">
        <v>14956</v>
      </c>
      <c r="I302" s="1">
        <v>14339</v>
      </c>
      <c r="J302" s="2" t="s">
        <v>1708</v>
      </c>
      <c r="K302" s="2" t="s">
        <v>582</v>
      </c>
      <c r="L302" s="2" t="s">
        <v>143</v>
      </c>
      <c r="M302" s="1">
        <v>814</v>
      </c>
      <c r="N302" s="1">
        <v>20980</v>
      </c>
      <c r="O302" s="2" t="s">
        <v>646</v>
      </c>
      <c r="P302" s="2" t="s">
        <v>48</v>
      </c>
      <c r="Q302" s="2" t="s">
        <v>167</v>
      </c>
      <c r="R302" s="2" t="s">
        <v>50</v>
      </c>
      <c r="S302" s="2" t="s">
        <v>50</v>
      </c>
      <c r="T302" s="1">
        <v>10057</v>
      </c>
      <c r="U302" s="2" t="s">
        <v>51</v>
      </c>
      <c r="V302" s="1">
        <v>2528</v>
      </c>
      <c r="W302" s="1">
        <v>2453</v>
      </c>
      <c r="X302" s="2" t="s">
        <v>412</v>
      </c>
      <c r="Y302" s="2" t="s">
        <v>464</v>
      </c>
      <c r="Z302" s="2" t="s">
        <v>955</v>
      </c>
      <c r="AA302" s="2" t="s">
        <v>376</v>
      </c>
      <c r="AB302" s="1">
        <v>10923</v>
      </c>
      <c r="AC302" s="1">
        <v>6370</v>
      </c>
      <c r="AD302" s="1">
        <v>2682</v>
      </c>
      <c r="AE302" s="1">
        <v>813</v>
      </c>
      <c r="AF302" s="1">
        <v>178</v>
      </c>
      <c r="AG302" s="1">
        <v>14</v>
      </c>
      <c r="AH302" s="1">
        <v>7174</v>
      </c>
      <c r="AI302" s="1">
        <v>4145</v>
      </c>
      <c r="AJ302" s="1">
        <v>850</v>
      </c>
      <c r="AK302" s="1">
        <v>2636</v>
      </c>
      <c r="AL302" s="1">
        <v>130</v>
      </c>
      <c r="AM302" s="1">
        <v>47</v>
      </c>
      <c r="AN302" s="2" t="s">
        <v>412</v>
      </c>
    </row>
    <row r="303" spans="1:40" x14ac:dyDescent="0.3">
      <c r="A303" s="1">
        <v>13018</v>
      </c>
      <c r="B303" s="2" t="s">
        <v>1709</v>
      </c>
      <c r="C303" s="2" t="s">
        <v>1710</v>
      </c>
      <c r="D303" s="1">
        <v>24</v>
      </c>
      <c r="E303" s="3" t="s">
        <v>141</v>
      </c>
      <c r="F303" s="50" t="s">
        <v>3514</v>
      </c>
      <c r="G303" s="2" t="s">
        <v>1093</v>
      </c>
      <c r="H303" s="1">
        <v>17959</v>
      </c>
      <c r="I303" s="1">
        <v>17065</v>
      </c>
      <c r="J303" s="2" t="s">
        <v>1711</v>
      </c>
      <c r="K303" s="2" t="s">
        <v>837</v>
      </c>
      <c r="L303" s="2" t="s">
        <v>282</v>
      </c>
      <c r="M303" s="1">
        <v>948</v>
      </c>
      <c r="N303" s="1">
        <v>25198</v>
      </c>
      <c r="O303" s="2" t="s">
        <v>646</v>
      </c>
      <c r="P303" s="2" t="s">
        <v>434</v>
      </c>
      <c r="Q303" s="2" t="s">
        <v>167</v>
      </c>
      <c r="R303" s="2" t="s">
        <v>67</v>
      </c>
      <c r="S303" s="2" t="s">
        <v>67</v>
      </c>
      <c r="T303" s="1">
        <v>12199</v>
      </c>
      <c r="U303" s="2" t="s">
        <v>51</v>
      </c>
      <c r="V303" s="1">
        <v>2521</v>
      </c>
      <c r="W303" s="1">
        <v>2220</v>
      </c>
      <c r="X303" s="2" t="s">
        <v>111</v>
      </c>
      <c r="Y303" s="2" t="s">
        <v>449</v>
      </c>
      <c r="Z303" s="2" t="s">
        <v>256</v>
      </c>
      <c r="AA303" s="2" t="s">
        <v>844</v>
      </c>
      <c r="AB303" s="1">
        <v>12999</v>
      </c>
      <c r="AC303" s="1">
        <v>7811</v>
      </c>
      <c r="AD303" s="1">
        <v>3238</v>
      </c>
      <c r="AE303" s="1">
        <v>947</v>
      </c>
      <c r="AF303" s="1">
        <v>184</v>
      </c>
      <c r="AG303" s="1">
        <v>19</v>
      </c>
      <c r="AH303" s="1">
        <v>12825</v>
      </c>
      <c r="AI303" s="1">
        <v>494</v>
      </c>
      <c r="AJ303" s="1">
        <v>1339</v>
      </c>
      <c r="AK303" s="1">
        <v>3047</v>
      </c>
      <c r="AL303" s="1">
        <v>232</v>
      </c>
      <c r="AM303" s="1">
        <v>76</v>
      </c>
      <c r="AN303" s="2" t="s">
        <v>370</v>
      </c>
    </row>
    <row r="304" spans="1:40" ht="28.2" x14ac:dyDescent="0.3">
      <c r="A304" s="1">
        <v>11337</v>
      </c>
      <c r="B304" s="2" t="s">
        <v>1712</v>
      </c>
      <c r="C304" s="2" t="s">
        <v>1713</v>
      </c>
      <c r="D304" s="1">
        <v>22</v>
      </c>
      <c r="E304" s="2" t="s">
        <v>104</v>
      </c>
      <c r="F304" s="50" t="s">
        <v>1714</v>
      </c>
      <c r="G304" s="2" t="s">
        <v>1715</v>
      </c>
      <c r="H304" s="1">
        <v>12100</v>
      </c>
      <c r="I304" s="1">
        <v>11539</v>
      </c>
      <c r="J304" s="2" t="s">
        <v>1716</v>
      </c>
      <c r="K304" s="2" t="s">
        <v>1494</v>
      </c>
      <c r="L304" s="2" t="s">
        <v>122</v>
      </c>
      <c r="M304" s="1">
        <v>649</v>
      </c>
      <c r="N304" s="1">
        <v>17027</v>
      </c>
      <c r="O304" s="2" t="s">
        <v>646</v>
      </c>
      <c r="P304" s="2" t="s">
        <v>67</v>
      </c>
      <c r="Q304" s="2" t="s">
        <v>167</v>
      </c>
      <c r="R304" s="2" t="s">
        <v>50</v>
      </c>
      <c r="S304" s="2" t="s">
        <v>50</v>
      </c>
      <c r="T304" s="1">
        <v>8150</v>
      </c>
      <c r="U304" s="2" t="s">
        <v>51</v>
      </c>
      <c r="V304" s="1">
        <v>2308</v>
      </c>
      <c r="W304" s="1">
        <v>2014</v>
      </c>
      <c r="X304" s="2" t="s">
        <v>84</v>
      </c>
      <c r="Y304" s="2" t="s">
        <v>84</v>
      </c>
      <c r="Z304" s="2" t="s">
        <v>809</v>
      </c>
      <c r="AA304" s="2" t="s">
        <v>1717</v>
      </c>
      <c r="AB304" s="1">
        <v>8877</v>
      </c>
      <c r="AC304" s="1">
        <v>5114</v>
      </c>
      <c r="AD304" s="1">
        <v>2269</v>
      </c>
      <c r="AE304" s="1">
        <v>634</v>
      </c>
      <c r="AF304" s="1">
        <v>119</v>
      </c>
      <c r="AG304" s="1">
        <v>14</v>
      </c>
      <c r="AH304" s="1">
        <v>5242</v>
      </c>
      <c r="AI304" s="1">
        <v>3866</v>
      </c>
      <c r="AJ304" s="1">
        <v>774</v>
      </c>
      <c r="AK304" s="1">
        <v>2055</v>
      </c>
      <c r="AL304" s="1">
        <v>107</v>
      </c>
      <c r="AM304" s="1">
        <v>102</v>
      </c>
      <c r="AN304" s="2" t="s">
        <v>295</v>
      </c>
    </row>
    <row r="305" spans="1:40" ht="28.2" x14ac:dyDescent="0.3">
      <c r="A305" s="1">
        <v>10499</v>
      </c>
      <c r="B305" s="2" t="s">
        <v>1718</v>
      </c>
      <c r="C305" s="2" t="s">
        <v>1719</v>
      </c>
      <c r="D305" s="1">
        <v>30</v>
      </c>
      <c r="E305" s="2" t="s">
        <v>1012</v>
      </c>
      <c r="F305" s="50" t="s">
        <v>1013</v>
      </c>
      <c r="G305" s="2" t="s">
        <v>1720</v>
      </c>
      <c r="H305" s="1">
        <v>7625</v>
      </c>
      <c r="I305" s="1">
        <v>7272</v>
      </c>
      <c r="J305" s="2" t="s">
        <v>1679</v>
      </c>
      <c r="K305" s="2">
        <v>75</v>
      </c>
      <c r="L305" s="2" t="s">
        <v>589</v>
      </c>
      <c r="M305" s="1">
        <v>425</v>
      </c>
      <c r="N305" s="1">
        <v>10919</v>
      </c>
      <c r="O305" s="2" t="s">
        <v>905</v>
      </c>
      <c r="P305" s="2" t="s">
        <v>67</v>
      </c>
      <c r="Q305" s="2" t="s">
        <v>225</v>
      </c>
      <c r="R305" s="2" t="s">
        <v>96</v>
      </c>
      <c r="S305" s="2" t="s">
        <v>96</v>
      </c>
      <c r="T305" s="1">
        <v>5151</v>
      </c>
      <c r="U305" s="2" t="s">
        <v>51</v>
      </c>
      <c r="V305" s="1">
        <v>1416</v>
      </c>
      <c r="W305" s="1">
        <v>1089</v>
      </c>
      <c r="X305" s="2" t="s">
        <v>516</v>
      </c>
      <c r="Y305" s="2" t="s">
        <v>84</v>
      </c>
      <c r="Z305" s="2" t="s">
        <v>653</v>
      </c>
      <c r="AA305" s="2" t="s">
        <v>205</v>
      </c>
      <c r="AB305" s="1">
        <v>5768</v>
      </c>
      <c r="AC305" s="1">
        <v>3305</v>
      </c>
      <c r="AD305" s="1">
        <v>1336</v>
      </c>
      <c r="AE305" s="1">
        <v>406</v>
      </c>
      <c r="AF305" s="1">
        <v>90</v>
      </c>
      <c r="AG305" s="1">
        <v>14</v>
      </c>
      <c r="AH305" s="1">
        <v>2262</v>
      </c>
      <c r="AI305" s="1">
        <v>3566</v>
      </c>
      <c r="AJ305" s="1">
        <v>308</v>
      </c>
      <c r="AK305" s="1">
        <v>1377</v>
      </c>
      <c r="AL305" s="1">
        <v>105</v>
      </c>
      <c r="AM305" s="1">
        <v>26</v>
      </c>
      <c r="AN305" s="2" t="s">
        <v>412</v>
      </c>
    </row>
    <row r="306" spans="1:40" ht="28.2" x14ac:dyDescent="0.3">
      <c r="A306" s="1">
        <v>8183</v>
      </c>
      <c r="B306" s="2" t="s">
        <v>1721</v>
      </c>
      <c r="C306" s="2" t="s">
        <v>1722</v>
      </c>
      <c r="D306" s="1">
        <v>27</v>
      </c>
      <c r="E306" s="2" t="s">
        <v>1070</v>
      </c>
      <c r="F306" s="50" t="s">
        <v>447</v>
      </c>
      <c r="G306" s="2" t="s">
        <v>447</v>
      </c>
      <c r="H306" s="1">
        <v>30599</v>
      </c>
      <c r="I306" s="1">
        <v>29728</v>
      </c>
      <c r="J306" s="2" t="s">
        <v>836</v>
      </c>
      <c r="K306" s="2" t="s">
        <v>1130</v>
      </c>
      <c r="L306" s="2" t="s">
        <v>46</v>
      </c>
      <c r="M306" s="1">
        <v>1627</v>
      </c>
      <c r="N306" s="1">
        <v>43068</v>
      </c>
      <c r="O306" s="2" t="s">
        <v>646</v>
      </c>
      <c r="P306" s="2" t="s">
        <v>166</v>
      </c>
      <c r="Q306" s="2" t="s">
        <v>463</v>
      </c>
      <c r="R306" s="2" t="s">
        <v>50</v>
      </c>
      <c r="S306" s="2" t="s">
        <v>96</v>
      </c>
      <c r="T306" s="1">
        <v>20290</v>
      </c>
      <c r="U306" s="2" t="s">
        <v>51</v>
      </c>
      <c r="V306" s="1">
        <v>5345</v>
      </c>
      <c r="W306" s="1">
        <v>5533</v>
      </c>
      <c r="X306" s="2" t="s">
        <v>503</v>
      </c>
      <c r="Y306" s="2" t="s">
        <v>464</v>
      </c>
      <c r="Z306" s="2" t="s">
        <v>838</v>
      </c>
      <c r="AA306" s="2" t="s">
        <v>238</v>
      </c>
      <c r="AB306" s="1">
        <v>22778</v>
      </c>
      <c r="AC306" s="1">
        <v>12646</v>
      </c>
      <c r="AD306" s="1">
        <v>5453</v>
      </c>
      <c r="AE306" s="1">
        <v>1779</v>
      </c>
      <c r="AF306" s="1">
        <v>360</v>
      </c>
      <c r="AG306" s="1">
        <v>52</v>
      </c>
      <c r="AH306" s="1">
        <v>22782</v>
      </c>
      <c r="AI306" s="1">
        <v>213</v>
      </c>
      <c r="AJ306" s="1">
        <v>1545</v>
      </c>
      <c r="AK306" s="1">
        <v>5748</v>
      </c>
      <c r="AL306" s="1">
        <v>268</v>
      </c>
      <c r="AM306" s="1">
        <v>94</v>
      </c>
      <c r="AN306" s="2" t="s">
        <v>412</v>
      </c>
    </row>
    <row r="307" spans="1:40" ht="28.2" x14ac:dyDescent="0.3">
      <c r="A307" s="1">
        <v>12782</v>
      </c>
      <c r="B307" s="2" t="s">
        <v>1723</v>
      </c>
      <c r="C307" s="2" t="s">
        <v>1724</v>
      </c>
      <c r="D307" s="1">
        <v>26</v>
      </c>
      <c r="E307" s="2" t="s">
        <v>708</v>
      </c>
      <c r="F307" s="50" t="s">
        <v>3514</v>
      </c>
      <c r="G307" s="2" t="s">
        <v>1725</v>
      </c>
      <c r="H307" s="1">
        <v>20337</v>
      </c>
      <c r="I307" s="1">
        <v>19172</v>
      </c>
      <c r="J307" s="2" t="s">
        <v>1586</v>
      </c>
      <c r="K307" s="2" t="s">
        <v>1057</v>
      </c>
      <c r="L307" s="2" t="s">
        <v>331</v>
      </c>
      <c r="M307" s="1">
        <v>1102</v>
      </c>
      <c r="N307" s="1">
        <v>29508</v>
      </c>
      <c r="O307" s="2" t="s">
        <v>463</v>
      </c>
      <c r="P307" s="2" t="s">
        <v>202</v>
      </c>
      <c r="Q307" s="2" t="s">
        <v>276</v>
      </c>
      <c r="R307" s="2" t="s">
        <v>50</v>
      </c>
      <c r="S307" s="2" t="s">
        <v>50</v>
      </c>
      <c r="T307" s="1">
        <v>13764</v>
      </c>
      <c r="U307" s="2" t="s">
        <v>51</v>
      </c>
      <c r="V307" s="1">
        <v>2518</v>
      </c>
      <c r="W307" s="1">
        <v>2249</v>
      </c>
      <c r="X307" s="2" t="s">
        <v>370</v>
      </c>
      <c r="Y307" s="2" t="s">
        <v>503</v>
      </c>
      <c r="Z307" s="2" t="s">
        <v>1121</v>
      </c>
      <c r="AA307" s="2" t="s">
        <v>978</v>
      </c>
      <c r="AB307" s="1">
        <v>15744</v>
      </c>
      <c r="AC307" s="1">
        <v>8774</v>
      </c>
      <c r="AD307" s="1">
        <v>3660</v>
      </c>
      <c r="AE307" s="1">
        <v>1096</v>
      </c>
      <c r="AF307" s="1">
        <v>215</v>
      </c>
      <c r="AG307" s="1">
        <v>19</v>
      </c>
      <c r="AH307" s="1">
        <v>15370</v>
      </c>
      <c r="AI307" s="1">
        <v>233</v>
      </c>
      <c r="AJ307" s="1">
        <v>1216</v>
      </c>
      <c r="AK307" s="1">
        <v>3272</v>
      </c>
      <c r="AL307" s="1">
        <v>234</v>
      </c>
      <c r="AM307" s="1">
        <v>48</v>
      </c>
      <c r="AN307" s="2" t="s">
        <v>464</v>
      </c>
    </row>
    <row r="308" spans="1:40" ht="28.2" x14ac:dyDescent="0.3">
      <c r="A308" s="1">
        <v>17353</v>
      </c>
      <c r="B308" s="2" t="s">
        <v>1726</v>
      </c>
      <c r="C308" s="2" t="s">
        <v>1727</v>
      </c>
      <c r="D308" s="1">
        <v>22</v>
      </c>
      <c r="E308" s="2" t="s">
        <v>459</v>
      </c>
      <c r="F308" s="50" t="s">
        <v>1728</v>
      </c>
      <c r="G308" s="2" t="s">
        <v>1729</v>
      </c>
      <c r="H308" s="1">
        <v>8583</v>
      </c>
      <c r="I308" s="1">
        <v>8457</v>
      </c>
      <c r="J308" s="2" t="s">
        <v>1730</v>
      </c>
      <c r="K308" s="2" t="s">
        <v>837</v>
      </c>
      <c r="L308" s="2">
        <v>5</v>
      </c>
      <c r="M308" s="1">
        <v>455</v>
      </c>
      <c r="N308" s="1">
        <v>11795</v>
      </c>
      <c r="O308" s="2" t="s">
        <v>495</v>
      </c>
      <c r="P308" s="2" t="s">
        <v>235</v>
      </c>
      <c r="Q308" s="2" t="s">
        <v>311</v>
      </c>
      <c r="R308" s="2" t="s">
        <v>50</v>
      </c>
      <c r="S308" s="2" t="s">
        <v>66</v>
      </c>
      <c r="T308" s="1">
        <v>5669</v>
      </c>
      <c r="U308" s="2" t="s">
        <v>51</v>
      </c>
      <c r="V308" s="1">
        <v>1515</v>
      </c>
      <c r="W308" s="1">
        <v>1438</v>
      </c>
      <c r="X308" s="2" t="s">
        <v>304</v>
      </c>
      <c r="Y308" s="2" t="s">
        <v>362</v>
      </c>
      <c r="Z308" s="2" t="s">
        <v>1358</v>
      </c>
      <c r="AA308" s="2" t="s">
        <v>334</v>
      </c>
      <c r="AB308" s="1">
        <v>6126</v>
      </c>
      <c r="AC308" s="1">
        <v>3522</v>
      </c>
      <c r="AD308" s="1">
        <v>1517</v>
      </c>
      <c r="AE308" s="1">
        <v>506</v>
      </c>
      <c r="AF308" s="1">
        <v>111</v>
      </c>
      <c r="AG308" s="1">
        <v>13</v>
      </c>
      <c r="AH308" s="1">
        <v>4534</v>
      </c>
      <c r="AI308" s="1">
        <v>2054</v>
      </c>
      <c r="AJ308" s="1">
        <v>420</v>
      </c>
      <c r="AK308" s="1">
        <v>1476</v>
      </c>
      <c r="AL308" s="1">
        <v>96</v>
      </c>
      <c r="AM308" s="1">
        <v>40</v>
      </c>
      <c r="AN308" s="2" t="s">
        <v>295</v>
      </c>
    </row>
    <row r="309" spans="1:40" x14ac:dyDescent="0.3">
      <c r="A309" s="1">
        <v>7775</v>
      </c>
      <c r="B309" s="2" t="s">
        <v>1731</v>
      </c>
      <c r="C309" s="2" t="s">
        <v>1732</v>
      </c>
      <c r="D309" s="1">
        <v>27</v>
      </c>
      <c r="E309" s="2" t="s">
        <v>452</v>
      </c>
      <c r="F309" s="50" t="s">
        <v>1589</v>
      </c>
      <c r="G309" s="2" t="s">
        <v>1733</v>
      </c>
      <c r="H309" s="1">
        <v>14727</v>
      </c>
      <c r="I309" s="1">
        <v>14535</v>
      </c>
      <c r="J309" s="2" t="s">
        <v>764</v>
      </c>
      <c r="K309" s="2" t="s">
        <v>704</v>
      </c>
      <c r="L309" s="2" t="s">
        <v>63</v>
      </c>
      <c r="M309" s="1">
        <v>769</v>
      </c>
      <c r="N309" s="1">
        <v>20213</v>
      </c>
      <c r="O309" s="2" t="s">
        <v>495</v>
      </c>
      <c r="P309" s="2" t="s">
        <v>235</v>
      </c>
      <c r="Q309" s="2" t="s">
        <v>311</v>
      </c>
      <c r="R309" s="2" t="s">
        <v>50</v>
      </c>
      <c r="S309" s="2" t="s">
        <v>96</v>
      </c>
      <c r="T309" s="1">
        <v>9698</v>
      </c>
      <c r="U309" s="2" t="s">
        <v>51</v>
      </c>
      <c r="V309" s="1">
        <v>2612</v>
      </c>
      <c r="W309" s="1">
        <v>2731</v>
      </c>
      <c r="X309" s="2" t="s">
        <v>472</v>
      </c>
      <c r="Y309" s="2" t="s">
        <v>295</v>
      </c>
      <c r="Z309" s="2" t="s">
        <v>383</v>
      </c>
      <c r="AA309" s="2" t="s">
        <v>671</v>
      </c>
      <c r="AB309" s="1">
        <v>10515</v>
      </c>
      <c r="AC309" s="1">
        <v>5977</v>
      </c>
      <c r="AD309" s="1">
        <v>2650</v>
      </c>
      <c r="AE309" s="1">
        <v>857</v>
      </c>
      <c r="AF309" s="1">
        <v>193</v>
      </c>
      <c r="AG309" s="1">
        <v>21</v>
      </c>
      <c r="AH309" s="1">
        <v>9212</v>
      </c>
      <c r="AI309" s="1">
        <v>1381</v>
      </c>
      <c r="AJ309" s="1">
        <v>965</v>
      </c>
      <c r="AK309" s="1">
        <v>2977</v>
      </c>
      <c r="AL309" s="1">
        <v>91</v>
      </c>
      <c r="AM309" s="1">
        <v>124</v>
      </c>
      <c r="AN309" s="2" t="s">
        <v>412</v>
      </c>
    </row>
    <row r="310" spans="1:40" ht="28.2" x14ac:dyDescent="0.3">
      <c r="A310" s="1">
        <v>3732</v>
      </c>
      <c r="B310" s="2" t="s">
        <v>1734</v>
      </c>
      <c r="C310" s="2" t="s">
        <v>1735</v>
      </c>
      <c r="D310" s="1">
        <v>19</v>
      </c>
      <c r="E310" s="2" t="s">
        <v>327</v>
      </c>
      <c r="F310" s="50" t="s">
        <v>130</v>
      </c>
      <c r="G310" s="2" t="s">
        <v>1736</v>
      </c>
      <c r="H310" s="1">
        <v>11580</v>
      </c>
      <c r="I310" s="1">
        <v>11225</v>
      </c>
      <c r="J310" s="2" t="s">
        <v>1737</v>
      </c>
      <c r="K310" s="2" t="s">
        <v>1195</v>
      </c>
      <c r="L310" s="2" t="s">
        <v>244</v>
      </c>
      <c r="M310" s="1">
        <v>608</v>
      </c>
      <c r="N310" s="1">
        <v>16549</v>
      </c>
      <c r="O310" s="2" t="s">
        <v>905</v>
      </c>
      <c r="P310" s="2" t="s">
        <v>202</v>
      </c>
      <c r="Q310" s="2" t="s">
        <v>167</v>
      </c>
      <c r="R310" s="2" t="s">
        <v>96</v>
      </c>
      <c r="S310" s="2" t="s">
        <v>96</v>
      </c>
      <c r="T310" s="1">
        <v>7687</v>
      </c>
      <c r="U310" s="2" t="s">
        <v>51</v>
      </c>
      <c r="V310" s="1">
        <v>1680</v>
      </c>
      <c r="W310" s="1">
        <v>1820</v>
      </c>
      <c r="X310" s="2" t="s">
        <v>1314</v>
      </c>
      <c r="Y310" s="2" t="s">
        <v>285</v>
      </c>
      <c r="Z310" s="2" t="s">
        <v>1490</v>
      </c>
      <c r="AA310" s="2" t="s">
        <v>933</v>
      </c>
      <c r="AB310" s="1">
        <v>8862</v>
      </c>
      <c r="AC310" s="1">
        <v>4814</v>
      </c>
      <c r="AD310" s="1">
        <v>2049</v>
      </c>
      <c r="AE310" s="1">
        <v>644</v>
      </c>
      <c r="AF310" s="1">
        <v>164</v>
      </c>
      <c r="AG310" s="1">
        <v>16</v>
      </c>
      <c r="AH310" s="1">
        <v>8612</v>
      </c>
      <c r="AI310" s="1">
        <v>366</v>
      </c>
      <c r="AJ310" s="1">
        <v>378</v>
      </c>
      <c r="AK310" s="1">
        <v>2085</v>
      </c>
      <c r="AL310" s="1">
        <v>151</v>
      </c>
      <c r="AM310" s="1">
        <v>48</v>
      </c>
      <c r="AN310" s="2" t="s">
        <v>464</v>
      </c>
    </row>
    <row r="311" spans="1:40" ht="28.2" x14ac:dyDescent="0.3">
      <c r="A311" s="1">
        <v>19044</v>
      </c>
      <c r="B311" s="2" t="s">
        <v>1738</v>
      </c>
      <c r="C311" s="2" t="s">
        <v>1739</v>
      </c>
      <c r="D311" s="1">
        <v>28</v>
      </c>
      <c r="E311" s="2" t="s">
        <v>895</v>
      </c>
      <c r="F311" s="50" t="s">
        <v>1040</v>
      </c>
      <c r="G311" s="2" t="s">
        <v>1740</v>
      </c>
      <c r="H311" s="1">
        <v>12061</v>
      </c>
      <c r="I311" s="1">
        <v>11567</v>
      </c>
      <c r="J311" s="2" t="s">
        <v>1741</v>
      </c>
      <c r="K311" s="2" t="s">
        <v>263</v>
      </c>
      <c r="L311" s="2" t="s">
        <v>224</v>
      </c>
      <c r="M311" s="1">
        <v>649</v>
      </c>
      <c r="N311" s="1">
        <v>17082</v>
      </c>
      <c r="O311" s="2" t="s">
        <v>646</v>
      </c>
      <c r="P311" s="2" t="s">
        <v>166</v>
      </c>
      <c r="Q311" s="2" t="s">
        <v>167</v>
      </c>
      <c r="R311" s="2" t="s">
        <v>67</v>
      </c>
      <c r="S311" s="2" t="s">
        <v>48</v>
      </c>
      <c r="T311" s="1">
        <v>8095</v>
      </c>
      <c r="U311" s="2" t="s">
        <v>51</v>
      </c>
      <c r="V311" s="1">
        <v>1617</v>
      </c>
      <c r="W311" s="1">
        <v>1615</v>
      </c>
      <c r="X311" s="2">
        <v>1</v>
      </c>
      <c r="Y311" s="2" t="s">
        <v>245</v>
      </c>
      <c r="Z311" s="2" t="s">
        <v>1165</v>
      </c>
      <c r="AA311" s="2" t="s">
        <v>746</v>
      </c>
      <c r="AB311" s="1">
        <v>8987</v>
      </c>
      <c r="AC311" s="1">
        <v>5107</v>
      </c>
      <c r="AD311" s="1">
        <v>2164</v>
      </c>
      <c r="AE311" s="1">
        <v>685</v>
      </c>
      <c r="AF311" s="1">
        <v>126</v>
      </c>
      <c r="AG311" s="1">
        <v>13</v>
      </c>
      <c r="AH311" s="1">
        <v>9182</v>
      </c>
      <c r="AI311" s="1">
        <v>83</v>
      </c>
      <c r="AJ311" s="1">
        <v>645</v>
      </c>
      <c r="AK311" s="1">
        <v>1935</v>
      </c>
      <c r="AL311" s="1">
        <v>147</v>
      </c>
      <c r="AM311" s="1">
        <v>89</v>
      </c>
      <c r="AN311" s="2" t="s">
        <v>412</v>
      </c>
    </row>
    <row r="312" spans="1:40" x14ac:dyDescent="0.3">
      <c r="A312" s="1">
        <v>8800</v>
      </c>
      <c r="B312" s="2" t="s">
        <v>1742</v>
      </c>
      <c r="C312" s="2" t="s">
        <v>1743</v>
      </c>
      <c r="D312" s="1">
        <v>29</v>
      </c>
      <c r="E312" s="2" t="s">
        <v>708</v>
      </c>
      <c r="F312" s="50" t="s">
        <v>1744</v>
      </c>
      <c r="G312" s="2" t="s">
        <v>1745</v>
      </c>
      <c r="H312" s="1">
        <v>24939</v>
      </c>
      <c r="I312" s="1">
        <v>23516</v>
      </c>
      <c r="J312" s="2" t="s">
        <v>1238</v>
      </c>
      <c r="K312" s="2" t="s">
        <v>939</v>
      </c>
      <c r="L312" s="2">
        <v>4</v>
      </c>
      <c r="M312" s="1">
        <v>1355</v>
      </c>
      <c r="N312" s="1">
        <v>35985</v>
      </c>
      <c r="O312" s="2" t="s">
        <v>463</v>
      </c>
      <c r="P312" s="2" t="s">
        <v>235</v>
      </c>
      <c r="Q312" s="2" t="s">
        <v>276</v>
      </c>
      <c r="R312" s="2" t="s">
        <v>50</v>
      </c>
      <c r="S312" s="2" t="s">
        <v>48</v>
      </c>
      <c r="T312" s="1">
        <v>16943</v>
      </c>
      <c r="U312" s="2" t="s">
        <v>51</v>
      </c>
      <c r="V312" s="1">
        <v>3555</v>
      </c>
      <c r="W312" s="1">
        <v>3156</v>
      </c>
      <c r="X312" s="2" t="s">
        <v>98</v>
      </c>
      <c r="Y312" s="2" t="s">
        <v>255</v>
      </c>
      <c r="Z312" s="2" t="s">
        <v>427</v>
      </c>
      <c r="AA312" s="2" t="s">
        <v>746</v>
      </c>
      <c r="AB312" s="1">
        <v>19042</v>
      </c>
      <c r="AC312" s="1">
        <v>10857</v>
      </c>
      <c r="AD312" s="1">
        <v>4480</v>
      </c>
      <c r="AE312" s="1">
        <v>1323</v>
      </c>
      <c r="AF312" s="1">
        <v>263</v>
      </c>
      <c r="AG312" s="1">
        <v>20</v>
      </c>
      <c r="AH312" s="1">
        <v>17713</v>
      </c>
      <c r="AI312" s="1">
        <v>1282</v>
      </c>
      <c r="AJ312" s="1">
        <v>1071</v>
      </c>
      <c r="AK312" s="1">
        <v>4544</v>
      </c>
      <c r="AL312" s="1">
        <v>310</v>
      </c>
      <c r="AM312" s="1">
        <v>65</v>
      </c>
      <c r="AN312" s="2" t="s">
        <v>412</v>
      </c>
    </row>
    <row r="313" spans="1:40" x14ac:dyDescent="0.3">
      <c r="A313" s="1">
        <v>19021</v>
      </c>
      <c r="B313" s="2" t="s">
        <v>1746</v>
      </c>
      <c r="C313" s="2" t="s">
        <v>1747</v>
      </c>
      <c r="D313" s="1">
        <v>17</v>
      </c>
      <c r="E313" s="2" t="s">
        <v>545</v>
      </c>
      <c r="F313" s="50" t="s">
        <v>599</v>
      </c>
      <c r="G313" s="2" t="s">
        <v>1748</v>
      </c>
      <c r="H313" s="1">
        <v>7398</v>
      </c>
      <c r="I313" s="1">
        <v>6961</v>
      </c>
      <c r="J313" s="2" t="s">
        <v>1708</v>
      </c>
      <c r="K313" s="2" t="s">
        <v>916</v>
      </c>
      <c r="L313" s="2" t="s">
        <v>294</v>
      </c>
      <c r="M313" s="1">
        <v>405</v>
      </c>
      <c r="N313" s="1">
        <v>10828</v>
      </c>
      <c r="O313" s="2" t="s">
        <v>167</v>
      </c>
      <c r="P313" s="2" t="s">
        <v>202</v>
      </c>
      <c r="Q313" s="2" t="s">
        <v>65</v>
      </c>
      <c r="R313" s="2" t="s">
        <v>96</v>
      </c>
      <c r="S313" s="2" t="s">
        <v>96</v>
      </c>
      <c r="T313" s="1">
        <v>5019</v>
      </c>
      <c r="U313" s="2" t="s">
        <v>51</v>
      </c>
      <c r="V313" s="1">
        <v>1106</v>
      </c>
      <c r="W313" s="1">
        <v>1214</v>
      </c>
      <c r="X313" s="2" t="s">
        <v>1749</v>
      </c>
      <c r="Y313" s="2" t="s">
        <v>285</v>
      </c>
      <c r="Z313" s="2" t="s">
        <v>653</v>
      </c>
      <c r="AA313" s="2" t="s">
        <v>933</v>
      </c>
      <c r="AB313" s="1">
        <v>5809</v>
      </c>
      <c r="AC313" s="1">
        <v>3223</v>
      </c>
      <c r="AD313" s="1">
        <v>1312</v>
      </c>
      <c r="AE313" s="1">
        <v>392</v>
      </c>
      <c r="AF313" s="1">
        <v>85</v>
      </c>
      <c r="AG313" s="1">
        <v>7</v>
      </c>
      <c r="AH313" s="1">
        <v>4435</v>
      </c>
      <c r="AI313" s="1">
        <v>1405</v>
      </c>
      <c r="AJ313" s="1">
        <v>263</v>
      </c>
      <c r="AK313" s="1">
        <v>1198</v>
      </c>
      <c r="AL313" s="1">
        <v>89</v>
      </c>
      <c r="AM313" s="1">
        <v>40</v>
      </c>
      <c r="AN313" s="2" t="s">
        <v>464</v>
      </c>
    </row>
    <row r="314" spans="1:40" ht="28.2" x14ac:dyDescent="0.3">
      <c r="A314" s="1">
        <v>15835</v>
      </c>
      <c r="B314" s="2" t="s">
        <v>1750</v>
      </c>
      <c r="C314" s="2" t="s">
        <v>1751</v>
      </c>
      <c r="D314" s="1">
        <v>22</v>
      </c>
      <c r="E314" s="2" t="s">
        <v>159</v>
      </c>
      <c r="F314" s="50" t="s">
        <v>160</v>
      </c>
      <c r="G314" s="2" t="s">
        <v>1752</v>
      </c>
      <c r="H314" s="1">
        <v>12578</v>
      </c>
      <c r="I314" s="1">
        <v>12425</v>
      </c>
      <c r="J314" s="2" t="s">
        <v>959</v>
      </c>
      <c r="K314" s="2" t="s">
        <v>1130</v>
      </c>
      <c r="L314" s="2" t="s">
        <v>224</v>
      </c>
      <c r="M314" s="1">
        <v>650</v>
      </c>
      <c r="N314" s="1">
        <v>17397</v>
      </c>
      <c r="O314" s="2" t="s">
        <v>311</v>
      </c>
      <c r="P314" s="2" t="s">
        <v>202</v>
      </c>
      <c r="Q314" s="2" t="s">
        <v>646</v>
      </c>
      <c r="R314" s="2" t="s">
        <v>50</v>
      </c>
      <c r="S314" s="2" t="s">
        <v>96</v>
      </c>
      <c r="T314" s="1">
        <v>8280</v>
      </c>
      <c r="U314" s="2" t="s">
        <v>51</v>
      </c>
      <c r="V314" s="1">
        <v>2698</v>
      </c>
      <c r="W314" s="1">
        <v>2567</v>
      </c>
      <c r="X314" s="2" t="s">
        <v>304</v>
      </c>
      <c r="Y314" s="2" t="s">
        <v>147</v>
      </c>
      <c r="Z314" s="2" t="s">
        <v>455</v>
      </c>
      <c r="AA314" s="2" t="s">
        <v>921</v>
      </c>
      <c r="AB314" s="1">
        <v>9117</v>
      </c>
      <c r="AC314" s="1">
        <v>5127</v>
      </c>
      <c r="AD314" s="1">
        <v>2220</v>
      </c>
      <c r="AE314" s="1">
        <v>739</v>
      </c>
      <c r="AF314" s="1">
        <v>176</v>
      </c>
      <c r="AG314" s="1">
        <v>18</v>
      </c>
      <c r="AH314" s="1">
        <v>7697</v>
      </c>
      <c r="AI314" s="1">
        <v>1952</v>
      </c>
      <c r="AJ314" s="1">
        <v>774</v>
      </c>
      <c r="AK314" s="1">
        <v>1946</v>
      </c>
      <c r="AL314" s="1">
        <v>164</v>
      </c>
      <c r="AM314" s="1">
        <v>86</v>
      </c>
      <c r="AN314" s="2" t="s">
        <v>561</v>
      </c>
    </row>
    <row r="315" spans="1:40" x14ac:dyDescent="0.3">
      <c r="A315" s="1">
        <v>11576</v>
      </c>
      <c r="B315" s="2" t="s">
        <v>1753</v>
      </c>
      <c r="C315" s="2" t="s">
        <v>1754</v>
      </c>
      <c r="D315" s="1">
        <v>31</v>
      </c>
      <c r="E315" s="2" t="s">
        <v>209</v>
      </c>
      <c r="F315" s="50" t="s">
        <v>1755</v>
      </c>
      <c r="G315" s="2" t="s">
        <v>1756</v>
      </c>
      <c r="H315" s="1">
        <v>9880</v>
      </c>
      <c r="I315" s="1">
        <v>9388</v>
      </c>
      <c r="J315" s="2" t="s">
        <v>273</v>
      </c>
      <c r="K315" s="2">
        <v>76</v>
      </c>
      <c r="L315" s="2" t="s">
        <v>462</v>
      </c>
      <c r="M315" s="1">
        <v>549</v>
      </c>
      <c r="N315" s="1">
        <v>14214</v>
      </c>
      <c r="O315" s="2" t="s">
        <v>905</v>
      </c>
      <c r="P315" s="2" t="s">
        <v>235</v>
      </c>
      <c r="Q315" s="2" t="s">
        <v>322</v>
      </c>
      <c r="R315" s="2" t="s">
        <v>67</v>
      </c>
      <c r="S315" s="2" t="s">
        <v>67</v>
      </c>
      <c r="T315" s="1">
        <v>6683</v>
      </c>
      <c r="U315" s="2" t="s">
        <v>51</v>
      </c>
      <c r="V315" s="1">
        <v>1193</v>
      </c>
      <c r="W315" s="1">
        <v>1134</v>
      </c>
      <c r="X315" s="2" t="s">
        <v>304</v>
      </c>
      <c r="Y315" s="2" t="s">
        <v>820</v>
      </c>
      <c r="Z315" s="2" t="s">
        <v>391</v>
      </c>
      <c r="AA315" s="2" t="s">
        <v>287</v>
      </c>
      <c r="AB315" s="1">
        <v>7531</v>
      </c>
      <c r="AC315" s="1">
        <v>4269</v>
      </c>
      <c r="AD315" s="1">
        <v>1767</v>
      </c>
      <c r="AE315" s="1">
        <v>523</v>
      </c>
      <c r="AF315" s="1">
        <v>112</v>
      </c>
      <c r="AG315" s="1">
        <v>12</v>
      </c>
      <c r="AH315" s="1">
        <v>7524</v>
      </c>
      <c r="AI315" s="1">
        <v>108</v>
      </c>
      <c r="AJ315" s="1">
        <v>442</v>
      </c>
      <c r="AK315" s="1">
        <v>1736</v>
      </c>
      <c r="AL315" s="1">
        <v>90</v>
      </c>
      <c r="AM315" s="1">
        <v>6</v>
      </c>
      <c r="AN315" s="2" t="s">
        <v>277</v>
      </c>
    </row>
    <row r="316" spans="1:40" x14ac:dyDescent="0.3">
      <c r="A316" s="1">
        <v>8095</v>
      </c>
      <c r="B316" s="2" t="s">
        <v>1757</v>
      </c>
      <c r="C316" s="2" t="s">
        <v>1758</v>
      </c>
      <c r="D316" s="1">
        <v>26</v>
      </c>
      <c r="E316" s="2" t="s">
        <v>196</v>
      </c>
      <c r="F316" s="50" t="s">
        <v>338</v>
      </c>
      <c r="G316" s="2" t="s">
        <v>1759</v>
      </c>
      <c r="H316" s="1">
        <v>28807</v>
      </c>
      <c r="I316" s="1">
        <v>27637</v>
      </c>
      <c r="J316" s="2" t="s">
        <v>223</v>
      </c>
      <c r="K316" s="2" t="s">
        <v>1057</v>
      </c>
      <c r="L316" s="2" t="s">
        <v>201</v>
      </c>
      <c r="M316" s="1">
        <v>1564</v>
      </c>
      <c r="N316" s="1">
        <v>41206</v>
      </c>
      <c r="O316" s="2" t="s">
        <v>905</v>
      </c>
      <c r="P316" s="2" t="s">
        <v>235</v>
      </c>
      <c r="Q316" s="2" t="s">
        <v>225</v>
      </c>
      <c r="R316" s="2" t="s">
        <v>50</v>
      </c>
      <c r="S316" s="2" t="s">
        <v>50</v>
      </c>
      <c r="T316" s="1">
        <v>19245</v>
      </c>
      <c r="U316" s="2" t="s">
        <v>51</v>
      </c>
      <c r="V316" s="1">
        <v>4244</v>
      </c>
      <c r="W316" s="1">
        <v>4170</v>
      </c>
      <c r="X316" s="2" t="s">
        <v>449</v>
      </c>
      <c r="Y316" s="2" t="s">
        <v>255</v>
      </c>
      <c r="Z316" s="2" t="s">
        <v>795</v>
      </c>
      <c r="AA316" s="2" t="s">
        <v>577</v>
      </c>
      <c r="AB316" s="1">
        <v>21961</v>
      </c>
      <c r="AC316" s="1">
        <v>12069</v>
      </c>
      <c r="AD316" s="1">
        <v>5206</v>
      </c>
      <c r="AE316" s="1">
        <v>1615</v>
      </c>
      <c r="AF316" s="1">
        <v>317</v>
      </c>
      <c r="AG316" s="1">
        <v>38</v>
      </c>
      <c r="AH316" s="1">
        <v>20670</v>
      </c>
      <c r="AI316" s="1">
        <v>1274</v>
      </c>
      <c r="AJ316" s="1">
        <v>1439</v>
      </c>
      <c r="AK316" s="1">
        <v>5003</v>
      </c>
      <c r="AL316" s="1">
        <v>355</v>
      </c>
      <c r="AM316" s="1">
        <v>108</v>
      </c>
      <c r="AN316" s="2" t="s">
        <v>412</v>
      </c>
    </row>
    <row r="317" spans="1:40" x14ac:dyDescent="0.3">
      <c r="A317" s="1">
        <v>15565</v>
      </c>
      <c r="B317" s="2" t="s">
        <v>1760</v>
      </c>
      <c r="C317" s="2" t="s">
        <v>1761</v>
      </c>
      <c r="D317" s="1">
        <v>21</v>
      </c>
      <c r="E317" s="2" t="s">
        <v>452</v>
      </c>
      <c r="F317" s="50" t="s">
        <v>537</v>
      </c>
      <c r="G317" s="2" t="s">
        <v>1762</v>
      </c>
      <c r="H317" s="1">
        <v>8415</v>
      </c>
      <c r="I317" s="1">
        <v>8026</v>
      </c>
      <c r="J317" s="2" t="s">
        <v>1763</v>
      </c>
      <c r="K317" s="2" t="s">
        <v>1764</v>
      </c>
      <c r="L317" s="2" t="s">
        <v>214</v>
      </c>
      <c r="M317" s="1">
        <v>448</v>
      </c>
      <c r="N317" s="1">
        <v>12107</v>
      </c>
      <c r="O317" s="2" t="s">
        <v>905</v>
      </c>
      <c r="P317" s="2" t="s">
        <v>96</v>
      </c>
      <c r="Q317" s="2" t="s">
        <v>322</v>
      </c>
      <c r="R317" s="2" t="s">
        <v>96</v>
      </c>
      <c r="S317" s="2" t="s">
        <v>96</v>
      </c>
      <c r="T317" s="1">
        <v>5678</v>
      </c>
      <c r="U317" s="2" t="s">
        <v>51</v>
      </c>
      <c r="V317" s="1">
        <v>1527</v>
      </c>
      <c r="W317" s="1">
        <v>1216</v>
      </c>
      <c r="X317" s="2" t="s">
        <v>87</v>
      </c>
      <c r="Y317" s="2" t="s">
        <v>98</v>
      </c>
      <c r="Z317" s="2" t="s">
        <v>1765</v>
      </c>
      <c r="AA317" s="2" t="s">
        <v>497</v>
      </c>
      <c r="AB317" s="1">
        <v>6429</v>
      </c>
      <c r="AC317" s="1">
        <v>3641</v>
      </c>
      <c r="AD317" s="1">
        <v>1449</v>
      </c>
      <c r="AE317" s="1">
        <v>484</v>
      </c>
      <c r="AF317" s="1">
        <v>96</v>
      </c>
      <c r="AG317" s="1">
        <v>8</v>
      </c>
      <c r="AH317" s="1">
        <v>2149</v>
      </c>
      <c r="AI317" s="1">
        <v>4521</v>
      </c>
      <c r="AJ317" s="1">
        <v>226</v>
      </c>
      <c r="AK317" s="1">
        <v>1448</v>
      </c>
      <c r="AL317" s="1">
        <v>63</v>
      </c>
      <c r="AM317" s="1">
        <v>36</v>
      </c>
      <c r="AN317" s="2" t="s">
        <v>304</v>
      </c>
    </row>
    <row r="318" spans="1:40" ht="28.2" x14ac:dyDescent="0.3">
      <c r="A318" s="1">
        <v>11737</v>
      </c>
      <c r="B318" s="2" t="s">
        <v>1766</v>
      </c>
      <c r="C318" s="2" t="s">
        <v>1767</v>
      </c>
      <c r="D318" s="1">
        <v>26</v>
      </c>
      <c r="E318" s="2" t="s">
        <v>459</v>
      </c>
      <c r="F318" s="50" t="s">
        <v>3514</v>
      </c>
      <c r="G318" s="2" t="s">
        <v>1768</v>
      </c>
      <c r="H318" s="1">
        <v>7573</v>
      </c>
      <c r="I318" s="1">
        <v>7418</v>
      </c>
      <c r="J318" s="2" t="s">
        <v>1769</v>
      </c>
      <c r="K318" s="2" t="s">
        <v>639</v>
      </c>
      <c r="L318" s="2" t="s">
        <v>93</v>
      </c>
      <c r="M318" s="1">
        <v>406</v>
      </c>
      <c r="N318" s="1">
        <v>10568</v>
      </c>
      <c r="O318" s="2" t="s">
        <v>311</v>
      </c>
      <c r="P318" s="2" t="s">
        <v>202</v>
      </c>
      <c r="Q318" s="2" t="s">
        <v>905</v>
      </c>
      <c r="R318" s="2" t="s">
        <v>50</v>
      </c>
      <c r="S318" s="2" t="s">
        <v>67</v>
      </c>
      <c r="T318" s="1">
        <v>5029</v>
      </c>
      <c r="U318" s="2" t="s">
        <v>51</v>
      </c>
      <c r="V318" s="1">
        <v>956</v>
      </c>
      <c r="W318" s="1">
        <v>919</v>
      </c>
      <c r="X318" s="2" t="s">
        <v>407</v>
      </c>
      <c r="Y318" s="2" t="s">
        <v>503</v>
      </c>
      <c r="Z318" s="2" t="s">
        <v>718</v>
      </c>
      <c r="AA318" s="2" t="s">
        <v>739</v>
      </c>
      <c r="AB318" s="1">
        <v>5539</v>
      </c>
      <c r="AC318" s="1">
        <v>3155</v>
      </c>
      <c r="AD318" s="1">
        <v>1329</v>
      </c>
      <c r="AE318" s="1">
        <v>431</v>
      </c>
      <c r="AF318" s="1">
        <v>103</v>
      </c>
      <c r="AG318" s="1">
        <v>11</v>
      </c>
      <c r="AH318" s="1">
        <v>5265</v>
      </c>
      <c r="AI318" s="1">
        <v>178</v>
      </c>
      <c r="AJ318" s="1">
        <v>631</v>
      </c>
      <c r="AK318" s="1">
        <v>1419</v>
      </c>
      <c r="AL318" s="1">
        <v>87</v>
      </c>
      <c r="AM318" s="1">
        <v>13</v>
      </c>
      <c r="AN318" s="2" t="s">
        <v>590</v>
      </c>
    </row>
    <row r="319" spans="1:40" ht="28.2" x14ac:dyDescent="0.3">
      <c r="A319" s="1">
        <v>1146</v>
      </c>
      <c r="B319" s="2" t="s">
        <v>1770</v>
      </c>
      <c r="C319" s="2" t="s">
        <v>1771</v>
      </c>
      <c r="D319" s="1">
        <v>31</v>
      </c>
      <c r="E319" s="2" t="s">
        <v>545</v>
      </c>
      <c r="F319" s="50" t="s">
        <v>3514</v>
      </c>
      <c r="G319" s="2" t="s">
        <v>1772</v>
      </c>
      <c r="H319" s="1">
        <v>29842</v>
      </c>
      <c r="I319" s="1">
        <v>28702</v>
      </c>
      <c r="J319" s="2" t="s">
        <v>1773</v>
      </c>
      <c r="K319" s="2" t="s">
        <v>531</v>
      </c>
      <c r="L319" s="2">
        <v>4</v>
      </c>
      <c r="M319" s="1">
        <v>1575</v>
      </c>
      <c r="N319" s="1">
        <v>41834</v>
      </c>
      <c r="O319" s="2" t="s">
        <v>646</v>
      </c>
      <c r="P319" s="2" t="s">
        <v>48</v>
      </c>
      <c r="Q319" s="2" t="s">
        <v>463</v>
      </c>
      <c r="R319" s="2" t="s">
        <v>96</v>
      </c>
      <c r="S319" s="2" t="s">
        <v>50</v>
      </c>
      <c r="T319" s="1">
        <v>20154</v>
      </c>
      <c r="U319" s="2" t="s">
        <v>51</v>
      </c>
      <c r="V319" s="1">
        <v>4356</v>
      </c>
      <c r="W319" s="1">
        <v>3997</v>
      </c>
      <c r="X319" s="2" t="s">
        <v>295</v>
      </c>
      <c r="Y319" s="2" t="s">
        <v>412</v>
      </c>
      <c r="Z319" s="2" t="s">
        <v>718</v>
      </c>
      <c r="AA319" s="2" t="s">
        <v>1774</v>
      </c>
      <c r="AB319" s="1">
        <v>21680</v>
      </c>
      <c r="AC319" s="1">
        <v>12864</v>
      </c>
      <c r="AD319" s="1">
        <v>5312</v>
      </c>
      <c r="AE319" s="1">
        <v>1607</v>
      </c>
      <c r="AF319" s="1">
        <v>335</v>
      </c>
      <c r="AG319" s="1">
        <v>36</v>
      </c>
      <c r="AH319" s="1">
        <v>20505</v>
      </c>
      <c r="AI319" s="1">
        <v>2668</v>
      </c>
      <c r="AJ319" s="1">
        <v>912</v>
      </c>
      <c r="AK319" s="1">
        <v>5385</v>
      </c>
      <c r="AL319" s="1">
        <v>339</v>
      </c>
      <c r="AM319" s="1">
        <v>82</v>
      </c>
      <c r="AN319" s="2" t="s">
        <v>412</v>
      </c>
    </row>
    <row r="320" spans="1:40" ht="28.2" x14ac:dyDescent="0.3">
      <c r="A320" s="1">
        <v>9875</v>
      </c>
      <c r="B320" s="2" t="s">
        <v>1775</v>
      </c>
      <c r="C320" s="2" t="s">
        <v>1776</v>
      </c>
      <c r="D320" s="1">
        <v>25</v>
      </c>
      <c r="E320" s="2" t="s">
        <v>459</v>
      </c>
      <c r="F320" s="50" t="s">
        <v>3514</v>
      </c>
      <c r="G320" s="2" t="s">
        <v>1777</v>
      </c>
      <c r="H320" s="1">
        <v>8248</v>
      </c>
      <c r="I320" s="1">
        <v>7868</v>
      </c>
      <c r="J320" s="2" t="s">
        <v>1079</v>
      </c>
      <c r="K320" s="2" t="s">
        <v>877</v>
      </c>
      <c r="L320" s="2" t="s">
        <v>80</v>
      </c>
      <c r="M320" s="1">
        <v>456</v>
      </c>
      <c r="N320" s="1">
        <v>11711</v>
      </c>
      <c r="O320" s="2" t="s">
        <v>905</v>
      </c>
      <c r="P320" s="2" t="s">
        <v>235</v>
      </c>
      <c r="Q320" s="2" t="s">
        <v>225</v>
      </c>
      <c r="R320" s="2" t="s">
        <v>67</v>
      </c>
      <c r="S320" s="2" t="s">
        <v>67</v>
      </c>
      <c r="T320" s="1">
        <v>5593</v>
      </c>
      <c r="U320" s="2" t="s">
        <v>51</v>
      </c>
      <c r="V320" s="1">
        <v>1209</v>
      </c>
      <c r="W320" s="1">
        <v>1172</v>
      </c>
      <c r="X320" s="2" t="s">
        <v>412</v>
      </c>
      <c r="Y320" s="2" t="s">
        <v>449</v>
      </c>
      <c r="Z320" s="2" t="s">
        <v>1310</v>
      </c>
      <c r="AA320" s="2" t="s">
        <v>746</v>
      </c>
      <c r="AB320" s="1">
        <v>6118</v>
      </c>
      <c r="AC320" s="1">
        <v>3593</v>
      </c>
      <c r="AD320" s="1">
        <v>1444</v>
      </c>
      <c r="AE320" s="1">
        <v>463</v>
      </c>
      <c r="AF320" s="1">
        <v>87</v>
      </c>
      <c r="AG320" s="1">
        <v>6</v>
      </c>
      <c r="AH320" s="1">
        <v>5296</v>
      </c>
      <c r="AI320" s="1">
        <v>849</v>
      </c>
      <c r="AJ320" s="1">
        <v>605</v>
      </c>
      <c r="AK320" s="1">
        <v>1376</v>
      </c>
      <c r="AL320" s="1">
        <v>106</v>
      </c>
      <c r="AM320" s="1">
        <v>40</v>
      </c>
      <c r="AN320" s="2" t="s">
        <v>412</v>
      </c>
    </row>
    <row r="321" spans="1:40" x14ac:dyDescent="0.3">
      <c r="A321" s="1">
        <v>8503</v>
      </c>
      <c r="B321" s="2" t="s">
        <v>1778</v>
      </c>
      <c r="C321" s="2" t="s">
        <v>1779</v>
      </c>
      <c r="D321" s="1">
        <v>29</v>
      </c>
      <c r="E321" s="2" t="s">
        <v>459</v>
      </c>
      <c r="F321" s="50" t="s">
        <v>749</v>
      </c>
      <c r="G321" s="2" t="s">
        <v>749</v>
      </c>
      <c r="H321" s="1">
        <v>12430</v>
      </c>
      <c r="I321" s="1">
        <v>11781</v>
      </c>
      <c r="J321" s="2" t="s">
        <v>1780</v>
      </c>
      <c r="K321" s="2">
        <v>74</v>
      </c>
      <c r="L321" s="2" t="s">
        <v>46</v>
      </c>
      <c r="M321" s="1">
        <v>674</v>
      </c>
      <c r="N321" s="1">
        <v>17775</v>
      </c>
      <c r="O321" s="2" t="s">
        <v>905</v>
      </c>
      <c r="P321" s="2" t="s">
        <v>48</v>
      </c>
      <c r="Q321" s="2" t="s">
        <v>322</v>
      </c>
      <c r="R321" s="2" t="s">
        <v>50</v>
      </c>
      <c r="S321" s="2" t="s">
        <v>50</v>
      </c>
      <c r="T321" s="1">
        <v>8451</v>
      </c>
      <c r="U321" s="2" t="s">
        <v>51</v>
      </c>
      <c r="V321" s="1">
        <v>1929</v>
      </c>
      <c r="W321" s="1">
        <v>1696</v>
      </c>
      <c r="X321" s="2" t="s">
        <v>111</v>
      </c>
      <c r="Y321" s="2" t="s">
        <v>304</v>
      </c>
      <c r="Z321" s="2" t="s">
        <v>554</v>
      </c>
      <c r="AA321" s="2" t="s">
        <v>882</v>
      </c>
      <c r="AB321" s="1">
        <v>9324</v>
      </c>
      <c r="AC321" s="1">
        <v>5411</v>
      </c>
      <c r="AD321" s="1">
        <v>2256</v>
      </c>
      <c r="AE321" s="1">
        <v>647</v>
      </c>
      <c r="AF321" s="1">
        <v>121</v>
      </c>
      <c r="AG321" s="1">
        <v>16</v>
      </c>
      <c r="AH321" s="1">
        <v>3698</v>
      </c>
      <c r="AI321" s="1">
        <v>5521</v>
      </c>
      <c r="AJ321" s="1">
        <v>570</v>
      </c>
      <c r="AK321" s="1">
        <v>2427</v>
      </c>
      <c r="AL321" s="1">
        <v>164</v>
      </c>
      <c r="AM321" s="1">
        <v>82</v>
      </c>
      <c r="AN321" s="2" t="s">
        <v>412</v>
      </c>
    </row>
    <row r="322" spans="1:40" ht="28.2" x14ac:dyDescent="0.3">
      <c r="A322" s="1">
        <v>13982</v>
      </c>
      <c r="B322" s="2" t="s">
        <v>1781</v>
      </c>
      <c r="C322" s="2" t="s">
        <v>1782</v>
      </c>
      <c r="D322" s="1">
        <v>22</v>
      </c>
      <c r="E322" s="2" t="s">
        <v>75</v>
      </c>
      <c r="F322" s="50" t="s">
        <v>344</v>
      </c>
      <c r="G322" s="2" t="s">
        <v>1783</v>
      </c>
      <c r="H322" s="1">
        <v>22323</v>
      </c>
      <c r="I322" s="1">
        <v>21240</v>
      </c>
      <c r="J322" s="2" t="s">
        <v>1784</v>
      </c>
      <c r="K322" s="2" t="s">
        <v>418</v>
      </c>
      <c r="L322" s="2" t="s">
        <v>93</v>
      </c>
      <c r="M322" s="1">
        <v>1211</v>
      </c>
      <c r="N322" s="1">
        <v>32174</v>
      </c>
      <c r="O322" s="2" t="s">
        <v>463</v>
      </c>
      <c r="P322" s="2" t="s">
        <v>202</v>
      </c>
      <c r="Q322" s="2" t="s">
        <v>322</v>
      </c>
      <c r="R322" s="2" t="s">
        <v>96</v>
      </c>
      <c r="S322" s="2" t="s">
        <v>96</v>
      </c>
      <c r="T322" s="1">
        <v>15071</v>
      </c>
      <c r="U322" s="2" t="s">
        <v>51</v>
      </c>
      <c r="V322" s="1">
        <v>3308</v>
      </c>
      <c r="W322" s="1">
        <v>3025</v>
      </c>
      <c r="X322" s="2" t="s">
        <v>295</v>
      </c>
      <c r="Y322" s="2" t="s">
        <v>449</v>
      </c>
      <c r="Z322" s="2" t="s">
        <v>728</v>
      </c>
      <c r="AA322" s="2" t="s">
        <v>648</v>
      </c>
      <c r="AB322" s="1">
        <v>17103</v>
      </c>
      <c r="AC322" s="1">
        <v>9577</v>
      </c>
      <c r="AD322" s="1">
        <v>4023</v>
      </c>
      <c r="AE322" s="1">
        <v>1217</v>
      </c>
      <c r="AF322" s="1">
        <v>221</v>
      </c>
      <c r="AG322" s="1">
        <v>33</v>
      </c>
      <c r="AH322" s="1">
        <v>17361</v>
      </c>
      <c r="AI322" s="1">
        <v>111</v>
      </c>
      <c r="AJ322" s="1">
        <v>920</v>
      </c>
      <c r="AK322" s="1">
        <v>3616</v>
      </c>
      <c r="AL322" s="1">
        <v>297</v>
      </c>
      <c r="AM322" s="1">
        <v>83</v>
      </c>
      <c r="AN322" s="2" t="s">
        <v>277</v>
      </c>
    </row>
    <row r="323" spans="1:40" ht="28.2" x14ac:dyDescent="0.3">
      <c r="A323" s="1">
        <v>15501</v>
      </c>
      <c r="B323" s="2" t="s">
        <v>1785</v>
      </c>
      <c r="C323" s="2" t="s">
        <v>1786</v>
      </c>
      <c r="D323" s="1">
        <v>24</v>
      </c>
      <c r="E323" s="2" t="s">
        <v>545</v>
      </c>
      <c r="F323" s="50" t="s">
        <v>1544</v>
      </c>
      <c r="G323" s="2" t="s">
        <v>1787</v>
      </c>
      <c r="H323" s="1">
        <v>9950</v>
      </c>
      <c r="I323" s="1">
        <v>9399</v>
      </c>
      <c r="J323" s="2" t="s">
        <v>1788</v>
      </c>
      <c r="K323" s="2" t="s">
        <v>920</v>
      </c>
      <c r="L323" s="2" t="s">
        <v>949</v>
      </c>
      <c r="M323" s="1">
        <v>542</v>
      </c>
      <c r="N323" s="1">
        <v>14478</v>
      </c>
      <c r="O323" s="2" t="s">
        <v>463</v>
      </c>
      <c r="P323" s="2" t="s">
        <v>67</v>
      </c>
      <c r="Q323" s="2" t="s">
        <v>276</v>
      </c>
      <c r="R323" s="2" t="s">
        <v>96</v>
      </c>
      <c r="S323" s="2" t="s">
        <v>66</v>
      </c>
      <c r="T323" s="1">
        <v>6750</v>
      </c>
      <c r="U323" s="2" t="s">
        <v>51</v>
      </c>
      <c r="V323" s="1">
        <v>1892</v>
      </c>
      <c r="W323" s="1">
        <v>1548</v>
      </c>
      <c r="X323" s="2" t="s">
        <v>114</v>
      </c>
      <c r="Y323" s="2" t="s">
        <v>111</v>
      </c>
      <c r="Z323" s="2" t="s">
        <v>554</v>
      </c>
      <c r="AA323" s="2" t="s">
        <v>138</v>
      </c>
      <c r="AB323" s="1">
        <v>7728</v>
      </c>
      <c r="AC323" s="1">
        <v>4315</v>
      </c>
      <c r="AD323" s="1">
        <v>1798</v>
      </c>
      <c r="AE323" s="1">
        <v>520</v>
      </c>
      <c r="AF323" s="1">
        <v>106</v>
      </c>
      <c r="AG323" s="1">
        <v>11</v>
      </c>
      <c r="AH323" s="1">
        <v>3034</v>
      </c>
      <c r="AI323" s="1">
        <v>4937</v>
      </c>
      <c r="AJ323" s="1">
        <v>314</v>
      </c>
      <c r="AK323" s="1">
        <v>1494</v>
      </c>
      <c r="AL323" s="1">
        <v>131</v>
      </c>
      <c r="AM323" s="1">
        <v>69</v>
      </c>
      <c r="AN323" s="2" t="s">
        <v>277</v>
      </c>
    </row>
    <row r="324" spans="1:40" ht="28.2" x14ac:dyDescent="0.3">
      <c r="A324" s="1">
        <v>317</v>
      </c>
      <c r="B324" s="2" t="s">
        <v>1789</v>
      </c>
      <c r="C324" s="2" t="s">
        <v>1790</v>
      </c>
      <c r="D324" s="1">
        <v>34</v>
      </c>
      <c r="E324" s="2" t="s">
        <v>327</v>
      </c>
      <c r="F324" s="50" t="s">
        <v>3514</v>
      </c>
      <c r="G324" s="2" t="s">
        <v>1791</v>
      </c>
      <c r="H324" s="1">
        <v>29501</v>
      </c>
      <c r="I324" s="1">
        <v>28482</v>
      </c>
      <c r="J324" s="2" t="s">
        <v>1272</v>
      </c>
      <c r="K324" s="2" t="s">
        <v>1529</v>
      </c>
      <c r="L324" s="2" t="s">
        <v>294</v>
      </c>
      <c r="M324" s="1">
        <v>1592</v>
      </c>
      <c r="N324" s="1">
        <v>41228</v>
      </c>
      <c r="O324" s="2" t="s">
        <v>311</v>
      </c>
      <c r="P324" s="2" t="s">
        <v>202</v>
      </c>
      <c r="Q324" s="2" t="s">
        <v>463</v>
      </c>
      <c r="R324" s="2" t="s">
        <v>66</v>
      </c>
      <c r="S324" s="2" t="s">
        <v>66</v>
      </c>
      <c r="T324" s="1">
        <v>19703</v>
      </c>
      <c r="U324" s="2" t="s">
        <v>51</v>
      </c>
      <c r="V324" s="1">
        <v>5056</v>
      </c>
      <c r="W324" s="1">
        <v>4818</v>
      </c>
      <c r="X324" s="2" t="s">
        <v>304</v>
      </c>
      <c r="Y324" s="2" t="s">
        <v>295</v>
      </c>
      <c r="Z324" s="2" t="s">
        <v>583</v>
      </c>
      <c r="AA324" s="2" t="s">
        <v>392</v>
      </c>
      <c r="AB324" s="1">
        <v>21525</v>
      </c>
      <c r="AC324" s="1">
        <v>12292</v>
      </c>
      <c r="AD324" s="1">
        <v>5442</v>
      </c>
      <c r="AE324" s="1">
        <v>1640</v>
      </c>
      <c r="AF324" s="1">
        <v>301</v>
      </c>
      <c r="AG324" s="1">
        <v>28</v>
      </c>
      <c r="AH324" s="1">
        <v>14682</v>
      </c>
      <c r="AI324" s="1">
        <v>7622</v>
      </c>
      <c r="AJ324" s="1">
        <v>943</v>
      </c>
      <c r="AK324" s="1">
        <v>5317</v>
      </c>
      <c r="AL324" s="1">
        <v>534</v>
      </c>
      <c r="AM324" s="1">
        <v>429</v>
      </c>
      <c r="AN324" s="2" t="s">
        <v>449</v>
      </c>
    </row>
    <row r="325" spans="1:40" ht="28.2" x14ac:dyDescent="0.3">
      <c r="A325" s="1">
        <v>19236</v>
      </c>
      <c r="B325" s="2" t="s">
        <v>1792</v>
      </c>
      <c r="C325" s="2" t="s">
        <v>1793</v>
      </c>
      <c r="D325" s="1">
        <v>20</v>
      </c>
      <c r="E325" s="2" t="s">
        <v>75</v>
      </c>
      <c r="F325" s="50" t="s">
        <v>491</v>
      </c>
      <c r="G325" s="2" t="s">
        <v>1794</v>
      </c>
      <c r="H325" s="1">
        <v>10006</v>
      </c>
      <c r="I325" s="1">
        <v>9327</v>
      </c>
      <c r="J325" s="2" t="s">
        <v>1773</v>
      </c>
      <c r="K325" s="2" t="s">
        <v>920</v>
      </c>
      <c r="L325" s="2" t="s">
        <v>612</v>
      </c>
      <c r="M325" s="1">
        <v>546</v>
      </c>
      <c r="N325" s="1">
        <v>14716</v>
      </c>
      <c r="O325" s="2" t="s">
        <v>167</v>
      </c>
      <c r="P325" s="2" t="s">
        <v>48</v>
      </c>
      <c r="Q325" s="2" t="s">
        <v>215</v>
      </c>
      <c r="R325" s="2" t="s">
        <v>96</v>
      </c>
      <c r="S325" s="2" t="s">
        <v>96</v>
      </c>
      <c r="T325" s="1">
        <v>6844</v>
      </c>
      <c r="U325" s="2" t="s">
        <v>51</v>
      </c>
      <c r="V325" s="1">
        <v>1332</v>
      </c>
      <c r="W325" s="1">
        <v>1385</v>
      </c>
      <c r="X325" s="2" t="s">
        <v>472</v>
      </c>
      <c r="Y325" s="2" t="s">
        <v>472</v>
      </c>
      <c r="Z325" s="2" t="s">
        <v>137</v>
      </c>
      <c r="AA325" s="2" t="s">
        <v>852</v>
      </c>
      <c r="AB325" s="1">
        <v>7872</v>
      </c>
      <c r="AC325" s="1">
        <v>4405</v>
      </c>
      <c r="AD325" s="1">
        <v>1823</v>
      </c>
      <c r="AE325" s="1">
        <v>521</v>
      </c>
      <c r="AF325" s="1">
        <v>83</v>
      </c>
      <c r="AG325" s="1">
        <v>12</v>
      </c>
      <c r="AH325" s="1">
        <v>7744</v>
      </c>
      <c r="AI325" s="1">
        <v>206</v>
      </c>
      <c r="AJ325" s="1">
        <v>250</v>
      </c>
      <c r="AK325" s="1">
        <v>1668</v>
      </c>
      <c r="AL325" s="1">
        <v>150</v>
      </c>
      <c r="AM325" s="1">
        <v>21</v>
      </c>
      <c r="AN325" s="2" t="s">
        <v>464</v>
      </c>
    </row>
    <row r="326" spans="1:40" ht="28.2" x14ac:dyDescent="0.3">
      <c r="A326" s="1">
        <v>13396</v>
      </c>
      <c r="B326" s="2" t="s">
        <v>1795</v>
      </c>
      <c r="C326" s="2" t="s">
        <v>1796</v>
      </c>
      <c r="D326" s="1">
        <v>23</v>
      </c>
      <c r="E326" s="2" t="s">
        <v>452</v>
      </c>
      <c r="F326" s="50" t="s">
        <v>3514</v>
      </c>
      <c r="G326" s="2" t="s">
        <v>537</v>
      </c>
      <c r="H326" s="1">
        <v>10871</v>
      </c>
      <c r="I326" s="1">
        <v>10469</v>
      </c>
      <c r="J326" s="2" t="s">
        <v>1631</v>
      </c>
      <c r="K326" s="2" t="s">
        <v>877</v>
      </c>
      <c r="L326" s="2" t="s">
        <v>589</v>
      </c>
      <c r="M326" s="1">
        <v>575</v>
      </c>
      <c r="N326" s="1">
        <v>15453</v>
      </c>
      <c r="O326" s="2" t="s">
        <v>905</v>
      </c>
      <c r="P326" s="2" t="s">
        <v>202</v>
      </c>
      <c r="Q326" s="2" t="s">
        <v>167</v>
      </c>
      <c r="R326" s="2" t="s">
        <v>96</v>
      </c>
      <c r="S326" s="2" t="s">
        <v>50</v>
      </c>
      <c r="T326" s="1">
        <v>7287</v>
      </c>
      <c r="U326" s="2" t="s">
        <v>51</v>
      </c>
      <c r="V326" s="1">
        <v>1600</v>
      </c>
      <c r="W326" s="1">
        <v>1621</v>
      </c>
      <c r="X326" s="2" t="s">
        <v>285</v>
      </c>
      <c r="Y326" s="2" t="s">
        <v>255</v>
      </c>
      <c r="Z326" s="2" t="s">
        <v>324</v>
      </c>
      <c r="AA326" s="2" t="s">
        <v>844</v>
      </c>
      <c r="AB326" s="1">
        <v>8166</v>
      </c>
      <c r="AC326" s="1">
        <v>4578</v>
      </c>
      <c r="AD326" s="1">
        <v>1991</v>
      </c>
      <c r="AE326" s="1">
        <v>571</v>
      </c>
      <c r="AF326" s="1">
        <v>137</v>
      </c>
      <c r="AG326" s="1">
        <v>10</v>
      </c>
      <c r="AH326" s="1">
        <v>7592</v>
      </c>
      <c r="AI326" s="1">
        <v>556</v>
      </c>
      <c r="AJ326" s="1">
        <v>642</v>
      </c>
      <c r="AK326" s="1">
        <v>1937</v>
      </c>
      <c r="AL326" s="1">
        <v>110</v>
      </c>
      <c r="AM326" s="1">
        <v>55</v>
      </c>
      <c r="AN326" s="2" t="s">
        <v>464</v>
      </c>
    </row>
    <row r="327" spans="1:40" ht="28.2" x14ac:dyDescent="0.3">
      <c r="A327" s="1">
        <v>8255</v>
      </c>
      <c r="B327" s="2" t="s">
        <v>1797</v>
      </c>
      <c r="C327" s="2" t="s">
        <v>1798</v>
      </c>
      <c r="D327" s="1">
        <v>27</v>
      </c>
      <c r="E327" s="2" t="s">
        <v>742</v>
      </c>
      <c r="F327" s="50" t="s">
        <v>3514</v>
      </c>
      <c r="G327" s="2" t="s">
        <v>1799</v>
      </c>
      <c r="H327" s="1">
        <v>9080</v>
      </c>
      <c r="I327" s="1">
        <v>8760</v>
      </c>
      <c r="J327" s="2" t="s">
        <v>1800</v>
      </c>
      <c r="K327" s="2" t="s">
        <v>582</v>
      </c>
      <c r="L327" s="2">
        <v>2</v>
      </c>
      <c r="M327" s="1">
        <v>491</v>
      </c>
      <c r="N327" s="1">
        <v>12779</v>
      </c>
      <c r="O327" s="2" t="s">
        <v>646</v>
      </c>
      <c r="P327" s="2" t="s">
        <v>67</v>
      </c>
      <c r="Q327" s="2" t="s">
        <v>463</v>
      </c>
      <c r="R327" s="2" t="s">
        <v>66</v>
      </c>
      <c r="S327" s="2" t="s">
        <v>66</v>
      </c>
      <c r="T327" s="1">
        <v>6112</v>
      </c>
      <c r="U327" s="2" t="s">
        <v>51</v>
      </c>
      <c r="V327" s="1">
        <v>1736</v>
      </c>
      <c r="W327" s="1">
        <v>1383</v>
      </c>
      <c r="X327" s="2" t="s">
        <v>87</v>
      </c>
      <c r="Y327" s="2" t="s">
        <v>172</v>
      </c>
      <c r="Z327" s="2" t="s">
        <v>1462</v>
      </c>
      <c r="AA327" s="2" t="s">
        <v>712</v>
      </c>
      <c r="AB327" s="1">
        <v>6667</v>
      </c>
      <c r="AC327" s="1">
        <v>3869</v>
      </c>
      <c r="AD327" s="1">
        <v>1654</v>
      </c>
      <c r="AE327" s="1">
        <v>472</v>
      </c>
      <c r="AF327" s="1">
        <v>101</v>
      </c>
      <c r="AG327" s="1">
        <v>16</v>
      </c>
      <c r="AH327" s="1">
        <v>2153</v>
      </c>
      <c r="AI327" s="1">
        <v>4835</v>
      </c>
      <c r="AJ327" s="1">
        <v>340</v>
      </c>
      <c r="AK327" s="1">
        <v>1655</v>
      </c>
      <c r="AL327" s="1">
        <v>86</v>
      </c>
      <c r="AM327" s="1">
        <v>17</v>
      </c>
      <c r="AN327" s="2" t="s">
        <v>449</v>
      </c>
    </row>
    <row r="328" spans="1:40" x14ac:dyDescent="0.3">
      <c r="A328" s="1">
        <v>14445</v>
      </c>
      <c r="B328" s="2" t="s">
        <v>1801</v>
      </c>
      <c r="C328" s="2" t="s">
        <v>1802</v>
      </c>
      <c r="D328" s="1">
        <v>27</v>
      </c>
      <c r="E328" s="2" t="s">
        <v>104</v>
      </c>
      <c r="F328" s="50" t="s">
        <v>3514</v>
      </c>
      <c r="G328" s="2" t="s">
        <v>1803</v>
      </c>
      <c r="H328" s="1">
        <v>8814</v>
      </c>
      <c r="I328" s="1">
        <v>8399</v>
      </c>
      <c r="J328" s="2" t="s">
        <v>1804</v>
      </c>
      <c r="K328" s="2" t="s">
        <v>1363</v>
      </c>
      <c r="L328" s="2" t="s">
        <v>224</v>
      </c>
      <c r="M328" s="1">
        <v>483</v>
      </c>
      <c r="N328" s="1">
        <v>12692</v>
      </c>
      <c r="O328" s="2" t="s">
        <v>463</v>
      </c>
      <c r="P328" s="2" t="s">
        <v>235</v>
      </c>
      <c r="Q328" s="2" t="s">
        <v>322</v>
      </c>
      <c r="R328" s="2" t="s">
        <v>96</v>
      </c>
      <c r="S328" s="2" t="s">
        <v>67</v>
      </c>
      <c r="T328" s="1">
        <v>5992</v>
      </c>
      <c r="U328" s="2" t="s">
        <v>51</v>
      </c>
      <c r="V328" s="1">
        <v>1035</v>
      </c>
      <c r="W328" s="1">
        <v>961</v>
      </c>
      <c r="X328" s="2" t="s">
        <v>277</v>
      </c>
      <c r="Y328" s="2" t="s">
        <v>820</v>
      </c>
      <c r="Z328" s="2" t="s">
        <v>183</v>
      </c>
      <c r="AA328" s="2" t="s">
        <v>1805</v>
      </c>
      <c r="AB328" s="1">
        <v>6700</v>
      </c>
      <c r="AC328" s="1">
        <v>3892</v>
      </c>
      <c r="AD328" s="1">
        <v>1500</v>
      </c>
      <c r="AE328" s="1">
        <v>487</v>
      </c>
      <c r="AF328" s="1">
        <v>104</v>
      </c>
      <c r="AG328" s="1">
        <v>9</v>
      </c>
      <c r="AH328" s="1">
        <v>6007</v>
      </c>
      <c r="AI328" s="1">
        <v>752</v>
      </c>
      <c r="AJ328" s="1">
        <v>405</v>
      </c>
      <c r="AK328" s="1">
        <v>1582</v>
      </c>
      <c r="AL328" s="1">
        <v>74</v>
      </c>
      <c r="AM328" s="1">
        <v>8</v>
      </c>
      <c r="AN328" s="2" t="s">
        <v>464</v>
      </c>
    </row>
    <row r="329" spans="1:40" ht="28.2" x14ac:dyDescent="0.3">
      <c r="A329" s="1">
        <v>17508</v>
      </c>
      <c r="B329" s="2" t="s">
        <v>1806</v>
      </c>
      <c r="C329" s="2" t="s">
        <v>1807</v>
      </c>
      <c r="D329" s="1">
        <v>28</v>
      </c>
      <c r="E329" s="2" t="s">
        <v>75</v>
      </c>
      <c r="F329" s="50" t="s">
        <v>90</v>
      </c>
      <c r="G329" s="2" t="s">
        <v>1808</v>
      </c>
      <c r="H329" s="1">
        <v>9603</v>
      </c>
      <c r="I329" s="1">
        <v>9410</v>
      </c>
      <c r="J329" s="2" t="s">
        <v>1809</v>
      </c>
      <c r="K329" s="2">
        <v>80</v>
      </c>
      <c r="L329" s="2" t="s">
        <v>575</v>
      </c>
      <c r="M329" s="1">
        <v>503</v>
      </c>
      <c r="N329" s="1">
        <v>13395</v>
      </c>
      <c r="O329" s="2" t="s">
        <v>311</v>
      </c>
      <c r="P329" s="2" t="s">
        <v>202</v>
      </c>
      <c r="Q329" s="2" t="s">
        <v>905</v>
      </c>
      <c r="R329" s="2" t="s">
        <v>50</v>
      </c>
      <c r="S329" s="2" t="s">
        <v>50</v>
      </c>
      <c r="T329" s="1">
        <v>6362</v>
      </c>
      <c r="U329" s="2" t="s">
        <v>51</v>
      </c>
      <c r="V329" s="1">
        <v>1571</v>
      </c>
      <c r="W329" s="1">
        <v>1650</v>
      </c>
      <c r="X329" s="2" t="s">
        <v>820</v>
      </c>
      <c r="Y329" s="2" t="s">
        <v>304</v>
      </c>
      <c r="Z329" s="2" t="s">
        <v>567</v>
      </c>
      <c r="AA329" s="2" t="s">
        <v>697</v>
      </c>
      <c r="AB329" s="1">
        <v>7033</v>
      </c>
      <c r="AC329" s="1">
        <v>3950</v>
      </c>
      <c r="AD329" s="1">
        <v>1716</v>
      </c>
      <c r="AE329" s="1">
        <v>570</v>
      </c>
      <c r="AF329" s="1">
        <v>119</v>
      </c>
      <c r="AG329" s="1">
        <v>7</v>
      </c>
      <c r="AH329" s="1">
        <v>6703</v>
      </c>
      <c r="AI329" s="1">
        <v>724</v>
      </c>
      <c r="AJ329" s="1">
        <v>357</v>
      </c>
      <c r="AK329" s="1">
        <v>1703</v>
      </c>
      <c r="AL329" s="1">
        <v>117</v>
      </c>
      <c r="AM329" s="1">
        <v>24</v>
      </c>
      <c r="AN329" s="2" t="s">
        <v>277</v>
      </c>
    </row>
    <row r="330" spans="1:40" x14ac:dyDescent="0.3">
      <c r="A330" s="1">
        <v>16599</v>
      </c>
      <c r="B330" s="2" t="s">
        <v>1810</v>
      </c>
      <c r="C330" s="2" t="s">
        <v>1811</v>
      </c>
      <c r="D330" s="1">
        <v>23</v>
      </c>
      <c r="E330" s="2" t="s">
        <v>459</v>
      </c>
      <c r="F330" s="50" t="s">
        <v>1544</v>
      </c>
      <c r="G330" s="2" t="s">
        <v>1812</v>
      </c>
      <c r="H330" s="1">
        <v>11457</v>
      </c>
      <c r="I330" s="1">
        <v>11080</v>
      </c>
      <c r="J330" s="2" t="s">
        <v>1293</v>
      </c>
      <c r="K330" s="2" t="s">
        <v>79</v>
      </c>
      <c r="L330" s="2" t="s">
        <v>282</v>
      </c>
      <c r="M330" s="1">
        <v>619</v>
      </c>
      <c r="N330" s="1">
        <v>16163</v>
      </c>
      <c r="O330" s="2" t="s">
        <v>646</v>
      </c>
      <c r="P330" s="2" t="s">
        <v>166</v>
      </c>
      <c r="Q330" s="2" t="s">
        <v>463</v>
      </c>
      <c r="R330" s="2" t="s">
        <v>50</v>
      </c>
      <c r="S330" s="2" t="s">
        <v>67</v>
      </c>
      <c r="T330" s="1">
        <v>7682</v>
      </c>
      <c r="U330" s="2" t="s">
        <v>51</v>
      </c>
      <c r="V330" s="1">
        <v>1668</v>
      </c>
      <c r="W330" s="1">
        <v>1777</v>
      </c>
      <c r="X330" s="2" t="s">
        <v>1570</v>
      </c>
      <c r="Y330" s="2">
        <v>1</v>
      </c>
      <c r="Z330" s="2" t="s">
        <v>508</v>
      </c>
      <c r="AA330" s="2" t="s">
        <v>577</v>
      </c>
      <c r="AB330" s="1">
        <v>8481</v>
      </c>
      <c r="AC330" s="1">
        <v>4836</v>
      </c>
      <c r="AD330" s="1">
        <v>2068</v>
      </c>
      <c r="AE330" s="1">
        <v>643</v>
      </c>
      <c r="AF330" s="1">
        <v>119</v>
      </c>
      <c r="AG330" s="1">
        <v>16</v>
      </c>
      <c r="AH330" s="1">
        <v>8315</v>
      </c>
      <c r="AI330" s="1">
        <v>292</v>
      </c>
      <c r="AJ330" s="1">
        <v>519</v>
      </c>
      <c r="AK330" s="1">
        <v>1982</v>
      </c>
      <c r="AL330" s="1">
        <v>214</v>
      </c>
      <c r="AM330" s="1">
        <v>180</v>
      </c>
      <c r="AN330" s="2" t="s">
        <v>277</v>
      </c>
    </row>
    <row r="331" spans="1:40" x14ac:dyDescent="0.3">
      <c r="A331" s="1">
        <v>7594</v>
      </c>
      <c r="B331" s="2" t="s">
        <v>1813</v>
      </c>
      <c r="C331" s="2" t="s">
        <v>1814</v>
      </c>
      <c r="D331" s="1">
        <v>25</v>
      </c>
      <c r="E331" s="2" t="s">
        <v>75</v>
      </c>
      <c r="F331" s="50" t="s">
        <v>90</v>
      </c>
      <c r="G331" s="2" t="s">
        <v>60</v>
      </c>
      <c r="H331" s="1">
        <v>29923</v>
      </c>
      <c r="I331" s="1">
        <v>28568</v>
      </c>
      <c r="J331" s="2" t="s">
        <v>1671</v>
      </c>
      <c r="K331" s="2">
        <v>75</v>
      </c>
      <c r="L331" s="2" t="s">
        <v>80</v>
      </c>
      <c r="M331" s="1">
        <v>1627</v>
      </c>
      <c r="N331" s="1">
        <v>42977</v>
      </c>
      <c r="O331" s="2" t="s">
        <v>905</v>
      </c>
      <c r="P331" s="2" t="s">
        <v>235</v>
      </c>
      <c r="Q331" s="2" t="s">
        <v>322</v>
      </c>
      <c r="R331" s="2" t="s">
        <v>96</v>
      </c>
      <c r="S331" s="2" t="s">
        <v>96</v>
      </c>
      <c r="T331" s="1">
        <v>20241</v>
      </c>
      <c r="U331" s="2" t="s">
        <v>51</v>
      </c>
      <c r="V331" s="1">
        <v>3966</v>
      </c>
      <c r="W331" s="1">
        <v>4020</v>
      </c>
      <c r="X331" s="2" t="s">
        <v>285</v>
      </c>
      <c r="Y331" s="2" t="s">
        <v>503</v>
      </c>
      <c r="Z331" s="2" t="s">
        <v>217</v>
      </c>
      <c r="AA331" s="2" t="s">
        <v>1244</v>
      </c>
      <c r="AB331" s="1">
        <v>22736</v>
      </c>
      <c r="AC331" s="1">
        <v>12967</v>
      </c>
      <c r="AD331" s="1">
        <v>5306</v>
      </c>
      <c r="AE331" s="1">
        <v>1590</v>
      </c>
      <c r="AF331" s="1">
        <v>343</v>
      </c>
      <c r="AG331" s="1">
        <v>35</v>
      </c>
      <c r="AH331" s="1">
        <v>21090</v>
      </c>
      <c r="AI331" s="1">
        <v>1754</v>
      </c>
      <c r="AJ331" s="1">
        <v>1628</v>
      </c>
      <c r="AK331" s="1">
        <v>5124</v>
      </c>
      <c r="AL331" s="1">
        <v>290</v>
      </c>
      <c r="AM331" s="1">
        <v>90</v>
      </c>
      <c r="AN331" s="2" t="s">
        <v>449</v>
      </c>
    </row>
    <row r="332" spans="1:40" x14ac:dyDescent="0.3">
      <c r="A332" s="1">
        <v>9271</v>
      </c>
      <c r="B332" s="2" t="s">
        <v>1815</v>
      </c>
      <c r="C332" s="2" t="s">
        <v>1816</v>
      </c>
      <c r="D332" s="1">
        <v>26</v>
      </c>
      <c r="E332" s="2" t="s">
        <v>452</v>
      </c>
      <c r="F332" s="50" t="s">
        <v>537</v>
      </c>
      <c r="G332" s="2" t="s">
        <v>537</v>
      </c>
      <c r="H332" s="1">
        <v>20929</v>
      </c>
      <c r="I332" s="1">
        <v>20095</v>
      </c>
      <c r="J332" s="2" t="s">
        <v>448</v>
      </c>
      <c r="K332" s="2" t="s">
        <v>418</v>
      </c>
      <c r="L332" s="2" t="s">
        <v>612</v>
      </c>
      <c r="M332" s="1">
        <v>1121</v>
      </c>
      <c r="N332" s="1">
        <v>30114</v>
      </c>
      <c r="O332" s="2" t="s">
        <v>463</v>
      </c>
      <c r="P332" s="2" t="s">
        <v>235</v>
      </c>
      <c r="Q332" s="2" t="s">
        <v>225</v>
      </c>
      <c r="R332" s="2" t="s">
        <v>96</v>
      </c>
      <c r="S332" s="2" t="s">
        <v>96</v>
      </c>
      <c r="T332" s="1">
        <v>14037</v>
      </c>
      <c r="U332" s="2" t="s">
        <v>51</v>
      </c>
      <c r="V332" s="1">
        <v>3469</v>
      </c>
      <c r="W332" s="1">
        <v>3448</v>
      </c>
      <c r="X332" s="2" t="s">
        <v>255</v>
      </c>
      <c r="Y332" s="2" t="s">
        <v>304</v>
      </c>
      <c r="Z332" s="2" t="s">
        <v>728</v>
      </c>
      <c r="AA332" s="2" t="s">
        <v>697</v>
      </c>
      <c r="AB332" s="1">
        <v>16077</v>
      </c>
      <c r="AC332" s="1">
        <v>8857</v>
      </c>
      <c r="AD332" s="1">
        <v>3742</v>
      </c>
      <c r="AE332" s="1">
        <v>1183</v>
      </c>
      <c r="AF332" s="1">
        <v>236</v>
      </c>
      <c r="AG332" s="1">
        <v>19</v>
      </c>
      <c r="AH332" s="1">
        <v>11504</v>
      </c>
      <c r="AI332" s="1">
        <v>4069</v>
      </c>
      <c r="AJ332" s="1">
        <v>1551</v>
      </c>
      <c r="AK332" s="1">
        <v>3308</v>
      </c>
      <c r="AL332" s="1">
        <v>325</v>
      </c>
      <c r="AM332" s="1">
        <v>220</v>
      </c>
      <c r="AN332" s="2" t="s">
        <v>449</v>
      </c>
    </row>
    <row r="333" spans="1:40" x14ac:dyDescent="0.3">
      <c r="A333" s="1">
        <v>17793</v>
      </c>
      <c r="B333" s="2" t="s">
        <v>1817</v>
      </c>
      <c r="C333" s="2" t="s">
        <v>1818</v>
      </c>
      <c r="D333" s="1">
        <v>25</v>
      </c>
      <c r="E333" s="2" t="s">
        <v>1144</v>
      </c>
      <c r="F333" s="50" t="s">
        <v>1819</v>
      </c>
      <c r="G333" s="2" t="s">
        <v>1820</v>
      </c>
      <c r="H333" s="1">
        <v>8764</v>
      </c>
      <c r="I333" s="1">
        <v>8133</v>
      </c>
      <c r="J333" s="2" t="s">
        <v>644</v>
      </c>
      <c r="K333" s="2" t="s">
        <v>1529</v>
      </c>
      <c r="L333" s="2" t="s">
        <v>541</v>
      </c>
      <c r="M333" s="1">
        <v>478</v>
      </c>
      <c r="N333" s="1">
        <v>12883</v>
      </c>
      <c r="O333" s="2" t="s">
        <v>167</v>
      </c>
      <c r="P333" s="2" t="s">
        <v>50</v>
      </c>
      <c r="Q333" s="2" t="s">
        <v>215</v>
      </c>
      <c r="R333" s="2" t="s">
        <v>66</v>
      </c>
      <c r="S333" s="2" t="s">
        <v>96</v>
      </c>
      <c r="T333" s="1">
        <v>6052</v>
      </c>
      <c r="U333" s="2" t="s">
        <v>51</v>
      </c>
      <c r="V333" s="1">
        <v>1593</v>
      </c>
      <c r="W333" s="1">
        <v>1167</v>
      </c>
      <c r="X333" s="2" t="s">
        <v>254</v>
      </c>
      <c r="Y333" s="2" t="s">
        <v>98</v>
      </c>
      <c r="Z333" s="2" t="s">
        <v>635</v>
      </c>
      <c r="AA333" s="2" t="s">
        <v>629</v>
      </c>
      <c r="AB333" s="1">
        <v>6831</v>
      </c>
      <c r="AC333" s="1">
        <v>3944</v>
      </c>
      <c r="AD333" s="1">
        <v>1597</v>
      </c>
      <c r="AE333" s="1">
        <v>425</v>
      </c>
      <c r="AF333" s="1">
        <v>79</v>
      </c>
      <c r="AG333" s="1">
        <v>7</v>
      </c>
      <c r="AH333" s="1">
        <v>2009</v>
      </c>
      <c r="AI333" s="1">
        <v>5245</v>
      </c>
      <c r="AJ333" s="1">
        <v>213</v>
      </c>
      <c r="AK333" s="1">
        <v>1233</v>
      </c>
      <c r="AL333" s="1">
        <v>75</v>
      </c>
      <c r="AM333" s="1">
        <v>13</v>
      </c>
      <c r="AN333" s="2" t="s">
        <v>464</v>
      </c>
    </row>
    <row r="334" spans="1:40" ht="28.2" x14ac:dyDescent="0.3">
      <c r="A334" s="1">
        <v>10264</v>
      </c>
      <c r="B334" s="2" t="s">
        <v>1821</v>
      </c>
      <c r="C334" s="2" t="s">
        <v>1822</v>
      </c>
      <c r="D334" s="1">
        <v>24</v>
      </c>
      <c r="E334" s="2" t="s">
        <v>196</v>
      </c>
      <c r="F334" s="50" t="s">
        <v>130</v>
      </c>
      <c r="G334" s="2" t="s">
        <v>1823</v>
      </c>
      <c r="H334" s="1">
        <v>22111</v>
      </c>
      <c r="I334" s="1">
        <v>21033</v>
      </c>
      <c r="J334" s="2" t="s">
        <v>252</v>
      </c>
      <c r="K334" s="2" t="s">
        <v>1494</v>
      </c>
      <c r="L334" s="2" t="s">
        <v>201</v>
      </c>
      <c r="M334" s="1">
        <v>1211</v>
      </c>
      <c r="N334" s="1">
        <v>32024</v>
      </c>
      <c r="O334" s="2" t="s">
        <v>463</v>
      </c>
      <c r="P334" s="2" t="s">
        <v>202</v>
      </c>
      <c r="Q334" s="2" t="s">
        <v>322</v>
      </c>
      <c r="R334" s="2" t="s">
        <v>50</v>
      </c>
      <c r="S334" s="2" t="s">
        <v>67</v>
      </c>
      <c r="T334" s="1">
        <v>15019</v>
      </c>
      <c r="U334" s="2" t="s">
        <v>51</v>
      </c>
      <c r="V334" s="1">
        <v>3058</v>
      </c>
      <c r="W334" s="1">
        <v>3136</v>
      </c>
      <c r="X334" s="2" t="s">
        <v>245</v>
      </c>
      <c r="Y334" s="2" t="s">
        <v>245</v>
      </c>
      <c r="Z334" s="2" t="s">
        <v>399</v>
      </c>
      <c r="AA334" s="2" t="s">
        <v>1379</v>
      </c>
      <c r="AB334" s="1">
        <v>17005</v>
      </c>
      <c r="AC334" s="1">
        <v>9672</v>
      </c>
      <c r="AD334" s="1">
        <v>3889</v>
      </c>
      <c r="AE334" s="1">
        <v>1195</v>
      </c>
      <c r="AF334" s="1">
        <v>239</v>
      </c>
      <c r="AG334" s="1">
        <v>24</v>
      </c>
      <c r="AH334" s="1">
        <v>16462</v>
      </c>
      <c r="AI334" s="1">
        <v>329</v>
      </c>
      <c r="AJ334" s="1">
        <v>1178</v>
      </c>
      <c r="AK334" s="1">
        <v>3798</v>
      </c>
      <c r="AL334" s="1">
        <v>277</v>
      </c>
      <c r="AM334" s="1">
        <v>113</v>
      </c>
      <c r="AN334" s="2" t="s">
        <v>449</v>
      </c>
    </row>
    <row r="335" spans="1:40" ht="28.2" x14ac:dyDescent="0.3">
      <c r="A335" s="1">
        <v>9616</v>
      </c>
      <c r="B335" s="2" t="s">
        <v>1824</v>
      </c>
      <c r="C335" s="2" t="s">
        <v>1825</v>
      </c>
      <c r="D335" s="1">
        <v>28</v>
      </c>
      <c r="E335" s="2" t="s">
        <v>42</v>
      </c>
      <c r="F335" s="50" t="s">
        <v>1826</v>
      </c>
      <c r="G335" s="2" t="s">
        <v>1827</v>
      </c>
      <c r="H335" s="1">
        <v>18691</v>
      </c>
      <c r="I335" s="1">
        <v>17492</v>
      </c>
      <c r="J335" s="2" t="s">
        <v>1828</v>
      </c>
      <c r="K335" s="2" t="s">
        <v>916</v>
      </c>
      <c r="L335" s="2" t="s">
        <v>164</v>
      </c>
      <c r="M335" s="1">
        <v>1030</v>
      </c>
      <c r="N335" s="1">
        <v>27668</v>
      </c>
      <c r="O335" s="2" t="s">
        <v>167</v>
      </c>
      <c r="P335" s="2" t="s">
        <v>202</v>
      </c>
      <c r="Q335" s="2" t="s">
        <v>215</v>
      </c>
      <c r="R335" s="2" t="s">
        <v>96</v>
      </c>
      <c r="S335" s="2" t="s">
        <v>96</v>
      </c>
      <c r="T335" s="1">
        <v>12796</v>
      </c>
      <c r="U335" s="2" t="s">
        <v>51</v>
      </c>
      <c r="V335" s="1">
        <v>2542</v>
      </c>
      <c r="W335" s="1">
        <v>2429</v>
      </c>
      <c r="X335" s="2" t="s">
        <v>304</v>
      </c>
      <c r="Y335" s="2" t="s">
        <v>245</v>
      </c>
      <c r="Z335" s="2" t="s">
        <v>705</v>
      </c>
      <c r="AA335" s="2" t="s">
        <v>852</v>
      </c>
      <c r="AB335" s="1">
        <v>14872</v>
      </c>
      <c r="AC335" s="1">
        <v>8302</v>
      </c>
      <c r="AD335" s="1">
        <v>3318</v>
      </c>
      <c r="AE335" s="1">
        <v>969</v>
      </c>
      <c r="AF335" s="1">
        <v>189</v>
      </c>
      <c r="AG335" s="1">
        <v>18</v>
      </c>
      <c r="AH335" s="1">
        <v>9930</v>
      </c>
      <c r="AI335" s="1">
        <v>2939</v>
      </c>
      <c r="AJ335" s="1">
        <v>2687</v>
      </c>
      <c r="AK335" s="1">
        <v>2813</v>
      </c>
      <c r="AL335" s="1">
        <v>223</v>
      </c>
      <c r="AM335" s="1">
        <v>176</v>
      </c>
      <c r="AN335" s="2" t="s">
        <v>449</v>
      </c>
    </row>
    <row r="336" spans="1:40" x14ac:dyDescent="0.3">
      <c r="A336" s="1">
        <v>10992</v>
      </c>
      <c r="B336" s="2" t="s">
        <v>1829</v>
      </c>
      <c r="C336" s="2" t="s">
        <v>1830</v>
      </c>
      <c r="D336" s="1">
        <v>25</v>
      </c>
      <c r="E336" s="2" t="s">
        <v>196</v>
      </c>
      <c r="F336" s="50" t="s">
        <v>1831</v>
      </c>
      <c r="G336" s="2" t="s">
        <v>1832</v>
      </c>
      <c r="H336" s="1">
        <v>9094</v>
      </c>
      <c r="I336" s="1">
        <v>8592</v>
      </c>
      <c r="J336" s="2" t="s">
        <v>1833</v>
      </c>
      <c r="K336" s="2" t="s">
        <v>1834</v>
      </c>
      <c r="L336" s="2" t="s">
        <v>390</v>
      </c>
      <c r="M336" s="1">
        <v>507</v>
      </c>
      <c r="N336" s="1">
        <v>13234</v>
      </c>
      <c r="O336" s="2" t="s">
        <v>463</v>
      </c>
      <c r="P336" s="2" t="s">
        <v>96</v>
      </c>
      <c r="Q336" s="2" t="s">
        <v>276</v>
      </c>
      <c r="R336" s="2" t="s">
        <v>96</v>
      </c>
      <c r="S336" s="2" t="s">
        <v>66</v>
      </c>
      <c r="T336" s="1">
        <v>6202</v>
      </c>
      <c r="U336" s="2" t="s">
        <v>51</v>
      </c>
      <c r="V336" s="1">
        <v>1848</v>
      </c>
      <c r="W336" s="1">
        <v>1376</v>
      </c>
      <c r="X336" s="2" t="s">
        <v>1106</v>
      </c>
      <c r="Y336" s="2" t="s">
        <v>127</v>
      </c>
      <c r="Z336" s="2" t="s">
        <v>1656</v>
      </c>
      <c r="AA336" s="2" t="s">
        <v>71</v>
      </c>
      <c r="AB336" s="1">
        <v>7032</v>
      </c>
      <c r="AC336" s="1">
        <v>3997</v>
      </c>
      <c r="AD336" s="1">
        <v>1630</v>
      </c>
      <c r="AE336" s="1">
        <v>472</v>
      </c>
      <c r="AF336" s="1">
        <v>94</v>
      </c>
      <c r="AG336" s="1">
        <v>9</v>
      </c>
      <c r="AH336" s="1">
        <v>1259</v>
      </c>
      <c r="AI336" s="1">
        <v>5965</v>
      </c>
      <c r="AJ336" s="1">
        <v>379</v>
      </c>
      <c r="AK336" s="1">
        <v>1375</v>
      </c>
      <c r="AL336" s="1">
        <v>120</v>
      </c>
      <c r="AM336" s="1">
        <v>13</v>
      </c>
      <c r="AN336" s="2" t="s">
        <v>590</v>
      </c>
    </row>
    <row r="337" spans="1:40" x14ac:dyDescent="0.3">
      <c r="A337" s="1">
        <v>8994</v>
      </c>
      <c r="B337" s="2" t="s">
        <v>1835</v>
      </c>
      <c r="C337" s="2" t="s">
        <v>1836</v>
      </c>
      <c r="D337" s="1">
        <v>25</v>
      </c>
      <c r="E337" s="2" t="s">
        <v>446</v>
      </c>
      <c r="F337" s="50" t="s">
        <v>1744</v>
      </c>
      <c r="G337" s="2" t="s">
        <v>1837</v>
      </c>
      <c r="H337" s="1">
        <v>20297</v>
      </c>
      <c r="I337" s="1">
        <v>19875</v>
      </c>
      <c r="J337" s="2" t="s">
        <v>744</v>
      </c>
      <c r="K337" s="2" t="s">
        <v>424</v>
      </c>
      <c r="L337" s="2" t="s">
        <v>575</v>
      </c>
      <c r="M337" s="1">
        <v>1068</v>
      </c>
      <c r="N337" s="1">
        <v>28553</v>
      </c>
      <c r="O337" s="2" t="s">
        <v>646</v>
      </c>
      <c r="P337" s="2" t="s">
        <v>166</v>
      </c>
      <c r="Q337" s="2" t="s">
        <v>905</v>
      </c>
      <c r="R337" s="2" t="s">
        <v>50</v>
      </c>
      <c r="S337" s="2" t="s">
        <v>67</v>
      </c>
      <c r="T337" s="1">
        <v>13462</v>
      </c>
      <c r="U337" s="2" t="s">
        <v>51</v>
      </c>
      <c r="V337" s="1">
        <v>2800</v>
      </c>
      <c r="W337" s="1">
        <v>3048</v>
      </c>
      <c r="X337" s="2" t="s">
        <v>1314</v>
      </c>
      <c r="Y337" s="2" t="s">
        <v>245</v>
      </c>
      <c r="Z337" s="2" t="s">
        <v>170</v>
      </c>
      <c r="AA337" s="2" t="s">
        <v>560</v>
      </c>
      <c r="AB337" s="1">
        <v>15091</v>
      </c>
      <c r="AC337" s="1">
        <v>8348</v>
      </c>
      <c r="AD337" s="1">
        <v>3682</v>
      </c>
      <c r="AE337" s="1">
        <v>1166</v>
      </c>
      <c r="AF337" s="1">
        <v>243</v>
      </c>
      <c r="AG337" s="1">
        <v>23</v>
      </c>
      <c r="AH337" s="1">
        <v>14653</v>
      </c>
      <c r="AI337" s="1">
        <v>491</v>
      </c>
      <c r="AJ337" s="1">
        <v>1671</v>
      </c>
      <c r="AK337" s="1">
        <v>3163</v>
      </c>
      <c r="AL337" s="1">
        <v>295</v>
      </c>
      <c r="AM337" s="1">
        <v>71</v>
      </c>
      <c r="AN337" s="2" t="s">
        <v>449</v>
      </c>
    </row>
    <row r="338" spans="1:40" x14ac:dyDescent="0.3">
      <c r="A338" s="1">
        <v>8346</v>
      </c>
      <c r="B338" s="2" t="s">
        <v>1838</v>
      </c>
      <c r="C338" s="2" t="s">
        <v>1839</v>
      </c>
      <c r="D338" s="1">
        <v>32</v>
      </c>
      <c r="E338" s="2" t="s">
        <v>459</v>
      </c>
      <c r="F338" s="50" t="s">
        <v>3514</v>
      </c>
      <c r="G338" s="2" t="s">
        <v>1840</v>
      </c>
      <c r="H338" s="1">
        <v>14626</v>
      </c>
      <c r="I338" s="1">
        <v>13801</v>
      </c>
      <c r="J338" s="2" t="s">
        <v>1841</v>
      </c>
      <c r="K338" s="2" t="s">
        <v>1842</v>
      </c>
      <c r="L338" s="2" t="s">
        <v>122</v>
      </c>
      <c r="M338" s="1">
        <v>823</v>
      </c>
      <c r="N338" s="1">
        <v>21321</v>
      </c>
      <c r="O338" s="2" t="s">
        <v>463</v>
      </c>
      <c r="P338" s="2" t="s">
        <v>50</v>
      </c>
      <c r="Q338" s="2" t="s">
        <v>276</v>
      </c>
      <c r="R338" s="2" t="s">
        <v>50</v>
      </c>
      <c r="S338" s="2" t="s">
        <v>96</v>
      </c>
      <c r="T338" s="1">
        <v>9980</v>
      </c>
      <c r="U338" s="2" t="s">
        <v>51</v>
      </c>
      <c r="V338" s="1">
        <v>2613</v>
      </c>
      <c r="W338" s="1">
        <v>1953</v>
      </c>
      <c r="X338" s="2" t="s">
        <v>1106</v>
      </c>
      <c r="Y338" s="2" t="s">
        <v>98</v>
      </c>
      <c r="Z338" s="2" t="s">
        <v>473</v>
      </c>
      <c r="AA338" s="2" t="s">
        <v>392</v>
      </c>
      <c r="AB338" s="1">
        <v>11341</v>
      </c>
      <c r="AC338" s="1">
        <v>6437</v>
      </c>
      <c r="AD338" s="1">
        <v>2625</v>
      </c>
      <c r="AE338" s="1">
        <v>757</v>
      </c>
      <c r="AF338" s="1">
        <v>147</v>
      </c>
      <c r="AG338" s="1">
        <v>14</v>
      </c>
      <c r="AH338" s="1">
        <v>1539</v>
      </c>
      <c r="AI338" s="1">
        <v>9275</v>
      </c>
      <c r="AJ338" s="1">
        <v>1024</v>
      </c>
      <c r="AK338" s="1">
        <v>2645</v>
      </c>
      <c r="AL338" s="1">
        <v>146</v>
      </c>
      <c r="AM338" s="1">
        <v>19</v>
      </c>
      <c r="AN338" s="2" t="s">
        <v>449</v>
      </c>
    </row>
    <row r="339" spans="1:40" ht="42" x14ac:dyDescent="0.3">
      <c r="A339" s="1">
        <v>557</v>
      </c>
      <c r="B339" s="2" t="s">
        <v>1843</v>
      </c>
      <c r="C339" s="2" t="s">
        <v>1844</v>
      </c>
      <c r="D339" s="1">
        <v>32</v>
      </c>
      <c r="E339" s="2" t="s">
        <v>104</v>
      </c>
      <c r="F339" s="50" t="s">
        <v>855</v>
      </c>
      <c r="G339" s="2" t="s">
        <v>1845</v>
      </c>
      <c r="H339" s="1">
        <v>12310</v>
      </c>
      <c r="I339" s="1">
        <v>11644</v>
      </c>
      <c r="J339" s="2" t="s">
        <v>1631</v>
      </c>
      <c r="K339" s="2" t="s">
        <v>1510</v>
      </c>
      <c r="L339" s="2" t="s">
        <v>1846</v>
      </c>
      <c r="M339" s="1">
        <v>689</v>
      </c>
      <c r="N339" s="1">
        <v>17735</v>
      </c>
      <c r="O339" s="2" t="s">
        <v>463</v>
      </c>
      <c r="P339" s="2" t="s">
        <v>553</v>
      </c>
      <c r="Q339" s="2" t="s">
        <v>322</v>
      </c>
      <c r="R339" s="2" t="s">
        <v>66</v>
      </c>
      <c r="S339" s="2" t="s">
        <v>66</v>
      </c>
      <c r="T339" s="1">
        <v>8445</v>
      </c>
      <c r="U339" s="2" t="s">
        <v>51</v>
      </c>
      <c r="V339" s="1">
        <v>1722</v>
      </c>
      <c r="W339" s="1">
        <v>1652</v>
      </c>
      <c r="X339" s="2" t="s">
        <v>407</v>
      </c>
      <c r="Y339" s="2">
        <v>1</v>
      </c>
      <c r="Z339" s="2" t="s">
        <v>256</v>
      </c>
      <c r="AA339" s="2" t="s">
        <v>888</v>
      </c>
      <c r="AB339" s="1">
        <v>9290</v>
      </c>
      <c r="AC339" s="1">
        <v>5496</v>
      </c>
      <c r="AD339" s="1">
        <v>2179</v>
      </c>
      <c r="AE339" s="1">
        <v>638</v>
      </c>
      <c r="AF339" s="1">
        <v>118</v>
      </c>
      <c r="AG339" s="1">
        <v>14</v>
      </c>
      <c r="AH339" s="1">
        <v>8855</v>
      </c>
      <c r="AI339" s="1">
        <v>302</v>
      </c>
      <c r="AJ339" s="1">
        <v>730</v>
      </c>
      <c r="AK339" s="1">
        <v>2121</v>
      </c>
      <c r="AL339" s="1">
        <v>239</v>
      </c>
      <c r="AM339" s="1">
        <v>84</v>
      </c>
      <c r="AN339" s="2" t="s">
        <v>449</v>
      </c>
    </row>
    <row r="340" spans="1:40" ht="28.2" x14ac:dyDescent="0.3">
      <c r="A340" s="1">
        <v>7168</v>
      </c>
      <c r="B340" s="2" t="s">
        <v>1847</v>
      </c>
      <c r="C340" s="2" t="s">
        <v>1848</v>
      </c>
      <c r="D340" s="1">
        <v>28</v>
      </c>
      <c r="E340" s="2" t="s">
        <v>42</v>
      </c>
      <c r="F340" s="50" t="s">
        <v>188</v>
      </c>
      <c r="G340" s="2" t="s">
        <v>1849</v>
      </c>
      <c r="H340" s="1">
        <v>37156</v>
      </c>
      <c r="I340" s="1">
        <v>35837</v>
      </c>
      <c r="J340" s="2" t="s">
        <v>1850</v>
      </c>
      <c r="K340" s="2" t="s">
        <v>480</v>
      </c>
      <c r="L340" s="2" t="s">
        <v>93</v>
      </c>
      <c r="M340" s="1">
        <v>2051</v>
      </c>
      <c r="N340" s="1">
        <v>53635</v>
      </c>
      <c r="O340" s="2" t="s">
        <v>463</v>
      </c>
      <c r="P340" s="2" t="s">
        <v>166</v>
      </c>
      <c r="Q340" s="2" t="s">
        <v>225</v>
      </c>
      <c r="R340" s="2" t="s">
        <v>50</v>
      </c>
      <c r="S340" s="2" t="s">
        <v>66</v>
      </c>
      <c r="T340" s="1">
        <v>24791</v>
      </c>
      <c r="U340" s="2" t="s">
        <v>51</v>
      </c>
      <c r="V340" s="1">
        <v>5699</v>
      </c>
      <c r="W340" s="1">
        <v>6017</v>
      </c>
      <c r="X340" s="2" t="s">
        <v>820</v>
      </c>
      <c r="Y340" s="2" t="s">
        <v>255</v>
      </c>
      <c r="Z340" s="2" t="s">
        <v>443</v>
      </c>
      <c r="AA340" s="2" t="s">
        <v>577</v>
      </c>
      <c r="AB340" s="1">
        <v>28844</v>
      </c>
      <c r="AC340" s="1">
        <v>15565</v>
      </c>
      <c r="AD340" s="1">
        <v>6718</v>
      </c>
      <c r="AE340" s="1">
        <v>2012</v>
      </c>
      <c r="AF340" s="1">
        <v>441</v>
      </c>
      <c r="AG340" s="1">
        <v>55</v>
      </c>
      <c r="AH340" s="1">
        <v>26354</v>
      </c>
      <c r="AI340" s="1">
        <v>1429</v>
      </c>
      <c r="AJ340" s="1">
        <v>1717</v>
      </c>
      <c r="AK340" s="1">
        <v>6915</v>
      </c>
      <c r="AL340" s="1">
        <v>333</v>
      </c>
      <c r="AM340" s="1">
        <v>454</v>
      </c>
      <c r="AN340" s="2" t="s">
        <v>449</v>
      </c>
    </row>
    <row r="341" spans="1:40" ht="28.2" x14ac:dyDescent="0.3">
      <c r="A341" s="1">
        <v>10698</v>
      </c>
      <c r="B341" s="2" t="s">
        <v>1851</v>
      </c>
      <c r="C341" s="2" t="s">
        <v>1852</v>
      </c>
      <c r="D341" s="1">
        <v>22</v>
      </c>
      <c r="E341" s="2" t="s">
        <v>187</v>
      </c>
      <c r="F341" s="50" t="s">
        <v>1744</v>
      </c>
      <c r="G341" s="2" t="s">
        <v>1853</v>
      </c>
      <c r="H341" s="1">
        <v>10309</v>
      </c>
      <c r="I341" s="1">
        <v>10009</v>
      </c>
      <c r="J341" s="2" t="s">
        <v>1485</v>
      </c>
      <c r="K341" s="2" t="s">
        <v>999</v>
      </c>
      <c r="L341" s="2" t="s">
        <v>441</v>
      </c>
      <c r="M341" s="1">
        <v>558</v>
      </c>
      <c r="N341" s="1">
        <v>14585</v>
      </c>
      <c r="O341" s="2" t="s">
        <v>646</v>
      </c>
      <c r="P341" s="2" t="s">
        <v>67</v>
      </c>
      <c r="Q341" s="2" t="s">
        <v>463</v>
      </c>
      <c r="R341" s="2" t="s">
        <v>50</v>
      </c>
      <c r="S341" s="2" t="s">
        <v>48</v>
      </c>
      <c r="T341" s="1">
        <v>6933</v>
      </c>
      <c r="U341" s="2" t="s">
        <v>51</v>
      </c>
      <c r="V341" s="1">
        <v>1744</v>
      </c>
      <c r="W341" s="1">
        <v>1525</v>
      </c>
      <c r="X341" s="2" t="s">
        <v>111</v>
      </c>
      <c r="Y341" s="2" t="s">
        <v>295</v>
      </c>
      <c r="Z341" s="2" t="s">
        <v>383</v>
      </c>
      <c r="AA341" s="2" t="s">
        <v>629</v>
      </c>
      <c r="AB341" s="1">
        <v>7652</v>
      </c>
      <c r="AC341" s="1">
        <v>4414</v>
      </c>
      <c r="AD341" s="1">
        <v>1815</v>
      </c>
      <c r="AE341" s="1">
        <v>563</v>
      </c>
      <c r="AF341" s="1">
        <v>129</v>
      </c>
      <c r="AG341" s="1">
        <v>12</v>
      </c>
      <c r="AH341" s="1">
        <v>2297</v>
      </c>
      <c r="AI341" s="1">
        <v>5702</v>
      </c>
      <c r="AJ341" s="1">
        <v>513</v>
      </c>
      <c r="AK341" s="1">
        <v>1717</v>
      </c>
      <c r="AL341" s="1">
        <v>82</v>
      </c>
      <c r="AM341" s="1">
        <v>24</v>
      </c>
      <c r="AN341" s="2" t="s">
        <v>304</v>
      </c>
    </row>
    <row r="342" spans="1:40" x14ac:dyDescent="0.3">
      <c r="A342" s="1">
        <v>9961</v>
      </c>
      <c r="B342" s="2" t="s">
        <v>1854</v>
      </c>
      <c r="C342" s="2" t="s">
        <v>1855</v>
      </c>
      <c r="D342" s="1">
        <v>23</v>
      </c>
      <c r="E342" s="2" t="s">
        <v>379</v>
      </c>
      <c r="F342" s="50" t="s">
        <v>3514</v>
      </c>
      <c r="G342" s="2" t="s">
        <v>1856</v>
      </c>
      <c r="H342" s="1">
        <v>9507</v>
      </c>
      <c r="I342" s="1">
        <v>9169</v>
      </c>
      <c r="J342" s="2" t="s">
        <v>760</v>
      </c>
      <c r="K342" s="2" t="s">
        <v>989</v>
      </c>
      <c r="L342" s="2" t="s">
        <v>680</v>
      </c>
      <c r="M342" s="1">
        <v>522</v>
      </c>
      <c r="N342" s="1">
        <v>13451</v>
      </c>
      <c r="O342" s="2" t="s">
        <v>646</v>
      </c>
      <c r="P342" s="2" t="s">
        <v>235</v>
      </c>
      <c r="Q342" s="2" t="s">
        <v>167</v>
      </c>
      <c r="R342" s="2" t="s">
        <v>67</v>
      </c>
      <c r="S342" s="2" t="s">
        <v>67</v>
      </c>
      <c r="T342" s="1">
        <v>6421</v>
      </c>
      <c r="U342" s="2" t="s">
        <v>51</v>
      </c>
      <c r="V342" s="1">
        <v>1322</v>
      </c>
      <c r="W342" s="1">
        <v>1388</v>
      </c>
      <c r="X342" s="2" t="s">
        <v>820</v>
      </c>
      <c r="Y342" s="2" t="s">
        <v>285</v>
      </c>
      <c r="Z342" s="2" t="s">
        <v>821</v>
      </c>
      <c r="AA342" s="2" t="s">
        <v>739</v>
      </c>
      <c r="AB342" s="1">
        <v>7030</v>
      </c>
      <c r="AC342" s="1">
        <v>4088</v>
      </c>
      <c r="AD342" s="1">
        <v>1702</v>
      </c>
      <c r="AE342" s="1">
        <v>513</v>
      </c>
      <c r="AF342" s="1">
        <v>114</v>
      </c>
      <c r="AG342" s="1">
        <v>4</v>
      </c>
      <c r="AH342" s="1">
        <v>7317</v>
      </c>
      <c r="AI342" s="1">
        <v>7</v>
      </c>
      <c r="AJ342" s="1">
        <v>544</v>
      </c>
      <c r="AK342" s="1">
        <v>1591</v>
      </c>
      <c r="AL342" s="1">
        <v>60</v>
      </c>
      <c r="AM342" s="1">
        <v>9</v>
      </c>
      <c r="AN342" s="2" t="s">
        <v>449</v>
      </c>
    </row>
    <row r="343" spans="1:40" ht="28.2" x14ac:dyDescent="0.3">
      <c r="A343" s="1">
        <v>9008</v>
      </c>
      <c r="B343" s="2" t="s">
        <v>1857</v>
      </c>
      <c r="C343" s="2" t="s">
        <v>1858</v>
      </c>
      <c r="D343" s="1">
        <v>30</v>
      </c>
      <c r="E343" s="2" t="s">
        <v>75</v>
      </c>
      <c r="F343" s="50" t="s">
        <v>1859</v>
      </c>
      <c r="G343" s="2" t="s">
        <v>1860</v>
      </c>
      <c r="H343" s="1">
        <v>8262</v>
      </c>
      <c r="I343" s="1">
        <v>7809</v>
      </c>
      <c r="J343" s="2" t="s">
        <v>346</v>
      </c>
      <c r="K343" s="2" t="s">
        <v>524</v>
      </c>
      <c r="L343" s="2" t="s">
        <v>275</v>
      </c>
      <c r="M343" s="1">
        <v>465</v>
      </c>
      <c r="N343" s="1">
        <v>12150</v>
      </c>
      <c r="O343" s="2" t="s">
        <v>167</v>
      </c>
      <c r="P343" s="2" t="s">
        <v>67</v>
      </c>
      <c r="Q343" s="2" t="s">
        <v>65</v>
      </c>
      <c r="R343" s="2" t="s">
        <v>66</v>
      </c>
      <c r="S343" s="2" t="s">
        <v>96</v>
      </c>
      <c r="T343" s="1">
        <v>5628</v>
      </c>
      <c r="U343" s="2" t="s">
        <v>51</v>
      </c>
      <c r="V343" s="1">
        <v>1422</v>
      </c>
      <c r="W343" s="1">
        <v>1108</v>
      </c>
      <c r="X343" s="2" t="s">
        <v>53</v>
      </c>
      <c r="Y343" s="2" t="s">
        <v>561</v>
      </c>
      <c r="Z343" s="2" t="s">
        <v>347</v>
      </c>
      <c r="AA343" s="2" t="s">
        <v>392</v>
      </c>
      <c r="AB343" s="1">
        <v>6522</v>
      </c>
      <c r="AC343" s="1">
        <v>3630</v>
      </c>
      <c r="AD343" s="1">
        <v>1471</v>
      </c>
      <c r="AE343" s="1">
        <v>430</v>
      </c>
      <c r="AF343" s="1">
        <v>87</v>
      </c>
      <c r="AG343" s="1">
        <v>10</v>
      </c>
      <c r="AH343" s="1">
        <v>1655</v>
      </c>
      <c r="AI343" s="1">
        <v>4582</v>
      </c>
      <c r="AJ343" s="1">
        <v>182</v>
      </c>
      <c r="AK343" s="1">
        <v>1730</v>
      </c>
      <c r="AL343" s="1">
        <v>101</v>
      </c>
      <c r="AM343" s="1">
        <v>31</v>
      </c>
      <c r="AN343" s="2" t="s">
        <v>449</v>
      </c>
    </row>
    <row r="344" spans="1:40" ht="28.2" x14ac:dyDescent="0.3">
      <c r="A344" s="1">
        <v>9483</v>
      </c>
      <c r="B344" s="2" t="s">
        <v>1861</v>
      </c>
      <c r="C344" s="2" t="s">
        <v>1862</v>
      </c>
      <c r="D344" s="1">
        <v>25</v>
      </c>
      <c r="E344" s="2" t="s">
        <v>104</v>
      </c>
      <c r="F344" s="50" t="s">
        <v>3514</v>
      </c>
      <c r="G344" s="2" t="s">
        <v>1863</v>
      </c>
      <c r="H344" s="1">
        <v>19838</v>
      </c>
      <c r="I344" s="1">
        <v>19377</v>
      </c>
      <c r="J344" s="2" t="s">
        <v>573</v>
      </c>
      <c r="K344" s="2" t="s">
        <v>424</v>
      </c>
      <c r="L344" s="2" t="s">
        <v>471</v>
      </c>
      <c r="M344" s="1">
        <v>1065</v>
      </c>
      <c r="N344" s="1">
        <v>27675</v>
      </c>
      <c r="O344" s="2" t="s">
        <v>311</v>
      </c>
      <c r="P344" s="2" t="s">
        <v>235</v>
      </c>
      <c r="Q344" s="2" t="s">
        <v>905</v>
      </c>
      <c r="R344" s="2" t="s">
        <v>67</v>
      </c>
      <c r="S344" s="2" t="s">
        <v>50</v>
      </c>
      <c r="T344" s="1">
        <v>13240</v>
      </c>
      <c r="U344" s="2" t="s">
        <v>51</v>
      </c>
      <c r="V344" s="1">
        <v>3555</v>
      </c>
      <c r="W344" s="1">
        <v>3680</v>
      </c>
      <c r="X344" s="2" t="s">
        <v>503</v>
      </c>
      <c r="Y344" s="2" t="s">
        <v>295</v>
      </c>
      <c r="Z344" s="2" t="s">
        <v>795</v>
      </c>
      <c r="AA344" s="2" t="s">
        <v>542</v>
      </c>
      <c r="AB344" s="1">
        <v>14435</v>
      </c>
      <c r="AC344" s="1">
        <v>8263</v>
      </c>
      <c r="AD344" s="1">
        <v>3599</v>
      </c>
      <c r="AE344" s="1">
        <v>1146</v>
      </c>
      <c r="AF344" s="1">
        <v>221</v>
      </c>
      <c r="AG344" s="1">
        <v>11</v>
      </c>
      <c r="AH344" s="1">
        <v>15540</v>
      </c>
      <c r="AI344" s="1">
        <v>105</v>
      </c>
      <c r="AJ344" s="1">
        <v>735</v>
      </c>
      <c r="AK344" s="1">
        <v>3304</v>
      </c>
      <c r="AL344" s="1">
        <v>148</v>
      </c>
      <c r="AM344" s="1">
        <v>61</v>
      </c>
      <c r="AN344" s="2" t="s">
        <v>449</v>
      </c>
    </row>
    <row r="345" spans="1:40" x14ac:dyDescent="0.3">
      <c r="A345" s="1">
        <v>17372</v>
      </c>
      <c r="B345" s="2" t="s">
        <v>1864</v>
      </c>
      <c r="C345" s="2" t="s">
        <v>1865</v>
      </c>
      <c r="D345" s="1">
        <v>20</v>
      </c>
      <c r="E345" s="2" t="s">
        <v>500</v>
      </c>
      <c r="F345" s="50" t="s">
        <v>812</v>
      </c>
      <c r="G345" s="2" t="s">
        <v>1866</v>
      </c>
      <c r="H345" s="1">
        <v>11999</v>
      </c>
      <c r="I345" s="1">
        <v>11510</v>
      </c>
      <c r="J345" s="2" t="s">
        <v>836</v>
      </c>
      <c r="K345" s="2" t="s">
        <v>588</v>
      </c>
      <c r="L345" s="2" t="s">
        <v>80</v>
      </c>
      <c r="M345" s="1">
        <v>651</v>
      </c>
      <c r="N345" s="1">
        <v>16966</v>
      </c>
      <c r="O345" s="2" t="s">
        <v>646</v>
      </c>
      <c r="P345" s="2" t="s">
        <v>202</v>
      </c>
      <c r="Q345" s="2" t="s">
        <v>167</v>
      </c>
      <c r="R345" s="2" t="s">
        <v>67</v>
      </c>
      <c r="S345" s="2" t="s">
        <v>50</v>
      </c>
      <c r="T345" s="1">
        <v>8147</v>
      </c>
      <c r="U345" s="2" t="s">
        <v>51</v>
      </c>
      <c r="V345" s="1">
        <v>1825</v>
      </c>
      <c r="W345" s="1">
        <v>1819</v>
      </c>
      <c r="X345" s="2">
        <v>1</v>
      </c>
      <c r="Y345" s="2" t="s">
        <v>412</v>
      </c>
      <c r="Z345" s="2" t="s">
        <v>237</v>
      </c>
      <c r="AA345" s="2" t="s">
        <v>602</v>
      </c>
      <c r="AB345" s="1">
        <v>8819</v>
      </c>
      <c r="AC345" s="1">
        <v>5203</v>
      </c>
      <c r="AD345" s="1">
        <v>2171</v>
      </c>
      <c r="AE345" s="1">
        <v>652</v>
      </c>
      <c r="AF345" s="1">
        <v>107</v>
      </c>
      <c r="AG345" s="1">
        <v>14</v>
      </c>
      <c r="AH345" s="1">
        <v>9181</v>
      </c>
      <c r="AI345" s="1">
        <v>238</v>
      </c>
      <c r="AJ345" s="1">
        <v>648</v>
      </c>
      <c r="AK345" s="1">
        <v>1806</v>
      </c>
      <c r="AL345" s="1">
        <v>130</v>
      </c>
      <c r="AM345" s="1">
        <v>22</v>
      </c>
      <c r="AN345" s="2" t="s">
        <v>277</v>
      </c>
    </row>
    <row r="346" spans="1:40" x14ac:dyDescent="0.3">
      <c r="A346" s="1">
        <v>2529</v>
      </c>
      <c r="B346" s="2" t="s">
        <v>1867</v>
      </c>
      <c r="C346" s="2" t="s">
        <v>1868</v>
      </c>
      <c r="D346" s="1">
        <v>32</v>
      </c>
      <c r="E346" s="2" t="s">
        <v>104</v>
      </c>
      <c r="F346" s="50" t="s">
        <v>1125</v>
      </c>
      <c r="G346" s="2" t="s">
        <v>1125</v>
      </c>
      <c r="H346" s="1">
        <v>19000</v>
      </c>
      <c r="I346" s="1">
        <v>17886</v>
      </c>
      <c r="J346" s="2" t="s">
        <v>190</v>
      </c>
      <c r="K346" s="2" t="s">
        <v>486</v>
      </c>
      <c r="L346" s="2" t="s">
        <v>1352</v>
      </c>
      <c r="M346" s="1">
        <v>1064</v>
      </c>
      <c r="N346" s="1">
        <v>27603</v>
      </c>
      <c r="O346" s="2" t="s">
        <v>463</v>
      </c>
      <c r="P346" s="2" t="s">
        <v>67</v>
      </c>
      <c r="Q346" s="2" t="s">
        <v>276</v>
      </c>
      <c r="R346" s="2" t="s">
        <v>96</v>
      </c>
      <c r="S346" s="2" t="s">
        <v>66</v>
      </c>
      <c r="T346" s="1">
        <v>13043</v>
      </c>
      <c r="U346" s="2" t="s">
        <v>51</v>
      </c>
      <c r="V346" s="1">
        <v>3367</v>
      </c>
      <c r="W346" s="1">
        <v>2551</v>
      </c>
      <c r="X346" s="2" t="s">
        <v>56</v>
      </c>
      <c r="Y346" s="2" t="s">
        <v>370</v>
      </c>
      <c r="Z346" s="2" t="s">
        <v>183</v>
      </c>
      <c r="AA346" s="2" t="s">
        <v>354</v>
      </c>
      <c r="AB346" s="1">
        <v>14560</v>
      </c>
      <c r="AC346" s="1">
        <v>8459</v>
      </c>
      <c r="AD346" s="1">
        <v>3421</v>
      </c>
      <c r="AE346" s="1">
        <v>967</v>
      </c>
      <c r="AF346" s="1">
        <v>182</v>
      </c>
      <c r="AG346" s="1">
        <v>14</v>
      </c>
      <c r="AH346" s="1">
        <v>4040</v>
      </c>
      <c r="AI346" s="1">
        <v>10792</v>
      </c>
      <c r="AJ346" s="1">
        <v>735</v>
      </c>
      <c r="AK346" s="1">
        <v>3036</v>
      </c>
      <c r="AL346" s="1">
        <v>375</v>
      </c>
      <c r="AM346" s="1">
        <v>65</v>
      </c>
      <c r="AN346" s="2" t="s">
        <v>464</v>
      </c>
    </row>
    <row r="347" spans="1:40" ht="28.2" x14ac:dyDescent="0.3">
      <c r="A347" s="1">
        <v>9256</v>
      </c>
      <c r="B347" s="2" t="s">
        <v>1869</v>
      </c>
      <c r="C347" s="2" t="s">
        <v>1870</v>
      </c>
      <c r="D347" s="1">
        <v>26</v>
      </c>
      <c r="E347" s="2" t="s">
        <v>545</v>
      </c>
      <c r="F347" s="50" t="s">
        <v>3514</v>
      </c>
      <c r="G347" s="2" t="s">
        <v>1871</v>
      </c>
      <c r="H347" s="1">
        <v>22193</v>
      </c>
      <c r="I347" s="1">
        <v>21099</v>
      </c>
      <c r="J347" s="2" t="s">
        <v>925</v>
      </c>
      <c r="K347" s="2" t="s">
        <v>178</v>
      </c>
      <c r="L347" s="2" t="s">
        <v>46</v>
      </c>
      <c r="M347" s="1">
        <v>1207</v>
      </c>
      <c r="N347" s="1">
        <v>32000</v>
      </c>
      <c r="O347" s="2" t="s">
        <v>463</v>
      </c>
      <c r="P347" s="2" t="s">
        <v>202</v>
      </c>
      <c r="Q347" s="2" t="s">
        <v>322</v>
      </c>
      <c r="R347" s="2" t="s">
        <v>96</v>
      </c>
      <c r="S347" s="2" t="s">
        <v>50</v>
      </c>
      <c r="T347" s="1">
        <v>15109</v>
      </c>
      <c r="U347" s="2" t="s">
        <v>51</v>
      </c>
      <c r="V347" s="1">
        <v>2964</v>
      </c>
      <c r="W347" s="1">
        <v>2973</v>
      </c>
      <c r="X347" s="2">
        <v>1</v>
      </c>
      <c r="Y347" s="2" t="s">
        <v>503</v>
      </c>
      <c r="Z347" s="2" t="s">
        <v>54</v>
      </c>
      <c r="AA347" s="2" t="s">
        <v>1101</v>
      </c>
      <c r="AB347" s="1">
        <v>16891</v>
      </c>
      <c r="AC347" s="1">
        <v>9676</v>
      </c>
      <c r="AD347" s="1">
        <v>4049</v>
      </c>
      <c r="AE347" s="1">
        <v>1143</v>
      </c>
      <c r="AF347" s="1">
        <v>215</v>
      </c>
      <c r="AG347" s="1">
        <v>26</v>
      </c>
      <c r="AH347" s="1">
        <v>14277</v>
      </c>
      <c r="AI347" s="1">
        <v>2647</v>
      </c>
      <c r="AJ347" s="1">
        <v>867</v>
      </c>
      <c r="AK347" s="1">
        <v>4100</v>
      </c>
      <c r="AL347" s="1">
        <v>293</v>
      </c>
      <c r="AM347" s="1">
        <v>53</v>
      </c>
      <c r="AN347" s="2" t="s">
        <v>449</v>
      </c>
    </row>
    <row r="348" spans="1:40" ht="28.2" x14ac:dyDescent="0.3">
      <c r="A348" s="1">
        <v>7413</v>
      </c>
      <c r="B348" s="2" t="s">
        <v>1872</v>
      </c>
      <c r="C348" s="2" t="s">
        <v>1873</v>
      </c>
      <c r="D348" s="1">
        <v>30</v>
      </c>
      <c r="E348" s="2" t="s">
        <v>196</v>
      </c>
      <c r="F348" s="50" t="s">
        <v>3514</v>
      </c>
      <c r="G348" s="2" t="s">
        <v>1874</v>
      </c>
      <c r="H348" s="1">
        <v>6738</v>
      </c>
      <c r="I348" s="1">
        <v>6191</v>
      </c>
      <c r="J348" s="2" t="s">
        <v>998</v>
      </c>
      <c r="K348" s="2" t="s">
        <v>738</v>
      </c>
      <c r="L348" s="2" t="s">
        <v>575</v>
      </c>
      <c r="M348" s="1">
        <v>399</v>
      </c>
      <c r="N348" s="1">
        <v>10074</v>
      </c>
      <c r="O348" s="2" t="s">
        <v>225</v>
      </c>
      <c r="P348" s="2" t="s">
        <v>48</v>
      </c>
      <c r="Q348" s="2" t="s">
        <v>49</v>
      </c>
      <c r="R348" s="2" t="s">
        <v>66</v>
      </c>
      <c r="S348" s="2" t="s">
        <v>235</v>
      </c>
      <c r="T348" s="1">
        <v>4644</v>
      </c>
      <c r="U348" s="2" t="s">
        <v>51</v>
      </c>
      <c r="V348" s="1">
        <v>1165</v>
      </c>
      <c r="W348" s="1">
        <v>898</v>
      </c>
      <c r="X348" s="2" t="s">
        <v>516</v>
      </c>
      <c r="Y348" s="2" t="s">
        <v>561</v>
      </c>
      <c r="Z348" s="2" t="s">
        <v>99</v>
      </c>
      <c r="AA348" s="2" t="s">
        <v>994</v>
      </c>
      <c r="AB348" s="1">
        <v>5430</v>
      </c>
      <c r="AC348" s="1">
        <v>3033</v>
      </c>
      <c r="AD348" s="1">
        <v>1220</v>
      </c>
      <c r="AE348" s="1">
        <v>334</v>
      </c>
      <c r="AF348" s="1">
        <v>53</v>
      </c>
      <c r="AG348" s="1">
        <v>4</v>
      </c>
      <c r="AH348" s="1">
        <v>1314</v>
      </c>
      <c r="AI348" s="1">
        <v>3589</v>
      </c>
      <c r="AJ348" s="1">
        <v>119</v>
      </c>
      <c r="AK348" s="1">
        <v>1561</v>
      </c>
      <c r="AL348" s="1">
        <v>143</v>
      </c>
      <c r="AM348" s="1">
        <v>12</v>
      </c>
      <c r="AN348" s="2" t="s">
        <v>449</v>
      </c>
    </row>
    <row r="349" spans="1:40" ht="28.2" x14ac:dyDescent="0.3">
      <c r="A349" s="1">
        <v>8323</v>
      </c>
      <c r="B349" s="2" t="s">
        <v>1875</v>
      </c>
      <c r="C349" s="2" t="s">
        <v>1876</v>
      </c>
      <c r="D349" s="1">
        <v>26</v>
      </c>
      <c r="E349" s="2" t="s">
        <v>327</v>
      </c>
      <c r="F349" s="50" t="s">
        <v>3514</v>
      </c>
      <c r="G349" s="2" t="s">
        <v>1877</v>
      </c>
      <c r="H349" s="1">
        <v>31019</v>
      </c>
      <c r="I349" s="1">
        <v>29280</v>
      </c>
      <c r="J349" s="2" t="s">
        <v>1079</v>
      </c>
      <c r="K349" s="2" t="s">
        <v>582</v>
      </c>
      <c r="L349" s="2" t="s">
        <v>471</v>
      </c>
      <c r="M349" s="1">
        <v>1698</v>
      </c>
      <c r="N349" s="1">
        <v>45118</v>
      </c>
      <c r="O349" s="2" t="s">
        <v>463</v>
      </c>
      <c r="P349" s="2" t="s">
        <v>202</v>
      </c>
      <c r="Q349" s="2" t="s">
        <v>276</v>
      </c>
      <c r="R349" s="2" t="s">
        <v>96</v>
      </c>
      <c r="S349" s="2" t="s">
        <v>50</v>
      </c>
      <c r="T349" s="1">
        <v>21223</v>
      </c>
      <c r="U349" s="2" t="s">
        <v>51</v>
      </c>
      <c r="V349" s="1">
        <v>3844</v>
      </c>
      <c r="W349" s="1">
        <v>3828</v>
      </c>
      <c r="X349" s="2">
        <v>1</v>
      </c>
      <c r="Y349" s="2" t="s">
        <v>820</v>
      </c>
      <c r="Z349" s="2" t="s">
        <v>653</v>
      </c>
      <c r="AA349" s="2" t="s">
        <v>1052</v>
      </c>
      <c r="AB349" s="1">
        <v>23895</v>
      </c>
      <c r="AC349" s="1">
        <v>13742</v>
      </c>
      <c r="AD349" s="1">
        <v>5534</v>
      </c>
      <c r="AE349" s="1">
        <v>1636</v>
      </c>
      <c r="AF349" s="1">
        <v>272</v>
      </c>
      <c r="AG349" s="1">
        <v>39</v>
      </c>
      <c r="AH349" s="1">
        <v>22881</v>
      </c>
      <c r="AI349" s="1">
        <v>1106</v>
      </c>
      <c r="AJ349" s="1">
        <v>1287</v>
      </c>
      <c r="AK349" s="1">
        <v>5523</v>
      </c>
      <c r="AL349" s="1">
        <v>238</v>
      </c>
      <c r="AM349" s="1">
        <v>64</v>
      </c>
      <c r="AN349" s="2" t="s">
        <v>449</v>
      </c>
    </row>
    <row r="350" spans="1:40" ht="28.2" x14ac:dyDescent="0.3">
      <c r="A350" s="1">
        <v>2131</v>
      </c>
      <c r="B350" s="2" t="s">
        <v>1878</v>
      </c>
      <c r="C350" s="2" t="s">
        <v>1879</v>
      </c>
      <c r="D350" s="1">
        <v>29</v>
      </c>
      <c r="E350" s="2" t="s">
        <v>59</v>
      </c>
      <c r="F350" s="50" t="s">
        <v>1880</v>
      </c>
      <c r="G350" s="2" t="s">
        <v>1881</v>
      </c>
      <c r="H350" s="1">
        <v>26411</v>
      </c>
      <c r="I350" s="1">
        <v>24962</v>
      </c>
      <c r="J350" s="2" t="s">
        <v>1882</v>
      </c>
      <c r="K350" s="2" t="s">
        <v>916</v>
      </c>
      <c r="L350" s="2" t="s">
        <v>1352</v>
      </c>
      <c r="M350" s="1">
        <v>1458</v>
      </c>
      <c r="N350" s="1">
        <v>38317</v>
      </c>
      <c r="O350" s="2" t="s">
        <v>463</v>
      </c>
      <c r="P350" s="2" t="s">
        <v>202</v>
      </c>
      <c r="Q350" s="2" t="s">
        <v>276</v>
      </c>
      <c r="R350" s="2" t="s">
        <v>96</v>
      </c>
      <c r="S350" s="2" t="s">
        <v>50</v>
      </c>
      <c r="T350" s="1">
        <v>18062</v>
      </c>
      <c r="U350" s="2" t="s">
        <v>51</v>
      </c>
      <c r="V350" s="1">
        <v>3102</v>
      </c>
      <c r="W350" s="1">
        <v>2907</v>
      </c>
      <c r="X350" s="2" t="s">
        <v>464</v>
      </c>
      <c r="Y350" s="2" t="s">
        <v>820</v>
      </c>
      <c r="Z350" s="2" t="s">
        <v>838</v>
      </c>
      <c r="AA350" s="2" t="s">
        <v>1052</v>
      </c>
      <c r="AB350" s="1">
        <v>20255</v>
      </c>
      <c r="AC350" s="1">
        <v>11700</v>
      </c>
      <c r="AD350" s="1">
        <v>4692</v>
      </c>
      <c r="AE350" s="1">
        <v>1398</v>
      </c>
      <c r="AF350" s="1">
        <v>246</v>
      </c>
      <c r="AG350" s="1">
        <v>26</v>
      </c>
      <c r="AH350" s="1">
        <v>20357</v>
      </c>
      <c r="AI350" s="1">
        <v>152</v>
      </c>
      <c r="AJ350" s="1">
        <v>1203</v>
      </c>
      <c r="AK350" s="1">
        <v>4242</v>
      </c>
      <c r="AL350" s="1">
        <v>424</v>
      </c>
      <c r="AM350" s="1">
        <v>63</v>
      </c>
      <c r="AN350" s="2" t="s">
        <v>449</v>
      </c>
    </row>
    <row r="351" spans="1:40" ht="28.2" x14ac:dyDescent="0.3">
      <c r="A351" s="1">
        <v>9289</v>
      </c>
      <c r="B351" s="2" t="s">
        <v>1883</v>
      </c>
      <c r="C351" s="2" t="s">
        <v>1884</v>
      </c>
      <c r="D351" s="1">
        <v>24</v>
      </c>
      <c r="E351" s="2" t="s">
        <v>477</v>
      </c>
      <c r="F351" s="50" t="s">
        <v>593</v>
      </c>
      <c r="G351" s="2" t="s">
        <v>1555</v>
      </c>
      <c r="H351" s="1">
        <v>10674</v>
      </c>
      <c r="I351" s="1">
        <v>10394</v>
      </c>
      <c r="J351" s="2" t="s">
        <v>1885</v>
      </c>
      <c r="K351" s="2" t="s">
        <v>253</v>
      </c>
      <c r="L351" s="2" t="s">
        <v>541</v>
      </c>
      <c r="M351" s="1">
        <v>584</v>
      </c>
      <c r="N351" s="1">
        <v>15180</v>
      </c>
      <c r="O351" s="2" t="s">
        <v>905</v>
      </c>
      <c r="P351" s="2" t="s">
        <v>553</v>
      </c>
      <c r="Q351" s="2" t="s">
        <v>167</v>
      </c>
      <c r="R351" s="2" t="s">
        <v>96</v>
      </c>
      <c r="S351" s="2" t="s">
        <v>96</v>
      </c>
      <c r="T351" s="1">
        <v>7111</v>
      </c>
      <c r="U351" s="2" t="s">
        <v>51</v>
      </c>
      <c r="V351" s="1">
        <v>1651</v>
      </c>
      <c r="W351" s="1">
        <v>1819</v>
      </c>
      <c r="X351" s="2" t="s">
        <v>1749</v>
      </c>
      <c r="Y351" s="2" t="s">
        <v>255</v>
      </c>
      <c r="Z351" s="2" t="s">
        <v>718</v>
      </c>
      <c r="AA351" s="2" t="s">
        <v>789</v>
      </c>
      <c r="AB351" s="1">
        <v>8069</v>
      </c>
      <c r="AC351" s="1">
        <v>4432</v>
      </c>
      <c r="AD351" s="1">
        <v>1932</v>
      </c>
      <c r="AE351" s="1">
        <v>620</v>
      </c>
      <c r="AF351" s="1">
        <v>117</v>
      </c>
      <c r="AG351" s="1">
        <v>10</v>
      </c>
      <c r="AH351" s="1">
        <v>7580</v>
      </c>
      <c r="AI351" s="1">
        <v>503</v>
      </c>
      <c r="AJ351" s="1">
        <v>651</v>
      </c>
      <c r="AK351" s="1">
        <v>1839</v>
      </c>
      <c r="AL351" s="1">
        <v>95</v>
      </c>
      <c r="AM351" s="1">
        <v>31</v>
      </c>
      <c r="AN351" s="2" t="s">
        <v>449</v>
      </c>
    </row>
    <row r="352" spans="1:40" x14ac:dyDescent="0.3">
      <c r="A352" s="1">
        <v>7834</v>
      </c>
      <c r="B352" s="2" t="s">
        <v>1886</v>
      </c>
      <c r="C352" s="2" t="s">
        <v>1887</v>
      </c>
      <c r="D352" s="1">
        <v>28</v>
      </c>
      <c r="E352" s="2" t="s">
        <v>467</v>
      </c>
      <c r="F352" s="50" t="s">
        <v>1888</v>
      </c>
      <c r="G352" s="2" t="s">
        <v>1889</v>
      </c>
      <c r="H352" s="1">
        <v>33908</v>
      </c>
      <c r="I352" s="1">
        <v>32682</v>
      </c>
      <c r="J352" s="2" t="s">
        <v>1410</v>
      </c>
      <c r="K352" s="2" t="s">
        <v>368</v>
      </c>
      <c r="L352" s="2" t="s">
        <v>1170</v>
      </c>
      <c r="M352" s="1">
        <v>1865</v>
      </c>
      <c r="N352" s="1">
        <v>48655</v>
      </c>
      <c r="O352" s="2" t="s">
        <v>905</v>
      </c>
      <c r="P352" s="2" t="s">
        <v>553</v>
      </c>
      <c r="Q352" s="2" t="s">
        <v>225</v>
      </c>
      <c r="R352" s="2" t="s">
        <v>48</v>
      </c>
      <c r="S352" s="2" t="s">
        <v>67</v>
      </c>
      <c r="T352" s="1">
        <v>22857</v>
      </c>
      <c r="U352" s="2" t="s">
        <v>51</v>
      </c>
      <c r="V352" s="1">
        <v>5578</v>
      </c>
      <c r="W352" s="1">
        <v>5623</v>
      </c>
      <c r="X352" s="2" t="s">
        <v>285</v>
      </c>
      <c r="Y352" s="2" t="s">
        <v>304</v>
      </c>
      <c r="Z352" s="2" t="s">
        <v>718</v>
      </c>
      <c r="AA352" s="2" t="s">
        <v>279</v>
      </c>
      <c r="AB352" s="1">
        <v>25798</v>
      </c>
      <c r="AC352" s="1">
        <v>14522</v>
      </c>
      <c r="AD352" s="1">
        <v>6102</v>
      </c>
      <c r="AE352" s="1">
        <v>1808</v>
      </c>
      <c r="AF352" s="1">
        <v>379</v>
      </c>
      <c r="AG352" s="1">
        <v>46</v>
      </c>
      <c r="AH352" s="1">
        <v>26515</v>
      </c>
      <c r="AI352" s="1">
        <v>112</v>
      </c>
      <c r="AJ352" s="1">
        <v>1113</v>
      </c>
      <c r="AK352" s="1">
        <v>5717</v>
      </c>
      <c r="AL352" s="1">
        <v>472</v>
      </c>
      <c r="AM352" s="1">
        <v>24</v>
      </c>
      <c r="AN352" s="2" t="s">
        <v>449</v>
      </c>
    </row>
    <row r="353" spans="1:40" x14ac:dyDescent="0.3">
      <c r="A353" s="1">
        <v>18838</v>
      </c>
      <c r="B353" s="2" t="s">
        <v>1890</v>
      </c>
      <c r="C353" s="2" t="s">
        <v>1891</v>
      </c>
      <c r="D353" s="1">
        <v>20</v>
      </c>
      <c r="E353" s="2" t="s">
        <v>500</v>
      </c>
      <c r="F353" s="51" t="s">
        <v>1892</v>
      </c>
      <c r="G353" s="2" t="s">
        <v>1893</v>
      </c>
      <c r="H353" s="1">
        <v>9441</v>
      </c>
      <c r="I353" s="1">
        <v>9135</v>
      </c>
      <c r="J353" s="2" t="s">
        <v>1613</v>
      </c>
      <c r="K353" s="2" t="s">
        <v>617</v>
      </c>
      <c r="L353" s="2" t="s">
        <v>949</v>
      </c>
      <c r="M353" s="1">
        <v>503</v>
      </c>
      <c r="N353" s="1">
        <v>13330</v>
      </c>
      <c r="O353" s="2" t="s">
        <v>646</v>
      </c>
      <c r="P353" s="2" t="s">
        <v>235</v>
      </c>
      <c r="Q353" s="2" t="s">
        <v>463</v>
      </c>
      <c r="R353" s="2" t="s">
        <v>202</v>
      </c>
      <c r="S353" s="2" t="s">
        <v>202</v>
      </c>
      <c r="T353" s="1">
        <v>6400</v>
      </c>
      <c r="U353" s="2" t="s">
        <v>51</v>
      </c>
      <c r="V353" s="1">
        <v>1513</v>
      </c>
      <c r="W353" s="1">
        <v>1460</v>
      </c>
      <c r="X353" s="2" t="s">
        <v>407</v>
      </c>
      <c r="Y353" s="2" t="s">
        <v>304</v>
      </c>
      <c r="Z353" s="2" t="s">
        <v>427</v>
      </c>
      <c r="AA353" s="2" t="s">
        <v>86</v>
      </c>
      <c r="AB353" s="1">
        <v>6930</v>
      </c>
      <c r="AC353" s="1">
        <v>4122</v>
      </c>
      <c r="AD353" s="1">
        <v>1641</v>
      </c>
      <c r="AE353" s="1">
        <v>523</v>
      </c>
      <c r="AF353" s="1">
        <v>102</v>
      </c>
      <c r="AG353" s="1">
        <v>12</v>
      </c>
      <c r="AH353" s="1">
        <v>7217</v>
      </c>
      <c r="AI353" s="1">
        <v>81</v>
      </c>
      <c r="AJ353" s="1">
        <v>588</v>
      </c>
      <c r="AK353" s="1">
        <v>1439</v>
      </c>
      <c r="AL353" s="1">
        <v>113</v>
      </c>
      <c r="AM353" s="1">
        <v>37</v>
      </c>
      <c r="AN353" s="2" t="s">
        <v>295</v>
      </c>
    </row>
    <row r="354" spans="1:40" ht="28.2" x14ac:dyDescent="0.3">
      <c r="A354" s="1">
        <v>8770</v>
      </c>
      <c r="B354" s="2" t="s">
        <v>1894</v>
      </c>
      <c r="C354" s="2" t="s">
        <v>1895</v>
      </c>
      <c r="D354" s="1">
        <v>29</v>
      </c>
      <c r="E354" s="2" t="s">
        <v>299</v>
      </c>
      <c r="F354" s="50" t="s">
        <v>3514</v>
      </c>
      <c r="G354" s="2" t="s">
        <v>1896</v>
      </c>
      <c r="H354" s="1">
        <v>11650</v>
      </c>
      <c r="I354" s="1">
        <v>11240</v>
      </c>
      <c r="J354" s="2" t="s">
        <v>1730</v>
      </c>
      <c r="K354" s="2" t="s">
        <v>776</v>
      </c>
      <c r="L354" s="2" t="s">
        <v>244</v>
      </c>
      <c r="M354" s="1">
        <v>639</v>
      </c>
      <c r="N354" s="1">
        <v>16594</v>
      </c>
      <c r="O354" s="2" t="s">
        <v>905</v>
      </c>
      <c r="P354" s="2" t="s">
        <v>48</v>
      </c>
      <c r="Q354" s="2" t="s">
        <v>167</v>
      </c>
      <c r="R354" s="2" t="s">
        <v>96</v>
      </c>
      <c r="S354" s="2" t="s">
        <v>96</v>
      </c>
      <c r="T354" s="1">
        <v>7887</v>
      </c>
      <c r="U354" s="2" t="s">
        <v>51</v>
      </c>
      <c r="V354" s="1">
        <v>1515</v>
      </c>
      <c r="W354" s="1">
        <v>1508</v>
      </c>
      <c r="X354" s="2">
        <v>1</v>
      </c>
      <c r="Y354" s="2" t="s">
        <v>503</v>
      </c>
      <c r="Z354" s="2" t="s">
        <v>70</v>
      </c>
      <c r="AA354" s="2" t="s">
        <v>640</v>
      </c>
      <c r="AB354" s="1">
        <v>8707</v>
      </c>
      <c r="AC354" s="1">
        <v>5053</v>
      </c>
      <c r="AD354" s="1">
        <v>2069</v>
      </c>
      <c r="AE354" s="1">
        <v>617</v>
      </c>
      <c r="AF354" s="1">
        <v>133</v>
      </c>
      <c r="AG354" s="1">
        <v>15</v>
      </c>
      <c r="AH354" s="1">
        <v>6034</v>
      </c>
      <c r="AI354" s="1">
        <v>2516</v>
      </c>
      <c r="AJ354" s="1">
        <v>842</v>
      </c>
      <c r="AK354" s="1">
        <v>2028</v>
      </c>
      <c r="AL354" s="1">
        <v>186</v>
      </c>
      <c r="AM354" s="1">
        <v>61</v>
      </c>
      <c r="AN354" s="2" t="s">
        <v>449</v>
      </c>
    </row>
    <row r="355" spans="1:40" ht="28.2" x14ac:dyDescent="0.3">
      <c r="A355" s="1">
        <v>13228</v>
      </c>
      <c r="B355" s="2" t="s">
        <v>1897</v>
      </c>
      <c r="C355" s="2" t="s">
        <v>1898</v>
      </c>
      <c r="D355" s="1">
        <v>22</v>
      </c>
      <c r="E355" s="2" t="s">
        <v>459</v>
      </c>
      <c r="F355" s="50" t="s">
        <v>571</v>
      </c>
      <c r="G355" s="2" t="s">
        <v>1899</v>
      </c>
      <c r="H355" s="1">
        <v>7407</v>
      </c>
      <c r="I355" s="1">
        <v>6823</v>
      </c>
      <c r="J355" s="2" t="s">
        <v>623</v>
      </c>
      <c r="K355" s="2" t="s">
        <v>1900</v>
      </c>
      <c r="L355" s="2" t="s">
        <v>275</v>
      </c>
      <c r="M355" s="1">
        <v>438</v>
      </c>
      <c r="N355" s="1">
        <v>11278</v>
      </c>
      <c r="O355" s="2" t="s">
        <v>322</v>
      </c>
      <c r="P355" s="2" t="s">
        <v>96</v>
      </c>
      <c r="Q355" s="2" t="s">
        <v>134</v>
      </c>
      <c r="R355" s="2" t="s">
        <v>96</v>
      </c>
      <c r="S355" s="2" t="s">
        <v>50</v>
      </c>
      <c r="T355" s="1">
        <v>5139</v>
      </c>
      <c r="U355" s="2" t="s">
        <v>51</v>
      </c>
      <c r="V355" s="1">
        <v>1165</v>
      </c>
      <c r="W355" s="1">
        <v>896</v>
      </c>
      <c r="X355" s="2" t="s">
        <v>516</v>
      </c>
      <c r="Y355" s="2" t="s">
        <v>304</v>
      </c>
      <c r="Z355" s="2" t="s">
        <v>718</v>
      </c>
      <c r="AA355" s="2" t="s">
        <v>648</v>
      </c>
      <c r="AB355" s="1">
        <v>6139</v>
      </c>
      <c r="AC355" s="1">
        <v>3402</v>
      </c>
      <c r="AD355" s="1">
        <v>1288</v>
      </c>
      <c r="AE355" s="1">
        <v>376</v>
      </c>
      <c r="AF355" s="1">
        <v>64</v>
      </c>
      <c r="AG355" s="1">
        <v>9</v>
      </c>
      <c r="AH355" s="1">
        <v>1985</v>
      </c>
      <c r="AI355" s="1">
        <v>3683</v>
      </c>
      <c r="AJ355" s="1">
        <v>379</v>
      </c>
      <c r="AK355" s="1">
        <v>1257</v>
      </c>
      <c r="AL355" s="1">
        <v>94</v>
      </c>
      <c r="AM355" s="1">
        <v>18</v>
      </c>
      <c r="AN355" s="2" t="s">
        <v>304</v>
      </c>
    </row>
    <row r="356" spans="1:40" ht="28.2" x14ac:dyDescent="0.3">
      <c r="A356" s="1">
        <v>13589</v>
      </c>
      <c r="B356" s="2" t="s">
        <v>1901</v>
      </c>
      <c r="C356" s="2" t="s">
        <v>1902</v>
      </c>
      <c r="D356" s="1">
        <v>22</v>
      </c>
      <c r="E356" s="2" t="s">
        <v>459</v>
      </c>
      <c r="F356" s="50" t="s">
        <v>1903</v>
      </c>
      <c r="G356" s="2" t="s">
        <v>1904</v>
      </c>
      <c r="H356" s="1">
        <v>14027</v>
      </c>
      <c r="I356" s="1">
        <v>13016</v>
      </c>
      <c r="J356" s="2" t="s">
        <v>959</v>
      </c>
      <c r="K356" s="2" t="s">
        <v>1905</v>
      </c>
      <c r="L356" s="2" t="s">
        <v>224</v>
      </c>
      <c r="M356" s="1">
        <v>814</v>
      </c>
      <c r="N356" s="1">
        <v>21161</v>
      </c>
      <c r="O356" s="2" t="s">
        <v>322</v>
      </c>
      <c r="P356" s="2" t="s">
        <v>48</v>
      </c>
      <c r="Q356" s="2" t="s">
        <v>144</v>
      </c>
      <c r="R356" s="2" t="s">
        <v>50</v>
      </c>
      <c r="S356" s="2" t="s">
        <v>67</v>
      </c>
      <c r="T356" s="1">
        <v>9657</v>
      </c>
      <c r="U356" s="2" t="s">
        <v>51</v>
      </c>
      <c r="V356" s="1">
        <v>1438</v>
      </c>
      <c r="W356" s="1">
        <v>1341</v>
      </c>
      <c r="X356" s="2" t="s">
        <v>464</v>
      </c>
      <c r="Y356" s="2" t="s">
        <v>1906</v>
      </c>
      <c r="Z356" s="2" t="s">
        <v>473</v>
      </c>
      <c r="AA356" s="2" t="s">
        <v>1907</v>
      </c>
      <c r="AB356" s="1">
        <v>11504</v>
      </c>
      <c r="AC356" s="1">
        <v>6278</v>
      </c>
      <c r="AD356" s="1">
        <v>2529</v>
      </c>
      <c r="AE356" s="1">
        <v>718</v>
      </c>
      <c r="AF356" s="1">
        <v>123</v>
      </c>
      <c r="AG356" s="1">
        <v>9</v>
      </c>
      <c r="AH356" s="1">
        <v>10142</v>
      </c>
      <c r="AI356" s="1">
        <v>400</v>
      </c>
      <c r="AJ356" s="1">
        <v>700</v>
      </c>
      <c r="AK356" s="1">
        <v>2552</v>
      </c>
      <c r="AL356" s="1">
        <v>216</v>
      </c>
      <c r="AM356" s="1">
        <v>70</v>
      </c>
      <c r="AN356" s="2" t="s">
        <v>590</v>
      </c>
    </row>
    <row r="357" spans="1:40" ht="28.2" x14ac:dyDescent="0.3">
      <c r="A357" s="1">
        <v>12027</v>
      </c>
      <c r="B357" s="2" t="s">
        <v>1908</v>
      </c>
      <c r="C357" s="2" t="s">
        <v>1909</v>
      </c>
      <c r="D357" s="1">
        <v>23</v>
      </c>
      <c r="E357" s="2" t="s">
        <v>75</v>
      </c>
      <c r="F357" s="50" t="s">
        <v>344</v>
      </c>
      <c r="G357" s="2" t="s">
        <v>1783</v>
      </c>
      <c r="H357" s="1">
        <v>21753</v>
      </c>
      <c r="I357" s="1">
        <v>21142</v>
      </c>
      <c r="J357" s="2" t="s">
        <v>657</v>
      </c>
      <c r="K357" s="2">
        <v>77</v>
      </c>
      <c r="L357" s="2" t="s">
        <v>949</v>
      </c>
      <c r="M357" s="1">
        <v>1179</v>
      </c>
      <c r="N357" s="1">
        <v>31354</v>
      </c>
      <c r="O357" s="2" t="s">
        <v>463</v>
      </c>
      <c r="P357" s="2" t="s">
        <v>235</v>
      </c>
      <c r="Q357" s="2" t="s">
        <v>225</v>
      </c>
      <c r="R357" s="2" t="s">
        <v>96</v>
      </c>
      <c r="S357" s="2" t="s">
        <v>50</v>
      </c>
      <c r="T357" s="1">
        <v>14534</v>
      </c>
      <c r="U357" s="2" t="s">
        <v>51</v>
      </c>
      <c r="V357" s="1">
        <v>3357</v>
      </c>
      <c r="W357" s="1">
        <v>3649</v>
      </c>
      <c r="X357" s="2" t="s">
        <v>1314</v>
      </c>
      <c r="Y357" s="2" t="s">
        <v>255</v>
      </c>
      <c r="Z357" s="2" t="s">
        <v>324</v>
      </c>
      <c r="AA357" s="2" t="s">
        <v>384</v>
      </c>
      <c r="AB357" s="1">
        <v>16820</v>
      </c>
      <c r="AC357" s="1">
        <v>9119</v>
      </c>
      <c r="AD357" s="1">
        <v>3935</v>
      </c>
      <c r="AE357" s="1">
        <v>1185</v>
      </c>
      <c r="AF357" s="1">
        <v>266</v>
      </c>
      <c r="AG357" s="1">
        <v>29</v>
      </c>
      <c r="AH357" s="1">
        <v>14463</v>
      </c>
      <c r="AI357" s="1">
        <v>1333</v>
      </c>
      <c r="AJ357" s="1">
        <v>2124</v>
      </c>
      <c r="AK357" s="1">
        <v>3516</v>
      </c>
      <c r="AL357" s="1">
        <v>285</v>
      </c>
      <c r="AM357" s="1">
        <v>88</v>
      </c>
      <c r="AN357" s="2" t="s">
        <v>464</v>
      </c>
    </row>
    <row r="358" spans="1:40" x14ac:dyDescent="0.3">
      <c r="A358" s="1">
        <v>8345</v>
      </c>
      <c r="B358" s="2" t="s">
        <v>1910</v>
      </c>
      <c r="C358" s="2" t="s">
        <v>1911</v>
      </c>
      <c r="D358" s="1">
        <v>25</v>
      </c>
      <c r="E358" s="2" t="s">
        <v>75</v>
      </c>
      <c r="F358" s="50" t="s">
        <v>1912</v>
      </c>
      <c r="G358" s="2" t="s">
        <v>1913</v>
      </c>
      <c r="H358" s="1">
        <v>10281</v>
      </c>
      <c r="I358" s="1">
        <v>10192</v>
      </c>
      <c r="J358" s="2" t="s">
        <v>1583</v>
      </c>
      <c r="K358" s="2" t="s">
        <v>1363</v>
      </c>
      <c r="L358" s="2" t="s">
        <v>425</v>
      </c>
      <c r="M358" s="1">
        <v>538</v>
      </c>
      <c r="N358" s="1">
        <v>14117</v>
      </c>
      <c r="O358" s="2" t="s">
        <v>495</v>
      </c>
      <c r="P358" s="2" t="s">
        <v>235</v>
      </c>
      <c r="Q358" s="2" t="s">
        <v>311</v>
      </c>
      <c r="R358" s="2" t="s">
        <v>50</v>
      </c>
      <c r="S358" s="2" t="s">
        <v>67</v>
      </c>
      <c r="T358" s="1">
        <v>6834</v>
      </c>
      <c r="U358" s="2" t="s">
        <v>51</v>
      </c>
      <c r="V358" s="1">
        <v>1391</v>
      </c>
      <c r="W358" s="1">
        <v>1295</v>
      </c>
      <c r="X358" s="2" t="s">
        <v>464</v>
      </c>
      <c r="Y358" s="2" t="s">
        <v>255</v>
      </c>
      <c r="Z358" s="2" t="s">
        <v>705</v>
      </c>
      <c r="AA358" s="2" t="s">
        <v>408</v>
      </c>
      <c r="AB358" s="1">
        <v>7283</v>
      </c>
      <c r="AC358" s="1">
        <v>4255</v>
      </c>
      <c r="AD358" s="1">
        <v>1850</v>
      </c>
      <c r="AE358" s="1">
        <v>609</v>
      </c>
      <c r="AF358" s="1">
        <v>103</v>
      </c>
      <c r="AG358" s="1">
        <v>17</v>
      </c>
      <c r="AH358" s="1">
        <v>7841</v>
      </c>
      <c r="AI358" s="1">
        <v>75</v>
      </c>
      <c r="AJ358" s="1">
        <v>339</v>
      </c>
      <c r="AK358" s="1">
        <v>1914</v>
      </c>
      <c r="AL358" s="1">
        <v>78</v>
      </c>
      <c r="AM358" s="1">
        <v>49</v>
      </c>
      <c r="AN358" s="2" t="s">
        <v>449</v>
      </c>
    </row>
    <row r="359" spans="1:40" x14ac:dyDescent="0.3">
      <c r="A359" s="1">
        <v>13273</v>
      </c>
      <c r="B359" s="2" t="s">
        <v>1914</v>
      </c>
      <c r="C359" s="2" t="s">
        <v>1915</v>
      </c>
      <c r="D359" s="1">
        <v>27</v>
      </c>
      <c r="E359" s="2" t="s">
        <v>459</v>
      </c>
      <c r="F359" s="50" t="s">
        <v>3514</v>
      </c>
      <c r="G359" s="2" t="s">
        <v>1916</v>
      </c>
      <c r="H359" s="1">
        <v>7922</v>
      </c>
      <c r="I359" s="1">
        <v>7352</v>
      </c>
      <c r="J359" s="2" t="s">
        <v>804</v>
      </c>
      <c r="K359" s="2" t="s">
        <v>1917</v>
      </c>
      <c r="L359" s="2" t="s">
        <v>214</v>
      </c>
      <c r="M359" s="1">
        <v>456</v>
      </c>
      <c r="N359" s="1">
        <v>11866</v>
      </c>
      <c r="O359" s="2" t="s">
        <v>225</v>
      </c>
      <c r="P359" s="2" t="s">
        <v>50</v>
      </c>
      <c r="Q359" s="2" t="s">
        <v>144</v>
      </c>
      <c r="R359" s="2" t="s">
        <v>96</v>
      </c>
      <c r="S359" s="2" t="s">
        <v>50</v>
      </c>
      <c r="T359" s="1">
        <v>5487</v>
      </c>
      <c r="U359" s="2" t="s">
        <v>51</v>
      </c>
      <c r="V359" s="1">
        <v>1353</v>
      </c>
      <c r="W359" s="1">
        <v>1031</v>
      </c>
      <c r="X359" s="2" t="s">
        <v>1120</v>
      </c>
      <c r="Y359" s="2" t="s">
        <v>295</v>
      </c>
      <c r="Z359" s="2" t="s">
        <v>170</v>
      </c>
      <c r="AA359" s="2" t="s">
        <v>267</v>
      </c>
      <c r="AB359" s="1">
        <v>6379</v>
      </c>
      <c r="AC359" s="1">
        <v>3604</v>
      </c>
      <c r="AD359" s="1">
        <v>1406</v>
      </c>
      <c r="AE359" s="1">
        <v>406</v>
      </c>
      <c r="AF359" s="1">
        <v>67</v>
      </c>
      <c r="AG359" s="1">
        <v>4</v>
      </c>
      <c r="AH359" s="1">
        <v>1508</v>
      </c>
      <c r="AI359" s="1">
        <v>4241</v>
      </c>
      <c r="AJ359" s="1">
        <v>498</v>
      </c>
      <c r="AK359" s="1">
        <v>1601</v>
      </c>
      <c r="AL359" s="1">
        <v>80</v>
      </c>
      <c r="AM359" s="1">
        <v>7</v>
      </c>
      <c r="AN359" s="2" t="s">
        <v>590</v>
      </c>
    </row>
    <row r="360" spans="1:40" x14ac:dyDescent="0.3">
      <c r="A360" s="1">
        <v>11276</v>
      </c>
      <c r="B360" s="2" t="s">
        <v>1918</v>
      </c>
      <c r="C360" s="2" t="s">
        <v>1919</v>
      </c>
      <c r="D360" s="1">
        <v>23</v>
      </c>
      <c r="E360" s="2" t="s">
        <v>327</v>
      </c>
      <c r="F360" s="50" t="s">
        <v>1408</v>
      </c>
      <c r="G360" s="2" t="s">
        <v>1920</v>
      </c>
      <c r="H360" s="1">
        <v>12341</v>
      </c>
      <c r="I360" s="1">
        <v>11539</v>
      </c>
      <c r="J360" s="2" t="s">
        <v>523</v>
      </c>
      <c r="K360" s="2" t="s">
        <v>862</v>
      </c>
      <c r="L360" s="2" t="s">
        <v>471</v>
      </c>
      <c r="M360" s="1">
        <v>682</v>
      </c>
      <c r="N360" s="1">
        <v>18314</v>
      </c>
      <c r="O360" s="2" t="s">
        <v>225</v>
      </c>
      <c r="P360" s="2" t="s">
        <v>67</v>
      </c>
      <c r="Q360" s="2" t="s">
        <v>215</v>
      </c>
      <c r="R360" s="2" t="s">
        <v>66</v>
      </c>
      <c r="S360" s="2" t="s">
        <v>66</v>
      </c>
      <c r="T360" s="1">
        <v>8511</v>
      </c>
      <c r="U360" s="2" t="s">
        <v>51</v>
      </c>
      <c r="V360" s="1">
        <v>1954</v>
      </c>
      <c r="W360" s="1">
        <v>1519</v>
      </c>
      <c r="X360" s="2" t="s">
        <v>168</v>
      </c>
      <c r="Y360" s="2" t="s">
        <v>590</v>
      </c>
      <c r="Z360" s="2" t="s">
        <v>399</v>
      </c>
      <c r="AA360" s="2" t="s">
        <v>789</v>
      </c>
      <c r="AB360" s="1">
        <v>9803</v>
      </c>
      <c r="AC360" s="1">
        <v>5531</v>
      </c>
      <c r="AD360" s="1">
        <v>2266</v>
      </c>
      <c r="AE360" s="1">
        <v>589</v>
      </c>
      <c r="AF360" s="1">
        <v>114</v>
      </c>
      <c r="AG360" s="1">
        <v>11</v>
      </c>
      <c r="AH360" s="1">
        <v>3439</v>
      </c>
      <c r="AI360" s="1">
        <v>6309</v>
      </c>
      <c r="AJ360" s="1">
        <v>488</v>
      </c>
      <c r="AK360" s="1">
        <v>1964</v>
      </c>
      <c r="AL360" s="1">
        <v>136</v>
      </c>
      <c r="AM360" s="1">
        <v>38</v>
      </c>
      <c r="AN360" s="2" t="s">
        <v>590</v>
      </c>
    </row>
    <row r="361" spans="1:40" ht="28.2" x14ac:dyDescent="0.3">
      <c r="A361" s="1">
        <v>13780</v>
      </c>
      <c r="B361" s="2" t="s">
        <v>1921</v>
      </c>
      <c r="C361" s="2" t="s">
        <v>1922</v>
      </c>
      <c r="D361" s="1">
        <v>26</v>
      </c>
      <c r="E361" s="2" t="s">
        <v>1144</v>
      </c>
      <c r="F361" s="50" t="s">
        <v>3514</v>
      </c>
      <c r="G361" s="2" t="s">
        <v>1923</v>
      </c>
      <c r="H361" s="1">
        <v>10747</v>
      </c>
      <c r="I361" s="1">
        <v>10300</v>
      </c>
      <c r="J361" s="2" t="s">
        <v>360</v>
      </c>
      <c r="K361" s="2" t="s">
        <v>1363</v>
      </c>
      <c r="L361" s="2" t="s">
        <v>462</v>
      </c>
      <c r="M361" s="1">
        <v>585</v>
      </c>
      <c r="N361" s="1">
        <v>15322</v>
      </c>
      <c r="O361" s="2" t="s">
        <v>905</v>
      </c>
      <c r="P361" s="2" t="s">
        <v>48</v>
      </c>
      <c r="Q361" s="2" t="s">
        <v>225</v>
      </c>
      <c r="R361" s="2" t="s">
        <v>66</v>
      </c>
      <c r="S361" s="2" t="s">
        <v>96</v>
      </c>
      <c r="T361" s="1">
        <v>7352</v>
      </c>
      <c r="U361" s="2" t="s">
        <v>51</v>
      </c>
      <c r="V361" s="1">
        <v>1432</v>
      </c>
      <c r="W361" s="1">
        <v>1379</v>
      </c>
      <c r="X361" s="2" t="s">
        <v>407</v>
      </c>
      <c r="Y361" s="2" t="s">
        <v>245</v>
      </c>
      <c r="Z361" s="2" t="s">
        <v>533</v>
      </c>
      <c r="AA361" s="2" t="s">
        <v>363</v>
      </c>
      <c r="AB361" s="1">
        <v>7970</v>
      </c>
      <c r="AC361" s="1">
        <v>4774</v>
      </c>
      <c r="AD361" s="1">
        <v>1875</v>
      </c>
      <c r="AE361" s="1">
        <v>600</v>
      </c>
      <c r="AF361" s="1">
        <v>92</v>
      </c>
      <c r="AG361" s="1">
        <v>11</v>
      </c>
      <c r="AH361" s="1">
        <v>8188</v>
      </c>
      <c r="AI361" s="1">
        <v>102</v>
      </c>
      <c r="AJ361" s="1">
        <v>616</v>
      </c>
      <c r="AK361" s="1">
        <v>1733</v>
      </c>
      <c r="AL361" s="1">
        <v>110</v>
      </c>
      <c r="AM361" s="1">
        <v>23</v>
      </c>
      <c r="AN361" s="2" t="s">
        <v>590</v>
      </c>
    </row>
    <row r="362" spans="1:40" x14ac:dyDescent="0.3">
      <c r="A362" s="1">
        <v>15428</v>
      </c>
      <c r="B362" s="2" t="s">
        <v>1924</v>
      </c>
      <c r="C362" s="2" t="s">
        <v>1925</v>
      </c>
      <c r="D362" s="1">
        <v>21</v>
      </c>
      <c r="E362" s="2" t="s">
        <v>327</v>
      </c>
      <c r="F362" s="50" t="s">
        <v>3514</v>
      </c>
      <c r="G362" s="2" t="s">
        <v>1926</v>
      </c>
      <c r="H362" s="1">
        <v>21149</v>
      </c>
      <c r="I362" s="1">
        <v>20816</v>
      </c>
      <c r="J362" s="2" t="s">
        <v>1927</v>
      </c>
      <c r="K362" s="2" t="s">
        <v>79</v>
      </c>
      <c r="L362" s="2" t="s">
        <v>949</v>
      </c>
      <c r="M362" s="1">
        <v>1110</v>
      </c>
      <c r="N362" s="1">
        <v>30021</v>
      </c>
      <c r="O362" s="2" t="s">
        <v>905</v>
      </c>
      <c r="P362" s="2" t="s">
        <v>166</v>
      </c>
      <c r="Q362" s="2" t="s">
        <v>463</v>
      </c>
      <c r="R362" s="2" t="s">
        <v>50</v>
      </c>
      <c r="S362" s="2" t="s">
        <v>67</v>
      </c>
      <c r="T362" s="1">
        <v>14098</v>
      </c>
      <c r="U362" s="2" t="s">
        <v>51</v>
      </c>
      <c r="V362" s="1">
        <v>3181</v>
      </c>
      <c r="W362" s="1">
        <v>3490</v>
      </c>
      <c r="X362" s="2" t="s">
        <v>1749</v>
      </c>
      <c r="Y362" s="2">
        <v>1</v>
      </c>
      <c r="Z362" s="2" t="s">
        <v>1765</v>
      </c>
      <c r="AA362" s="2" t="s">
        <v>1774</v>
      </c>
      <c r="AB362" s="1">
        <v>15923</v>
      </c>
      <c r="AC362" s="1">
        <v>8888</v>
      </c>
      <c r="AD362" s="1">
        <v>3691</v>
      </c>
      <c r="AE362" s="1">
        <v>1223</v>
      </c>
      <c r="AF362" s="1">
        <v>270</v>
      </c>
      <c r="AG362" s="1">
        <v>26</v>
      </c>
      <c r="AH362" s="1">
        <v>15308</v>
      </c>
      <c r="AI362" s="1">
        <v>333</v>
      </c>
      <c r="AJ362" s="1">
        <v>1303</v>
      </c>
      <c r="AK362" s="1">
        <v>3953</v>
      </c>
      <c r="AL362" s="1">
        <v>282</v>
      </c>
      <c r="AM362" s="1">
        <v>45</v>
      </c>
      <c r="AN362" s="2" t="s">
        <v>277</v>
      </c>
    </row>
    <row r="363" spans="1:40" ht="28.2" x14ac:dyDescent="0.3">
      <c r="A363" s="1">
        <v>7749</v>
      </c>
      <c r="B363" s="2" t="s">
        <v>1928</v>
      </c>
      <c r="C363" s="2" t="s">
        <v>1929</v>
      </c>
      <c r="D363" s="1">
        <v>26</v>
      </c>
      <c r="E363" s="2" t="s">
        <v>379</v>
      </c>
      <c r="F363" s="50" t="s">
        <v>3514</v>
      </c>
      <c r="G363" s="2" t="s">
        <v>1695</v>
      </c>
      <c r="H363" s="1">
        <v>13135</v>
      </c>
      <c r="I363" s="1">
        <v>12900</v>
      </c>
      <c r="J363" s="2" t="s">
        <v>1930</v>
      </c>
      <c r="K363" s="2" t="s">
        <v>1183</v>
      </c>
      <c r="L363" s="2" t="s">
        <v>471</v>
      </c>
      <c r="M363" s="1">
        <v>709</v>
      </c>
      <c r="N363" s="1">
        <v>18569</v>
      </c>
      <c r="O363" s="2" t="s">
        <v>646</v>
      </c>
      <c r="P363" s="2" t="s">
        <v>235</v>
      </c>
      <c r="Q363" s="2" t="s">
        <v>463</v>
      </c>
      <c r="R363" s="2" t="s">
        <v>50</v>
      </c>
      <c r="S363" s="2" t="s">
        <v>50</v>
      </c>
      <c r="T363" s="1">
        <v>8763</v>
      </c>
      <c r="U363" s="2" t="s">
        <v>51</v>
      </c>
      <c r="V363" s="1">
        <v>1895</v>
      </c>
      <c r="W363" s="1">
        <v>1953</v>
      </c>
      <c r="X363" s="2" t="s">
        <v>503</v>
      </c>
      <c r="Y363" s="2">
        <v>1</v>
      </c>
      <c r="Z363" s="2" t="s">
        <v>443</v>
      </c>
      <c r="AA363" s="2" t="s">
        <v>1030</v>
      </c>
      <c r="AB363" s="1">
        <v>9806</v>
      </c>
      <c r="AC363" s="1">
        <v>5504</v>
      </c>
      <c r="AD363" s="1">
        <v>2342</v>
      </c>
      <c r="AE363" s="1">
        <v>743</v>
      </c>
      <c r="AF363" s="1">
        <v>159</v>
      </c>
      <c r="AG363" s="1">
        <v>15</v>
      </c>
      <c r="AH363" s="1">
        <v>8880</v>
      </c>
      <c r="AI363" s="1">
        <v>939</v>
      </c>
      <c r="AJ363" s="1">
        <v>559</v>
      </c>
      <c r="AK363" s="1">
        <v>2542</v>
      </c>
      <c r="AL363" s="1">
        <v>155</v>
      </c>
      <c r="AM363" s="1">
        <v>75</v>
      </c>
      <c r="AN363" s="2" t="s">
        <v>449</v>
      </c>
    </row>
    <row r="364" spans="1:40" x14ac:dyDescent="0.3">
      <c r="A364" s="1">
        <v>3410</v>
      </c>
      <c r="B364" s="2" t="s">
        <v>1931</v>
      </c>
      <c r="C364" s="2" t="s">
        <v>1932</v>
      </c>
      <c r="D364" s="1">
        <v>29</v>
      </c>
      <c r="E364" s="2" t="s">
        <v>742</v>
      </c>
      <c r="F364" s="50" t="s">
        <v>3514</v>
      </c>
      <c r="G364" s="2" t="s">
        <v>1023</v>
      </c>
      <c r="H364" s="1">
        <v>12328</v>
      </c>
      <c r="I364" s="1">
        <v>11700</v>
      </c>
      <c r="J364" s="2" t="s">
        <v>1933</v>
      </c>
      <c r="K364" s="2">
        <v>74</v>
      </c>
      <c r="L364" s="2" t="s">
        <v>179</v>
      </c>
      <c r="M364" s="1">
        <v>667</v>
      </c>
      <c r="N364" s="1">
        <v>17746</v>
      </c>
      <c r="O364" s="2" t="s">
        <v>463</v>
      </c>
      <c r="P364" s="2" t="s">
        <v>67</v>
      </c>
      <c r="Q364" s="2" t="s">
        <v>322</v>
      </c>
      <c r="R364" s="2" t="s">
        <v>96</v>
      </c>
      <c r="S364" s="2" t="s">
        <v>50</v>
      </c>
      <c r="T364" s="1">
        <v>8516</v>
      </c>
      <c r="U364" s="2" t="s">
        <v>51</v>
      </c>
      <c r="V364" s="1">
        <v>1900</v>
      </c>
      <c r="W364" s="1">
        <v>1582</v>
      </c>
      <c r="X364" s="2" t="s">
        <v>147</v>
      </c>
      <c r="Y364" s="2" t="s">
        <v>304</v>
      </c>
      <c r="Z364" s="2" t="s">
        <v>1268</v>
      </c>
      <c r="AA364" s="2" t="s">
        <v>659</v>
      </c>
      <c r="AB364" s="1">
        <v>9230</v>
      </c>
      <c r="AC364" s="1">
        <v>5594</v>
      </c>
      <c r="AD364" s="1">
        <v>2174</v>
      </c>
      <c r="AE364" s="1">
        <v>624</v>
      </c>
      <c r="AF364" s="1">
        <v>107</v>
      </c>
      <c r="AG364" s="1">
        <v>17</v>
      </c>
      <c r="AH364" s="1">
        <v>6643</v>
      </c>
      <c r="AI364" s="1">
        <v>2847</v>
      </c>
      <c r="AJ364" s="1">
        <v>622</v>
      </c>
      <c r="AK364" s="1">
        <v>2122</v>
      </c>
      <c r="AL364" s="1">
        <v>98</v>
      </c>
      <c r="AM364" s="1">
        <v>16</v>
      </c>
      <c r="AN364" s="2" t="s">
        <v>449</v>
      </c>
    </row>
    <row r="365" spans="1:40" x14ac:dyDescent="0.3">
      <c r="A365" s="1">
        <v>7253</v>
      </c>
      <c r="B365" s="2" t="s">
        <v>1934</v>
      </c>
      <c r="C365" s="2" t="s">
        <v>1935</v>
      </c>
      <c r="D365" s="1">
        <v>32</v>
      </c>
      <c r="E365" s="2" t="s">
        <v>500</v>
      </c>
      <c r="F365" s="50" t="s">
        <v>3514</v>
      </c>
      <c r="G365" s="2" t="s">
        <v>1936</v>
      </c>
      <c r="H365" s="1">
        <v>11498</v>
      </c>
      <c r="I365" s="1">
        <v>11237</v>
      </c>
      <c r="J365" s="2" t="s">
        <v>1675</v>
      </c>
      <c r="K365" s="2">
        <v>80</v>
      </c>
      <c r="L365" s="2" t="s">
        <v>949</v>
      </c>
      <c r="M365" s="1">
        <v>616</v>
      </c>
      <c r="N365" s="1">
        <v>16284</v>
      </c>
      <c r="O365" s="2" t="s">
        <v>646</v>
      </c>
      <c r="P365" s="2" t="s">
        <v>166</v>
      </c>
      <c r="Q365" s="2" t="s">
        <v>463</v>
      </c>
      <c r="R365" s="2" t="s">
        <v>96</v>
      </c>
      <c r="S365" s="2" t="s">
        <v>66</v>
      </c>
      <c r="T365" s="1">
        <v>7680</v>
      </c>
      <c r="U365" s="2" t="s">
        <v>51</v>
      </c>
      <c r="V365" s="1">
        <v>2042</v>
      </c>
      <c r="W365" s="1">
        <v>2030</v>
      </c>
      <c r="X365" s="2" t="s">
        <v>255</v>
      </c>
      <c r="Y365" s="2" t="s">
        <v>295</v>
      </c>
      <c r="Z365" s="2" t="s">
        <v>347</v>
      </c>
      <c r="AA365" s="2" t="s">
        <v>392</v>
      </c>
      <c r="AB365" s="1">
        <v>8604</v>
      </c>
      <c r="AC365" s="1">
        <v>4782</v>
      </c>
      <c r="AD365" s="1">
        <v>2137</v>
      </c>
      <c r="AE365" s="1">
        <v>631</v>
      </c>
      <c r="AF365" s="1">
        <v>108</v>
      </c>
      <c r="AG365" s="1">
        <v>22</v>
      </c>
      <c r="AH365" s="1">
        <v>6911</v>
      </c>
      <c r="AI365" s="1">
        <v>1359</v>
      </c>
      <c r="AJ365" s="1">
        <v>876</v>
      </c>
      <c r="AK365" s="1">
        <v>2025</v>
      </c>
      <c r="AL365" s="1">
        <v>171</v>
      </c>
      <c r="AM365" s="1">
        <v>180</v>
      </c>
      <c r="AN365" s="2" t="s">
        <v>449</v>
      </c>
    </row>
    <row r="366" spans="1:40" x14ac:dyDescent="0.3">
      <c r="A366" s="1">
        <v>10560</v>
      </c>
      <c r="B366" s="2" t="s">
        <v>1937</v>
      </c>
      <c r="C366" s="2" t="s">
        <v>1938</v>
      </c>
      <c r="D366" s="1">
        <v>30</v>
      </c>
      <c r="E366" s="2" t="s">
        <v>104</v>
      </c>
      <c r="F366" s="50" t="s">
        <v>3514</v>
      </c>
      <c r="G366" s="2" t="s">
        <v>1939</v>
      </c>
      <c r="H366" s="1">
        <v>16256</v>
      </c>
      <c r="I366" s="1">
        <v>15220</v>
      </c>
      <c r="J366" s="2" t="s">
        <v>1940</v>
      </c>
      <c r="K366" s="2" t="s">
        <v>1550</v>
      </c>
      <c r="L366" s="2">
        <v>3</v>
      </c>
      <c r="M366" s="1">
        <v>930</v>
      </c>
      <c r="N366" s="1">
        <v>24064</v>
      </c>
      <c r="O366" s="2" t="s">
        <v>167</v>
      </c>
      <c r="P366" s="2" t="s">
        <v>67</v>
      </c>
      <c r="Q366" s="2" t="s">
        <v>215</v>
      </c>
      <c r="R366" s="2" t="s">
        <v>96</v>
      </c>
      <c r="S366" s="2" t="s">
        <v>96</v>
      </c>
      <c r="T366" s="1">
        <v>11243</v>
      </c>
      <c r="U366" s="2" t="s">
        <v>51</v>
      </c>
      <c r="V366" s="1">
        <v>2888</v>
      </c>
      <c r="W366" s="1">
        <v>2403</v>
      </c>
      <c r="X366" s="2" t="s">
        <v>147</v>
      </c>
      <c r="Y366" s="2" t="s">
        <v>561</v>
      </c>
      <c r="Z366" s="2" t="s">
        <v>821</v>
      </c>
      <c r="AA366" s="2" t="s">
        <v>126</v>
      </c>
      <c r="AB366" s="1">
        <v>12821</v>
      </c>
      <c r="AC366" s="1">
        <v>7369</v>
      </c>
      <c r="AD366" s="1">
        <v>2901</v>
      </c>
      <c r="AE366" s="1">
        <v>825</v>
      </c>
      <c r="AF366" s="1">
        <v>130</v>
      </c>
      <c r="AG366" s="1">
        <v>18</v>
      </c>
      <c r="AH366" s="1">
        <v>4976</v>
      </c>
      <c r="AI366" s="1">
        <v>7335</v>
      </c>
      <c r="AJ366" s="1">
        <v>989</v>
      </c>
      <c r="AK366" s="1">
        <v>2769</v>
      </c>
      <c r="AL366" s="1">
        <v>186</v>
      </c>
      <c r="AM366" s="1">
        <v>46</v>
      </c>
      <c r="AN366" s="2" t="s">
        <v>449</v>
      </c>
    </row>
    <row r="367" spans="1:40" ht="28.2" x14ac:dyDescent="0.3">
      <c r="A367" s="1">
        <v>4954</v>
      </c>
      <c r="B367" s="2" t="s">
        <v>1941</v>
      </c>
      <c r="C367" s="2" t="s">
        <v>1942</v>
      </c>
      <c r="D367" s="1">
        <v>26</v>
      </c>
      <c r="E367" s="2" t="s">
        <v>196</v>
      </c>
      <c r="F367" s="50" t="s">
        <v>229</v>
      </c>
      <c r="G367" s="2" t="s">
        <v>198</v>
      </c>
      <c r="H367" s="1">
        <v>34025</v>
      </c>
      <c r="I367" s="1">
        <v>31738</v>
      </c>
      <c r="J367" s="2" t="s">
        <v>611</v>
      </c>
      <c r="K367" s="2" t="s">
        <v>645</v>
      </c>
      <c r="L367" s="2" t="s">
        <v>1943</v>
      </c>
      <c r="M367" s="1">
        <v>1984</v>
      </c>
      <c r="N367" s="1">
        <v>51687</v>
      </c>
      <c r="O367" s="2" t="s">
        <v>322</v>
      </c>
      <c r="P367" s="2" t="s">
        <v>553</v>
      </c>
      <c r="Q367" s="2" t="s">
        <v>49</v>
      </c>
      <c r="R367" s="2" t="s">
        <v>66</v>
      </c>
      <c r="S367" s="2" t="s">
        <v>96</v>
      </c>
      <c r="T367" s="1">
        <v>23320</v>
      </c>
      <c r="U367" s="2" t="s">
        <v>51</v>
      </c>
      <c r="V367" s="1">
        <v>3808</v>
      </c>
      <c r="W367" s="1">
        <v>3529</v>
      </c>
      <c r="X367" s="2" t="s">
        <v>277</v>
      </c>
      <c r="Y367" s="2" t="s">
        <v>1314</v>
      </c>
      <c r="Z367" s="2" t="s">
        <v>85</v>
      </c>
      <c r="AA367" s="2" t="s">
        <v>1944</v>
      </c>
      <c r="AB367" s="1">
        <v>28367</v>
      </c>
      <c r="AC367" s="1">
        <v>15176</v>
      </c>
      <c r="AD367" s="1">
        <v>6084</v>
      </c>
      <c r="AE367" s="1">
        <v>1669</v>
      </c>
      <c r="AF367" s="1">
        <v>354</v>
      </c>
      <c r="AG367" s="1">
        <v>37</v>
      </c>
      <c r="AH367" s="1">
        <v>26230</v>
      </c>
      <c r="AI367" s="1">
        <v>314</v>
      </c>
      <c r="AJ367" s="1">
        <v>1586</v>
      </c>
      <c r="AK367" s="1">
        <v>5077</v>
      </c>
      <c r="AL367" s="1">
        <v>745</v>
      </c>
      <c r="AM367" s="1">
        <v>124</v>
      </c>
      <c r="AN367" s="2" t="s">
        <v>449</v>
      </c>
    </row>
    <row r="368" spans="1:40" ht="28.2" x14ac:dyDescent="0.3">
      <c r="A368" s="1">
        <v>5287</v>
      </c>
      <c r="B368" s="2" t="s">
        <v>1945</v>
      </c>
      <c r="C368" s="2" t="s">
        <v>1946</v>
      </c>
      <c r="D368" s="1">
        <v>28</v>
      </c>
      <c r="E368" s="2" t="s">
        <v>196</v>
      </c>
      <c r="F368" s="50" t="s">
        <v>878</v>
      </c>
      <c r="G368" s="2" t="s">
        <v>1947</v>
      </c>
      <c r="H368" s="1">
        <v>26979</v>
      </c>
      <c r="I368" s="1">
        <v>25643</v>
      </c>
      <c r="J368" s="2" t="s">
        <v>1046</v>
      </c>
      <c r="K368" s="2" t="s">
        <v>948</v>
      </c>
      <c r="L368" s="2" t="s">
        <v>224</v>
      </c>
      <c r="M368" s="1">
        <v>1494</v>
      </c>
      <c r="N368" s="1">
        <v>39305</v>
      </c>
      <c r="O368" s="2" t="s">
        <v>463</v>
      </c>
      <c r="P368" s="2" t="s">
        <v>235</v>
      </c>
      <c r="Q368" s="2" t="s">
        <v>276</v>
      </c>
      <c r="R368" s="2" t="s">
        <v>96</v>
      </c>
      <c r="S368" s="2" t="s">
        <v>50</v>
      </c>
      <c r="T368" s="1">
        <v>18462</v>
      </c>
      <c r="U368" s="2" t="s">
        <v>51</v>
      </c>
      <c r="V368" s="1">
        <v>3543</v>
      </c>
      <c r="W368" s="1">
        <v>3302</v>
      </c>
      <c r="X368" s="2" t="s">
        <v>464</v>
      </c>
      <c r="Y368" s="2" t="s">
        <v>245</v>
      </c>
      <c r="Z368" s="2" t="s">
        <v>256</v>
      </c>
      <c r="AA368" s="2" t="s">
        <v>1101</v>
      </c>
      <c r="AB368" s="1">
        <v>20843</v>
      </c>
      <c r="AC368" s="1">
        <v>11970</v>
      </c>
      <c r="AD368" s="1">
        <v>4814</v>
      </c>
      <c r="AE368" s="1">
        <v>1383</v>
      </c>
      <c r="AF368" s="1">
        <v>267</v>
      </c>
      <c r="AG368" s="1">
        <v>28</v>
      </c>
      <c r="AH368" s="1">
        <v>20105</v>
      </c>
      <c r="AI368" s="1">
        <v>309</v>
      </c>
      <c r="AJ368" s="1">
        <v>1579</v>
      </c>
      <c r="AK368" s="1">
        <v>4619</v>
      </c>
      <c r="AL368" s="1">
        <v>357</v>
      </c>
      <c r="AM368" s="1">
        <v>46</v>
      </c>
      <c r="AN368" s="2" t="s">
        <v>449</v>
      </c>
    </row>
    <row r="369" spans="1:40" ht="28.2" x14ac:dyDescent="0.3">
      <c r="A369" s="1">
        <v>11258</v>
      </c>
      <c r="B369" s="2" t="s">
        <v>1948</v>
      </c>
      <c r="C369" s="2" t="s">
        <v>1949</v>
      </c>
      <c r="D369" s="1">
        <v>25</v>
      </c>
      <c r="E369" s="2" t="s">
        <v>196</v>
      </c>
      <c r="F369" s="50" t="s">
        <v>3514</v>
      </c>
      <c r="G369" s="2" t="s">
        <v>1950</v>
      </c>
      <c r="H369" s="1">
        <v>11143</v>
      </c>
      <c r="I369" s="1">
        <v>10673</v>
      </c>
      <c r="J369" s="2" t="s">
        <v>1951</v>
      </c>
      <c r="K369" s="2" t="s">
        <v>154</v>
      </c>
      <c r="L369" s="2" t="s">
        <v>612</v>
      </c>
      <c r="M369" s="1">
        <v>611</v>
      </c>
      <c r="N369" s="1">
        <v>15973</v>
      </c>
      <c r="O369" s="2" t="s">
        <v>905</v>
      </c>
      <c r="P369" s="2" t="s">
        <v>235</v>
      </c>
      <c r="Q369" s="2" t="s">
        <v>225</v>
      </c>
      <c r="R369" s="2" t="s">
        <v>50</v>
      </c>
      <c r="S369" s="2" t="s">
        <v>48</v>
      </c>
      <c r="T369" s="1">
        <v>7597</v>
      </c>
      <c r="U369" s="2" t="s">
        <v>51</v>
      </c>
      <c r="V369" s="1">
        <v>1402</v>
      </c>
      <c r="W369" s="1">
        <v>1304</v>
      </c>
      <c r="X369" s="2" t="s">
        <v>277</v>
      </c>
      <c r="Y369" s="2" t="s">
        <v>503</v>
      </c>
      <c r="Z369" s="2" t="s">
        <v>795</v>
      </c>
      <c r="AA369" s="2" t="s">
        <v>783</v>
      </c>
      <c r="AB369" s="1">
        <v>8376</v>
      </c>
      <c r="AC369" s="1">
        <v>4865</v>
      </c>
      <c r="AD369" s="1">
        <v>2047</v>
      </c>
      <c r="AE369" s="1">
        <v>565</v>
      </c>
      <c r="AF369" s="1">
        <v>111</v>
      </c>
      <c r="AG369" s="1">
        <v>9</v>
      </c>
      <c r="AH369" s="1">
        <v>8311</v>
      </c>
      <c r="AI369" s="1">
        <v>249</v>
      </c>
      <c r="AJ369" s="1">
        <v>591</v>
      </c>
      <c r="AK369" s="1">
        <v>1875</v>
      </c>
      <c r="AL369" s="1">
        <v>137</v>
      </c>
      <c r="AM369" s="1">
        <v>32</v>
      </c>
      <c r="AN369" s="2" t="s">
        <v>277</v>
      </c>
    </row>
    <row r="370" spans="1:40" ht="28.2" x14ac:dyDescent="0.3">
      <c r="A370" s="1">
        <v>4216</v>
      </c>
      <c r="B370" s="2" t="s">
        <v>1952</v>
      </c>
      <c r="C370" s="2" t="s">
        <v>1953</v>
      </c>
      <c r="D370" s="1">
        <v>29</v>
      </c>
      <c r="E370" s="2" t="s">
        <v>895</v>
      </c>
      <c r="F370" s="50" t="s">
        <v>210</v>
      </c>
      <c r="G370" s="2" t="s">
        <v>1954</v>
      </c>
      <c r="H370" s="1">
        <v>19347</v>
      </c>
      <c r="I370" s="1">
        <v>18183</v>
      </c>
      <c r="J370" s="2" t="s">
        <v>1631</v>
      </c>
      <c r="K370" s="2" t="s">
        <v>1288</v>
      </c>
      <c r="L370" s="2" t="s">
        <v>46</v>
      </c>
      <c r="M370" s="1">
        <v>1111</v>
      </c>
      <c r="N370" s="1">
        <v>28880</v>
      </c>
      <c r="O370" s="2" t="s">
        <v>225</v>
      </c>
      <c r="P370" s="2" t="s">
        <v>202</v>
      </c>
      <c r="Q370" s="2" t="s">
        <v>215</v>
      </c>
      <c r="R370" s="2" t="s">
        <v>50</v>
      </c>
      <c r="S370" s="2" t="s">
        <v>50</v>
      </c>
      <c r="T370" s="1">
        <v>13310</v>
      </c>
      <c r="U370" s="2" t="s">
        <v>51</v>
      </c>
      <c r="V370" s="1">
        <v>2815</v>
      </c>
      <c r="W370" s="1">
        <v>2777</v>
      </c>
      <c r="X370" s="2" t="s">
        <v>255</v>
      </c>
      <c r="Y370" s="2" t="s">
        <v>285</v>
      </c>
      <c r="Z370" s="2" t="s">
        <v>533</v>
      </c>
      <c r="AA370" s="2" t="s">
        <v>640</v>
      </c>
      <c r="AB370" s="1">
        <v>15570</v>
      </c>
      <c r="AC370" s="1">
        <v>8719</v>
      </c>
      <c r="AD370" s="1">
        <v>3395</v>
      </c>
      <c r="AE370" s="1">
        <v>974</v>
      </c>
      <c r="AF370" s="1">
        <v>206</v>
      </c>
      <c r="AG370" s="1">
        <v>16</v>
      </c>
      <c r="AH370" s="1">
        <v>13391</v>
      </c>
      <c r="AI370" s="1">
        <v>1539</v>
      </c>
      <c r="AJ370" s="1">
        <v>852</v>
      </c>
      <c r="AK370" s="1">
        <v>3304</v>
      </c>
      <c r="AL370" s="1">
        <v>225</v>
      </c>
      <c r="AM370" s="1">
        <v>69</v>
      </c>
      <c r="AN370" s="2" t="s">
        <v>449</v>
      </c>
    </row>
    <row r="371" spans="1:40" x14ac:dyDescent="0.3">
      <c r="A371" s="1">
        <v>7322</v>
      </c>
      <c r="B371" s="2" t="s">
        <v>1955</v>
      </c>
      <c r="C371" s="2" t="s">
        <v>1956</v>
      </c>
      <c r="D371" s="1">
        <v>29</v>
      </c>
      <c r="E371" s="2" t="s">
        <v>42</v>
      </c>
      <c r="F371" s="50" t="s">
        <v>43</v>
      </c>
      <c r="G371" s="2" t="s">
        <v>1957</v>
      </c>
      <c r="H371" s="1">
        <v>37364</v>
      </c>
      <c r="I371" s="1">
        <v>36746</v>
      </c>
      <c r="J371" s="2" t="s">
        <v>1958</v>
      </c>
      <c r="K371" s="2" t="s">
        <v>1959</v>
      </c>
      <c r="L371" s="2" t="s">
        <v>244</v>
      </c>
      <c r="M371" s="1">
        <v>2002</v>
      </c>
      <c r="N371" s="1">
        <v>52515</v>
      </c>
      <c r="O371" s="2" t="s">
        <v>646</v>
      </c>
      <c r="P371" s="2" t="s">
        <v>553</v>
      </c>
      <c r="Q371" s="2" t="s">
        <v>905</v>
      </c>
      <c r="R371" s="2" t="s">
        <v>50</v>
      </c>
      <c r="S371" s="2" t="s">
        <v>96</v>
      </c>
      <c r="T371" s="1">
        <v>24945</v>
      </c>
      <c r="U371" s="2" t="s">
        <v>51</v>
      </c>
      <c r="V371" s="1">
        <v>6157</v>
      </c>
      <c r="W371" s="1">
        <v>6582</v>
      </c>
      <c r="X371" s="2" t="s">
        <v>1570</v>
      </c>
      <c r="Y371" s="2" t="s">
        <v>407</v>
      </c>
      <c r="Z371" s="2" t="s">
        <v>1656</v>
      </c>
      <c r="AA371" s="2" t="s">
        <v>376</v>
      </c>
      <c r="AB371" s="1">
        <v>27570</v>
      </c>
      <c r="AC371" s="1">
        <v>15684</v>
      </c>
      <c r="AD371" s="1">
        <v>6668</v>
      </c>
      <c r="AE371" s="1">
        <v>2114</v>
      </c>
      <c r="AF371" s="1">
        <v>435</v>
      </c>
      <c r="AG371" s="1">
        <v>44</v>
      </c>
      <c r="AH371" s="1">
        <v>28265</v>
      </c>
      <c r="AI371" s="1">
        <v>537</v>
      </c>
      <c r="AJ371" s="1">
        <v>1750</v>
      </c>
      <c r="AK371" s="1">
        <v>6200</v>
      </c>
      <c r="AL371" s="1">
        <v>551</v>
      </c>
      <c r="AM371" s="1">
        <v>109</v>
      </c>
      <c r="AN371" s="2" t="s">
        <v>449</v>
      </c>
    </row>
    <row r="372" spans="1:40" ht="28.2" x14ac:dyDescent="0.3">
      <c r="A372" s="1">
        <v>629</v>
      </c>
      <c r="B372" s="2" t="s">
        <v>1960</v>
      </c>
      <c r="C372" s="2" t="s">
        <v>1961</v>
      </c>
      <c r="D372" s="1">
        <v>35</v>
      </c>
      <c r="E372" s="2" t="s">
        <v>1643</v>
      </c>
      <c r="F372" s="50" t="s">
        <v>1962</v>
      </c>
      <c r="G372" s="2" t="s">
        <v>1963</v>
      </c>
      <c r="H372" s="1">
        <v>19461</v>
      </c>
      <c r="I372" s="1">
        <v>18938</v>
      </c>
      <c r="J372" s="2" t="s">
        <v>417</v>
      </c>
      <c r="K372" s="2" t="s">
        <v>1042</v>
      </c>
      <c r="L372" s="2" t="s">
        <v>471</v>
      </c>
      <c r="M372" s="1">
        <v>1058</v>
      </c>
      <c r="N372" s="1">
        <v>27636</v>
      </c>
      <c r="O372" s="2" t="s">
        <v>905</v>
      </c>
      <c r="P372" s="2" t="s">
        <v>202</v>
      </c>
      <c r="Q372" s="2" t="s">
        <v>463</v>
      </c>
      <c r="R372" s="2" t="s">
        <v>50</v>
      </c>
      <c r="S372" s="2" t="s">
        <v>96</v>
      </c>
      <c r="T372" s="1">
        <v>13085</v>
      </c>
      <c r="U372" s="2" t="s">
        <v>51</v>
      </c>
      <c r="V372" s="1">
        <v>3965</v>
      </c>
      <c r="W372" s="1">
        <v>3470</v>
      </c>
      <c r="X372" s="2" t="s">
        <v>111</v>
      </c>
      <c r="Y372" s="2" t="s">
        <v>172</v>
      </c>
      <c r="Z372" s="2" t="s">
        <v>455</v>
      </c>
      <c r="AA372" s="2" t="s">
        <v>1964</v>
      </c>
      <c r="AB372" s="1">
        <v>14551</v>
      </c>
      <c r="AC372" s="1">
        <v>8281</v>
      </c>
      <c r="AD372" s="1">
        <v>3501</v>
      </c>
      <c r="AE372" s="1">
        <v>1074</v>
      </c>
      <c r="AF372" s="1">
        <v>211</v>
      </c>
      <c r="AG372" s="1">
        <v>18</v>
      </c>
      <c r="AH372" s="1">
        <v>7300</v>
      </c>
      <c r="AI372" s="1">
        <v>7778</v>
      </c>
      <c r="AJ372" s="1">
        <v>682</v>
      </c>
      <c r="AK372" s="1">
        <v>3509</v>
      </c>
      <c r="AL372" s="1">
        <v>201</v>
      </c>
      <c r="AM372" s="1">
        <v>28</v>
      </c>
      <c r="AN372" s="2" t="s">
        <v>449</v>
      </c>
    </row>
    <row r="373" spans="1:40" x14ac:dyDescent="0.3">
      <c r="A373" s="1">
        <v>2299</v>
      </c>
      <c r="B373" s="2" t="s">
        <v>1965</v>
      </c>
      <c r="C373" s="2" t="s">
        <v>1966</v>
      </c>
      <c r="D373" s="1">
        <v>28</v>
      </c>
      <c r="E373" s="2" t="s">
        <v>1967</v>
      </c>
      <c r="F373" s="50" t="s">
        <v>1968</v>
      </c>
      <c r="G373" s="2" t="s">
        <v>1969</v>
      </c>
      <c r="H373" s="1">
        <v>11861</v>
      </c>
      <c r="I373" s="1">
        <v>11265</v>
      </c>
      <c r="J373" s="2" t="s">
        <v>432</v>
      </c>
      <c r="K373" s="2" t="s">
        <v>1494</v>
      </c>
      <c r="L373" s="2" t="s">
        <v>201</v>
      </c>
      <c r="M373" s="1">
        <v>664</v>
      </c>
      <c r="N373" s="1">
        <v>17181</v>
      </c>
      <c r="O373" s="2" t="s">
        <v>463</v>
      </c>
      <c r="P373" s="2" t="s">
        <v>202</v>
      </c>
      <c r="Q373" s="2" t="s">
        <v>322</v>
      </c>
      <c r="R373" s="2" t="s">
        <v>96</v>
      </c>
      <c r="S373" s="2" t="s">
        <v>96</v>
      </c>
      <c r="T373" s="1">
        <v>8123</v>
      </c>
      <c r="U373" s="2" t="s">
        <v>51</v>
      </c>
      <c r="V373" s="1">
        <v>1576</v>
      </c>
      <c r="W373" s="1">
        <v>1444</v>
      </c>
      <c r="X373" s="2" t="s">
        <v>295</v>
      </c>
      <c r="Y373" s="2" t="s">
        <v>285</v>
      </c>
      <c r="Z373" s="2" t="s">
        <v>237</v>
      </c>
      <c r="AA373" s="2" t="s">
        <v>1083</v>
      </c>
      <c r="AB373" s="1">
        <v>9058</v>
      </c>
      <c r="AC373" s="1">
        <v>5230</v>
      </c>
      <c r="AD373" s="1">
        <v>2188</v>
      </c>
      <c r="AE373" s="1">
        <v>592</v>
      </c>
      <c r="AF373" s="1">
        <v>98</v>
      </c>
      <c r="AG373" s="1">
        <v>15</v>
      </c>
      <c r="AH373" s="1">
        <v>7874</v>
      </c>
      <c r="AI373" s="1">
        <v>757</v>
      </c>
      <c r="AJ373" s="1">
        <v>1039</v>
      </c>
      <c r="AK373" s="1">
        <v>1991</v>
      </c>
      <c r="AL373" s="1">
        <v>190</v>
      </c>
      <c r="AM373" s="1">
        <v>25</v>
      </c>
      <c r="AN373" s="2" t="s">
        <v>449</v>
      </c>
    </row>
    <row r="374" spans="1:40" x14ac:dyDescent="0.3">
      <c r="A374" s="1">
        <v>203</v>
      </c>
      <c r="B374" s="2" t="s">
        <v>1970</v>
      </c>
      <c r="C374" s="2" t="s">
        <v>1971</v>
      </c>
      <c r="D374" s="1">
        <v>31</v>
      </c>
      <c r="E374" s="2" t="s">
        <v>459</v>
      </c>
      <c r="F374" s="50" t="s">
        <v>3514</v>
      </c>
      <c r="G374" s="2" t="s">
        <v>1972</v>
      </c>
      <c r="H374" s="1">
        <v>14720</v>
      </c>
      <c r="I374" s="1">
        <v>14236</v>
      </c>
      <c r="J374" s="2" t="s">
        <v>1973</v>
      </c>
      <c r="K374" s="2" t="s">
        <v>692</v>
      </c>
      <c r="L374" s="2">
        <v>5</v>
      </c>
      <c r="M374" s="1">
        <v>813</v>
      </c>
      <c r="N374" s="1">
        <v>21021</v>
      </c>
      <c r="O374" s="2" t="s">
        <v>905</v>
      </c>
      <c r="P374" s="2" t="s">
        <v>166</v>
      </c>
      <c r="Q374" s="2" t="s">
        <v>167</v>
      </c>
      <c r="R374" s="2" t="s">
        <v>50</v>
      </c>
      <c r="S374" s="2" t="s">
        <v>50</v>
      </c>
      <c r="T374" s="1">
        <v>9942</v>
      </c>
      <c r="U374" s="2" t="s">
        <v>51</v>
      </c>
      <c r="V374" s="1">
        <v>2024</v>
      </c>
      <c r="W374" s="1">
        <v>2050</v>
      </c>
      <c r="X374" s="2" t="s">
        <v>285</v>
      </c>
      <c r="Y374" s="2" t="s">
        <v>285</v>
      </c>
      <c r="Z374" s="2" t="s">
        <v>192</v>
      </c>
      <c r="AA374" s="2" t="s">
        <v>413</v>
      </c>
      <c r="AB374" s="1">
        <v>11079</v>
      </c>
      <c r="AC374" s="1">
        <v>6359</v>
      </c>
      <c r="AD374" s="1">
        <v>2595</v>
      </c>
      <c r="AE374" s="1">
        <v>827</v>
      </c>
      <c r="AF374" s="1">
        <v>147</v>
      </c>
      <c r="AG374" s="1">
        <v>14</v>
      </c>
      <c r="AH374" s="1">
        <v>10979</v>
      </c>
      <c r="AI374" s="1">
        <v>286</v>
      </c>
      <c r="AJ374" s="1">
        <v>662</v>
      </c>
      <c r="AK374" s="1">
        <v>2520</v>
      </c>
      <c r="AL374" s="1">
        <v>242</v>
      </c>
      <c r="AM374" s="1">
        <v>44</v>
      </c>
      <c r="AN374" s="2" t="s">
        <v>449</v>
      </c>
    </row>
    <row r="375" spans="1:40" ht="42" x14ac:dyDescent="0.3">
      <c r="A375" s="1">
        <v>14218</v>
      </c>
      <c r="B375" s="2" t="s">
        <v>1974</v>
      </c>
      <c r="C375" s="2" t="s">
        <v>1975</v>
      </c>
      <c r="D375" s="1">
        <v>20</v>
      </c>
      <c r="E375" s="2" t="s">
        <v>545</v>
      </c>
      <c r="F375" s="50" t="s">
        <v>197</v>
      </c>
      <c r="G375" s="2" t="s">
        <v>1976</v>
      </c>
      <c r="H375" s="1">
        <v>18805</v>
      </c>
      <c r="I375" s="1">
        <v>17985</v>
      </c>
      <c r="J375" s="2" t="s">
        <v>611</v>
      </c>
      <c r="K375" s="2" t="s">
        <v>531</v>
      </c>
      <c r="L375" s="2" t="s">
        <v>575</v>
      </c>
      <c r="M375" s="1">
        <v>1027</v>
      </c>
      <c r="N375" s="1">
        <v>27188</v>
      </c>
      <c r="O375" s="2" t="s">
        <v>463</v>
      </c>
      <c r="P375" s="2" t="s">
        <v>235</v>
      </c>
      <c r="Q375" s="2" t="s">
        <v>322</v>
      </c>
      <c r="R375" s="2" t="s">
        <v>50</v>
      </c>
      <c r="S375" s="2" t="s">
        <v>67</v>
      </c>
      <c r="T375" s="1">
        <v>12826</v>
      </c>
      <c r="U375" s="2" t="s">
        <v>51</v>
      </c>
      <c r="V375" s="1">
        <v>2624</v>
      </c>
      <c r="W375" s="1">
        <v>2646</v>
      </c>
      <c r="X375" s="2" t="s">
        <v>285</v>
      </c>
      <c r="Y375" s="2" t="s">
        <v>285</v>
      </c>
      <c r="Z375" s="2" t="s">
        <v>705</v>
      </c>
      <c r="AA375" s="2" t="s">
        <v>363</v>
      </c>
      <c r="AB375" s="1">
        <v>14362</v>
      </c>
      <c r="AC375" s="1">
        <v>8246</v>
      </c>
      <c r="AD375" s="1">
        <v>3389</v>
      </c>
      <c r="AE375" s="1">
        <v>996</v>
      </c>
      <c r="AF375" s="1">
        <v>182</v>
      </c>
      <c r="AG375" s="1">
        <v>13</v>
      </c>
      <c r="AH375" s="1">
        <v>13951</v>
      </c>
      <c r="AI375" s="1">
        <v>229</v>
      </c>
      <c r="AJ375" s="1">
        <v>1264</v>
      </c>
      <c r="AK375" s="1">
        <v>3051</v>
      </c>
      <c r="AL375" s="1">
        <v>317</v>
      </c>
      <c r="AM375" s="1">
        <v>57</v>
      </c>
      <c r="AN375" s="2" t="s">
        <v>277</v>
      </c>
    </row>
    <row r="376" spans="1:40" ht="28.2" x14ac:dyDescent="0.3">
      <c r="A376" s="1">
        <v>13464</v>
      </c>
      <c r="B376" s="2" t="s">
        <v>1977</v>
      </c>
      <c r="C376" s="2" t="s">
        <v>1978</v>
      </c>
      <c r="D376" s="1">
        <v>25</v>
      </c>
      <c r="E376" s="2" t="s">
        <v>467</v>
      </c>
      <c r="F376" s="50" t="s">
        <v>1979</v>
      </c>
      <c r="G376" s="2" t="s">
        <v>1980</v>
      </c>
      <c r="H376" s="1">
        <v>13540</v>
      </c>
      <c r="I376" s="1">
        <v>13128</v>
      </c>
      <c r="J376" s="2" t="s">
        <v>657</v>
      </c>
      <c r="K376" s="2" t="s">
        <v>1959</v>
      </c>
      <c r="L376" s="2" t="s">
        <v>1981</v>
      </c>
      <c r="M376" s="1">
        <v>731</v>
      </c>
      <c r="N376" s="1">
        <v>19382</v>
      </c>
      <c r="O376" s="2" t="s">
        <v>905</v>
      </c>
      <c r="P376" s="2" t="s">
        <v>166</v>
      </c>
      <c r="Q376" s="2" t="s">
        <v>167</v>
      </c>
      <c r="R376" s="2" t="s">
        <v>50</v>
      </c>
      <c r="S376" s="2" t="s">
        <v>50</v>
      </c>
      <c r="T376" s="1">
        <v>9141</v>
      </c>
      <c r="U376" s="2" t="s">
        <v>51</v>
      </c>
      <c r="V376" s="1">
        <v>1930</v>
      </c>
      <c r="W376" s="1">
        <v>1846</v>
      </c>
      <c r="X376" s="2" t="s">
        <v>304</v>
      </c>
      <c r="Y376" s="2" t="s">
        <v>255</v>
      </c>
      <c r="Z376" s="2" t="s">
        <v>427</v>
      </c>
      <c r="AA376" s="2" t="s">
        <v>408</v>
      </c>
      <c r="AB376" s="1">
        <v>10241</v>
      </c>
      <c r="AC376" s="1">
        <v>5802</v>
      </c>
      <c r="AD376" s="1">
        <v>2457</v>
      </c>
      <c r="AE376" s="1">
        <v>720</v>
      </c>
      <c r="AF376" s="1">
        <v>146</v>
      </c>
      <c r="AG376" s="1">
        <v>16</v>
      </c>
      <c r="AH376" s="1">
        <v>10318</v>
      </c>
      <c r="AI376" s="1">
        <v>104</v>
      </c>
      <c r="AJ376" s="1">
        <v>672</v>
      </c>
      <c r="AK376" s="1">
        <v>2119</v>
      </c>
      <c r="AL376" s="1">
        <v>333</v>
      </c>
      <c r="AM376" s="1">
        <v>59</v>
      </c>
      <c r="AN376" s="2" t="s">
        <v>277</v>
      </c>
    </row>
    <row r="377" spans="1:40" ht="28.2" x14ac:dyDescent="0.3">
      <c r="A377" s="1">
        <v>2398</v>
      </c>
      <c r="B377" s="2" t="s">
        <v>1982</v>
      </c>
      <c r="C377" s="2" t="s">
        <v>1983</v>
      </c>
      <c r="D377" s="1">
        <v>29</v>
      </c>
      <c r="E377" s="2" t="s">
        <v>545</v>
      </c>
      <c r="F377" s="50" t="s">
        <v>3514</v>
      </c>
      <c r="G377" s="2" t="s">
        <v>1984</v>
      </c>
      <c r="H377" s="1">
        <v>7087</v>
      </c>
      <c r="I377" s="1">
        <v>6759</v>
      </c>
      <c r="J377" s="2" t="s">
        <v>1828</v>
      </c>
      <c r="K377" s="2" t="s">
        <v>213</v>
      </c>
      <c r="L377" s="2">
        <v>4</v>
      </c>
      <c r="M377" s="1">
        <v>382</v>
      </c>
      <c r="N377" s="1">
        <v>10157</v>
      </c>
      <c r="O377" s="2" t="s">
        <v>905</v>
      </c>
      <c r="P377" s="2" t="s">
        <v>553</v>
      </c>
      <c r="Q377" s="2" t="s">
        <v>225</v>
      </c>
      <c r="R377" s="2" t="s">
        <v>50</v>
      </c>
      <c r="S377" s="2" t="s">
        <v>202</v>
      </c>
      <c r="T377" s="1">
        <v>4845</v>
      </c>
      <c r="U377" s="2" t="s">
        <v>51</v>
      </c>
      <c r="V377" s="1">
        <v>816</v>
      </c>
      <c r="W377" s="1">
        <v>728</v>
      </c>
      <c r="X377" s="2" t="s">
        <v>370</v>
      </c>
      <c r="Y377" s="2" t="s">
        <v>820</v>
      </c>
      <c r="Z377" s="2" t="s">
        <v>443</v>
      </c>
      <c r="AA377" s="2" t="s">
        <v>1985</v>
      </c>
      <c r="AB377" s="1">
        <v>5312</v>
      </c>
      <c r="AC377" s="1">
        <v>3125</v>
      </c>
      <c r="AD377" s="1">
        <v>1290</v>
      </c>
      <c r="AE377" s="1">
        <v>363</v>
      </c>
      <c r="AF377" s="1">
        <v>59</v>
      </c>
      <c r="AG377" s="1">
        <v>8</v>
      </c>
      <c r="AH377" s="1">
        <v>5397</v>
      </c>
      <c r="AI377" s="1">
        <v>176</v>
      </c>
      <c r="AJ377" s="1">
        <v>202</v>
      </c>
      <c r="AK377" s="1">
        <v>1175</v>
      </c>
      <c r="AL377" s="1">
        <v>123</v>
      </c>
      <c r="AM377" s="1">
        <v>16</v>
      </c>
      <c r="AN377" s="2" t="s">
        <v>449</v>
      </c>
    </row>
    <row r="378" spans="1:40" ht="28.2" x14ac:dyDescent="0.3">
      <c r="A378" s="1">
        <v>8951</v>
      </c>
      <c r="B378" s="2" t="s">
        <v>1986</v>
      </c>
      <c r="C378" s="2" t="s">
        <v>1987</v>
      </c>
      <c r="D378" s="1">
        <v>29</v>
      </c>
      <c r="E378" s="2" t="s">
        <v>241</v>
      </c>
      <c r="F378" s="50" t="s">
        <v>3514</v>
      </c>
      <c r="G378" s="2" t="s">
        <v>1988</v>
      </c>
      <c r="H378" s="1">
        <v>7419</v>
      </c>
      <c r="I378" s="1">
        <v>7300</v>
      </c>
      <c r="J378" s="2" t="s">
        <v>321</v>
      </c>
      <c r="K378" s="2" t="s">
        <v>154</v>
      </c>
      <c r="L378" s="2">
        <v>3</v>
      </c>
      <c r="M378" s="1">
        <v>412</v>
      </c>
      <c r="N378" s="1">
        <v>10376</v>
      </c>
      <c r="O378" s="2" t="s">
        <v>311</v>
      </c>
      <c r="P378" s="2" t="s">
        <v>166</v>
      </c>
      <c r="Q378" s="2" t="s">
        <v>905</v>
      </c>
      <c r="R378" s="2" t="s">
        <v>67</v>
      </c>
      <c r="S378" s="2" t="s">
        <v>67</v>
      </c>
      <c r="T378" s="1">
        <v>4939</v>
      </c>
      <c r="U378" s="2" t="s">
        <v>51</v>
      </c>
      <c r="V378" s="1">
        <v>1212</v>
      </c>
      <c r="W378" s="1">
        <v>1236</v>
      </c>
      <c r="X378" s="2" t="s">
        <v>245</v>
      </c>
      <c r="Y378" s="2" t="s">
        <v>304</v>
      </c>
      <c r="Z378" s="2" t="s">
        <v>635</v>
      </c>
      <c r="AA378" s="2" t="s">
        <v>100</v>
      </c>
      <c r="AB378" s="1">
        <v>5437</v>
      </c>
      <c r="AC378" s="1">
        <v>3049</v>
      </c>
      <c r="AD378" s="1">
        <v>1386</v>
      </c>
      <c r="AE378" s="1">
        <v>426</v>
      </c>
      <c r="AF378" s="1">
        <v>71</v>
      </c>
      <c r="AG378" s="1">
        <v>7</v>
      </c>
      <c r="AH378" s="1">
        <v>5311</v>
      </c>
      <c r="AI378" s="1">
        <v>437</v>
      </c>
      <c r="AJ378" s="1">
        <v>436</v>
      </c>
      <c r="AK378" s="1">
        <v>1173</v>
      </c>
      <c r="AL378" s="1">
        <v>65</v>
      </c>
      <c r="AM378" s="1">
        <v>3</v>
      </c>
      <c r="AN378" s="2" t="s">
        <v>449</v>
      </c>
    </row>
    <row r="379" spans="1:40" ht="28.2" x14ac:dyDescent="0.3">
      <c r="A379" s="1">
        <v>17113</v>
      </c>
      <c r="B379" s="2" t="s">
        <v>1989</v>
      </c>
      <c r="C379" s="2" t="s">
        <v>1990</v>
      </c>
      <c r="D379" s="1">
        <v>20</v>
      </c>
      <c r="E379" s="2" t="s">
        <v>327</v>
      </c>
      <c r="F379" s="50" t="s">
        <v>328</v>
      </c>
      <c r="G379" s="2" t="s">
        <v>1991</v>
      </c>
      <c r="H379" s="1">
        <v>10070</v>
      </c>
      <c r="I379" s="1">
        <v>9815</v>
      </c>
      <c r="J379" s="2" t="s">
        <v>1958</v>
      </c>
      <c r="K379" s="2" t="s">
        <v>948</v>
      </c>
      <c r="L379" s="2" t="s">
        <v>80</v>
      </c>
      <c r="M379" s="1">
        <v>545</v>
      </c>
      <c r="N379" s="1">
        <v>14588</v>
      </c>
      <c r="O379" s="2" t="s">
        <v>463</v>
      </c>
      <c r="P379" s="2" t="s">
        <v>202</v>
      </c>
      <c r="Q379" s="2" t="s">
        <v>225</v>
      </c>
      <c r="R379" s="2" t="s">
        <v>96</v>
      </c>
      <c r="S379" s="2" t="s">
        <v>96</v>
      </c>
      <c r="T379" s="1">
        <v>6757</v>
      </c>
      <c r="U379" s="2" t="s">
        <v>51</v>
      </c>
      <c r="V379" s="1">
        <v>1380</v>
      </c>
      <c r="W379" s="1">
        <v>1357</v>
      </c>
      <c r="X379" s="2" t="s">
        <v>449</v>
      </c>
      <c r="Y379" s="2" t="s">
        <v>245</v>
      </c>
      <c r="Z379" s="2" t="s">
        <v>217</v>
      </c>
      <c r="AA379" s="2" t="s">
        <v>888</v>
      </c>
      <c r="AB379" s="1">
        <v>7831</v>
      </c>
      <c r="AC379" s="1">
        <v>4298</v>
      </c>
      <c r="AD379" s="1">
        <v>1753</v>
      </c>
      <c r="AE379" s="1">
        <v>569</v>
      </c>
      <c r="AF379" s="1">
        <v>126</v>
      </c>
      <c r="AG379" s="1">
        <v>11</v>
      </c>
      <c r="AH379" s="1">
        <v>7553</v>
      </c>
      <c r="AI379" s="1">
        <v>268</v>
      </c>
      <c r="AJ379" s="1">
        <v>314</v>
      </c>
      <c r="AK379" s="1">
        <v>1832</v>
      </c>
      <c r="AL379" s="1">
        <v>98</v>
      </c>
      <c r="AM379" s="1">
        <v>45</v>
      </c>
      <c r="AN379" s="2" t="s">
        <v>590</v>
      </c>
    </row>
    <row r="380" spans="1:40" ht="28.2" x14ac:dyDescent="0.3">
      <c r="A380" s="1">
        <v>7935</v>
      </c>
      <c r="B380" s="2" t="s">
        <v>1992</v>
      </c>
      <c r="C380" s="2" t="s">
        <v>1993</v>
      </c>
      <c r="D380" s="1">
        <v>26</v>
      </c>
      <c r="E380" s="2" t="s">
        <v>459</v>
      </c>
      <c r="F380" s="50" t="s">
        <v>3514</v>
      </c>
      <c r="G380" s="2" t="s">
        <v>1994</v>
      </c>
      <c r="H380" s="1">
        <v>12336</v>
      </c>
      <c r="I380" s="1">
        <v>12141</v>
      </c>
      <c r="J380" s="2" t="s">
        <v>1995</v>
      </c>
      <c r="K380" s="2" t="s">
        <v>418</v>
      </c>
      <c r="L380" s="2">
        <v>3</v>
      </c>
      <c r="M380" s="1">
        <v>660</v>
      </c>
      <c r="N380" s="1">
        <v>17324</v>
      </c>
      <c r="O380" s="2" t="s">
        <v>646</v>
      </c>
      <c r="P380" s="2" t="s">
        <v>202</v>
      </c>
      <c r="Q380" s="2" t="s">
        <v>905</v>
      </c>
      <c r="R380" s="2" t="s">
        <v>50</v>
      </c>
      <c r="S380" s="2" t="s">
        <v>67</v>
      </c>
      <c r="T380" s="1">
        <v>8244</v>
      </c>
      <c r="U380" s="2" t="s">
        <v>51</v>
      </c>
      <c r="V380" s="1">
        <v>1858</v>
      </c>
      <c r="W380" s="1">
        <v>1796</v>
      </c>
      <c r="X380" s="2" t="s">
        <v>412</v>
      </c>
      <c r="Y380" s="2" t="s">
        <v>412</v>
      </c>
      <c r="Z380" s="2" t="s">
        <v>1996</v>
      </c>
      <c r="AA380" s="2" t="s">
        <v>659</v>
      </c>
      <c r="AB380" s="1">
        <v>9080</v>
      </c>
      <c r="AC380" s="1">
        <v>5181</v>
      </c>
      <c r="AD380" s="1">
        <v>2223</v>
      </c>
      <c r="AE380" s="1">
        <v>676</v>
      </c>
      <c r="AF380" s="1">
        <v>152</v>
      </c>
      <c r="AG380" s="1">
        <v>12</v>
      </c>
      <c r="AH380" s="1">
        <v>9185</v>
      </c>
      <c r="AI380" s="1">
        <v>343</v>
      </c>
      <c r="AJ380" s="1">
        <v>374</v>
      </c>
      <c r="AK380" s="1">
        <v>2239</v>
      </c>
      <c r="AL380" s="1">
        <v>166</v>
      </c>
      <c r="AM380" s="1">
        <v>50</v>
      </c>
      <c r="AN380" s="2" t="s">
        <v>449</v>
      </c>
    </row>
    <row r="381" spans="1:40" x14ac:dyDescent="0.3">
      <c r="A381" s="1">
        <v>13182</v>
      </c>
      <c r="B381" s="2" t="s">
        <v>1997</v>
      </c>
      <c r="C381" s="2" t="s">
        <v>1998</v>
      </c>
      <c r="D381" s="1">
        <v>22</v>
      </c>
      <c r="E381" s="2" t="s">
        <v>459</v>
      </c>
      <c r="F381" s="50" t="s">
        <v>3514</v>
      </c>
      <c r="G381" s="2" t="s">
        <v>1999</v>
      </c>
      <c r="H381" s="1">
        <v>8078</v>
      </c>
      <c r="I381" s="1">
        <v>7894</v>
      </c>
      <c r="J381" s="2" t="s">
        <v>2000</v>
      </c>
      <c r="K381" s="2" t="s">
        <v>1062</v>
      </c>
      <c r="L381" s="2">
        <v>3</v>
      </c>
      <c r="M381" s="1">
        <v>449</v>
      </c>
      <c r="N381" s="1">
        <v>11596</v>
      </c>
      <c r="O381" s="2" t="s">
        <v>905</v>
      </c>
      <c r="P381" s="2" t="s">
        <v>202</v>
      </c>
      <c r="Q381" s="2" t="s">
        <v>167</v>
      </c>
      <c r="R381" s="2" t="s">
        <v>67</v>
      </c>
      <c r="S381" s="2" t="s">
        <v>67</v>
      </c>
      <c r="T381" s="1">
        <v>5403</v>
      </c>
      <c r="U381" s="2" t="s">
        <v>51</v>
      </c>
      <c r="V381" s="1">
        <v>1221</v>
      </c>
      <c r="W381" s="1">
        <v>1289</v>
      </c>
      <c r="X381" s="2" t="s">
        <v>820</v>
      </c>
      <c r="Y381" s="2" t="s">
        <v>255</v>
      </c>
      <c r="Z381" s="2" t="s">
        <v>1327</v>
      </c>
      <c r="AA381" s="2" t="s">
        <v>577</v>
      </c>
      <c r="AB381" s="1">
        <v>6193</v>
      </c>
      <c r="AC381" s="1">
        <v>3383</v>
      </c>
      <c r="AD381" s="1">
        <v>1481</v>
      </c>
      <c r="AE381" s="1">
        <v>433</v>
      </c>
      <c r="AF381" s="1">
        <v>96</v>
      </c>
      <c r="AG381" s="1">
        <v>10</v>
      </c>
      <c r="AH381" s="1">
        <v>6019</v>
      </c>
      <c r="AI381" s="1">
        <v>144</v>
      </c>
      <c r="AJ381" s="1">
        <v>435</v>
      </c>
      <c r="AK381" s="1">
        <v>1423</v>
      </c>
      <c r="AL381" s="1">
        <v>68</v>
      </c>
      <c r="AM381" s="1">
        <v>12</v>
      </c>
      <c r="AN381" s="2" t="s">
        <v>464</v>
      </c>
    </row>
    <row r="382" spans="1:40" x14ac:dyDescent="0.3">
      <c r="A382" s="1">
        <v>10818</v>
      </c>
      <c r="B382" s="2" t="s">
        <v>2001</v>
      </c>
      <c r="C382" s="2" t="s">
        <v>2002</v>
      </c>
      <c r="D382" s="1">
        <v>24</v>
      </c>
      <c r="E382" s="2" t="s">
        <v>104</v>
      </c>
      <c r="F382" s="50" t="s">
        <v>1125</v>
      </c>
      <c r="G382" s="2" t="s">
        <v>2003</v>
      </c>
      <c r="H382" s="1">
        <v>15793</v>
      </c>
      <c r="I382" s="1">
        <v>15282</v>
      </c>
      <c r="J382" s="2" t="s">
        <v>1635</v>
      </c>
      <c r="K382" s="2" t="s">
        <v>341</v>
      </c>
      <c r="L382" s="2" t="s">
        <v>612</v>
      </c>
      <c r="M382" s="1">
        <v>872</v>
      </c>
      <c r="N382" s="1">
        <v>22741</v>
      </c>
      <c r="O382" s="2" t="s">
        <v>463</v>
      </c>
      <c r="P382" s="2" t="s">
        <v>166</v>
      </c>
      <c r="Q382" s="2" t="s">
        <v>225</v>
      </c>
      <c r="R382" s="2" t="s">
        <v>50</v>
      </c>
      <c r="S382" s="2" t="s">
        <v>96</v>
      </c>
      <c r="T382" s="1">
        <v>10658</v>
      </c>
      <c r="U382" s="2" t="s">
        <v>51</v>
      </c>
      <c r="V382" s="1">
        <v>2317</v>
      </c>
      <c r="W382" s="1">
        <v>2265</v>
      </c>
      <c r="X382" s="2" t="s">
        <v>449</v>
      </c>
      <c r="Y382" s="2" t="s">
        <v>255</v>
      </c>
      <c r="Z382" s="2" t="s">
        <v>347</v>
      </c>
      <c r="AA382" s="2" t="s">
        <v>1030</v>
      </c>
      <c r="AB382" s="1">
        <v>12083</v>
      </c>
      <c r="AC382" s="1">
        <v>6748</v>
      </c>
      <c r="AD382" s="1">
        <v>2871</v>
      </c>
      <c r="AE382" s="1">
        <v>871</v>
      </c>
      <c r="AF382" s="1">
        <v>150</v>
      </c>
      <c r="AG382" s="1">
        <v>18</v>
      </c>
      <c r="AH382" s="1">
        <v>11294</v>
      </c>
      <c r="AI382" s="1">
        <v>734</v>
      </c>
      <c r="AJ382" s="1">
        <v>1013</v>
      </c>
      <c r="AK382" s="1">
        <v>2554</v>
      </c>
      <c r="AL382" s="1">
        <v>186</v>
      </c>
      <c r="AM382" s="1">
        <v>50</v>
      </c>
      <c r="AN382" s="2" t="s">
        <v>277</v>
      </c>
    </row>
    <row r="383" spans="1:40" x14ac:dyDescent="0.3">
      <c r="A383" s="1">
        <v>11844</v>
      </c>
      <c r="B383" s="2" t="s">
        <v>2004</v>
      </c>
      <c r="C383" s="2" t="s">
        <v>2005</v>
      </c>
      <c r="D383" s="1">
        <v>31</v>
      </c>
      <c r="E383" s="2" t="s">
        <v>299</v>
      </c>
      <c r="F383" s="50" t="s">
        <v>3514</v>
      </c>
      <c r="G383" s="2" t="s">
        <v>300</v>
      </c>
      <c r="H383" s="1">
        <v>7976</v>
      </c>
      <c r="I383" s="1">
        <v>7619</v>
      </c>
      <c r="J383" s="2" t="s">
        <v>2006</v>
      </c>
      <c r="K383" s="2">
        <v>79</v>
      </c>
      <c r="L383" s="2" t="s">
        <v>1352</v>
      </c>
      <c r="M383" s="1">
        <v>461</v>
      </c>
      <c r="N383" s="1">
        <v>11606</v>
      </c>
      <c r="O383" s="2" t="s">
        <v>463</v>
      </c>
      <c r="P383" s="2" t="s">
        <v>553</v>
      </c>
      <c r="Q383" s="2" t="s">
        <v>322</v>
      </c>
      <c r="R383" s="2" t="s">
        <v>66</v>
      </c>
      <c r="S383" s="2" t="s">
        <v>66</v>
      </c>
      <c r="T383" s="1">
        <v>5468</v>
      </c>
      <c r="U383" s="2" t="s">
        <v>51</v>
      </c>
      <c r="V383" s="1">
        <v>1041</v>
      </c>
      <c r="W383" s="1">
        <v>943</v>
      </c>
      <c r="X383" s="2" t="s">
        <v>561</v>
      </c>
      <c r="Y383" s="2" t="s">
        <v>245</v>
      </c>
      <c r="Z383" s="2" t="s">
        <v>473</v>
      </c>
      <c r="AA383" s="2" t="s">
        <v>518</v>
      </c>
      <c r="AB383" s="1">
        <v>6138</v>
      </c>
      <c r="AC383" s="1">
        <v>3555</v>
      </c>
      <c r="AD383" s="1">
        <v>1420</v>
      </c>
      <c r="AE383" s="1">
        <v>399</v>
      </c>
      <c r="AF383" s="1">
        <v>86</v>
      </c>
      <c r="AG383" s="1">
        <v>8</v>
      </c>
      <c r="AH383" s="1">
        <v>5813</v>
      </c>
      <c r="AI383" s="1">
        <v>43</v>
      </c>
      <c r="AJ383" s="1">
        <v>508</v>
      </c>
      <c r="AK383" s="1">
        <v>1455</v>
      </c>
      <c r="AL383" s="1">
        <v>146</v>
      </c>
      <c r="AM383" s="1">
        <v>23</v>
      </c>
      <c r="AN383" s="2" t="s">
        <v>295</v>
      </c>
    </row>
    <row r="384" spans="1:40" x14ac:dyDescent="0.3">
      <c r="A384" s="1">
        <v>14394</v>
      </c>
      <c r="B384" s="2" t="s">
        <v>2007</v>
      </c>
      <c r="C384" s="2" t="s">
        <v>2008</v>
      </c>
      <c r="D384" s="1">
        <v>23</v>
      </c>
      <c r="E384" s="2" t="s">
        <v>104</v>
      </c>
      <c r="F384" s="50" t="s">
        <v>866</v>
      </c>
      <c r="G384" s="2" t="s">
        <v>2009</v>
      </c>
      <c r="H384" s="1">
        <v>13764</v>
      </c>
      <c r="I384" s="1">
        <v>13382</v>
      </c>
      <c r="J384" s="2" t="s">
        <v>1253</v>
      </c>
      <c r="K384" s="2" t="s">
        <v>480</v>
      </c>
      <c r="L384" s="2" t="s">
        <v>275</v>
      </c>
      <c r="M384" s="1">
        <v>750</v>
      </c>
      <c r="N384" s="1">
        <v>19746</v>
      </c>
      <c r="O384" s="2" t="s">
        <v>905</v>
      </c>
      <c r="P384" s="2" t="s">
        <v>235</v>
      </c>
      <c r="Q384" s="2" t="s">
        <v>167</v>
      </c>
      <c r="R384" s="2" t="s">
        <v>50</v>
      </c>
      <c r="S384" s="2" t="s">
        <v>67</v>
      </c>
      <c r="T384" s="1">
        <v>9307</v>
      </c>
      <c r="U384" s="2" t="s">
        <v>51</v>
      </c>
      <c r="V384" s="1">
        <v>2160</v>
      </c>
      <c r="W384" s="1">
        <v>2230</v>
      </c>
      <c r="X384" s="2" t="s">
        <v>503</v>
      </c>
      <c r="Y384" s="2" t="s">
        <v>412</v>
      </c>
      <c r="Z384" s="2" t="s">
        <v>838</v>
      </c>
      <c r="AA384" s="2" t="s">
        <v>789</v>
      </c>
      <c r="AB384" s="1">
        <v>10439</v>
      </c>
      <c r="AC384" s="1">
        <v>5966</v>
      </c>
      <c r="AD384" s="1">
        <v>2414</v>
      </c>
      <c r="AE384" s="1">
        <v>753</v>
      </c>
      <c r="AF384" s="1">
        <v>159</v>
      </c>
      <c r="AG384" s="1">
        <v>15</v>
      </c>
      <c r="AH384" s="1">
        <v>10712</v>
      </c>
      <c r="AI384" s="1">
        <v>32</v>
      </c>
      <c r="AJ384" s="1">
        <v>789</v>
      </c>
      <c r="AK384" s="1">
        <v>2139</v>
      </c>
      <c r="AL384" s="1">
        <v>116</v>
      </c>
      <c r="AM384" s="1">
        <v>20</v>
      </c>
      <c r="AN384" s="2" t="s">
        <v>277</v>
      </c>
    </row>
    <row r="385" spans="1:40" ht="28.2" x14ac:dyDescent="0.3">
      <c r="A385" s="1">
        <v>8891</v>
      </c>
      <c r="B385" s="2" t="s">
        <v>2010</v>
      </c>
      <c r="C385" s="2" t="s">
        <v>2011</v>
      </c>
      <c r="D385" s="1">
        <v>23</v>
      </c>
      <c r="E385" s="2" t="s">
        <v>196</v>
      </c>
      <c r="F385" s="50" t="s">
        <v>1376</v>
      </c>
      <c r="G385" s="2" t="s">
        <v>2012</v>
      </c>
      <c r="H385" s="1">
        <v>13169</v>
      </c>
      <c r="I385" s="1">
        <v>12634</v>
      </c>
      <c r="J385" s="2" t="s">
        <v>1784</v>
      </c>
      <c r="K385" s="2">
        <v>76</v>
      </c>
      <c r="L385" s="2" t="s">
        <v>244</v>
      </c>
      <c r="M385" s="1">
        <v>720</v>
      </c>
      <c r="N385" s="1">
        <v>19311</v>
      </c>
      <c r="O385" s="2" t="s">
        <v>167</v>
      </c>
      <c r="P385" s="2" t="s">
        <v>235</v>
      </c>
      <c r="Q385" s="2" t="s">
        <v>276</v>
      </c>
      <c r="R385" s="2" t="s">
        <v>50</v>
      </c>
      <c r="S385" s="2" t="s">
        <v>67</v>
      </c>
      <c r="T385" s="1">
        <v>9005</v>
      </c>
      <c r="U385" s="2" t="s">
        <v>51</v>
      </c>
      <c r="V385" s="1">
        <v>1664</v>
      </c>
      <c r="W385" s="1">
        <v>1619</v>
      </c>
      <c r="X385" s="2" t="s">
        <v>412</v>
      </c>
      <c r="Y385" s="2" t="s">
        <v>472</v>
      </c>
      <c r="Z385" s="2" t="s">
        <v>1121</v>
      </c>
      <c r="AA385" s="2" t="s">
        <v>978</v>
      </c>
      <c r="AB385" s="1">
        <v>10306</v>
      </c>
      <c r="AC385" s="1">
        <v>5882</v>
      </c>
      <c r="AD385" s="1">
        <v>2272</v>
      </c>
      <c r="AE385" s="1">
        <v>681</v>
      </c>
      <c r="AF385" s="1">
        <v>150</v>
      </c>
      <c r="AG385" s="1">
        <v>20</v>
      </c>
      <c r="AH385" s="1">
        <v>10012</v>
      </c>
      <c r="AI385" s="1">
        <v>286</v>
      </c>
      <c r="AJ385" s="1">
        <v>402</v>
      </c>
      <c r="AK385" s="1">
        <v>2269</v>
      </c>
      <c r="AL385" s="1">
        <v>215</v>
      </c>
      <c r="AM385" s="1">
        <v>39</v>
      </c>
      <c r="AN385" s="2" t="s">
        <v>255</v>
      </c>
    </row>
    <row r="386" spans="1:40" x14ac:dyDescent="0.3">
      <c r="A386" s="1">
        <v>2730</v>
      </c>
      <c r="B386" s="2" t="s">
        <v>2013</v>
      </c>
      <c r="C386" s="2" t="s">
        <v>2014</v>
      </c>
      <c r="D386" s="1">
        <v>32</v>
      </c>
      <c r="E386" s="2" t="s">
        <v>1092</v>
      </c>
      <c r="F386" s="50" t="s">
        <v>3514</v>
      </c>
      <c r="G386" s="2" t="s">
        <v>188</v>
      </c>
      <c r="H386" s="1">
        <v>31011</v>
      </c>
      <c r="I386" s="1">
        <v>29926</v>
      </c>
      <c r="J386" s="2" t="s">
        <v>1711</v>
      </c>
      <c r="K386" s="2" t="s">
        <v>1842</v>
      </c>
      <c r="L386" s="2" t="s">
        <v>541</v>
      </c>
      <c r="M386" s="1">
        <v>1727</v>
      </c>
      <c r="N386" s="1">
        <v>45400</v>
      </c>
      <c r="O386" s="2" t="s">
        <v>167</v>
      </c>
      <c r="P386" s="2" t="s">
        <v>67</v>
      </c>
      <c r="Q386" s="2" t="s">
        <v>322</v>
      </c>
      <c r="R386" s="2" t="s">
        <v>50</v>
      </c>
      <c r="S386" s="2" t="s">
        <v>66</v>
      </c>
      <c r="T386" s="1">
        <v>20889</v>
      </c>
      <c r="U386" s="2" t="s">
        <v>51</v>
      </c>
      <c r="V386" s="1">
        <v>5696</v>
      </c>
      <c r="W386" s="1">
        <v>5087</v>
      </c>
      <c r="X386" s="2" t="s">
        <v>370</v>
      </c>
      <c r="Y386" s="2" t="s">
        <v>362</v>
      </c>
      <c r="Z386" s="2" t="s">
        <v>391</v>
      </c>
      <c r="AA386" s="2" t="s">
        <v>1122</v>
      </c>
      <c r="AB386" s="1">
        <v>24511</v>
      </c>
      <c r="AC386" s="1">
        <v>13268</v>
      </c>
      <c r="AD386" s="1">
        <v>5599</v>
      </c>
      <c r="AE386" s="1">
        <v>1637</v>
      </c>
      <c r="AF386" s="1">
        <v>342</v>
      </c>
      <c r="AG386" s="1">
        <v>43</v>
      </c>
      <c r="AH386" s="1">
        <v>11822</v>
      </c>
      <c r="AI386" s="1">
        <v>11455</v>
      </c>
      <c r="AJ386" s="1">
        <v>1588</v>
      </c>
      <c r="AK386" s="1">
        <v>5737</v>
      </c>
      <c r="AL386" s="1">
        <v>331</v>
      </c>
      <c r="AM386" s="1">
        <v>113</v>
      </c>
      <c r="AN386" s="2" t="s">
        <v>255</v>
      </c>
    </row>
    <row r="387" spans="1:40" ht="28.2" x14ac:dyDescent="0.3">
      <c r="A387" s="1">
        <v>11230</v>
      </c>
      <c r="B387" s="2" t="s">
        <v>2015</v>
      </c>
      <c r="C387" s="2" t="s">
        <v>2016</v>
      </c>
      <c r="D387" s="1">
        <v>23</v>
      </c>
      <c r="E387" s="2" t="s">
        <v>459</v>
      </c>
      <c r="F387" s="50" t="s">
        <v>3514</v>
      </c>
      <c r="G387" s="2" t="s">
        <v>2017</v>
      </c>
      <c r="H387" s="1">
        <v>7153</v>
      </c>
      <c r="I387" s="1">
        <v>7068</v>
      </c>
      <c r="J387" s="2" t="s">
        <v>2018</v>
      </c>
      <c r="K387" s="2" t="s">
        <v>692</v>
      </c>
      <c r="L387" s="2" t="s">
        <v>471</v>
      </c>
      <c r="M387" s="1">
        <v>383</v>
      </c>
      <c r="N387" s="1">
        <v>10053</v>
      </c>
      <c r="O387" s="2" t="s">
        <v>646</v>
      </c>
      <c r="P387" s="2" t="s">
        <v>67</v>
      </c>
      <c r="Q387" s="2" t="s">
        <v>905</v>
      </c>
      <c r="R387" s="2" t="s">
        <v>50</v>
      </c>
      <c r="S387" s="2" t="s">
        <v>202</v>
      </c>
      <c r="T387" s="1">
        <v>4789</v>
      </c>
      <c r="U387" s="2" t="s">
        <v>51</v>
      </c>
      <c r="V387" s="1">
        <v>850</v>
      </c>
      <c r="W387" s="1">
        <v>822</v>
      </c>
      <c r="X387" s="2" t="s">
        <v>412</v>
      </c>
      <c r="Y387" s="2" t="s">
        <v>820</v>
      </c>
      <c r="Z387" s="2" t="s">
        <v>583</v>
      </c>
      <c r="AA387" s="2" t="s">
        <v>1244</v>
      </c>
      <c r="AB387" s="1">
        <v>5264</v>
      </c>
      <c r="AC387" s="1">
        <v>3033</v>
      </c>
      <c r="AD387" s="1">
        <v>1247</v>
      </c>
      <c r="AE387" s="1">
        <v>418</v>
      </c>
      <c r="AF387" s="1">
        <v>83</v>
      </c>
      <c r="AG387" s="1">
        <v>8</v>
      </c>
      <c r="AH387" s="1">
        <v>4758</v>
      </c>
      <c r="AI387" s="1">
        <v>157</v>
      </c>
      <c r="AJ387" s="1">
        <v>467</v>
      </c>
      <c r="AK387" s="1">
        <v>1593</v>
      </c>
      <c r="AL387" s="1">
        <v>67</v>
      </c>
      <c r="AM387" s="1">
        <v>122</v>
      </c>
      <c r="AN387" s="2" t="s">
        <v>304</v>
      </c>
    </row>
    <row r="388" spans="1:40" x14ac:dyDescent="0.3">
      <c r="A388" s="1">
        <v>11213</v>
      </c>
      <c r="B388" s="2" t="s">
        <v>2019</v>
      </c>
      <c r="C388" s="2" t="s">
        <v>2020</v>
      </c>
      <c r="D388" s="1">
        <v>24</v>
      </c>
      <c r="E388" s="2" t="s">
        <v>104</v>
      </c>
      <c r="F388" s="50" t="s">
        <v>2021</v>
      </c>
      <c r="G388" s="2" t="s">
        <v>2022</v>
      </c>
      <c r="H388" s="1">
        <v>9708</v>
      </c>
      <c r="I388" s="1">
        <v>9374</v>
      </c>
      <c r="J388" s="2" t="s">
        <v>2023</v>
      </c>
      <c r="K388" s="2" t="s">
        <v>645</v>
      </c>
      <c r="L388" s="2" t="s">
        <v>589</v>
      </c>
      <c r="M388" s="1">
        <v>544</v>
      </c>
      <c r="N388" s="1">
        <v>14126</v>
      </c>
      <c r="O388" s="2" t="s">
        <v>463</v>
      </c>
      <c r="P388" s="2" t="s">
        <v>202</v>
      </c>
      <c r="Q388" s="2" t="s">
        <v>322</v>
      </c>
      <c r="R388" s="2" t="s">
        <v>50</v>
      </c>
      <c r="S388" s="2" t="s">
        <v>67</v>
      </c>
      <c r="T388" s="1">
        <v>6612</v>
      </c>
      <c r="U388" s="2" t="s">
        <v>51</v>
      </c>
      <c r="V388" s="1">
        <v>1102</v>
      </c>
      <c r="W388" s="1">
        <v>1101</v>
      </c>
      <c r="X388" s="2">
        <v>1</v>
      </c>
      <c r="Y388" s="2" t="s">
        <v>950</v>
      </c>
      <c r="Z388" s="2" t="s">
        <v>635</v>
      </c>
      <c r="AA388" s="2" t="s">
        <v>1276</v>
      </c>
      <c r="AB388" s="1">
        <v>7514</v>
      </c>
      <c r="AC388" s="1">
        <v>4299</v>
      </c>
      <c r="AD388" s="1">
        <v>1672</v>
      </c>
      <c r="AE388" s="1">
        <v>511</v>
      </c>
      <c r="AF388" s="1">
        <v>118</v>
      </c>
      <c r="AG388" s="1">
        <v>12</v>
      </c>
      <c r="AH388" s="1">
        <v>7005</v>
      </c>
      <c r="AI388" s="1">
        <v>305</v>
      </c>
      <c r="AJ388" s="1">
        <v>455</v>
      </c>
      <c r="AK388" s="1">
        <v>1832</v>
      </c>
      <c r="AL388" s="1">
        <v>123</v>
      </c>
      <c r="AM388" s="1">
        <v>23</v>
      </c>
      <c r="AN388" s="2" t="s">
        <v>304</v>
      </c>
    </row>
    <row r="389" spans="1:40" x14ac:dyDescent="0.3">
      <c r="A389" s="1">
        <v>12269</v>
      </c>
      <c r="B389" s="2" t="s">
        <v>2024</v>
      </c>
      <c r="C389" s="2" t="s">
        <v>2025</v>
      </c>
      <c r="D389" s="1">
        <v>27</v>
      </c>
      <c r="E389" s="2" t="s">
        <v>446</v>
      </c>
      <c r="F389" s="50" t="s">
        <v>1023</v>
      </c>
      <c r="G389" s="2" t="s">
        <v>1023</v>
      </c>
      <c r="H389" s="1">
        <v>21484</v>
      </c>
      <c r="I389" s="1">
        <v>20479</v>
      </c>
      <c r="J389" s="2" t="s">
        <v>2026</v>
      </c>
      <c r="K389" s="2" t="s">
        <v>645</v>
      </c>
      <c r="L389" s="2" t="s">
        <v>1146</v>
      </c>
      <c r="M389" s="1">
        <v>1178</v>
      </c>
      <c r="N389" s="1">
        <v>31522</v>
      </c>
      <c r="O389" s="2" t="s">
        <v>167</v>
      </c>
      <c r="P389" s="2" t="s">
        <v>202</v>
      </c>
      <c r="Q389" s="2" t="s">
        <v>276</v>
      </c>
      <c r="R389" s="2" t="s">
        <v>50</v>
      </c>
      <c r="S389" s="2" t="s">
        <v>96</v>
      </c>
      <c r="T389" s="1">
        <v>14727</v>
      </c>
      <c r="U389" s="2" t="s">
        <v>51</v>
      </c>
      <c r="V389" s="1">
        <v>3144</v>
      </c>
      <c r="W389" s="1">
        <v>3175</v>
      </c>
      <c r="X389" s="2" t="s">
        <v>285</v>
      </c>
      <c r="Y389" s="2">
        <v>1</v>
      </c>
      <c r="Z389" s="2" t="s">
        <v>1765</v>
      </c>
      <c r="AA389" s="2" t="s">
        <v>746</v>
      </c>
      <c r="AB389" s="1">
        <v>16795</v>
      </c>
      <c r="AC389" s="1">
        <v>9568</v>
      </c>
      <c r="AD389" s="1">
        <v>3819</v>
      </c>
      <c r="AE389" s="1">
        <v>1104</v>
      </c>
      <c r="AF389" s="1">
        <v>214</v>
      </c>
      <c r="AG389" s="1">
        <v>22</v>
      </c>
      <c r="AH389" s="1">
        <v>14087</v>
      </c>
      <c r="AI389" s="1">
        <v>2437</v>
      </c>
      <c r="AJ389" s="1">
        <v>1229</v>
      </c>
      <c r="AK389" s="1">
        <v>3341</v>
      </c>
      <c r="AL389" s="1">
        <v>325</v>
      </c>
      <c r="AM389" s="1">
        <v>133</v>
      </c>
      <c r="AN389" s="2" t="s">
        <v>464</v>
      </c>
    </row>
    <row r="390" spans="1:40" x14ac:dyDescent="0.3">
      <c r="A390" s="1">
        <v>17402</v>
      </c>
      <c r="B390" s="2" t="s">
        <v>2027</v>
      </c>
      <c r="C390" s="2" t="s">
        <v>2028</v>
      </c>
      <c r="D390" s="1">
        <v>22</v>
      </c>
      <c r="E390" s="2" t="s">
        <v>299</v>
      </c>
      <c r="F390" s="50" t="s">
        <v>3514</v>
      </c>
      <c r="G390" s="2" t="s">
        <v>651</v>
      </c>
      <c r="H390" s="1">
        <v>6857</v>
      </c>
      <c r="I390" s="1">
        <v>6734</v>
      </c>
      <c r="J390" s="2" t="s">
        <v>1850</v>
      </c>
      <c r="K390" s="2" t="s">
        <v>948</v>
      </c>
      <c r="L390" s="2" t="s">
        <v>398</v>
      </c>
      <c r="M390" s="1">
        <v>379</v>
      </c>
      <c r="N390" s="1">
        <v>9815</v>
      </c>
      <c r="O390" s="2" t="s">
        <v>905</v>
      </c>
      <c r="P390" s="2" t="s">
        <v>235</v>
      </c>
      <c r="Q390" s="2" t="s">
        <v>463</v>
      </c>
      <c r="R390" s="2" t="s">
        <v>96</v>
      </c>
      <c r="S390" s="2" t="s">
        <v>96</v>
      </c>
      <c r="T390" s="1">
        <v>4581</v>
      </c>
      <c r="U390" s="2" t="s">
        <v>51</v>
      </c>
      <c r="V390" s="1">
        <v>960</v>
      </c>
      <c r="W390" s="1">
        <v>1032</v>
      </c>
      <c r="X390" s="2" t="s">
        <v>950</v>
      </c>
      <c r="Y390" s="2" t="s">
        <v>245</v>
      </c>
      <c r="Z390" s="2" t="s">
        <v>508</v>
      </c>
      <c r="AA390" s="2" t="s">
        <v>2029</v>
      </c>
      <c r="AB390" s="1">
        <v>5234</v>
      </c>
      <c r="AC390" s="1">
        <v>2873</v>
      </c>
      <c r="AD390" s="1">
        <v>1235</v>
      </c>
      <c r="AE390" s="1">
        <v>388</v>
      </c>
      <c r="AF390" s="1">
        <v>75</v>
      </c>
      <c r="AG390" s="1">
        <v>10</v>
      </c>
      <c r="AH390" s="1">
        <v>4345</v>
      </c>
      <c r="AI390" s="1">
        <v>66</v>
      </c>
      <c r="AJ390" s="1">
        <v>1258</v>
      </c>
      <c r="AK390" s="1">
        <v>1091</v>
      </c>
      <c r="AL390" s="1">
        <v>80</v>
      </c>
      <c r="AM390" s="1">
        <v>31</v>
      </c>
      <c r="AN390" s="2" t="s">
        <v>590</v>
      </c>
    </row>
    <row r="391" spans="1:40" x14ac:dyDescent="0.3">
      <c r="A391" s="1">
        <v>8611</v>
      </c>
      <c r="B391" s="2" t="s">
        <v>2030</v>
      </c>
      <c r="C391" s="2" t="s">
        <v>2031</v>
      </c>
      <c r="D391" s="1">
        <v>26</v>
      </c>
      <c r="E391" s="2" t="s">
        <v>196</v>
      </c>
      <c r="F391" s="50" t="s">
        <v>197</v>
      </c>
      <c r="G391" s="2" t="s">
        <v>2032</v>
      </c>
      <c r="H391" s="1">
        <v>23769</v>
      </c>
      <c r="I391" s="1">
        <v>22950</v>
      </c>
      <c r="J391" s="2" t="s">
        <v>262</v>
      </c>
      <c r="K391" s="2" t="s">
        <v>588</v>
      </c>
      <c r="L391" s="2" t="s">
        <v>244</v>
      </c>
      <c r="M391" s="1">
        <v>1325</v>
      </c>
      <c r="N391" s="1">
        <v>34703</v>
      </c>
      <c r="O391" s="2" t="s">
        <v>167</v>
      </c>
      <c r="P391" s="2" t="s">
        <v>166</v>
      </c>
      <c r="Q391" s="2" t="s">
        <v>322</v>
      </c>
      <c r="R391" s="2" t="s">
        <v>50</v>
      </c>
      <c r="S391" s="2" t="s">
        <v>50</v>
      </c>
      <c r="T391" s="1">
        <v>16107</v>
      </c>
      <c r="U391" s="2" t="s">
        <v>51</v>
      </c>
      <c r="V391" s="1">
        <v>3798</v>
      </c>
      <c r="W391" s="1">
        <v>3577</v>
      </c>
      <c r="X391" s="2" t="s">
        <v>590</v>
      </c>
      <c r="Y391" s="2" t="s">
        <v>407</v>
      </c>
      <c r="Z391" s="2" t="s">
        <v>217</v>
      </c>
      <c r="AA391" s="2" t="s">
        <v>279</v>
      </c>
      <c r="AB391" s="1">
        <v>18596</v>
      </c>
      <c r="AC391" s="1">
        <v>10348</v>
      </c>
      <c r="AD391" s="1">
        <v>4166</v>
      </c>
      <c r="AE391" s="1">
        <v>1308</v>
      </c>
      <c r="AF391" s="1">
        <v>261</v>
      </c>
      <c r="AG391" s="1">
        <v>24</v>
      </c>
      <c r="AH391" s="1">
        <v>15404</v>
      </c>
      <c r="AI391" s="1">
        <v>2683</v>
      </c>
      <c r="AJ391" s="1">
        <v>1267</v>
      </c>
      <c r="AK391" s="1">
        <v>3941</v>
      </c>
      <c r="AL391" s="1">
        <v>391</v>
      </c>
      <c r="AM391" s="1">
        <v>129</v>
      </c>
      <c r="AN391" s="2" t="s">
        <v>255</v>
      </c>
    </row>
    <row r="392" spans="1:40" ht="30.6" x14ac:dyDescent="0.3">
      <c r="A392" s="1">
        <v>20090</v>
      </c>
      <c r="B392" s="2" t="s">
        <v>2033</v>
      </c>
      <c r="C392" s="2" t="s">
        <v>2034</v>
      </c>
      <c r="D392" s="1">
        <v>18</v>
      </c>
      <c r="E392" s="2" t="s">
        <v>196</v>
      </c>
      <c r="F392" s="50" t="s">
        <v>992</v>
      </c>
      <c r="G392" s="2" t="s">
        <v>992</v>
      </c>
      <c r="H392" s="1">
        <v>7590</v>
      </c>
      <c r="I392" s="1">
        <v>7290</v>
      </c>
      <c r="J392" s="2" t="s">
        <v>565</v>
      </c>
      <c r="K392" s="2" t="s">
        <v>1042</v>
      </c>
      <c r="L392" s="2">
        <v>3</v>
      </c>
      <c r="M392" s="1">
        <v>415</v>
      </c>
      <c r="N392" s="1">
        <v>10947</v>
      </c>
      <c r="O392" s="2" t="s">
        <v>463</v>
      </c>
      <c r="P392" s="2" t="s">
        <v>48</v>
      </c>
      <c r="Q392" s="2" t="s">
        <v>225</v>
      </c>
      <c r="R392" s="2" t="s">
        <v>50</v>
      </c>
      <c r="S392" s="2" t="s">
        <v>67</v>
      </c>
      <c r="T392" s="1">
        <v>5192</v>
      </c>
      <c r="U392" s="2" t="s">
        <v>51</v>
      </c>
      <c r="V392" s="1">
        <v>1095</v>
      </c>
      <c r="W392" s="1">
        <v>1074</v>
      </c>
      <c r="X392" s="2" t="s">
        <v>449</v>
      </c>
      <c r="Y392" s="2">
        <v>1</v>
      </c>
      <c r="Z392" s="2" t="s">
        <v>1121</v>
      </c>
      <c r="AA392" s="2" t="s">
        <v>739</v>
      </c>
      <c r="AB392" s="1">
        <v>5755</v>
      </c>
      <c r="AC392" s="1">
        <v>3361</v>
      </c>
      <c r="AD392" s="1">
        <v>1352</v>
      </c>
      <c r="AE392" s="1">
        <v>397</v>
      </c>
      <c r="AF392" s="1">
        <v>76</v>
      </c>
      <c r="AG392" s="1">
        <v>6</v>
      </c>
      <c r="AH392" s="1">
        <v>5944</v>
      </c>
      <c r="AI392" s="1">
        <v>110</v>
      </c>
      <c r="AJ392" s="1">
        <v>202</v>
      </c>
      <c r="AK392" s="1">
        <v>1283</v>
      </c>
      <c r="AL392" s="1">
        <v>61</v>
      </c>
      <c r="AM392" s="1">
        <v>27</v>
      </c>
      <c r="AN392" s="2" t="s">
        <v>464</v>
      </c>
    </row>
    <row r="393" spans="1:40" ht="28.2" x14ac:dyDescent="0.3">
      <c r="A393" s="1">
        <v>16859</v>
      </c>
      <c r="B393" s="2" t="s">
        <v>2035</v>
      </c>
      <c r="C393" s="2" t="s">
        <v>2036</v>
      </c>
      <c r="D393" s="1">
        <v>24</v>
      </c>
      <c r="E393" s="2" t="s">
        <v>446</v>
      </c>
      <c r="F393" s="50" t="s">
        <v>1065</v>
      </c>
      <c r="G393" s="2" t="s">
        <v>2037</v>
      </c>
      <c r="H393" s="1">
        <v>11901</v>
      </c>
      <c r="I393" s="1">
        <v>11490</v>
      </c>
      <c r="J393" s="2" t="s">
        <v>1850</v>
      </c>
      <c r="K393" s="2">
        <v>75</v>
      </c>
      <c r="L393" s="2" t="s">
        <v>46</v>
      </c>
      <c r="M393" s="1">
        <v>657</v>
      </c>
      <c r="N393" s="1">
        <v>17509</v>
      </c>
      <c r="O393" s="2" t="s">
        <v>167</v>
      </c>
      <c r="P393" s="2" t="s">
        <v>48</v>
      </c>
      <c r="Q393" s="2" t="s">
        <v>322</v>
      </c>
      <c r="R393" s="2" t="s">
        <v>66</v>
      </c>
      <c r="S393" s="2" t="s">
        <v>96</v>
      </c>
      <c r="T393" s="1">
        <v>8061</v>
      </c>
      <c r="U393" s="2" t="s">
        <v>51</v>
      </c>
      <c r="V393" s="1">
        <v>1769</v>
      </c>
      <c r="W393" s="1">
        <v>1781</v>
      </c>
      <c r="X393" s="2" t="s">
        <v>285</v>
      </c>
      <c r="Y393" s="2">
        <v>1</v>
      </c>
      <c r="Z393" s="2" t="s">
        <v>1467</v>
      </c>
      <c r="AA393" s="2" t="s">
        <v>933</v>
      </c>
      <c r="AB393" s="1">
        <v>9448</v>
      </c>
      <c r="AC393" s="1">
        <v>5175</v>
      </c>
      <c r="AD393" s="1">
        <v>2106</v>
      </c>
      <c r="AE393" s="1">
        <v>624</v>
      </c>
      <c r="AF393" s="1">
        <v>138</v>
      </c>
      <c r="AG393" s="1">
        <v>18</v>
      </c>
      <c r="AH393" s="1">
        <v>8639</v>
      </c>
      <c r="AI393" s="1">
        <v>259</v>
      </c>
      <c r="AJ393" s="1">
        <v>607</v>
      </c>
      <c r="AK393" s="1">
        <v>2222</v>
      </c>
      <c r="AL393" s="1">
        <v>151</v>
      </c>
      <c r="AM393" s="1">
        <v>63</v>
      </c>
      <c r="AN393" s="2" t="s">
        <v>590</v>
      </c>
    </row>
    <row r="394" spans="1:40" ht="28.2" x14ac:dyDescent="0.3">
      <c r="A394" s="1">
        <v>8570</v>
      </c>
      <c r="B394" s="2" t="s">
        <v>2038</v>
      </c>
      <c r="C394" s="2" t="s">
        <v>2039</v>
      </c>
      <c r="D394" s="1">
        <v>27</v>
      </c>
      <c r="E394" s="2" t="s">
        <v>327</v>
      </c>
      <c r="F394" s="50" t="s">
        <v>2040</v>
      </c>
      <c r="G394" s="2" t="s">
        <v>1740</v>
      </c>
      <c r="H394" s="1">
        <v>31122</v>
      </c>
      <c r="I394" s="1">
        <v>30364</v>
      </c>
      <c r="J394" s="2" t="s">
        <v>2041</v>
      </c>
      <c r="K394" s="2" t="s">
        <v>843</v>
      </c>
      <c r="L394" s="2" t="s">
        <v>93</v>
      </c>
      <c r="M394" s="1">
        <v>1690</v>
      </c>
      <c r="N394" s="1">
        <v>44986</v>
      </c>
      <c r="O394" s="2" t="s">
        <v>463</v>
      </c>
      <c r="P394" s="2" t="s">
        <v>166</v>
      </c>
      <c r="Q394" s="2" t="s">
        <v>225</v>
      </c>
      <c r="R394" s="2" t="s">
        <v>50</v>
      </c>
      <c r="S394" s="2" t="s">
        <v>67</v>
      </c>
      <c r="T394" s="1">
        <v>20895</v>
      </c>
      <c r="U394" s="2" t="s">
        <v>51</v>
      </c>
      <c r="V394" s="1">
        <v>4076</v>
      </c>
      <c r="W394" s="1">
        <v>4254</v>
      </c>
      <c r="X394" s="2" t="s">
        <v>472</v>
      </c>
      <c r="Y394" s="2" t="s">
        <v>472</v>
      </c>
      <c r="Z394" s="2" t="s">
        <v>383</v>
      </c>
      <c r="AA394" s="2" t="s">
        <v>1244</v>
      </c>
      <c r="AB394" s="1">
        <v>24091</v>
      </c>
      <c r="AC394" s="1">
        <v>13188</v>
      </c>
      <c r="AD394" s="1">
        <v>5593</v>
      </c>
      <c r="AE394" s="1">
        <v>1749</v>
      </c>
      <c r="AF394" s="1">
        <v>327</v>
      </c>
      <c r="AG394" s="1">
        <v>38</v>
      </c>
      <c r="AH394" s="1">
        <v>23846</v>
      </c>
      <c r="AI394" s="1">
        <v>501</v>
      </c>
      <c r="AJ394" s="1">
        <v>1043</v>
      </c>
      <c r="AK394" s="1">
        <v>5352</v>
      </c>
      <c r="AL394" s="1">
        <v>363</v>
      </c>
      <c r="AM394" s="1">
        <v>92</v>
      </c>
      <c r="AN394" s="2" t="s">
        <v>255</v>
      </c>
    </row>
    <row r="395" spans="1:40" ht="28.2" x14ac:dyDescent="0.3">
      <c r="A395" s="1">
        <v>8350</v>
      </c>
      <c r="B395" s="2" t="s">
        <v>2042</v>
      </c>
      <c r="C395" s="2" t="s">
        <v>2043</v>
      </c>
      <c r="D395" s="1">
        <v>29</v>
      </c>
      <c r="E395" s="2" t="s">
        <v>459</v>
      </c>
      <c r="F395" s="50" t="s">
        <v>3514</v>
      </c>
      <c r="G395" s="2" t="s">
        <v>2044</v>
      </c>
      <c r="H395" s="1">
        <v>7826</v>
      </c>
      <c r="I395" s="1">
        <v>7727</v>
      </c>
      <c r="J395" s="2" t="s">
        <v>818</v>
      </c>
      <c r="K395" s="2" t="s">
        <v>1057</v>
      </c>
      <c r="L395" s="2" t="s">
        <v>122</v>
      </c>
      <c r="M395" s="1">
        <v>430</v>
      </c>
      <c r="N395" s="1">
        <v>10986</v>
      </c>
      <c r="O395" s="2" t="s">
        <v>646</v>
      </c>
      <c r="P395" s="2" t="s">
        <v>202</v>
      </c>
      <c r="Q395" s="2" t="s">
        <v>905</v>
      </c>
      <c r="R395" s="2" t="s">
        <v>96</v>
      </c>
      <c r="S395" s="2" t="s">
        <v>50</v>
      </c>
      <c r="T395" s="1">
        <v>5233</v>
      </c>
      <c r="U395" s="2" t="s">
        <v>51</v>
      </c>
      <c r="V395" s="1">
        <v>1082</v>
      </c>
      <c r="W395" s="1">
        <v>1213</v>
      </c>
      <c r="X395" s="2" t="s">
        <v>1551</v>
      </c>
      <c r="Y395" s="2" t="s">
        <v>245</v>
      </c>
      <c r="Z395" s="2" t="s">
        <v>2045</v>
      </c>
      <c r="AA395" s="2" t="s">
        <v>1030</v>
      </c>
      <c r="AB395" s="1">
        <v>5753</v>
      </c>
      <c r="AC395" s="1">
        <v>3278</v>
      </c>
      <c r="AD395" s="1">
        <v>1421</v>
      </c>
      <c r="AE395" s="1">
        <v>444</v>
      </c>
      <c r="AF395" s="1">
        <v>82</v>
      </c>
      <c r="AG395" s="1">
        <v>8</v>
      </c>
      <c r="AH395" s="1">
        <v>5631</v>
      </c>
      <c r="AI395" s="1">
        <v>320</v>
      </c>
      <c r="AJ395" s="1">
        <v>253</v>
      </c>
      <c r="AK395" s="1">
        <v>1542</v>
      </c>
      <c r="AL395" s="1">
        <v>72</v>
      </c>
      <c r="AM395" s="1">
        <v>20</v>
      </c>
      <c r="AN395" s="2" t="s">
        <v>255</v>
      </c>
    </row>
    <row r="396" spans="1:40" ht="42" x14ac:dyDescent="0.3">
      <c r="A396" s="1">
        <v>9811</v>
      </c>
      <c r="B396" s="2" t="s">
        <v>2046</v>
      </c>
      <c r="C396" s="2" t="s">
        <v>2047</v>
      </c>
      <c r="D396" s="1">
        <v>24</v>
      </c>
      <c r="E396" s="2" t="s">
        <v>545</v>
      </c>
      <c r="F396" s="50" t="s">
        <v>1065</v>
      </c>
      <c r="G396" s="2" t="s">
        <v>2048</v>
      </c>
      <c r="H396" s="1">
        <v>24862</v>
      </c>
      <c r="I396" s="1">
        <v>24630</v>
      </c>
      <c r="J396" s="2" t="s">
        <v>1671</v>
      </c>
      <c r="K396" s="2" t="s">
        <v>200</v>
      </c>
      <c r="L396" s="2" t="s">
        <v>687</v>
      </c>
      <c r="M396" s="1">
        <v>1310</v>
      </c>
      <c r="N396" s="1">
        <v>35095</v>
      </c>
      <c r="O396" s="2" t="s">
        <v>646</v>
      </c>
      <c r="P396" s="2" t="s">
        <v>166</v>
      </c>
      <c r="Q396" s="2" t="s">
        <v>905</v>
      </c>
      <c r="R396" s="2" t="s">
        <v>50</v>
      </c>
      <c r="S396" s="2" t="s">
        <v>96</v>
      </c>
      <c r="T396" s="1">
        <v>16590</v>
      </c>
      <c r="U396" s="2" t="s">
        <v>51</v>
      </c>
      <c r="V396" s="1">
        <v>4195</v>
      </c>
      <c r="W396" s="1">
        <v>4187</v>
      </c>
      <c r="X396" s="2">
        <v>1</v>
      </c>
      <c r="Y396" s="2" t="s">
        <v>464</v>
      </c>
      <c r="Z396" s="2" t="s">
        <v>1467</v>
      </c>
      <c r="AA396" s="2" t="s">
        <v>305</v>
      </c>
      <c r="AB396" s="1">
        <v>18505</v>
      </c>
      <c r="AC396" s="1">
        <v>10393</v>
      </c>
      <c r="AD396" s="1">
        <v>4478</v>
      </c>
      <c r="AE396" s="1">
        <v>1393</v>
      </c>
      <c r="AF396" s="1">
        <v>296</v>
      </c>
      <c r="AG396" s="1">
        <v>30</v>
      </c>
      <c r="AH396" s="1">
        <v>16674</v>
      </c>
      <c r="AI396" s="1">
        <v>1495</v>
      </c>
      <c r="AJ396" s="1">
        <v>1786</v>
      </c>
      <c r="AK396" s="1">
        <v>4512</v>
      </c>
      <c r="AL396" s="1">
        <v>352</v>
      </c>
      <c r="AM396" s="1">
        <v>89</v>
      </c>
      <c r="AN396" s="2" t="s">
        <v>255</v>
      </c>
    </row>
    <row r="397" spans="1:40" x14ac:dyDescent="0.3">
      <c r="A397" s="1">
        <v>12810</v>
      </c>
      <c r="B397" s="2" t="s">
        <v>2049</v>
      </c>
      <c r="C397" s="2" t="s">
        <v>2050</v>
      </c>
      <c r="D397" s="1">
        <v>21</v>
      </c>
      <c r="E397" s="2" t="s">
        <v>337</v>
      </c>
      <c r="F397" s="50" t="s">
        <v>550</v>
      </c>
      <c r="G397" s="2" t="s">
        <v>550</v>
      </c>
      <c r="H397" s="1">
        <v>13403</v>
      </c>
      <c r="I397" s="1">
        <v>12922</v>
      </c>
      <c r="J397" s="2" t="s">
        <v>2051</v>
      </c>
      <c r="K397" s="2" t="s">
        <v>2052</v>
      </c>
      <c r="L397" s="2" t="s">
        <v>462</v>
      </c>
      <c r="M397" s="1">
        <v>740</v>
      </c>
      <c r="N397" s="1">
        <v>19869</v>
      </c>
      <c r="O397" s="2" t="s">
        <v>225</v>
      </c>
      <c r="P397" s="2" t="s">
        <v>67</v>
      </c>
      <c r="Q397" s="2" t="s">
        <v>276</v>
      </c>
      <c r="R397" s="2" t="s">
        <v>66</v>
      </c>
      <c r="S397" s="2" t="s">
        <v>96</v>
      </c>
      <c r="T397" s="1">
        <v>9074</v>
      </c>
      <c r="U397" s="2" t="s">
        <v>51</v>
      </c>
      <c r="V397" s="1">
        <v>1744</v>
      </c>
      <c r="W397" s="1">
        <v>1820</v>
      </c>
      <c r="X397" s="2" t="s">
        <v>472</v>
      </c>
      <c r="Y397" s="2" t="s">
        <v>820</v>
      </c>
      <c r="Z397" s="2" t="s">
        <v>932</v>
      </c>
      <c r="AA397" s="2" t="s">
        <v>2053</v>
      </c>
      <c r="AB397" s="1">
        <v>10795</v>
      </c>
      <c r="AC397" s="1">
        <v>5814</v>
      </c>
      <c r="AD397" s="1">
        <v>2378</v>
      </c>
      <c r="AE397" s="1">
        <v>714</v>
      </c>
      <c r="AF397" s="1">
        <v>149</v>
      </c>
      <c r="AG397" s="1">
        <v>19</v>
      </c>
      <c r="AH397" s="1">
        <v>9683</v>
      </c>
      <c r="AI397" s="1">
        <v>701</v>
      </c>
      <c r="AJ397" s="1">
        <v>500</v>
      </c>
      <c r="AK397" s="1">
        <v>2387</v>
      </c>
      <c r="AL397" s="1">
        <v>121</v>
      </c>
      <c r="AM397" s="1">
        <v>52</v>
      </c>
      <c r="AN397" s="2" t="s">
        <v>407</v>
      </c>
    </row>
    <row r="398" spans="1:40" ht="28.2" x14ac:dyDescent="0.3">
      <c r="A398" s="1">
        <v>12086</v>
      </c>
      <c r="B398" s="2" t="s">
        <v>2054</v>
      </c>
      <c r="C398" s="2" t="s">
        <v>2055</v>
      </c>
      <c r="D398" s="1">
        <v>22</v>
      </c>
      <c r="E398" s="2" t="s">
        <v>299</v>
      </c>
      <c r="F398" s="50" t="s">
        <v>986</v>
      </c>
      <c r="G398" s="2" t="s">
        <v>2056</v>
      </c>
      <c r="H398" s="1">
        <v>13552</v>
      </c>
      <c r="I398" s="1">
        <v>13061</v>
      </c>
      <c r="J398" s="2" t="s">
        <v>1260</v>
      </c>
      <c r="K398" s="2" t="s">
        <v>916</v>
      </c>
      <c r="L398" s="2" t="s">
        <v>949</v>
      </c>
      <c r="M398" s="1">
        <v>765</v>
      </c>
      <c r="N398" s="1">
        <v>19858</v>
      </c>
      <c r="O398" s="2" t="s">
        <v>167</v>
      </c>
      <c r="P398" s="2" t="s">
        <v>202</v>
      </c>
      <c r="Q398" s="2" t="s">
        <v>322</v>
      </c>
      <c r="R398" s="2" t="s">
        <v>50</v>
      </c>
      <c r="S398" s="2" t="s">
        <v>67</v>
      </c>
      <c r="T398" s="1">
        <v>9228</v>
      </c>
      <c r="U398" s="2" t="s">
        <v>51</v>
      </c>
      <c r="V398" s="1">
        <v>1856</v>
      </c>
      <c r="W398" s="1">
        <v>1986</v>
      </c>
      <c r="X398" s="2" t="s">
        <v>950</v>
      </c>
      <c r="Y398" s="2" t="s">
        <v>503</v>
      </c>
      <c r="Z398" s="2" t="s">
        <v>1462</v>
      </c>
      <c r="AA398" s="2" t="s">
        <v>1244</v>
      </c>
      <c r="AB398" s="1">
        <v>10630</v>
      </c>
      <c r="AC398" s="1">
        <v>5964</v>
      </c>
      <c r="AD398" s="1">
        <v>2381</v>
      </c>
      <c r="AE398" s="1">
        <v>725</v>
      </c>
      <c r="AF398" s="1">
        <v>139</v>
      </c>
      <c r="AG398" s="1">
        <v>19</v>
      </c>
      <c r="AH398" s="1">
        <v>9609</v>
      </c>
      <c r="AI398" s="1">
        <v>545</v>
      </c>
      <c r="AJ398" s="1">
        <v>793</v>
      </c>
      <c r="AK398" s="1">
        <v>2422</v>
      </c>
      <c r="AL398" s="1">
        <v>192</v>
      </c>
      <c r="AM398" s="1">
        <v>34</v>
      </c>
      <c r="AN398" s="2" t="s">
        <v>590</v>
      </c>
    </row>
    <row r="399" spans="1:40" x14ac:dyDescent="0.3">
      <c r="A399" s="1">
        <v>9896</v>
      </c>
      <c r="B399" s="2" t="s">
        <v>2057</v>
      </c>
      <c r="C399" s="2" t="s">
        <v>2058</v>
      </c>
      <c r="D399" s="1">
        <v>22</v>
      </c>
      <c r="E399" s="2" t="s">
        <v>196</v>
      </c>
      <c r="F399" s="50" t="s">
        <v>3514</v>
      </c>
      <c r="G399" s="2" t="s">
        <v>2059</v>
      </c>
      <c r="H399" s="1">
        <v>25570</v>
      </c>
      <c r="I399" s="1">
        <v>25109</v>
      </c>
      <c r="J399" s="2" t="s">
        <v>2060</v>
      </c>
      <c r="K399" s="2" t="s">
        <v>1234</v>
      </c>
      <c r="L399" s="2" t="s">
        <v>164</v>
      </c>
      <c r="M399" s="1">
        <v>1411</v>
      </c>
      <c r="N399" s="1">
        <v>37302</v>
      </c>
      <c r="O399" s="2" t="s">
        <v>463</v>
      </c>
      <c r="P399" s="2" t="s">
        <v>67</v>
      </c>
      <c r="Q399" s="2" t="s">
        <v>225</v>
      </c>
      <c r="R399" s="2" t="s">
        <v>50</v>
      </c>
      <c r="S399" s="2" t="s">
        <v>50</v>
      </c>
      <c r="T399" s="1">
        <v>17053</v>
      </c>
      <c r="U399" s="2" t="s">
        <v>51</v>
      </c>
      <c r="V399" s="1">
        <v>3830</v>
      </c>
      <c r="W399" s="1">
        <v>4156</v>
      </c>
      <c r="X399" s="2" t="s">
        <v>1314</v>
      </c>
      <c r="Y399" s="2" t="s">
        <v>285</v>
      </c>
      <c r="Z399" s="2" t="s">
        <v>217</v>
      </c>
      <c r="AA399" s="2" t="s">
        <v>1030</v>
      </c>
      <c r="AB399" s="1">
        <v>20249</v>
      </c>
      <c r="AC399" s="1">
        <v>10732</v>
      </c>
      <c r="AD399" s="1">
        <v>4495</v>
      </c>
      <c r="AE399" s="1">
        <v>1492</v>
      </c>
      <c r="AF399" s="1">
        <v>298</v>
      </c>
      <c r="AG399" s="1">
        <v>36</v>
      </c>
      <c r="AH399" s="1">
        <v>19009</v>
      </c>
      <c r="AI399" s="1">
        <v>341</v>
      </c>
      <c r="AJ399" s="1">
        <v>1538</v>
      </c>
      <c r="AK399" s="1">
        <v>4280</v>
      </c>
      <c r="AL399" s="1">
        <v>371</v>
      </c>
      <c r="AM399" s="1">
        <v>93</v>
      </c>
      <c r="AN399" s="2" t="s">
        <v>255</v>
      </c>
    </row>
    <row r="400" spans="1:40" ht="28.2" x14ac:dyDescent="0.3">
      <c r="A400" s="1">
        <v>9766</v>
      </c>
      <c r="B400" s="2" t="s">
        <v>2061</v>
      </c>
      <c r="C400" s="2" t="s">
        <v>2062</v>
      </c>
      <c r="D400" s="1">
        <v>23</v>
      </c>
      <c r="E400" s="2" t="s">
        <v>545</v>
      </c>
      <c r="F400" s="50" t="s">
        <v>197</v>
      </c>
      <c r="G400" s="2" t="s">
        <v>2063</v>
      </c>
      <c r="H400" s="1">
        <v>25535</v>
      </c>
      <c r="I400" s="1">
        <v>25276</v>
      </c>
      <c r="J400" s="2" t="s">
        <v>321</v>
      </c>
      <c r="K400" s="2" t="s">
        <v>1130</v>
      </c>
      <c r="L400" s="2" t="s">
        <v>201</v>
      </c>
      <c r="M400" s="1">
        <v>1367</v>
      </c>
      <c r="N400" s="1">
        <v>36338</v>
      </c>
      <c r="O400" s="2" t="s">
        <v>905</v>
      </c>
      <c r="P400" s="2" t="s">
        <v>166</v>
      </c>
      <c r="Q400" s="2" t="s">
        <v>905</v>
      </c>
      <c r="R400" s="2" t="s">
        <v>66</v>
      </c>
      <c r="S400" s="2" t="s">
        <v>66</v>
      </c>
      <c r="T400" s="1">
        <v>17025</v>
      </c>
      <c r="U400" s="2" t="s">
        <v>51</v>
      </c>
      <c r="V400" s="1">
        <v>4268</v>
      </c>
      <c r="W400" s="1">
        <v>4587</v>
      </c>
      <c r="X400" s="2" t="s">
        <v>950</v>
      </c>
      <c r="Y400" s="2" t="s">
        <v>407</v>
      </c>
      <c r="Z400" s="2" t="s">
        <v>237</v>
      </c>
      <c r="AA400" s="2" t="s">
        <v>305</v>
      </c>
      <c r="AB400" s="1">
        <v>19313</v>
      </c>
      <c r="AC400" s="1">
        <v>10665</v>
      </c>
      <c r="AD400" s="1">
        <v>4587</v>
      </c>
      <c r="AE400" s="1">
        <v>1435</v>
      </c>
      <c r="AF400" s="1">
        <v>299</v>
      </c>
      <c r="AG400" s="1">
        <v>39</v>
      </c>
      <c r="AH400" s="1">
        <v>17463</v>
      </c>
      <c r="AI400" s="1">
        <v>1682</v>
      </c>
      <c r="AJ400" s="1">
        <v>1374</v>
      </c>
      <c r="AK400" s="1">
        <v>4633</v>
      </c>
      <c r="AL400" s="1">
        <v>331</v>
      </c>
      <c r="AM400" s="1">
        <v>90</v>
      </c>
      <c r="AN400" s="2" t="s">
        <v>255</v>
      </c>
    </row>
    <row r="401" spans="1:40" x14ac:dyDescent="0.3">
      <c r="A401" s="1">
        <v>10840</v>
      </c>
      <c r="B401" s="2" t="s">
        <v>2064</v>
      </c>
      <c r="C401" s="2" t="s">
        <v>2065</v>
      </c>
      <c r="D401" s="1">
        <v>28</v>
      </c>
      <c r="E401" s="2" t="s">
        <v>104</v>
      </c>
      <c r="F401" s="50" t="s">
        <v>1180</v>
      </c>
      <c r="G401" s="2" t="s">
        <v>2066</v>
      </c>
      <c r="H401" s="1">
        <v>13179</v>
      </c>
      <c r="I401" s="1">
        <v>12188</v>
      </c>
      <c r="J401" s="2" t="s">
        <v>1100</v>
      </c>
      <c r="K401" s="2" t="s">
        <v>2067</v>
      </c>
      <c r="L401" s="2" t="s">
        <v>471</v>
      </c>
      <c r="M401" s="1">
        <v>773</v>
      </c>
      <c r="N401" s="1">
        <v>20279</v>
      </c>
      <c r="O401" s="2" t="s">
        <v>276</v>
      </c>
      <c r="P401" s="2" t="s">
        <v>67</v>
      </c>
      <c r="Q401" s="2" t="s">
        <v>134</v>
      </c>
      <c r="R401" s="2" t="s">
        <v>66</v>
      </c>
      <c r="S401" s="2" t="s">
        <v>96</v>
      </c>
      <c r="T401" s="1">
        <v>9185</v>
      </c>
      <c r="U401" s="2" t="s">
        <v>51</v>
      </c>
      <c r="V401" s="1">
        <v>1418</v>
      </c>
      <c r="W401" s="1">
        <v>1163</v>
      </c>
      <c r="X401" s="2" t="s">
        <v>114</v>
      </c>
      <c r="Y401" s="2" t="s">
        <v>1314</v>
      </c>
      <c r="Z401" s="2" t="s">
        <v>170</v>
      </c>
      <c r="AA401" s="2" t="s">
        <v>2068</v>
      </c>
      <c r="AB401" s="1">
        <v>11094</v>
      </c>
      <c r="AC401" s="1">
        <v>6063</v>
      </c>
      <c r="AD401" s="1">
        <v>2386</v>
      </c>
      <c r="AE401" s="1">
        <v>610</v>
      </c>
      <c r="AF401" s="1">
        <v>116</v>
      </c>
      <c r="AG401" s="1">
        <v>10</v>
      </c>
      <c r="AH401" s="1">
        <v>10120</v>
      </c>
      <c r="AI401" s="1">
        <v>87</v>
      </c>
      <c r="AJ401" s="1">
        <v>705</v>
      </c>
      <c r="AK401" s="1">
        <v>2117</v>
      </c>
      <c r="AL401" s="1">
        <v>148</v>
      </c>
      <c r="AM401" s="1">
        <v>29</v>
      </c>
      <c r="AN401" s="2" t="s">
        <v>304</v>
      </c>
    </row>
    <row r="402" spans="1:40" x14ac:dyDescent="0.3">
      <c r="A402" s="1">
        <v>1045</v>
      </c>
      <c r="B402" s="2" t="s">
        <v>2069</v>
      </c>
      <c r="C402" s="2" t="s">
        <v>2070</v>
      </c>
      <c r="D402" s="1">
        <v>31</v>
      </c>
      <c r="E402" s="2" t="s">
        <v>545</v>
      </c>
      <c r="F402" s="50" t="s">
        <v>3514</v>
      </c>
      <c r="G402" s="2" t="s">
        <v>2071</v>
      </c>
      <c r="H402" s="1">
        <v>18850</v>
      </c>
      <c r="I402" s="1">
        <v>17905</v>
      </c>
      <c r="J402" s="2" t="s">
        <v>595</v>
      </c>
      <c r="K402" s="2" t="s">
        <v>999</v>
      </c>
      <c r="L402" s="2" t="s">
        <v>949</v>
      </c>
      <c r="M402" s="1">
        <v>1067</v>
      </c>
      <c r="N402" s="1">
        <v>28134</v>
      </c>
      <c r="O402" s="2" t="s">
        <v>225</v>
      </c>
      <c r="P402" s="2" t="s">
        <v>235</v>
      </c>
      <c r="Q402" s="2" t="s">
        <v>65</v>
      </c>
      <c r="R402" s="2" t="s">
        <v>96</v>
      </c>
      <c r="S402" s="2" t="s">
        <v>96</v>
      </c>
      <c r="T402" s="1">
        <v>12880</v>
      </c>
      <c r="U402" s="2" t="s">
        <v>51</v>
      </c>
      <c r="V402" s="1">
        <v>2821</v>
      </c>
      <c r="W402" s="1">
        <v>2433</v>
      </c>
      <c r="X402" s="2" t="s">
        <v>206</v>
      </c>
      <c r="Y402" s="2" t="s">
        <v>449</v>
      </c>
      <c r="Z402" s="2" t="s">
        <v>718</v>
      </c>
      <c r="AA402" s="2" t="s">
        <v>560</v>
      </c>
      <c r="AB402" s="1">
        <v>15254</v>
      </c>
      <c r="AC402" s="1">
        <v>8314</v>
      </c>
      <c r="AD402" s="1">
        <v>3399</v>
      </c>
      <c r="AE402" s="1">
        <v>969</v>
      </c>
      <c r="AF402" s="1">
        <v>184</v>
      </c>
      <c r="AG402" s="1">
        <v>14</v>
      </c>
      <c r="AH402" s="1">
        <v>7782</v>
      </c>
      <c r="AI402" s="1">
        <v>6195</v>
      </c>
      <c r="AJ402" s="1">
        <v>736</v>
      </c>
      <c r="AK402" s="1">
        <v>3623</v>
      </c>
      <c r="AL402" s="1">
        <v>313</v>
      </c>
      <c r="AM402" s="1">
        <v>223</v>
      </c>
      <c r="AN402" s="2" t="s">
        <v>255</v>
      </c>
    </row>
    <row r="403" spans="1:40" ht="28.2" x14ac:dyDescent="0.3">
      <c r="A403" s="1">
        <v>9261</v>
      </c>
      <c r="B403" s="2" t="s">
        <v>2072</v>
      </c>
      <c r="C403" s="2" t="s">
        <v>2073</v>
      </c>
      <c r="D403" s="1">
        <v>29</v>
      </c>
      <c r="E403" s="2" t="s">
        <v>545</v>
      </c>
      <c r="F403" s="50" t="s">
        <v>3514</v>
      </c>
      <c r="G403" s="2" t="s">
        <v>2074</v>
      </c>
      <c r="H403" s="1">
        <v>24036</v>
      </c>
      <c r="I403" s="1">
        <v>23262</v>
      </c>
      <c r="J403" s="2" t="s">
        <v>818</v>
      </c>
      <c r="K403" s="2" t="s">
        <v>531</v>
      </c>
      <c r="L403" s="2" t="s">
        <v>80</v>
      </c>
      <c r="M403" s="1">
        <v>1302</v>
      </c>
      <c r="N403" s="1">
        <v>34804</v>
      </c>
      <c r="O403" s="2" t="s">
        <v>463</v>
      </c>
      <c r="P403" s="2" t="s">
        <v>235</v>
      </c>
      <c r="Q403" s="2" t="s">
        <v>225</v>
      </c>
      <c r="R403" s="2" t="s">
        <v>96</v>
      </c>
      <c r="S403" s="2" t="s">
        <v>96</v>
      </c>
      <c r="T403" s="1">
        <v>16343</v>
      </c>
      <c r="U403" s="2" t="s">
        <v>51</v>
      </c>
      <c r="V403" s="1">
        <v>3430</v>
      </c>
      <c r="W403" s="1">
        <v>3067</v>
      </c>
      <c r="X403" s="2" t="s">
        <v>370</v>
      </c>
      <c r="Y403" s="2" t="s">
        <v>255</v>
      </c>
      <c r="Z403" s="2" t="s">
        <v>745</v>
      </c>
      <c r="AA403" s="2" t="s">
        <v>413</v>
      </c>
      <c r="AB403" s="1">
        <v>18461</v>
      </c>
      <c r="AC403" s="1">
        <v>10497</v>
      </c>
      <c r="AD403" s="1">
        <v>4294</v>
      </c>
      <c r="AE403" s="1">
        <v>1279</v>
      </c>
      <c r="AF403" s="1">
        <v>251</v>
      </c>
      <c r="AG403" s="1">
        <v>22</v>
      </c>
      <c r="AH403" s="1">
        <v>16608</v>
      </c>
      <c r="AI403" s="1">
        <v>1422</v>
      </c>
      <c r="AJ403" s="1">
        <v>904</v>
      </c>
      <c r="AK403" s="1">
        <v>4797</v>
      </c>
      <c r="AL403" s="1">
        <v>273</v>
      </c>
      <c r="AM403" s="1">
        <v>100</v>
      </c>
      <c r="AN403" s="2" t="s">
        <v>255</v>
      </c>
    </row>
    <row r="404" spans="1:40" ht="28.2" x14ac:dyDescent="0.3">
      <c r="A404" s="1">
        <v>10470</v>
      </c>
      <c r="B404" s="2" t="s">
        <v>2075</v>
      </c>
      <c r="C404" s="2" t="s">
        <v>2076</v>
      </c>
      <c r="D404" s="1">
        <v>25</v>
      </c>
      <c r="E404" s="2" t="s">
        <v>459</v>
      </c>
      <c r="F404" s="50" t="s">
        <v>3514</v>
      </c>
      <c r="G404" s="2" t="s">
        <v>2077</v>
      </c>
      <c r="H404" s="1">
        <v>14179</v>
      </c>
      <c r="I404" s="1">
        <v>13547</v>
      </c>
      <c r="J404" s="2" t="s">
        <v>2078</v>
      </c>
      <c r="K404" s="2" t="s">
        <v>948</v>
      </c>
      <c r="L404" s="2">
        <v>4</v>
      </c>
      <c r="M404" s="1">
        <v>807</v>
      </c>
      <c r="N404" s="1">
        <v>20719</v>
      </c>
      <c r="O404" s="2" t="s">
        <v>167</v>
      </c>
      <c r="P404" s="2" t="s">
        <v>235</v>
      </c>
      <c r="Q404" s="2" t="s">
        <v>276</v>
      </c>
      <c r="R404" s="2" t="s">
        <v>50</v>
      </c>
      <c r="S404" s="2" t="s">
        <v>67</v>
      </c>
      <c r="T404" s="1">
        <v>9748</v>
      </c>
      <c r="U404" s="2" t="s">
        <v>51</v>
      </c>
      <c r="V404" s="1">
        <v>2066</v>
      </c>
      <c r="W404" s="1">
        <v>1954</v>
      </c>
      <c r="X404" s="2" t="s">
        <v>590</v>
      </c>
      <c r="Y404" s="2" t="s">
        <v>255</v>
      </c>
      <c r="Z404" s="2" t="s">
        <v>1765</v>
      </c>
      <c r="AA404" s="2" t="s">
        <v>640</v>
      </c>
      <c r="AB404" s="1">
        <v>10971</v>
      </c>
      <c r="AC404" s="1">
        <v>6361</v>
      </c>
      <c r="AD404" s="1">
        <v>2495</v>
      </c>
      <c r="AE404" s="1">
        <v>744</v>
      </c>
      <c r="AF404" s="1">
        <v>144</v>
      </c>
      <c r="AG404" s="1">
        <v>4</v>
      </c>
      <c r="AH404" s="1">
        <v>9347</v>
      </c>
      <c r="AI404" s="1">
        <v>1218</v>
      </c>
      <c r="AJ404" s="1">
        <v>841</v>
      </c>
      <c r="AK404" s="1">
        <v>2541</v>
      </c>
      <c r="AL404" s="1">
        <v>199</v>
      </c>
      <c r="AM404" s="1">
        <v>61</v>
      </c>
      <c r="AN404" s="2" t="s">
        <v>255</v>
      </c>
    </row>
    <row r="405" spans="1:40" ht="28.2" x14ac:dyDescent="0.3">
      <c r="A405" s="1">
        <v>12004</v>
      </c>
      <c r="B405" s="2" t="s">
        <v>2079</v>
      </c>
      <c r="C405" s="2" t="s">
        <v>2080</v>
      </c>
      <c r="D405" s="1">
        <v>20</v>
      </c>
      <c r="E405" s="2" t="s">
        <v>75</v>
      </c>
      <c r="F405" s="50" t="s">
        <v>483</v>
      </c>
      <c r="G405" s="2" t="s">
        <v>2081</v>
      </c>
      <c r="H405" s="1">
        <v>7015</v>
      </c>
      <c r="I405" s="1">
        <v>6742</v>
      </c>
      <c r="J405" s="2" t="s">
        <v>2082</v>
      </c>
      <c r="K405" s="2">
        <v>75</v>
      </c>
      <c r="L405" s="2" t="s">
        <v>612</v>
      </c>
      <c r="M405" s="1">
        <v>387</v>
      </c>
      <c r="N405" s="1">
        <v>10293</v>
      </c>
      <c r="O405" s="2" t="s">
        <v>167</v>
      </c>
      <c r="P405" s="2" t="s">
        <v>67</v>
      </c>
      <c r="Q405" s="2" t="s">
        <v>322</v>
      </c>
      <c r="R405" s="2" t="s">
        <v>96</v>
      </c>
      <c r="S405" s="2" t="s">
        <v>50</v>
      </c>
      <c r="T405" s="1">
        <v>4790</v>
      </c>
      <c r="U405" s="2" t="s">
        <v>51</v>
      </c>
      <c r="V405" s="1">
        <v>831</v>
      </c>
      <c r="W405" s="1">
        <v>829</v>
      </c>
      <c r="X405" s="2">
        <v>1</v>
      </c>
      <c r="Y405" s="2" t="s">
        <v>1570</v>
      </c>
      <c r="Z405" s="2" t="s">
        <v>2083</v>
      </c>
      <c r="AA405" s="2" t="s">
        <v>2084</v>
      </c>
      <c r="AB405" s="1">
        <v>5503</v>
      </c>
      <c r="AC405" s="1">
        <v>3092</v>
      </c>
      <c r="AD405" s="1">
        <v>1265</v>
      </c>
      <c r="AE405" s="1">
        <v>348</v>
      </c>
      <c r="AF405" s="1">
        <v>76</v>
      </c>
      <c r="AG405" s="1">
        <v>9</v>
      </c>
      <c r="AH405" s="1">
        <v>5231</v>
      </c>
      <c r="AI405" s="1">
        <v>123</v>
      </c>
      <c r="AJ405" s="1">
        <v>383</v>
      </c>
      <c r="AK405" s="1">
        <v>1208</v>
      </c>
      <c r="AL405" s="1">
        <v>60</v>
      </c>
      <c r="AM405" s="1">
        <v>23</v>
      </c>
      <c r="AN405" s="2" t="s">
        <v>407</v>
      </c>
    </row>
    <row r="406" spans="1:40" x14ac:dyDescent="0.3">
      <c r="A406" s="1">
        <v>4373</v>
      </c>
      <c r="B406" s="2" t="s">
        <v>2085</v>
      </c>
      <c r="C406" s="2" t="s">
        <v>2086</v>
      </c>
      <c r="D406" s="1">
        <v>28</v>
      </c>
      <c r="E406" s="2" t="s">
        <v>683</v>
      </c>
      <c r="F406" s="50" t="s">
        <v>3514</v>
      </c>
      <c r="G406" s="2" t="s">
        <v>2087</v>
      </c>
      <c r="H406" s="1">
        <v>9017</v>
      </c>
      <c r="I406" s="1">
        <v>8646</v>
      </c>
      <c r="J406" s="2" t="s">
        <v>2088</v>
      </c>
      <c r="K406" s="2" t="s">
        <v>2089</v>
      </c>
      <c r="L406" s="2" t="s">
        <v>275</v>
      </c>
      <c r="M406" s="1">
        <v>500</v>
      </c>
      <c r="N406" s="1">
        <v>13298</v>
      </c>
      <c r="O406" s="2" t="s">
        <v>167</v>
      </c>
      <c r="P406" s="2" t="s">
        <v>96</v>
      </c>
      <c r="Q406" s="2" t="s">
        <v>276</v>
      </c>
      <c r="R406" s="2" t="s">
        <v>50</v>
      </c>
      <c r="S406" s="2" t="s">
        <v>50</v>
      </c>
      <c r="T406" s="1">
        <v>6177</v>
      </c>
      <c r="U406" s="2" t="s">
        <v>51</v>
      </c>
      <c r="V406" s="1">
        <v>1530</v>
      </c>
      <c r="W406" s="1">
        <v>1214</v>
      </c>
      <c r="X406" s="2" t="s">
        <v>87</v>
      </c>
      <c r="Y406" s="2" t="s">
        <v>295</v>
      </c>
      <c r="Z406" s="2" t="s">
        <v>821</v>
      </c>
      <c r="AA406" s="2" t="s">
        <v>100</v>
      </c>
      <c r="AB406" s="1">
        <v>7121</v>
      </c>
      <c r="AC406" s="1">
        <v>4014</v>
      </c>
      <c r="AD406" s="1">
        <v>1616</v>
      </c>
      <c r="AE406" s="1">
        <v>431</v>
      </c>
      <c r="AF406" s="1">
        <v>102</v>
      </c>
      <c r="AG406" s="1">
        <v>14</v>
      </c>
      <c r="AH406" s="1">
        <v>1874</v>
      </c>
      <c r="AI406" s="1">
        <v>5193</v>
      </c>
      <c r="AJ406" s="1">
        <v>474</v>
      </c>
      <c r="AK406" s="1">
        <v>1390</v>
      </c>
      <c r="AL406" s="1">
        <v>86</v>
      </c>
      <c r="AM406" s="1">
        <v>17</v>
      </c>
      <c r="AN406" s="2" t="s">
        <v>255</v>
      </c>
    </row>
    <row r="407" spans="1:40" ht="28.2" x14ac:dyDescent="0.3">
      <c r="A407" s="1">
        <v>14684</v>
      </c>
      <c r="B407" s="2" t="s">
        <v>2090</v>
      </c>
      <c r="C407" s="2" t="s">
        <v>2091</v>
      </c>
      <c r="D407" s="1">
        <v>23</v>
      </c>
      <c r="E407" s="2" t="s">
        <v>327</v>
      </c>
      <c r="F407" s="50" t="s">
        <v>3514</v>
      </c>
      <c r="G407" s="2" t="s">
        <v>2092</v>
      </c>
      <c r="H407" s="1">
        <v>15232</v>
      </c>
      <c r="I407" s="1">
        <v>14642</v>
      </c>
      <c r="J407" s="2" t="s">
        <v>2093</v>
      </c>
      <c r="K407" s="2">
        <v>77</v>
      </c>
      <c r="L407" s="2">
        <v>6</v>
      </c>
      <c r="M407" s="1">
        <v>819</v>
      </c>
      <c r="N407" s="1">
        <v>22194</v>
      </c>
      <c r="O407" s="2" t="s">
        <v>463</v>
      </c>
      <c r="P407" s="2" t="s">
        <v>166</v>
      </c>
      <c r="Q407" s="2" t="s">
        <v>322</v>
      </c>
      <c r="R407" s="2" t="s">
        <v>50</v>
      </c>
      <c r="S407" s="2" t="s">
        <v>50</v>
      </c>
      <c r="T407" s="1">
        <v>10418</v>
      </c>
      <c r="U407" s="2" t="s">
        <v>51</v>
      </c>
      <c r="V407" s="1">
        <v>1996</v>
      </c>
      <c r="W407" s="1">
        <v>1933</v>
      </c>
      <c r="X407" s="2" t="s">
        <v>412</v>
      </c>
      <c r="Y407" s="2" t="s">
        <v>503</v>
      </c>
      <c r="Z407" s="2" t="s">
        <v>1467</v>
      </c>
      <c r="AA407" s="2" t="s">
        <v>852</v>
      </c>
      <c r="AB407" s="1">
        <v>11776</v>
      </c>
      <c r="AC407" s="1">
        <v>6741</v>
      </c>
      <c r="AD407" s="1">
        <v>2707</v>
      </c>
      <c r="AE407" s="1">
        <v>818</v>
      </c>
      <c r="AF407" s="1">
        <v>137</v>
      </c>
      <c r="AG407" s="1">
        <v>15</v>
      </c>
      <c r="AH407" s="1">
        <v>11629</v>
      </c>
      <c r="AI407" s="1">
        <v>173</v>
      </c>
      <c r="AJ407" s="1">
        <v>772</v>
      </c>
      <c r="AK407" s="1">
        <v>2397</v>
      </c>
      <c r="AL407" s="1">
        <v>283</v>
      </c>
      <c r="AM407" s="1">
        <v>41</v>
      </c>
      <c r="AN407" s="2" t="s">
        <v>277</v>
      </c>
    </row>
    <row r="408" spans="1:40" ht="42" x14ac:dyDescent="0.3">
      <c r="A408" s="1">
        <v>14929</v>
      </c>
      <c r="B408" s="2" t="s">
        <v>2094</v>
      </c>
      <c r="C408" s="2" t="s">
        <v>2095</v>
      </c>
      <c r="D408" s="1">
        <v>22</v>
      </c>
      <c r="E408" s="2" t="s">
        <v>708</v>
      </c>
      <c r="F408" s="50" t="s">
        <v>188</v>
      </c>
      <c r="G408" s="2" t="s">
        <v>2096</v>
      </c>
      <c r="H408" s="1">
        <v>9406</v>
      </c>
      <c r="I408" s="1">
        <v>9192</v>
      </c>
      <c r="J408" s="2" t="s">
        <v>737</v>
      </c>
      <c r="K408" s="2" t="s">
        <v>1363</v>
      </c>
      <c r="L408" s="2" t="s">
        <v>471</v>
      </c>
      <c r="M408" s="1">
        <v>521</v>
      </c>
      <c r="N408" s="1">
        <v>13676</v>
      </c>
      <c r="O408" s="2" t="s">
        <v>463</v>
      </c>
      <c r="P408" s="2" t="s">
        <v>202</v>
      </c>
      <c r="Q408" s="2" t="s">
        <v>225</v>
      </c>
      <c r="R408" s="2" t="s">
        <v>50</v>
      </c>
      <c r="S408" s="2" t="s">
        <v>50</v>
      </c>
      <c r="T408" s="1">
        <v>6327</v>
      </c>
      <c r="U408" s="2" t="s">
        <v>51</v>
      </c>
      <c r="V408" s="1">
        <v>1376</v>
      </c>
      <c r="W408" s="1">
        <v>1486</v>
      </c>
      <c r="X408" s="2" t="s">
        <v>950</v>
      </c>
      <c r="Y408" s="2" t="s">
        <v>285</v>
      </c>
      <c r="Z408" s="2" t="s">
        <v>2083</v>
      </c>
      <c r="AA408" s="2" t="s">
        <v>413</v>
      </c>
      <c r="AB408" s="1">
        <v>7349</v>
      </c>
      <c r="AC408" s="1">
        <v>4013</v>
      </c>
      <c r="AD408" s="1">
        <v>1682</v>
      </c>
      <c r="AE408" s="1">
        <v>510</v>
      </c>
      <c r="AF408" s="1">
        <v>111</v>
      </c>
      <c r="AG408" s="1">
        <v>11</v>
      </c>
      <c r="AH408" s="1">
        <v>7061</v>
      </c>
      <c r="AI408" s="1">
        <v>335</v>
      </c>
      <c r="AJ408" s="1">
        <v>207</v>
      </c>
      <c r="AK408" s="1">
        <v>1740</v>
      </c>
      <c r="AL408" s="1">
        <v>74</v>
      </c>
      <c r="AM408" s="1">
        <v>11</v>
      </c>
      <c r="AN408" s="2" t="s">
        <v>590</v>
      </c>
    </row>
    <row r="409" spans="1:40" x14ac:dyDescent="0.3">
      <c r="A409" s="1">
        <v>12094</v>
      </c>
      <c r="B409" s="1">
        <v>1962</v>
      </c>
      <c r="C409" s="2" t="s">
        <v>2097</v>
      </c>
      <c r="D409" s="1">
        <v>26</v>
      </c>
      <c r="E409" s="2" t="s">
        <v>1012</v>
      </c>
      <c r="F409" s="50" t="s">
        <v>1013</v>
      </c>
      <c r="G409" s="2" t="s">
        <v>2098</v>
      </c>
      <c r="H409" s="1">
        <v>10684</v>
      </c>
      <c r="I409" s="1">
        <v>10684</v>
      </c>
      <c r="J409" s="2" t="s">
        <v>1850</v>
      </c>
      <c r="K409" s="2" t="s">
        <v>368</v>
      </c>
      <c r="L409" s="2" t="s">
        <v>331</v>
      </c>
      <c r="M409" s="1">
        <v>579</v>
      </c>
      <c r="N409" s="1">
        <v>15075</v>
      </c>
      <c r="O409" s="2" t="s">
        <v>646</v>
      </c>
      <c r="P409" s="2" t="s">
        <v>202</v>
      </c>
      <c r="Q409" s="2" t="s">
        <v>646</v>
      </c>
      <c r="R409" s="2" t="s">
        <v>67</v>
      </c>
      <c r="S409" s="2" t="s">
        <v>50</v>
      </c>
      <c r="T409" s="1">
        <v>7093</v>
      </c>
      <c r="U409" s="2" t="s">
        <v>51</v>
      </c>
      <c r="V409" s="1">
        <v>1747</v>
      </c>
      <c r="W409" s="1">
        <v>1793</v>
      </c>
      <c r="X409" s="2" t="s">
        <v>503</v>
      </c>
      <c r="Y409" s="2" t="s">
        <v>304</v>
      </c>
      <c r="Z409" s="2" t="s">
        <v>932</v>
      </c>
      <c r="AA409" s="2" t="s">
        <v>86</v>
      </c>
      <c r="AB409" s="1">
        <v>7982</v>
      </c>
      <c r="AC409" s="1">
        <v>4448</v>
      </c>
      <c r="AD409" s="1">
        <v>1863</v>
      </c>
      <c r="AE409" s="1">
        <v>631</v>
      </c>
      <c r="AF409" s="1">
        <v>138</v>
      </c>
      <c r="AG409" s="1">
        <v>13</v>
      </c>
      <c r="AH409" s="1">
        <v>8025</v>
      </c>
      <c r="AI409" s="1">
        <v>125</v>
      </c>
      <c r="AJ409" s="1">
        <v>541</v>
      </c>
      <c r="AK409" s="1">
        <v>1883</v>
      </c>
      <c r="AL409" s="1">
        <v>110</v>
      </c>
      <c r="AM409" s="1">
        <v>16</v>
      </c>
      <c r="AN409" s="2" t="s">
        <v>464</v>
      </c>
    </row>
    <row r="410" spans="1:40" ht="28.2" x14ac:dyDescent="0.3">
      <c r="A410" s="1">
        <v>19114</v>
      </c>
      <c r="B410" s="2" t="s">
        <v>2099</v>
      </c>
      <c r="C410" s="2" t="s">
        <v>2100</v>
      </c>
      <c r="D410" s="1">
        <v>22</v>
      </c>
      <c r="E410" s="2" t="s">
        <v>327</v>
      </c>
      <c r="F410" s="50" t="s">
        <v>1408</v>
      </c>
      <c r="G410" s="2" t="s">
        <v>2101</v>
      </c>
      <c r="H410" s="1">
        <v>10912</v>
      </c>
      <c r="I410" s="1">
        <v>10619</v>
      </c>
      <c r="J410" s="2" t="s">
        <v>2102</v>
      </c>
      <c r="K410" s="2" t="s">
        <v>788</v>
      </c>
      <c r="L410" s="2" t="s">
        <v>1170</v>
      </c>
      <c r="M410" s="1">
        <v>593</v>
      </c>
      <c r="N410" s="1">
        <v>15953</v>
      </c>
      <c r="O410" s="2" t="s">
        <v>167</v>
      </c>
      <c r="P410" s="2" t="s">
        <v>48</v>
      </c>
      <c r="Q410" s="2" t="s">
        <v>225</v>
      </c>
      <c r="R410" s="2" t="s">
        <v>50</v>
      </c>
      <c r="S410" s="2" t="s">
        <v>67</v>
      </c>
      <c r="T410" s="1">
        <v>7390</v>
      </c>
      <c r="U410" s="2" t="s">
        <v>51</v>
      </c>
      <c r="V410" s="1">
        <v>1438</v>
      </c>
      <c r="W410" s="1">
        <v>1519</v>
      </c>
      <c r="X410" s="2" t="s">
        <v>820</v>
      </c>
      <c r="Y410" s="2" t="s">
        <v>472</v>
      </c>
      <c r="Z410" s="2" t="s">
        <v>1358</v>
      </c>
      <c r="AA410" s="2" t="s">
        <v>852</v>
      </c>
      <c r="AB410" s="1">
        <v>8563</v>
      </c>
      <c r="AC410" s="1">
        <v>4750</v>
      </c>
      <c r="AD410" s="1">
        <v>1926</v>
      </c>
      <c r="AE410" s="1">
        <v>563</v>
      </c>
      <c r="AF410" s="1">
        <v>134</v>
      </c>
      <c r="AG410" s="1">
        <v>17</v>
      </c>
      <c r="AH410" s="1">
        <v>8040</v>
      </c>
      <c r="AI410" s="1">
        <v>270</v>
      </c>
      <c r="AJ410" s="1">
        <v>487</v>
      </c>
      <c r="AK410" s="1">
        <v>1954</v>
      </c>
      <c r="AL410" s="1">
        <v>157</v>
      </c>
      <c r="AM410" s="1">
        <v>37</v>
      </c>
      <c r="AN410" s="2" t="s">
        <v>304</v>
      </c>
    </row>
    <row r="411" spans="1:40" x14ac:dyDescent="0.3">
      <c r="A411" s="1">
        <v>9680</v>
      </c>
      <c r="B411" s="2" t="s">
        <v>2103</v>
      </c>
      <c r="C411" s="2" t="s">
        <v>2104</v>
      </c>
      <c r="D411" s="1">
        <v>25</v>
      </c>
      <c r="E411" s="2" t="s">
        <v>299</v>
      </c>
      <c r="F411" s="50" t="s">
        <v>3514</v>
      </c>
      <c r="G411" s="2" t="s">
        <v>2105</v>
      </c>
      <c r="H411" s="1">
        <v>8741</v>
      </c>
      <c r="I411" s="1">
        <v>8534</v>
      </c>
      <c r="J411" s="2" t="s">
        <v>2106</v>
      </c>
      <c r="K411" s="2" t="s">
        <v>1234</v>
      </c>
      <c r="L411" s="2">
        <v>4</v>
      </c>
      <c r="M411" s="1">
        <v>495</v>
      </c>
      <c r="N411" s="1">
        <v>12785</v>
      </c>
      <c r="O411" s="2" t="s">
        <v>167</v>
      </c>
      <c r="P411" s="2" t="s">
        <v>48</v>
      </c>
      <c r="Q411" s="2" t="s">
        <v>225</v>
      </c>
      <c r="R411" s="2" t="s">
        <v>96</v>
      </c>
      <c r="S411" s="2" t="s">
        <v>96</v>
      </c>
      <c r="T411" s="1">
        <v>5874</v>
      </c>
      <c r="U411" s="2" t="s">
        <v>51</v>
      </c>
      <c r="V411" s="1">
        <v>1571</v>
      </c>
      <c r="W411" s="1">
        <v>1310</v>
      </c>
      <c r="X411" s="2" t="s">
        <v>147</v>
      </c>
      <c r="Y411" s="2" t="s">
        <v>362</v>
      </c>
      <c r="Z411" s="2" t="s">
        <v>455</v>
      </c>
      <c r="AA411" s="2" t="s">
        <v>193</v>
      </c>
      <c r="AB411" s="1">
        <v>6911</v>
      </c>
      <c r="AC411" s="1">
        <v>3716</v>
      </c>
      <c r="AD411" s="1">
        <v>1582</v>
      </c>
      <c r="AE411" s="1">
        <v>458</v>
      </c>
      <c r="AF411" s="1">
        <v>103</v>
      </c>
      <c r="AG411" s="1">
        <v>15</v>
      </c>
      <c r="AH411" s="1">
        <v>2520</v>
      </c>
      <c r="AI411" s="1">
        <v>4060</v>
      </c>
      <c r="AJ411" s="1">
        <v>390</v>
      </c>
      <c r="AK411" s="1">
        <v>1650</v>
      </c>
      <c r="AL411" s="1">
        <v>114</v>
      </c>
      <c r="AM411" s="1">
        <v>20</v>
      </c>
      <c r="AN411" s="2" t="s">
        <v>255</v>
      </c>
    </row>
    <row r="412" spans="1:40" ht="28.2" x14ac:dyDescent="0.3">
      <c r="A412" s="1">
        <v>15419</v>
      </c>
      <c r="B412" s="2" t="s">
        <v>2107</v>
      </c>
      <c r="C412" s="2" t="s">
        <v>2108</v>
      </c>
      <c r="D412" s="1">
        <v>22</v>
      </c>
      <c r="E412" s="2" t="s">
        <v>209</v>
      </c>
      <c r="F412" s="50" t="s">
        <v>3514</v>
      </c>
      <c r="G412" s="2" t="s">
        <v>2109</v>
      </c>
      <c r="H412" s="1">
        <v>10605</v>
      </c>
      <c r="I412" s="1">
        <v>10125</v>
      </c>
      <c r="J412" s="2" t="s">
        <v>764</v>
      </c>
      <c r="K412" s="2" t="s">
        <v>1009</v>
      </c>
      <c r="L412" s="2" t="s">
        <v>179</v>
      </c>
      <c r="M412" s="1">
        <v>597</v>
      </c>
      <c r="N412" s="1">
        <v>15834</v>
      </c>
      <c r="O412" s="2" t="s">
        <v>225</v>
      </c>
      <c r="P412" s="2" t="s">
        <v>48</v>
      </c>
      <c r="Q412" s="2" t="s">
        <v>65</v>
      </c>
      <c r="R412" s="2" t="s">
        <v>50</v>
      </c>
      <c r="S412" s="2" t="s">
        <v>67</v>
      </c>
      <c r="T412" s="1">
        <v>7280</v>
      </c>
      <c r="U412" s="2" t="s">
        <v>51</v>
      </c>
      <c r="V412" s="1">
        <v>1702</v>
      </c>
      <c r="W412" s="1">
        <v>1464</v>
      </c>
      <c r="X412" s="2" t="s">
        <v>206</v>
      </c>
      <c r="Y412" s="2" t="s">
        <v>304</v>
      </c>
      <c r="Z412" s="2" t="s">
        <v>1462</v>
      </c>
      <c r="AA412" s="2" t="s">
        <v>1774</v>
      </c>
      <c r="AB412" s="1">
        <v>8554</v>
      </c>
      <c r="AC412" s="1">
        <v>4767</v>
      </c>
      <c r="AD412" s="1">
        <v>1840</v>
      </c>
      <c r="AE412" s="1">
        <v>553</v>
      </c>
      <c r="AF412" s="1">
        <v>101</v>
      </c>
      <c r="AG412" s="1">
        <v>19</v>
      </c>
      <c r="AH412" s="1">
        <v>5060</v>
      </c>
      <c r="AI412" s="1">
        <v>2964</v>
      </c>
      <c r="AJ412" s="1">
        <v>561</v>
      </c>
      <c r="AK412" s="1">
        <v>1922</v>
      </c>
      <c r="AL412" s="1">
        <v>105</v>
      </c>
      <c r="AM412" s="1">
        <v>26</v>
      </c>
      <c r="AN412" s="2" t="s">
        <v>590</v>
      </c>
    </row>
    <row r="413" spans="1:40" ht="28.2" x14ac:dyDescent="0.3">
      <c r="A413" s="1">
        <v>5386</v>
      </c>
      <c r="B413" s="2" t="s">
        <v>2110</v>
      </c>
      <c r="C413" s="2" t="s">
        <v>2111</v>
      </c>
      <c r="D413" s="1">
        <v>28</v>
      </c>
      <c r="E413" s="2" t="s">
        <v>327</v>
      </c>
      <c r="F413" s="50" t="s">
        <v>2040</v>
      </c>
      <c r="G413" s="2" t="s">
        <v>2112</v>
      </c>
      <c r="H413" s="1">
        <v>34583</v>
      </c>
      <c r="I413" s="1">
        <v>33286</v>
      </c>
      <c r="J413" s="2" t="s">
        <v>448</v>
      </c>
      <c r="K413" s="2" t="s">
        <v>178</v>
      </c>
      <c r="L413" s="2" t="s">
        <v>46</v>
      </c>
      <c r="M413" s="1">
        <v>1887</v>
      </c>
      <c r="N413" s="1">
        <v>49607</v>
      </c>
      <c r="O413" s="2" t="s">
        <v>905</v>
      </c>
      <c r="P413" s="2" t="s">
        <v>235</v>
      </c>
      <c r="Q413" s="2" t="s">
        <v>225</v>
      </c>
      <c r="R413" s="2" t="s">
        <v>96</v>
      </c>
      <c r="S413" s="2" t="s">
        <v>50</v>
      </c>
      <c r="T413" s="1">
        <v>23725</v>
      </c>
      <c r="U413" s="2" t="s">
        <v>51</v>
      </c>
      <c r="V413" s="1">
        <v>4451</v>
      </c>
      <c r="W413" s="1">
        <v>3989</v>
      </c>
      <c r="X413" s="2" t="s">
        <v>370</v>
      </c>
      <c r="Y413" s="2" t="s">
        <v>245</v>
      </c>
      <c r="Z413" s="2" t="s">
        <v>473</v>
      </c>
      <c r="AA413" s="2" t="s">
        <v>1244</v>
      </c>
      <c r="AB413" s="1">
        <v>25882</v>
      </c>
      <c r="AC413" s="1">
        <v>15411</v>
      </c>
      <c r="AD413" s="1">
        <v>6187</v>
      </c>
      <c r="AE413" s="1">
        <v>1777</v>
      </c>
      <c r="AF413" s="1">
        <v>324</v>
      </c>
      <c r="AG413" s="1">
        <v>26</v>
      </c>
      <c r="AH413" s="1">
        <v>26889</v>
      </c>
      <c r="AI413" s="1">
        <v>165</v>
      </c>
      <c r="AJ413" s="1">
        <v>1236</v>
      </c>
      <c r="AK413" s="1">
        <v>5877</v>
      </c>
      <c r="AL413" s="1">
        <v>434</v>
      </c>
      <c r="AM413" s="1">
        <v>44</v>
      </c>
      <c r="AN413" s="2" t="s">
        <v>255</v>
      </c>
    </row>
    <row r="414" spans="1:40" ht="28.2" x14ac:dyDescent="0.3">
      <c r="A414" s="1">
        <v>9416</v>
      </c>
      <c r="B414" s="2" t="s">
        <v>2113</v>
      </c>
      <c r="C414" s="2" t="s">
        <v>2114</v>
      </c>
      <c r="D414" s="1">
        <v>26</v>
      </c>
      <c r="E414" s="2" t="s">
        <v>1643</v>
      </c>
      <c r="F414" s="50" t="s">
        <v>1962</v>
      </c>
      <c r="G414" s="2" t="s">
        <v>2115</v>
      </c>
      <c r="H414" s="1">
        <v>7278</v>
      </c>
      <c r="I414" s="1">
        <v>6855</v>
      </c>
      <c r="J414" s="2" t="s">
        <v>153</v>
      </c>
      <c r="K414" s="2" t="s">
        <v>2067</v>
      </c>
      <c r="L414" s="2" t="s">
        <v>122</v>
      </c>
      <c r="M414" s="1">
        <v>418</v>
      </c>
      <c r="N414" s="1">
        <v>10936</v>
      </c>
      <c r="O414" s="2" t="s">
        <v>225</v>
      </c>
      <c r="P414" s="2" t="s">
        <v>67</v>
      </c>
      <c r="Q414" s="2" t="s">
        <v>215</v>
      </c>
      <c r="R414" s="2" t="s">
        <v>96</v>
      </c>
      <c r="S414" s="2" t="s">
        <v>96</v>
      </c>
      <c r="T414" s="1">
        <v>5038</v>
      </c>
      <c r="U414" s="2" t="s">
        <v>51</v>
      </c>
      <c r="V414" s="1">
        <v>1170</v>
      </c>
      <c r="W414" s="1">
        <v>869</v>
      </c>
      <c r="X414" s="2" t="s">
        <v>323</v>
      </c>
      <c r="Y414" s="2" t="s">
        <v>464</v>
      </c>
      <c r="Z414" s="2" t="s">
        <v>728</v>
      </c>
      <c r="AA414" s="2" t="s">
        <v>267</v>
      </c>
      <c r="AB414" s="1">
        <v>5898</v>
      </c>
      <c r="AC414" s="1">
        <v>3309</v>
      </c>
      <c r="AD414" s="1">
        <v>1295</v>
      </c>
      <c r="AE414" s="1">
        <v>362</v>
      </c>
      <c r="AF414" s="1">
        <v>67</v>
      </c>
      <c r="AG414" s="1">
        <v>5</v>
      </c>
      <c r="AH414" s="1">
        <v>2306</v>
      </c>
      <c r="AI414" s="1">
        <v>3391</v>
      </c>
      <c r="AJ414" s="1">
        <v>256</v>
      </c>
      <c r="AK414" s="1">
        <v>1272</v>
      </c>
      <c r="AL414" s="1">
        <v>62</v>
      </c>
      <c r="AM414" s="1">
        <v>19</v>
      </c>
      <c r="AN414" s="2" t="s">
        <v>255</v>
      </c>
    </row>
    <row r="415" spans="1:40" ht="28.2" x14ac:dyDescent="0.3">
      <c r="A415" s="1">
        <v>3183</v>
      </c>
      <c r="B415" s="2" t="s">
        <v>2116</v>
      </c>
      <c r="C415" s="2" t="s">
        <v>2117</v>
      </c>
      <c r="D415" s="1">
        <v>32</v>
      </c>
      <c r="E415" s="2" t="s">
        <v>467</v>
      </c>
      <c r="F415" s="50" t="s">
        <v>2118</v>
      </c>
      <c r="G415" s="2" t="s">
        <v>2119</v>
      </c>
      <c r="H415" s="1">
        <v>16849</v>
      </c>
      <c r="I415" s="1">
        <v>16756</v>
      </c>
      <c r="J415" s="2" t="s">
        <v>1322</v>
      </c>
      <c r="K415" s="2">
        <v>81</v>
      </c>
      <c r="L415" s="2" t="s">
        <v>612</v>
      </c>
      <c r="M415" s="1">
        <v>899</v>
      </c>
      <c r="N415" s="1">
        <v>23232</v>
      </c>
      <c r="O415" s="2" t="s">
        <v>495</v>
      </c>
      <c r="P415" s="2" t="s">
        <v>303</v>
      </c>
      <c r="Q415" s="2" t="s">
        <v>311</v>
      </c>
      <c r="R415" s="2" t="s">
        <v>50</v>
      </c>
      <c r="S415" s="2" t="s">
        <v>66</v>
      </c>
      <c r="T415" s="1">
        <v>11300</v>
      </c>
      <c r="U415" s="2" t="s">
        <v>51</v>
      </c>
      <c r="V415" s="1">
        <v>2845</v>
      </c>
      <c r="W415" s="1">
        <v>2903</v>
      </c>
      <c r="X415" s="2" t="s">
        <v>245</v>
      </c>
      <c r="Y415" s="2" t="s">
        <v>464</v>
      </c>
      <c r="Z415" s="2" t="s">
        <v>156</v>
      </c>
      <c r="AA415" s="2" t="s">
        <v>1122</v>
      </c>
      <c r="AB415" s="1">
        <v>11932</v>
      </c>
      <c r="AC415" s="1">
        <v>7121</v>
      </c>
      <c r="AD415" s="1">
        <v>3040</v>
      </c>
      <c r="AE415" s="1">
        <v>936</v>
      </c>
      <c r="AF415" s="1">
        <v>191</v>
      </c>
      <c r="AG415" s="1">
        <v>12</v>
      </c>
      <c r="AH415" s="1">
        <v>12202</v>
      </c>
      <c r="AI415" s="1">
        <v>168</v>
      </c>
      <c r="AJ415" s="1">
        <v>1356</v>
      </c>
      <c r="AK415" s="1">
        <v>2848</v>
      </c>
      <c r="AL415" s="1">
        <v>260</v>
      </c>
      <c r="AM415" s="1">
        <v>23</v>
      </c>
      <c r="AN415" s="2" t="s">
        <v>255</v>
      </c>
    </row>
    <row r="416" spans="1:40" ht="28.2" x14ac:dyDescent="0.3">
      <c r="A416" s="1">
        <v>9911</v>
      </c>
      <c r="B416" s="2" t="s">
        <v>2120</v>
      </c>
      <c r="C416" s="2" t="s">
        <v>2121</v>
      </c>
      <c r="D416" s="1">
        <v>24</v>
      </c>
      <c r="E416" s="2" t="s">
        <v>545</v>
      </c>
      <c r="F416" s="50" t="s">
        <v>1065</v>
      </c>
      <c r="G416" s="2" t="s">
        <v>2122</v>
      </c>
      <c r="H416" s="1">
        <v>13418</v>
      </c>
      <c r="I416" s="1">
        <v>12838</v>
      </c>
      <c r="J416" s="2" t="s">
        <v>1741</v>
      </c>
      <c r="K416" s="2" t="s">
        <v>939</v>
      </c>
      <c r="L416" s="2" t="s">
        <v>1170</v>
      </c>
      <c r="M416" s="1">
        <v>746</v>
      </c>
      <c r="N416" s="1">
        <v>19847</v>
      </c>
      <c r="O416" s="2" t="s">
        <v>167</v>
      </c>
      <c r="P416" s="2" t="s">
        <v>235</v>
      </c>
      <c r="Q416" s="2" t="s">
        <v>276</v>
      </c>
      <c r="R416" s="2" t="s">
        <v>96</v>
      </c>
      <c r="S416" s="2" t="s">
        <v>50</v>
      </c>
      <c r="T416" s="1">
        <v>9209</v>
      </c>
      <c r="U416" s="2" t="s">
        <v>51</v>
      </c>
      <c r="V416" s="1">
        <v>1709</v>
      </c>
      <c r="W416" s="1">
        <v>1726</v>
      </c>
      <c r="X416" s="2" t="s">
        <v>285</v>
      </c>
      <c r="Y416" s="2" t="s">
        <v>820</v>
      </c>
      <c r="Z416" s="2" t="s">
        <v>347</v>
      </c>
      <c r="AA416" s="2" t="s">
        <v>1083</v>
      </c>
      <c r="AB416" s="1">
        <v>10638</v>
      </c>
      <c r="AC416" s="1">
        <v>5999</v>
      </c>
      <c r="AD416" s="1">
        <v>2372</v>
      </c>
      <c r="AE416" s="1">
        <v>689</v>
      </c>
      <c r="AF416" s="1">
        <v>137</v>
      </c>
      <c r="AG416" s="1">
        <v>12</v>
      </c>
      <c r="AH416" s="1">
        <v>9286</v>
      </c>
      <c r="AI416" s="1">
        <v>699</v>
      </c>
      <c r="AJ416" s="1">
        <v>999</v>
      </c>
      <c r="AK416" s="1">
        <v>2238</v>
      </c>
      <c r="AL416" s="1">
        <v>198</v>
      </c>
      <c r="AM416" s="1">
        <v>54</v>
      </c>
      <c r="AN416" s="2" t="s">
        <v>255</v>
      </c>
    </row>
    <row r="417" spans="1:40" ht="28.2" x14ac:dyDescent="0.3">
      <c r="A417" s="1">
        <v>11205</v>
      </c>
      <c r="B417" s="2" t="s">
        <v>2123</v>
      </c>
      <c r="C417" s="2" t="s">
        <v>2124</v>
      </c>
      <c r="D417" s="1">
        <v>25</v>
      </c>
      <c r="E417" s="2" t="s">
        <v>1643</v>
      </c>
      <c r="F417" s="50" t="s">
        <v>2125</v>
      </c>
      <c r="G417" s="2" t="s">
        <v>1645</v>
      </c>
      <c r="H417" s="1">
        <v>13896</v>
      </c>
      <c r="I417" s="1">
        <v>13273</v>
      </c>
      <c r="J417" s="2" t="s">
        <v>301</v>
      </c>
      <c r="K417" s="2" t="s">
        <v>1499</v>
      </c>
      <c r="L417" s="2" t="s">
        <v>782</v>
      </c>
      <c r="M417" s="1">
        <v>783</v>
      </c>
      <c r="N417" s="1">
        <v>20600</v>
      </c>
      <c r="O417" s="2" t="s">
        <v>225</v>
      </c>
      <c r="P417" s="2" t="s">
        <v>202</v>
      </c>
      <c r="Q417" s="2" t="s">
        <v>65</v>
      </c>
      <c r="R417" s="2" t="s">
        <v>96</v>
      </c>
      <c r="S417" s="2" t="s">
        <v>96</v>
      </c>
      <c r="T417" s="1">
        <v>9557</v>
      </c>
      <c r="U417" s="2" t="s">
        <v>51</v>
      </c>
      <c r="V417" s="1">
        <v>2627</v>
      </c>
      <c r="W417" s="1">
        <v>2107</v>
      </c>
      <c r="X417" s="2" t="s">
        <v>72</v>
      </c>
      <c r="Y417" s="2" t="s">
        <v>98</v>
      </c>
      <c r="Z417" s="2" t="s">
        <v>576</v>
      </c>
      <c r="AA417" s="2" t="s">
        <v>863</v>
      </c>
      <c r="AB417" s="1">
        <v>11043</v>
      </c>
      <c r="AC417" s="1">
        <v>6240</v>
      </c>
      <c r="AD417" s="1">
        <v>2441</v>
      </c>
      <c r="AE417" s="1">
        <v>744</v>
      </c>
      <c r="AF417" s="1">
        <v>118</v>
      </c>
      <c r="AG417" s="1">
        <v>14</v>
      </c>
      <c r="AH417" s="1">
        <v>5770</v>
      </c>
      <c r="AI417" s="1">
        <v>4686</v>
      </c>
      <c r="AJ417" s="1">
        <v>840</v>
      </c>
      <c r="AK417" s="1">
        <v>2372</v>
      </c>
      <c r="AL417" s="1">
        <v>238</v>
      </c>
      <c r="AM417" s="1">
        <v>53</v>
      </c>
      <c r="AN417" s="2" t="s">
        <v>277</v>
      </c>
    </row>
    <row r="418" spans="1:40" ht="42" x14ac:dyDescent="0.3">
      <c r="A418" s="1">
        <v>11701</v>
      </c>
      <c r="B418" s="2" t="s">
        <v>2126</v>
      </c>
      <c r="C418" s="2" t="s">
        <v>2127</v>
      </c>
      <c r="D418" s="1">
        <v>25</v>
      </c>
      <c r="E418" s="2" t="s">
        <v>708</v>
      </c>
      <c r="F418" s="50" t="s">
        <v>2128</v>
      </c>
      <c r="G418" s="2" t="s">
        <v>2129</v>
      </c>
      <c r="H418" s="1">
        <v>15351</v>
      </c>
      <c r="I418" s="1">
        <v>14425</v>
      </c>
      <c r="J418" s="2" t="s">
        <v>2000</v>
      </c>
      <c r="K418" s="2" t="s">
        <v>601</v>
      </c>
      <c r="L418" s="2" t="s">
        <v>687</v>
      </c>
      <c r="M418" s="1">
        <v>866</v>
      </c>
      <c r="N418" s="1">
        <v>23162</v>
      </c>
      <c r="O418" s="2" t="s">
        <v>322</v>
      </c>
      <c r="P418" s="2" t="s">
        <v>202</v>
      </c>
      <c r="Q418" s="2" t="s">
        <v>144</v>
      </c>
      <c r="R418" s="2" t="s">
        <v>96</v>
      </c>
      <c r="S418" s="2" t="s">
        <v>96</v>
      </c>
      <c r="T418" s="1">
        <v>10700</v>
      </c>
      <c r="U418" s="2" t="s">
        <v>51</v>
      </c>
      <c r="V418" s="1">
        <v>1826</v>
      </c>
      <c r="W418" s="1">
        <v>1667</v>
      </c>
      <c r="X418" s="2" t="s">
        <v>561</v>
      </c>
      <c r="Y418" s="2" t="s">
        <v>1570</v>
      </c>
      <c r="Z418" s="2" t="s">
        <v>2130</v>
      </c>
      <c r="AA418" s="2" t="s">
        <v>2131</v>
      </c>
      <c r="AB418" s="1">
        <v>12462</v>
      </c>
      <c r="AC418" s="1">
        <v>7087</v>
      </c>
      <c r="AD418" s="1">
        <v>2754</v>
      </c>
      <c r="AE418" s="1">
        <v>699</v>
      </c>
      <c r="AF418" s="1">
        <v>141</v>
      </c>
      <c r="AG418" s="1">
        <v>19</v>
      </c>
      <c r="AH418" s="1">
        <v>11159</v>
      </c>
      <c r="AI418" s="1">
        <v>602</v>
      </c>
      <c r="AJ418" s="1">
        <v>1002</v>
      </c>
      <c r="AK418" s="1">
        <v>2354</v>
      </c>
      <c r="AL418" s="1">
        <v>214</v>
      </c>
      <c r="AM418" s="1">
        <v>70</v>
      </c>
      <c r="AN418" s="2" t="s">
        <v>590</v>
      </c>
    </row>
    <row r="419" spans="1:40" ht="28.2" x14ac:dyDescent="0.3">
      <c r="A419" s="1">
        <v>17510</v>
      </c>
      <c r="B419" s="2" t="s">
        <v>2132</v>
      </c>
      <c r="C419" s="2" t="s">
        <v>2133</v>
      </c>
      <c r="D419" s="1">
        <v>22</v>
      </c>
      <c r="E419" s="2" t="s">
        <v>500</v>
      </c>
      <c r="F419" s="50" t="s">
        <v>1098</v>
      </c>
      <c r="G419" s="2" t="s">
        <v>2134</v>
      </c>
      <c r="H419" s="1">
        <v>7287</v>
      </c>
      <c r="I419" s="1">
        <v>7168</v>
      </c>
      <c r="J419" s="2" t="s">
        <v>722</v>
      </c>
      <c r="K419" s="2" t="s">
        <v>843</v>
      </c>
      <c r="L419" s="2" t="s">
        <v>294</v>
      </c>
      <c r="M419" s="1">
        <v>394</v>
      </c>
      <c r="N419" s="1">
        <v>10297</v>
      </c>
      <c r="O419" s="2" t="s">
        <v>646</v>
      </c>
      <c r="P419" s="2" t="s">
        <v>202</v>
      </c>
      <c r="Q419" s="2" t="s">
        <v>905</v>
      </c>
      <c r="R419" s="2" t="s">
        <v>96</v>
      </c>
      <c r="S419" s="2" t="s">
        <v>96</v>
      </c>
      <c r="T419" s="1">
        <v>4913</v>
      </c>
      <c r="U419" s="2" t="s">
        <v>51</v>
      </c>
      <c r="V419" s="1">
        <v>1143</v>
      </c>
      <c r="W419" s="1">
        <v>1112</v>
      </c>
      <c r="X419" s="2" t="s">
        <v>412</v>
      </c>
      <c r="Y419" s="2" t="s">
        <v>407</v>
      </c>
      <c r="Z419" s="2" t="s">
        <v>2135</v>
      </c>
      <c r="AA419" s="2" t="s">
        <v>568</v>
      </c>
      <c r="AB419" s="1">
        <v>5384</v>
      </c>
      <c r="AC419" s="1">
        <v>3095</v>
      </c>
      <c r="AD419" s="1">
        <v>1341</v>
      </c>
      <c r="AE419" s="1">
        <v>403</v>
      </c>
      <c r="AF419" s="1">
        <v>69</v>
      </c>
      <c r="AG419" s="1">
        <v>5</v>
      </c>
      <c r="AH419" s="1">
        <v>5234</v>
      </c>
      <c r="AI419" s="1">
        <v>160</v>
      </c>
      <c r="AJ419" s="1">
        <v>527</v>
      </c>
      <c r="AK419" s="1">
        <v>1185</v>
      </c>
      <c r="AL419" s="1">
        <v>63</v>
      </c>
      <c r="AM419" s="1">
        <v>146</v>
      </c>
      <c r="AN419" s="2" t="s">
        <v>464</v>
      </c>
    </row>
    <row r="420" spans="1:40" ht="28.2" x14ac:dyDescent="0.3">
      <c r="A420" s="1">
        <v>7</v>
      </c>
      <c r="B420" s="2" t="s">
        <v>2136</v>
      </c>
      <c r="C420" s="2" t="s">
        <v>2137</v>
      </c>
      <c r="D420" s="1">
        <v>33</v>
      </c>
      <c r="E420" s="2" t="s">
        <v>196</v>
      </c>
      <c r="F420" s="50" t="s">
        <v>3514</v>
      </c>
      <c r="G420" s="2" t="s">
        <v>2138</v>
      </c>
      <c r="H420" s="1">
        <v>16356</v>
      </c>
      <c r="I420" s="1">
        <v>15609</v>
      </c>
      <c r="J420" s="2" t="s">
        <v>2139</v>
      </c>
      <c r="K420" s="2" t="s">
        <v>2140</v>
      </c>
      <c r="L420" s="2" t="s">
        <v>63</v>
      </c>
      <c r="M420" s="1">
        <v>938</v>
      </c>
      <c r="N420" s="1">
        <v>24254</v>
      </c>
      <c r="O420" s="2" t="s">
        <v>225</v>
      </c>
      <c r="P420" s="2" t="s">
        <v>67</v>
      </c>
      <c r="Q420" s="2" t="s">
        <v>65</v>
      </c>
      <c r="R420" s="2" t="s">
        <v>96</v>
      </c>
      <c r="S420" s="2" t="s">
        <v>66</v>
      </c>
      <c r="T420" s="1">
        <v>11183</v>
      </c>
      <c r="U420" s="2" t="s">
        <v>51</v>
      </c>
      <c r="V420" s="1">
        <v>2869</v>
      </c>
      <c r="W420" s="1">
        <v>2320</v>
      </c>
      <c r="X420" s="2" t="s">
        <v>69</v>
      </c>
      <c r="Y420" s="2" t="s">
        <v>561</v>
      </c>
      <c r="Z420" s="2" t="s">
        <v>1538</v>
      </c>
      <c r="AA420" s="2" t="s">
        <v>665</v>
      </c>
      <c r="AB420" s="1">
        <v>13071</v>
      </c>
      <c r="AC420" s="1">
        <v>7197</v>
      </c>
      <c r="AD420" s="1">
        <v>2987</v>
      </c>
      <c r="AE420" s="1">
        <v>852</v>
      </c>
      <c r="AF420" s="1">
        <v>139</v>
      </c>
      <c r="AG420" s="1">
        <v>8</v>
      </c>
      <c r="AH420" s="1">
        <v>3259</v>
      </c>
      <c r="AI420" s="1">
        <v>9150</v>
      </c>
      <c r="AJ420" s="1">
        <v>659</v>
      </c>
      <c r="AK420" s="1">
        <v>3027</v>
      </c>
      <c r="AL420" s="1">
        <v>242</v>
      </c>
      <c r="AM420" s="1">
        <v>29</v>
      </c>
      <c r="AN420" s="2" t="s">
        <v>255</v>
      </c>
    </row>
    <row r="421" spans="1:40" ht="28.2" x14ac:dyDescent="0.3">
      <c r="A421" s="1">
        <v>15096</v>
      </c>
      <c r="B421" s="2" t="s">
        <v>2141</v>
      </c>
      <c r="C421" s="2" t="s">
        <v>2142</v>
      </c>
      <c r="D421" s="1">
        <v>22</v>
      </c>
      <c r="E421" s="2" t="s">
        <v>545</v>
      </c>
      <c r="F421" s="50" t="s">
        <v>878</v>
      </c>
      <c r="G421" s="2" t="s">
        <v>2143</v>
      </c>
      <c r="H421" s="1">
        <v>9112</v>
      </c>
      <c r="I421" s="1">
        <v>8874</v>
      </c>
      <c r="J421" s="2" t="s">
        <v>2144</v>
      </c>
      <c r="K421" s="2" t="s">
        <v>1499</v>
      </c>
      <c r="L421" s="2" t="s">
        <v>122</v>
      </c>
      <c r="M421" s="1">
        <v>490</v>
      </c>
      <c r="N421" s="1">
        <v>13084</v>
      </c>
      <c r="O421" s="2" t="s">
        <v>905</v>
      </c>
      <c r="P421" s="2" t="s">
        <v>67</v>
      </c>
      <c r="Q421" s="2" t="s">
        <v>167</v>
      </c>
      <c r="R421" s="2" t="s">
        <v>50</v>
      </c>
      <c r="S421" s="2" t="s">
        <v>67</v>
      </c>
      <c r="T421" s="1">
        <v>6202</v>
      </c>
      <c r="U421" s="2" t="s">
        <v>51</v>
      </c>
      <c r="V421" s="1">
        <v>1228</v>
      </c>
      <c r="W421" s="1">
        <v>1295</v>
      </c>
      <c r="X421" s="2" t="s">
        <v>820</v>
      </c>
      <c r="Y421" s="2" t="s">
        <v>503</v>
      </c>
      <c r="Z421" s="2" t="s">
        <v>278</v>
      </c>
      <c r="AA421" s="2" t="s">
        <v>888</v>
      </c>
      <c r="AB421" s="1">
        <v>6882</v>
      </c>
      <c r="AC421" s="1">
        <v>3973</v>
      </c>
      <c r="AD421" s="1">
        <v>1645</v>
      </c>
      <c r="AE421" s="1">
        <v>495</v>
      </c>
      <c r="AF421" s="1">
        <v>81</v>
      </c>
      <c r="AG421" s="1">
        <v>8</v>
      </c>
      <c r="AH421" s="1">
        <v>6985</v>
      </c>
      <c r="AI421" s="1">
        <v>141</v>
      </c>
      <c r="AJ421" s="1">
        <v>339</v>
      </c>
      <c r="AK421" s="1">
        <v>1592</v>
      </c>
      <c r="AL421" s="1">
        <v>68</v>
      </c>
      <c r="AM421" s="1">
        <v>15</v>
      </c>
      <c r="AN421" s="2" t="s">
        <v>407</v>
      </c>
    </row>
    <row r="422" spans="1:40" ht="28.2" x14ac:dyDescent="0.3">
      <c r="A422" s="1">
        <v>11064</v>
      </c>
      <c r="B422" s="2" t="s">
        <v>2145</v>
      </c>
      <c r="C422" s="2" t="s">
        <v>2146</v>
      </c>
      <c r="D422" s="1">
        <v>26</v>
      </c>
      <c r="E422" s="2" t="s">
        <v>459</v>
      </c>
      <c r="F422" s="50" t="s">
        <v>3514</v>
      </c>
      <c r="G422" s="2" t="s">
        <v>2147</v>
      </c>
      <c r="H422" s="1">
        <v>12753</v>
      </c>
      <c r="I422" s="1">
        <v>12761</v>
      </c>
      <c r="J422" s="2" t="s">
        <v>1516</v>
      </c>
      <c r="K422" s="2" t="s">
        <v>892</v>
      </c>
      <c r="L422" s="2" t="s">
        <v>462</v>
      </c>
      <c r="M422" s="1">
        <v>690</v>
      </c>
      <c r="N422" s="1">
        <v>17971</v>
      </c>
      <c r="O422" s="2" t="s">
        <v>646</v>
      </c>
      <c r="P422" s="2" t="s">
        <v>553</v>
      </c>
      <c r="Q422" s="2" t="s">
        <v>646</v>
      </c>
      <c r="R422" s="2" t="s">
        <v>50</v>
      </c>
      <c r="S422" s="2" t="s">
        <v>96</v>
      </c>
      <c r="T422" s="1">
        <v>8488</v>
      </c>
      <c r="U422" s="2" t="s">
        <v>51</v>
      </c>
      <c r="V422" s="1">
        <v>2103</v>
      </c>
      <c r="W422" s="1">
        <v>2238</v>
      </c>
      <c r="X422" s="2" t="s">
        <v>1570</v>
      </c>
      <c r="Y422" s="2" t="s">
        <v>407</v>
      </c>
      <c r="Z422" s="2" t="s">
        <v>887</v>
      </c>
      <c r="AA422" s="2" t="s">
        <v>126</v>
      </c>
      <c r="AB422" s="1">
        <v>9483</v>
      </c>
      <c r="AC422" s="1">
        <v>5304</v>
      </c>
      <c r="AD422" s="1">
        <v>2280</v>
      </c>
      <c r="AE422" s="1">
        <v>742</v>
      </c>
      <c r="AF422" s="1">
        <v>147</v>
      </c>
      <c r="AG422" s="1">
        <v>15</v>
      </c>
      <c r="AH422" s="1">
        <v>9181</v>
      </c>
      <c r="AI422" s="1">
        <v>264</v>
      </c>
      <c r="AJ422" s="1">
        <v>1124</v>
      </c>
      <c r="AK422" s="1">
        <v>2054</v>
      </c>
      <c r="AL422" s="1">
        <v>120</v>
      </c>
      <c r="AM422" s="1">
        <v>30</v>
      </c>
      <c r="AN422" s="2" t="s">
        <v>277</v>
      </c>
    </row>
    <row r="423" spans="1:40" ht="28.2" x14ac:dyDescent="0.3">
      <c r="A423" s="1">
        <v>10186</v>
      </c>
      <c r="B423" s="2" t="s">
        <v>2148</v>
      </c>
      <c r="C423" s="2" t="s">
        <v>2149</v>
      </c>
      <c r="D423" s="1">
        <v>23</v>
      </c>
      <c r="E423" s="2" t="s">
        <v>209</v>
      </c>
      <c r="F423" s="50" t="s">
        <v>2150</v>
      </c>
      <c r="G423" s="2" t="s">
        <v>2151</v>
      </c>
      <c r="H423" s="1">
        <v>8333</v>
      </c>
      <c r="I423" s="1">
        <v>8231</v>
      </c>
      <c r="J423" s="2" t="s">
        <v>301</v>
      </c>
      <c r="K423" s="2">
        <v>78</v>
      </c>
      <c r="L423" s="2" t="s">
        <v>179</v>
      </c>
      <c r="M423" s="1">
        <v>462</v>
      </c>
      <c r="N423" s="1">
        <v>11695</v>
      </c>
      <c r="O423" s="2" t="s">
        <v>646</v>
      </c>
      <c r="P423" s="2" t="s">
        <v>235</v>
      </c>
      <c r="Q423" s="2" t="s">
        <v>905</v>
      </c>
      <c r="R423" s="2" t="s">
        <v>96</v>
      </c>
      <c r="S423" s="2" t="s">
        <v>96</v>
      </c>
      <c r="T423" s="1">
        <v>5627</v>
      </c>
      <c r="U423" s="2" t="s">
        <v>51</v>
      </c>
      <c r="V423" s="1">
        <v>1358</v>
      </c>
      <c r="W423" s="1">
        <v>1270</v>
      </c>
      <c r="X423" s="2" t="s">
        <v>464</v>
      </c>
      <c r="Y423" s="2" t="s">
        <v>464</v>
      </c>
      <c r="Z423" s="2" t="s">
        <v>728</v>
      </c>
      <c r="AA423" s="2" t="s">
        <v>305</v>
      </c>
      <c r="AB423" s="1">
        <v>6068</v>
      </c>
      <c r="AC423" s="1">
        <v>3556</v>
      </c>
      <c r="AD423" s="1">
        <v>1536</v>
      </c>
      <c r="AE423" s="1">
        <v>444</v>
      </c>
      <c r="AF423" s="1">
        <v>82</v>
      </c>
      <c r="AG423" s="1">
        <v>9</v>
      </c>
      <c r="AH423" s="1">
        <v>5189</v>
      </c>
      <c r="AI423" s="1">
        <v>1087</v>
      </c>
      <c r="AJ423" s="1">
        <v>533</v>
      </c>
      <c r="AK423" s="1">
        <v>1437</v>
      </c>
      <c r="AL423" s="1">
        <v>71</v>
      </c>
      <c r="AM423" s="1">
        <v>33</v>
      </c>
      <c r="AN423" s="2" t="s">
        <v>255</v>
      </c>
    </row>
    <row r="424" spans="1:40" ht="28.2" x14ac:dyDescent="0.3">
      <c r="A424" s="1">
        <v>2007</v>
      </c>
      <c r="B424" s="2" t="s">
        <v>2152</v>
      </c>
      <c r="C424" s="2" t="s">
        <v>2153</v>
      </c>
      <c r="D424" s="1">
        <v>34</v>
      </c>
      <c r="E424" s="2" t="s">
        <v>299</v>
      </c>
      <c r="F424" s="50" t="s">
        <v>151</v>
      </c>
      <c r="G424" s="2" t="s">
        <v>2154</v>
      </c>
      <c r="H424" s="1">
        <v>16627</v>
      </c>
      <c r="I424" s="1">
        <v>16413</v>
      </c>
      <c r="J424" s="2" t="s">
        <v>959</v>
      </c>
      <c r="K424" s="2" t="s">
        <v>1183</v>
      </c>
      <c r="L424" s="2" t="s">
        <v>575</v>
      </c>
      <c r="M424" s="1">
        <v>931</v>
      </c>
      <c r="N424" s="1">
        <v>23802</v>
      </c>
      <c r="O424" s="2" t="s">
        <v>905</v>
      </c>
      <c r="P424" s="2" t="s">
        <v>166</v>
      </c>
      <c r="Q424" s="2" t="s">
        <v>463</v>
      </c>
      <c r="R424" s="2" t="s">
        <v>50</v>
      </c>
      <c r="S424" s="2" t="s">
        <v>96</v>
      </c>
      <c r="T424" s="1">
        <v>11195</v>
      </c>
      <c r="U424" s="2" t="s">
        <v>51</v>
      </c>
      <c r="V424" s="1">
        <v>2524</v>
      </c>
      <c r="W424" s="1">
        <v>2631</v>
      </c>
      <c r="X424" s="2" t="s">
        <v>472</v>
      </c>
      <c r="Y424" s="2" t="s">
        <v>255</v>
      </c>
      <c r="Z424" s="2" t="s">
        <v>795</v>
      </c>
      <c r="AA424" s="2" t="s">
        <v>577</v>
      </c>
      <c r="AB424" s="1">
        <v>12607</v>
      </c>
      <c r="AC424" s="1">
        <v>7101</v>
      </c>
      <c r="AD424" s="1">
        <v>2981</v>
      </c>
      <c r="AE424" s="1">
        <v>908</v>
      </c>
      <c r="AF424" s="1">
        <v>185</v>
      </c>
      <c r="AG424" s="1">
        <v>20</v>
      </c>
      <c r="AH424" s="1">
        <v>11712</v>
      </c>
      <c r="AI424" s="1">
        <v>578</v>
      </c>
      <c r="AJ424" s="1">
        <v>1109</v>
      </c>
      <c r="AK424" s="1">
        <v>2834</v>
      </c>
      <c r="AL424" s="1">
        <v>306</v>
      </c>
      <c r="AM424" s="1">
        <v>60</v>
      </c>
      <c r="AN424" s="2" t="s">
        <v>255</v>
      </c>
    </row>
    <row r="425" spans="1:40" ht="28.2" x14ac:dyDescent="0.3">
      <c r="A425" s="1">
        <v>8242</v>
      </c>
      <c r="B425" s="2" t="s">
        <v>2155</v>
      </c>
      <c r="C425" s="2" t="s">
        <v>2156</v>
      </c>
      <c r="D425" s="1">
        <v>27</v>
      </c>
      <c r="E425" s="2" t="s">
        <v>327</v>
      </c>
      <c r="F425" s="50" t="s">
        <v>3514</v>
      </c>
      <c r="G425" s="2" t="s">
        <v>2157</v>
      </c>
      <c r="H425" s="1">
        <v>28133</v>
      </c>
      <c r="I425" s="1">
        <v>27400</v>
      </c>
      <c r="J425" s="2" t="s">
        <v>818</v>
      </c>
      <c r="K425" s="2">
        <v>74</v>
      </c>
      <c r="L425" s="2" t="s">
        <v>275</v>
      </c>
      <c r="M425" s="1">
        <v>1520</v>
      </c>
      <c r="N425" s="1">
        <v>40860</v>
      </c>
      <c r="O425" s="2" t="s">
        <v>463</v>
      </c>
      <c r="P425" s="2" t="s">
        <v>48</v>
      </c>
      <c r="Q425" s="2" t="s">
        <v>225</v>
      </c>
      <c r="R425" s="2" t="s">
        <v>50</v>
      </c>
      <c r="S425" s="2" t="s">
        <v>67</v>
      </c>
      <c r="T425" s="1">
        <v>19130</v>
      </c>
      <c r="U425" s="2" t="s">
        <v>51</v>
      </c>
      <c r="V425" s="1">
        <v>3423</v>
      </c>
      <c r="W425" s="1">
        <v>3498</v>
      </c>
      <c r="X425" s="2" t="s">
        <v>245</v>
      </c>
      <c r="Y425" s="2" t="s">
        <v>1570</v>
      </c>
      <c r="Z425" s="2" t="s">
        <v>391</v>
      </c>
      <c r="AA425" s="2" t="s">
        <v>978</v>
      </c>
      <c r="AB425" s="1">
        <v>21730</v>
      </c>
      <c r="AC425" s="1">
        <v>12288</v>
      </c>
      <c r="AD425" s="1">
        <v>5021</v>
      </c>
      <c r="AE425" s="1">
        <v>1512</v>
      </c>
      <c r="AF425" s="1">
        <v>278</v>
      </c>
      <c r="AG425" s="1">
        <v>31</v>
      </c>
      <c r="AH425" s="1">
        <v>21543</v>
      </c>
      <c r="AI425" s="1">
        <v>142</v>
      </c>
      <c r="AJ425" s="1">
        <v>1295</v>
      </c>
      <c r="AK425" s="1">
        <v>4887</v>
      </c>
      <c r="AL425" s="1">
        <v>261</v>
      </c>
      <c r="AM425" s="1">
        <v>82</v>
      </c>
      <c r="AN425" s="2" t="s">
        <v>255</v>
      </c>
    </row>
    <row r="426" spans="1:40" x14ac:dyDescent="0.3">
      <c r="A426" s="1">
        <v>16820</v>
      </c>
      <c r="B426" s="2" t="s">
        <v>2158</v>
      </c>
      <c r="C426" s="2" t="s">
        <v>2159</v>
      </c>
      <c r="D426" s="1">
        <v>19</v>
      </c>
      <c r="E426" s="2" t="s">
        <v>327</v>
      </c>
      <c r="F426" s="50" t="s">
        <v>328</v>
      </c>
      <c r="G426" s="2" t="s">
        <v>1991</v>
      </c>
      <c r="H426" s="1">
        <v>9756</v>
      </c>
      <c r="I426" s="1">
        <v>9698</v>
      </c>
      <c r="J426" s="2" t="s">
        <v>1208</v>
      </c>
      <c r="K426" s="2" t="s">
        <v>515</v>
      </c>
      <c r="L426" s="2" t="s">
        <v>164</v>
      </c>
      <c r="M426" s="1">
        <v>518</v>
      </c>
      <c r="N426" s="1">
        <v>13917</v>
      </c>
      <c r="O426" s="2" t="s">
        <v>905</v>
      </c>
      <c r="P426" s="2" t="s">
        <v>202</v>
      </c>
      <c r="Q426" s="2" t="s">
        <v>905</v>
      </c>
      <c r="R426" s="2" t="s">
        <v>50</v>
      </c>
      <c r="S426" s="2" t="s">
        <v>96</v>
      </c>
      <c r="T426" s="1">
        <v>6526</v>
      </c>
      <c r="U426" s="2" t="s">
        <v>51</v>
      </c>
      <c r="V426" s="1">
        <v>1617</v>
      </c>
      <c r="W426" s="1">
        <v>1679</v>
      </c>
      <c r="X426" s="2" t="s">
        <v>472</v>
      </c>
      <c r="Y426" s="2" t="s">
        <v>304</v>
      </c>
      <c r="Z426" s="2" t="s">
        <v>443</v>
      </c>
      <c r="AA426" s="2" t="s">
        <v>376</v>
      </c>
      <c r="AB426" s="1">
        <v>7391</v>
      </c>
      <c r="AC426" s="1">
        <v>4098</v>
      </c>
      <c r="AD426" s="1">
        <v>1769</v>
      </c>
      <c r="AE426" s="1">
        <v>532</v>
      </c>
      <c r="AF426" s="1">
        <v>111</v>
      </c>
      <c r="AG426" s="1">
        <v>16</v>
      </c>
      <c r="AH426" s="1">
        <v>7548</v>
      </c>
      <c r="AI426" s="1">
        <v>104</v>
      </c>
      <c r="AJ426" s="1">
        <v>392</v>
      </c>
      <c r="AK426" s="1">
        <v>1613</v>
      </c>
      <c r="AL426" s="1">
        <v>93</v>
      </c>
      <c r="AM426" s="1">
        <v>50</v>
      </c>
      <c r="AN426" s="2" t="s">
        <v>590</v>
      </c>
    </row>
    <row r="427" spans="1:40" x14ac:dyDescent="0.3">
      <c r="A427" s="1">
        <v>8797</v>
      </c>
      <c r="B427" s="2" t="s">
        <v>2160</v>
      </c>
      <c r="C427" s="2" t="s">
        <v>2161</v>
      </c>
      <c r="D427" s="1">
        <v>24</v>
      </c>
      <c r="E427" s="2" t="s">
        <v>459</v>
      </c>
      <c r="F427" s="50" t="s">
        <v>3514</v>
      </c>
      <c r="G427" s="2" t="s">
        <v>2162</v>
      </c>
      <c r="H427" s="1">
        <v>27664</v>
      </c>
      <c r="I427" s="1">
        <v>27288</v>
      </c>
      <c r="J427" s="2" t="s">
        <v>252</v>
      </c>
      <c r="K427" s="2" t="s">
        <v>639</v>
      </c>
      <c r="L427" s="2" t="s">
        <v>244</v>
      </c>
      <c r="M427" s="1">
        <v>1525</v>
      </c>
      <c r="N427" s="1">
        <v>39802</v>
      </c>
      <c r="O427" s="2" t="s">
        <v>905</v>
      </c>
      <c r="P427" s="2" t="s">
        <v>235</v>
      </c>
      <c r="Q427" s="2" t="s">
        <v>463</v>
      </c>
      <c r="R427" s="2" t="s">
        <v>50</v>
      </c>
      <c r="S427" s="2" t="s">
        <v>66</v>
      </c>
      <c r="T427" s="1">
        <v>18614</v>
      </c>
      <c r="U427" s="2" t="s">
        <v>51</v>
      </c>
      <c r="V427" s="1">
        <v>5206</v>
      </c>
      <c r="W427" s="1">
        <v>5272</v>
      </c>
      <c r="X427" s="2" t="s">
        <v>285</v>
      </c>
      <c r="Y427" s="2" t="s">
        <v>561</v>
      </c>
      <c r="Z427" s="2" t="s">
        <v>286</v>
      </c>
      <c r="AA427" s="2" t="s">
        <v>863</v>
      </c>
      <c r="AB427" s="1">
        <v>21188</v>
      </c>
      <c r="AC427" s="1">
        <v>11785</v>
      </c>
      <c r="AD427" s="1">
        <v>5005</v>
      </c>
      <c r="AE427" s="1">
        <v>1451</v>
      </c>
      <c r="AF427" s="1">
        <v>349</v>
      </c>
      <c r="AG427" s="1">
        <v>24</v>
      </c>
      <c r="AH427" s="1">
        <v>16840</v>
      </c>
      <c r="AI427" s="1">
        <v>3643</v>
      </c>
      <c r="AJ427" s="1">
        <v>1891</v>
      </c>
      <c r="AK427" s="1">
        <v>4802</v>
      </c>
      <c r="AL427" s="1">
        <v>345</v>
      </c>
      <c r="AM427" s="1">
        <v>196</v>
      </c>
      <c r="AN427" s="2" t="s">
        <v>255</v>
      </c>
    </row>
    <row r="428" spans="1:40" x14ac:dyDescent="0.3">
      <c r="A428" s="1">
        <v>9410</v>
      </c>
      <c r="B428" s="2" t="s">
        <v>2163</v>
      </c>
      <c r="C428" s="2" t="s">
        <v>2164</v>
      </c>
      <c r="D428" s="1">
        <v>28</v>
      </c>
      <c r="E428" s="2" t="s">
        <v>841</v>
      </c>
      <c r="F428" s="50" t="s">
        <v>3514</v>
      </c>
      <c r="G428" s="2" t="s">
        <v>2165</v>
      </c>
      <c r="H428" s="1">
        <v>16112</v>
      </c>
      <c r="I428" s="1">
        <v>15955</v>
      </c>
      <c r="J428" s="2" t="s">
        <v>2166</v>
      </c>
      <c r="K428" s="2" t="s">
        <v>723</v>
      </c>
      <c r="L428" s="2" t="s">
        <v>331</v>
      </c>
      <c r="M428" s="1">
        <v>855</v>
      </c>
      <c r="N428" s="1">
        <v>22891</v>
      </c>
      <c r="O428" s="2" t="s">
        <v>905</v>
      </c>
      <c r="P428" s="2" t="s">
        <v>48</v>
      </c>
      <c r="Q428" s="2" t="s">
        <v>905</v>
      </c>
      <c r="R428" s="2" t="s">
        <v>96</v>
      </c>
      <c r="S428" s="2" t="s">
        <v>96</v>
      </c>
      <c r="T428" s="1">
        <v>10860</v>
      </c>
      <c r="U428" s="2" t="s">
        <v>51</v>
      </c>
      <c r="V428" s="1">
        <v>2554</v>
      </c>
      <c r="W428" s="1">
        <v>2734</v>
      </c>
      <c r="X428" s="2" t="s">
        <v>950</v>
      </c>
      <c r="Y428" s="2" t="s">
        <v>412</v>
      </c>
      <c r="Z428" s="2" t="s">
        <v>2167</v>
      </c>
      <c r="AA428" s="2" t="s">
        <v>436</v>
      </c>
      <c r="AB428" s="1">
        <v>12031</v>
      </c>
      <c r="AC428" s="1">
        <v>6917</v>
      </c>
      <c r="AD428" s="1">
        <v>2851</v>
      </c>
      <c r="AE428" s="1">
        <v>892</v>
      </c>
      <c r="AF428" s="1">
        <v>183</v>
      </c>
      <c r="AG428" s="1">
        <v>17</v>
      </c>
      <c r="AH428" s="1">
        <v>10221</v>
      </c>
      <c r="AI428" s="1">
        <v>2073</v>
      </c>
      <c r="AJ428" s="1">
        <v>816</v>
      </c>
      <c r="AK428" s="1">
        <v>2795</v>
      </c>
      <c r="AL428" s="1">
        <v>152</v>
      </c>
      <c r="AM428" s="1">
        <v>100</v>
      </c>
      <c r="AN428" s="2" t="s">
        <v>255</v>
      </c>
    </row>
    <row r="429" spans="1:40" x14ac:dyDescent="0.3">
      <c r="A429" s="1">
        <v>11538</v>
      </c>
      <c r="B429" s="2" t="s">
        <v>2168</v>
      </c>
      <c r="C429" s="2" t="s">
        <v>2169</v>
      </c>
      <c r="D429" s="1">
        <v>25</v>
      </c>
      <c r="E429" s="2" t="s">
        <v>299</v>
      </c>
      <c r="F429" s="50" t="s">
        <v>3514</v>
      </c>
      <c r="G429" s="2" t="s">
        <v>2170</v>
      </c>
      <c r="H429" s="1">
        <v>7054</v>
      </c>
      <c r="I429" s="1">
        <v>6771</v>
      </c>
      <c r="J429" s="2" t="s">
        <v>1769</v>
      </c>
      <c r="K429" s="2" t="s">
        <v>2171</v>
      </c>
      <c r="L429" s="2" t="s">
        <v>331</v>
      </c>
      <c r="M429" s="1">
        <v>400</v>
      </c>
      <c r="N429" s="1">
        <v>10511</v>
      </c>
      <c r="O429" s="2" t="s">
        <v>225</v>
      </c>
      <c r="P429" s="2" t="s">
        <v>48</v>
      </c>
      <c r="Q429" s="2" t="s">
        <v>65</v>
      </c>
      <c r="R429" s="2" t="s">
        <v>50</v>
      </c>
      <c r="S429" s="2" t="s">
        <v>202</v>
      </c>
      <c r="T429" s="1">
        <v>4838</v>
      </c>
      <c r="U429" s="2" t="s">
        <v>51</v>
      </c>
      <c r="V429" s="1">
        <v>681</v>
      </c>
      <c r="W429" s="1">
        <v>652</v>
      </c>
      <c r="X429" s="2" t="s">
        <v>407</v>
      </c>
      <c r="Y429" s="2" t="s">
        <v>1551</v>
      </c>
      <c r="Z429" s="2" t="s">
        <v>1571</v>
      </c>
      <c r="AA429" s="2" t="s">
        <v>2172</v>
      </c>
      <c r="AB429" s="1">
        <v>5673</v>
      </c>
      <c r="AC429" s="1">
        <v>3145</v>
      </c>
      <c r="AD429" s="1">
        <v>1253</v>
      </c>
      <c r="AE429" s="1">
        <v>365</v>
      </c>
      <c r="AF429" s="1">
        <v>67</v>
      </c>
      <c r="AG429" s="1">
        <v>8</v>
      </c>
      <c r="AH429" s="1">
        <v>5151</v>
      </c>
      <c r="AI429" s="1">
        <v>25</v>
      </c>
      <c r="AJ429" s="1">
        <v>343</v>
      </c>
      <c r="AK429" s="1">
        <v>1454</v>
      </c>
      <c r="AL429" s="1">
        <v>87</v>
      </c>
      <c r="AM429" s="1">
        <v>11</v>
      </c>
      <c r="AN429" s="2" t="s">
        <v>407</v>
      </c>
    </row>
    <row r="430" spans="1:40" x14ac:dyDescent="0.3">
      <c r="A430" s="1">
        <v>7982</v>
      </c>
      <c r="B430" s="2" t="s">
        <v>2173</v>
      </c>
      <c r="C430" s="2" t="s">
        <v>2174</v>
      </c>
      <c r="D430" s="1">
        <v>27</v>
      </c>
      <c r="E430" s="2" t="s">
        <v>792</v>
      </c>
      <c r="F430" s="50" t="s">
        <v>2175</v>
      </c>
      <c r="G430" s="2" t="s">
        <v>2176</v>
      </c>
      <c r="H430" s="1">
        <v>15196</v>
      </c>
      <c r="I430" s="1">
        <v>14676</v>
      </c>
      <c r="J430" s="2" t="s">
        <v>340</v>
      </c>
      <c r="K430" s="2" t="s">
        <v>2177</v>
      </c>
      <c r="L430" s="2" t="s">
        <v>487</v>
      </c>
      <c r="M430" s="1">
        <v>850</v>
      </c>
      <c r="N430" s="1">
        <v>22377</v>
      </c>
      <c r="O430" s="2" t="s">
        <v>167</v>
      </c>
      <c r="P430" s="2" t="s">
        <v>50</v>
      </c>
      <c r="Q430" s="2" t="s">
        <v>322</v>
      </c>
      <c r="R430" s="2" t="s">
        <v>96</v>
      </c>
      <c r="S430" s="2" t="s">
        <v>50</v>
      </c>
      <c r="T430" s="1">
        <v>10426</v>
      </c>
      <c r="U430" s="2" t="s">
        <v>51</v>
      </c>
      <c r="V430" s="1">
        <v>2480</v>
      </c>
      <c r="W430" s="1">
        <v>1873</v>
      </c>
      <c r="X430" s="2" t="s">
        <v>56</v>
      </c>
      <c r="Y430" s="2" t="s">
        <v>277</v>
      </c>
      <c r="Z430" s="2" t="s">
        <v>383</v>
      </c>
      <c r="AA430" s="2" t="s">
        <v>882</v>
      </c>
      <c r="AB430" s="1">
        <v>11951</v>
      </c>
      <c r="AC430" s="1">
        <v>6828</v>
      </c>
      <c r="AD430" s="1">
        <v>2622</v>
      </c>
      <c r="AE430" s="1">
        <v>802</v>
      </c>
      <c r="AF430" s="1">
        <v>159</v>
      </c>
      <c r="AG430" s="1">
        <v>15</v>
      </c>
      <c r="AH430" s="1">
        <v>3874</v>
      </c>
      <c r="AI430" s="1">
        <v>7273</v>
      </c>
      <c r="AJ430" s="1">
        <v>641</v>
      </c>
      <c r="AK430" s="1">
        <v>3230</v>
      </c>
      <c r="AL430" s="1">
        <v>135</v>
      </c>
      <c r="AM430" s="1">
        <v>65</v>
      </c>
      <c r="AN430" s="2" t="s">
        <v>255</v>
      </c>
    </row>
    <row r="431" spans="1:40" x14ac:dyDescent="0.3">
      <c r="A431" s="1">
        <v>12876</v>
      </c>
      <c r="B431" s="2" t="s">
        <v>2178</v>
      </c>
      <c r="C431" s="2" t="s">
        <v>2179</v>
      </c>
      <c r="D431" s="1">
        <v>25</v>
      </c>
      <c r="E431" s="2" t="s">
        <v>299</v>
      </c>
      <c r="F431" s="50" t="s">
        <v>3514</v>
      </c>
      <c r="G431" s="2" t="s">
        <v>2180</v>
      </c>
      <c r="H431" s="1">
        <v>10534</v>
      </c>
      <c r="I431" s="1">
        <v>10188</v>
      </c>
      <c r="J431" s="2" t="s">
        <v>954</v>
      </c>
      <c r="K431" s="2" t="s">
        <v>601</v>
      </c>
      <c r="L431" s="2" t="s">
        <v>1170</v>
      </c>
      <c r="M431" s="1">
        <v>624</v>
      </c>
      <c r="N431" s="1">
        <v>15708</v>
      </c>
      <c r="O431" s="2" t="s">
        <v>225</v>
      </c>
      <c r="P431" s="2" t="s">
        <v>166</v>
      </c>
      <c r="Q431" s="2" t="s">
        <v>276</v>
      </c>
      <c r="R431" s="2" t="s">
        <v>67</v>
      </c>
      <c r="S431" s="2" t="s">
        <v>96</v>
      </c>
      <c r="T431" s="1">
        <v>7147</v>
      </c>
      <c r="U431" s="2" t="s">
        <v>51</v>
      </c>
      <c r="V431" s="1">
        <v>1567</v>
      </c>
      <c r="W431" s="1">
        <v>1606</v>
      </c>
      <c r="X431" s="2" t="s">
        <v>245</v>
      </c>
      <c r="Y431" s="2">
        <v>1</v>
      </c>
      <c r="Z431" s="2" t="s">
        <v>777</v>
      </c>
      <c r="AA431" s="2" t="s">
        <v>1379</v>
      </c>
      <c r="AB431" s="1">
        <v>8561</v>
      </c>
      <c r="AC431" s="1">
        <v>4551</v>
      </c>
      <c r="AD431" s="1">
        <v>1932</v>
      </c>
      <c r="AE431" s="1">
        <v>546</v>
      </c>
      <c r="AF431" s="1">
        <v>109</v>
      </c>
      <c r="AG431" s="1">
        <v>9</v>
      </c>
      <c r="AH431" s="1">
        <v>7484</v>
      </c>
      <c r="AI431" s="1">
        <v>49</v>
      </c>
      <c r="AJ431" s="1">
        <v>931</v>
      </c>
      <c r="AK431" s="1">
        <v>1899</v>
      </c>
      <c r="AL431" s="1">
        <v>164</v>
      </c>
      <c r="AM431" s="1">
        <v>16</v>
      </c>
      <c r="AN431" s="2" t="s">
        <v>277</v>
      </c>
    </row>
    <row r="432" spans="1:40" x14ac:dyDescent="0.3">
      <c r="A432" s="1">
        <v>8786</v>
      </c>
      <c r="B432" s="2" t="s">
        <v>2181</v>
      </c>
      <c r="C432" s="2" t="s">
        <v>2182</v>
      </c>
      <c r="D432" s="1">
        <v>28</v>
      </c>
      <c r="E432" s="2" t="s">
        <v>59</v>
      </c>
      <c r="F432" s="50" t="s">
        <v>2183</v>
      </c>
      <c r="G432" s="2" t="s">
        <v>2184</v>
      </c>
      <c r="H432" s="1">
        <v>16101</v>
      </c>
      <c r="I432" s="1">
        <v>15547</v>
      </c>
      <c r="J432" s="2" t="s">
        <v>943</v>
      </c>
      <c r="K432" s="2" t="s">
        <v>1550</v>
      </c>
      <c r="L432" s="2" t="s">
        <v>541</v>
      </c>
      <c r="M432" s="1">
        <v>892</v>
      </c>
      <c r="N432" s="1">
        <v>23804</v>
      </c>
      <c r="O432" s="2" t="s">
        <v>167</v>
      </c>
      <c r="P432" s="2" t="s">
        <v>67</v>
      </c>
      <c r="Q432" s="2" t="s">
        <v>276</v>
      </c>
      <c r="R432" s="2" t="s">
        <v>66</v>
      </c>
      <c r="S432" s="2" t="s">
        <v>135</v>
      </c>
      <c r="T432" s="1">
        <v>11015</v>
      </c>
      <c r="U432" s="2" t="s">
        <v>51</v>
      </c>
      <c r="V432" s="1">
        <v>2992</v>
      </c>
      <c r="W432" s="1">
        <v>2625</v>
      </c>
      <c r="X432" s="2" t="s">
        <v>111</v>
      </c>
      <c r="Y432" s="2" t="s">
        <v>362</v>
      </c>
      <c r="Z432" s="2" t="s">
        <v>1165</v>
      </c>
      <c r="AA432" s="2" t="s">
        <v>863</v>
      </c>
      <c r="AB432" s="1">
        <v>12789</v>
      </c>
      <c r="AC432" s="1">
        <v>7131</v>
      </c>
      <c r="AD432" s="1">
        <v>2872</v>
      </c>
      <c r="AE432" s="1">
        <v>837</v>
      </c>
      <c r="AF432" s="1">
        <v>161</v>
      </c>
      <c r="AG432" s="1">
        <v>14</v>
      </c>
      <c r="AH432" s="1">
        <v>3890</v>
      </c>
      <c r="AI432" s="1">
        <v>8352</v>
      </c>
      <c r="AJ432" s="1">
        <v>815</v>
      </c>
      <c r="AK432" s="1">
        <v>2845</v>
      </c>
      <c r="AL432" s="1">
        <v>166</v>
      </c>
      <c r="AM432" s="1">
        <v>72</v>
      </c>
      <c r="AN432" s="2" t="s">
        <v>255</v>
      </c>
    </row>
    <row r="433" spans="1:40" ht="28.2" x14ac:dyDescent="0.3">
      <c r="A433" s="1">
        <v>7980</v>
      </c>
      <c r="B433" s="2" t="s">
        <v>2185</v>
      </c>
      <c r="C433" s="2" t="s">
        <v>2186</v>
      </c>
      <c r="D433" s="1">
        <v>29</v>
      </c>
      <c r="E433" s="2" t="s">
        <v>159</v>
      </c>
      <c r="F433" s="50" t="s">
        <v>3514</v>
      </c>
      <c r="G433" s="2" t="s">
        <v>2187</v>
      </c>
      <c r="H433" s="1">
        <v>8068</v>
      </c>
      <c r="I433" s="1">
        <v>7748</v>
      </c>
      <c r="J433" s="2" t="s">
        <v>799</v>
      </c>
      <c r="K433" s="2" t="s">
        <v>2089</v>
      </c>
      <c r="L433" s="2" t="s">
        <v>143</v>
      </c>
      <c r="M433" s="1">
        <v>468</v>
      </c>
      <c r="N433" s="1">
        <v>12127</v>
      </c>
      <c r="O433" s="2" t="s">
        <v>225</v>
      </c>
      <c r="P433" s="2" t="s">
        <v>67</v>
      </c>
      <c r="Q433" s="2" t="s">
        <v>65</v>
      </c>
      <c r="R433" s="2" t="s">
        <v>66</v>
      </c>
      <c r="S433" s="2" t="s">
        <v>66</v>
      </c>
      <c r="T433" s="1">
        <v>5555</v>
      </c>
      <c r="U433" s="2" t="s">
        <v>51</v>
      </c>
      <c r="V433" s="1">
        <v>1436</v>
      </c>
      <c r="W433" s="1">
        <v>1231</v>
      </c>
      <c r="X433" s="2" t="s">
        <v>172</v>
      </c>
      <c r="Y433" s="2" t="s">
        <v>295</v>
      </c>
      <c r="Z433" s="2" t="s">
        <v>1656</v>
      </c>
      <c r="AA433" s="2" t="s">
        <v>100</v>
      </c>
      <c r="AB433" s="1">
        <v>6572</v>
      </c>
      <c r="AC433" s="1">
        <v>3661</v>
      </c>
      <c r="AD433" s="1">
        <v>1391</v>
      </c>
      <c r="AE433" s="1">
        <v>403</v>
      </c>
      <c r="AF433" s="1">
        <v>86</v>
      </c>
      <c r="AG433" s="1">
        <v>14</v>
      </c>
      <c r="AH433" s="1">
        <v>1996</v>
      </c>
      <c r="AI433" s="1">
        <v>3956</v>
      </c>
      <c r="AJ433" s="1">
        <v>496</v>
      </c>
      <c r="AK433" s="1">
        <v>1549</v>
      </c>
      <c r="AL433" s="1">
        <v>70</v>
      </c>
      <c r="AM433" s="1">
        <v>6</v>
      </c>
      <c r="AN433" s="2" t="s">
        <v>255</v>
      </c>
    </row>
    <row r="434" spans="1:40" x14ac:dyDescent="0.3">
      <c r="A434" s="1">
        <v>4959</v>
      </c>
      <c r="B434" s="2" t="s">
        <v>2188</v>
      </c>
      <c r="C434" s="2" t="s">
        <v>2189</v>
      </c>
      <c r="D434" s="1">
        <v>28</v>
      </c>
      <c r="E434" s="2" t="s">
        <v>42</v>
      </c>
      <c r="F434" s="50" t="s">
        <v>3514</v>
      </c>
      <c r="G434" s="2" t="s">
        <v>2190</v>
      </c>
      <c r="H434" s="1">
        <v>26259</v>
      </c>
      <c r="I434" s="1">
        <v>24967</v>
      </c>
      <c r="J434" s="2" t="s">
        <v>565</v>
      </c>
      <c r="K434" s="2">
        <v>74</v>
      </c>
      <c r="L434" s="2" t="s">
        <v>658</v>
      </c>
      <c r="M434" s="1">
        <v>1495</v>
      </c>
      <c r="N434" s="1">
        <v>39250</v>
      </c>
      <c r="O434" s="2" t="s">
        <v>225</v>
      </c>
      <c r="P434" s="2" t="s">
        <v>166</v>
      </c>
      <c r="Q434" s="2" t="s">
        <v>65</v>
      </c>
      <c r="R434" s="2" t="s">
        <v>66</v>
      </c>
      <c r="S434" s="2" t="s">
        <v>96</v>
      </c>
      <c r="T434" s="1">
        <v>18153</v>
      </c>
      <c r="U434" s="2" t="s">
        <v>51</v>
      </c>
      <c r="V434" s="1">
        <v>3389</v>
      </c>
      <c r="W434" s="1">
        <v>3214</v>
      </c>
      <c r="X434" s="2" t="s">
        <v>304</v>
      </c>
      <c r="Y434" s="2" t="s">
        <v>472</v>
      </c>
      <c r="Z434" s="2" t="s">
        <v>718</v>
      </c>
      <c r="AA434" s="2" t="s">
        <v>247</v>
      </c>
      <c r="AB434" s="1">
        <v>21097</v>
      </c>
      <c r="AC434" s="1">
        <v>11895</v>
      </c>
      <c r="AD434" s="1">
        <v>4755</v>
      </c>
      <c r="AE434" s="1">
        <v>1232</v>
      </c>
      <c r="AF434" s="1">
        <v>244</v>
      </c>
      <c r="AG434" s="1">
        <v>27</v>
      </c>
      <c r="AH434" s="1">
        <v>18894</v>
      </c>
      <c r="AI434" s="1">
        <v>728</v>
      </c>
      <c r="AJ434" s="1">
        <v>956</v>
      </c>
      <c r="AK434" s="1">
        <v>4936</v>
      </c>
      <c r="AL434" s="1">
        <v>510</v>
      </c>
      <c r="AM434" s="1">
        <v>269</v>
      </c>
      <c r="AN434" s="2" t="s">
        <v>255</v>
      </c>
    </row>
    <row r="435" spans="1:40" x14ac:dyDescent="0.3">
      <c r="A435" s="1">
        <v>13155</v>
      </c>
      <c r="B435" s="2" t="s">
        <v>2191</v>
      </c>
      <c r="C435" s="2" t="s">
        <v>2192</v>
      </c>
      <c r="D435" s="1">
        <v>26</v>
      </c>
      <c r="E435" s="2" t="s">
        <v>75</v>
      </c>
      <c r="F435" s="50" t="s">
        <v>2193</v>
      </c>
      <c r="G435" s="2" t="s">
        <v>2194</v>
      </c>
      <c r="H435" s="1">
        <v>13678</v>
      </c>
      <c r="I435" s="1">
        <v>13110</v>
      </c>
      <c r="J435" s="2" t="s">
        <v>231</v>
      </c>
      <c r="K435" s="2" t="s">
        <v>2067</v>
      </c>
      <c r="L435" s="2" t="s">
        <v>122</v>
      </c>
      <c r="M435" s="1">
        <v>767</v>
      </c>
      <c r="N435" s="1">
        <v>20579</v>
      </c>
      <c r="O435" s="2" t="s">
        <v>322</v>
      </c>
      <c r="P435" s="2" t="s">
        <v>67</v>
      </c>
      <c r="Q435" s="2" t="s">
        <v>65</v>
      </c>
      <c r="R435" s="2" t="s">
        <v>96</v>
      </c>
      <c r="S435" s="2" t="s">
        <v>96</v>
      </c>
      <c r="T435" s="1">
        <v>9399</v>
      </c>
      <c r="U435" s="2" t="s">
        <v>51</v>
      </c>
      <c r="V435" s="1">
        <v>2080</v>
      </c>
      <c r="W435" s="1">
        <v>1696</v>
      </c>
      <c r="X435" s="2" t="s">
        <v>101</v>
      </c>
      <c r="Y435" s="2" t="s">
        <v>412</v>
      </c>
      <c r="Z435" s="2" t="s">
        <v>1121</v>
      </c>
      <c r="AA435" s="2" t="s">
        <v>560</v>
      </c>
      <c r="AB435" s="1">
        <v>11180</v>
      </c>
      <c r="AC435" s="1">
        <v>6136</v>
      </c>
      <c r="AD435" s="1">
        <v>2408</v>
      </c>
      <c r="AE435" s="1">
        <v>713</v>
      </c>
      <c r="AF435" s="1">
        <v>123</v>
      </c>
      <c r="AG435" s="1">
        <v>19</v>
      </c>
      <c r="AH435" s="1">
        <v>4808</v>
      </c>
      <c r="AI435" s="1">
        <v>5901</v>
      </c>
      <c r="AJ435" s="1">
        <v>655</v>
      </c>
      <c r="AK435" s="1">
        <v>2197</v>
      </c>
      <c r="AL435" s="1">
        <v>135</v>
      </c>
      <c r="AM435" s="1">
        <v>28</v>
      </c>
      <c r="AN435" s="2" t="s">
        <v>304</v>
      </c>
    </row>
    <row r="436" spans="1:40" x14ac:dyDescent="0.3">
      <c r="A436" s="1">
        <v>8522</v>
      </c>
      <c r="B436" s="2" t="s">
        <v>2195</v>
      </c>
      <c r="C436" s="2" t="s">
        <v>2196</v>
      </c>
      <c r="D436" s="1">
        <v>27</v>
      </c>
      <c r="E436" s="2" t="s">
        <v>459</v>
      </c>
      <c r="F436" s="50" t="s">
        <v>3514</v>
      </c>
      <c r="G436" s="2" t="s">
        <v>2197</v>
      </c>
      <c r="H436" s="1">
        <v>18921</v>
      </c>
      <c r="I436" s="1">
        <v>18300</v>
      </c>
      <c r="J436" s="2" t="s">
        <v>2198</v>
      </c>
      <c r="K436" s="2" t="s">
        <v>601</v>
      </c>
      <c r="L436" s="2" t="s">
        <v>462</v>
      </c>
      <c r="M436" s="1">
        <v>1083</v>
      </c>
      <c r="N436" s="1">
        <v>28153</v>
      </c>
      <c r="O436" s="2" t="s">
        <v>225</v>
      </c>
      <c r="P436" s="2" t="s">
        <v>202</v>
      </c>
      <c r="Q436" s="2" t="s">
        <v>276</v>
      </c>
      <c r="R436" s="2" t="s">
        <v>50</v>
      </c>
      <c r="S436" s="2" t="s">
        <v>67</v>
      </c>
      <c r="T436" s="1">
        <v>12947</v>
      </c>
      <c r="U436" s="2" t="s">
        <v>51</v>
      </c>
      <c r="V436" s="1">
        <v>2381</v>
      </c>
      <c r="W436" s="1">
        <v>2328</v>
      </c>
      <c r="X436" s="2" t="s">
        <v>449</v>
      </c>
      <c r="Y436" s="2" t="s">
        <v>820</v>
      </c>
      <c r="Z436" s="2" t="s">
        <v>324</v>
      </c>
      <c r="AA436" s="2" t="s">
        <v>1985</v>
      </c>
      <c r="AB436" s="1">
        <v>15206</v>
      </c>
      <c r="AC436" s="1">
        <v>8446</v>
      </c>
      <c r="AD436" s="1">
        <v>3296</v>
      </c>
      <c r="AE436" s="1">
        <v>975</v>
      </c>
      <c r="AF436" s="1">
        <v>206</v>
      </c>
      <c r="AG436" s="1">
        <v>24</v>
      </c>
      <c r="AH436" s="1">
        <v>13588</v>
      </c>
      <c r="AI436" s="1">
        <v>345</v>
      </c>
      <c r="AJ436" s="1">
        <v>1334</v>
      </c>
      <c r="AK436" s="1">
        <v>3423</v>
      </c>
      <c r="AL436" s="1">
        <v>194</v>
      </c>
      <c r="AM436" s="1">
        <v>52</v>
      </c>
      <c r="AN436" s="2" t="s">
        <v>255</v>
      </c>
    </row>
    <row r="437" spans="1:40" ht="28.2" x14ac:dyDescent="0.3">
      <c r="A437" s="1">
        <v>8744</v>
      </c>
      <c r="B437" s="2" t="s">
        <v>2199</v>
      </c>
      <c r="C437" s="2" t="s">
        <v>2200</v>
      </c>
      <c r="D437" s="1">
        <v>31</v>
      </c>
      <c r="E437" s="2" t="s">
        <v>299</v>
      </c>
      <c r="F437" s="50" t="s">
        <v>3514</v>
      </c>
      <c r="G437" s="2" t="s">
        <v>2201</v>
      </c>
      <c r="H437" s="1">
        <v>12837</v>
      </c>
      <c r="I437" s="1">
        <v>12350</v>
      </c>
      <c r="J437" s="2" t="s">
        <v>1051</v>
      </c>
      <c r="K437" s="2" t="s">
        <v>920</v>
      </c>
      <c r="L437" s="2" t="s">
        <v>949</v>
      </c>
      <c r="M437" s="1">
        <v>751</v>
      </c>
      <c r="N437" s="1">
        <v>18931</v>
      </c>
      <c r="O437" s="2" t="s">
        <v>167</v>
      </c>
      <c r="P437" s="2" t="s">
        <v>235</v>
      </c>
      <c r="Q437" s="2" t="s">
        <v>276</v>
      </c>
      <c r="R437" s="2" t="s">
        <v>50</v>
      </c>
      <c r="S437" s="2" t="s">
        <v>96</v>
      </c>
      <c r="T437" s="1">
        <v>8799</v>
      </c>
      <c r="U437" s="2" t="s">
        <v>51</v>
      </c>
      <c r="V437" s="1">
        <v>1548</v>
      </c>
      <c r="W437" s="1">
        <v>1650</v>
      </c>
      <c r="X437" s="2" t="s">
        <v>1570</v>
      </c>
      <c r="Y437" s="2" t="s">
        <v>950</v>
      </c>
      <c r="Z437" s="2" t="s">
        <v>1681</v>
      </c>
      <c r="AA437" s="2" t="s">
        <v>1276</v>
      </c>
      <c r="AB437" s="1">
        <v>10132</v>
      </c>
      <c r="AC437" s="1">
        <v>5668</v>
      </c>
      <c r="AD437" s="1">
        <v>2357</v>
      </c>
      <c r="AE437" s="1">
        <v>654</v>
      </c>
      <c r="AF437" s="1">
        <v>112</v>
      </c>
      <c r="AG437" s="1">
        <v>8</v>
      </c>
      <c r="AH437" s="1">
        <v>9356</v>
      </c>
      <c r="AI437" s="1">
        <v>107</v>
      </c>
      <c r="AJ437" s="1">
        <v>1035</v>
      </c>
      <c r="AK437" s="1">
        <v>2079</v>
      </c>
      <c r="AL437" s="1">
        <v>247</v>
      </c>
      <c r="AM437" s="1">
        <v>34</v>
      </c>
      <c r="AN437" s="2" t="s">
        <v>255</v>
      </c>
    </row>
    <row r="438" spans="1:40" x14ac:dyDescent="0.3">
      <c r="A438" s="1">
        <v>9069</v>
      </c>
      <c r="B438" s="2" t="s">
        <v>2202</v>
      </c>
      <c r="C438" s="2" t="s">
        <v>2203</v>
      </c>
      <c r="D438" s="1">
        <v>24</v>
      </c>
      <c r="E438" s="2" t="s">
        <v>459</v>
      </c>
      <c r="F438" s="50" t="s">
        <v>3514</v>
      </c>
      <c r="G438" s="2" t="s">
        <v>2204</v>
      </c>
      <c r="H438" s="1">
        <v>15336</v>
      </c>
      <c r="I438" s="1">
        <v>15026</v>
      </c>
      <c r="J438" s="2" t="s">
        <v>769</v>
      </c>
      <c r="K438" s="2" t="s">
        <v>2205</v>
      </c>
      <c r="L438" s="2" t="s">
        <v>471</v>
      </c>
      <c r="M438" s="1">
        <v>865</v>
      </c>
      <c r="N438" s="1">
        <v>22686</v>
      </c>
      <c r="O438" s="2" t="s">
        <v>167</v>
      </c>
      <c r="P438" s="2" t="s">
        <v>96</v>
      </c>
      <c r="Q438" s="2" t="s">
        <v>322</v>
      </c>
      <c r="R438" s="2" t="s">
        <v>50</v>
      </c>
      <c r="S438" s="2" t="s">
        <v>96</v>
      </c>
      <c r="T438" s="1">
        <v>10342</v>
      </c>
      <c r="U438" s="2" t="s">
        <v>51</v>
      </c>
      <c r="V438" s="1">
        <v>2683</v>
      </c>
      <c r="W438" s="1">
        <v>2403</v>
      </c>
      <c r="X438" s="2" t="s">
        <v>370</v>
      </c>
      <c r="Y438" s="2" t="s">
        <v>277</v>
      </c>
      <c r="Z438" s="2" t="s">
        <v>383</v>
      </c>
      <c r="AA438" s="2" t="s">
        <v>354</v>
      </c>
      <c r="AB438" s="1">
        <v>12344</v>
      </c>
      <c r="AC438" s="1">
        <v>6570</v>
      </c>
      <c r="AD438" s="1">
        <v>2770</v>
      </c>
      <c r="AE438" s="1">
        <v>800</v>
      </c>
      <c r="AF438" s="1">
        <v>184</v>
      </c>
      <c r="AG438" s="1">
        <v>18</v>
      </c>
      <c r="AH438" s="1">
        <v>4529</v>
      </c>
      <c r="AI438" s="1">
        <v>7276</v>
      </c>
      <c r="AJ438" s="1">
        <v>684</v>
      </c>
      <c r="AK438" s="1">
        <v>2673</v>
      </c>
      <c r="AL438" s="1">
        <v>156</v>
      </c>
      <c r="AM438" s="1">
        <v>45</v>
      </c>
      <c r="AN438" s="2" t="s">
        <v>255</v>
      </c>
    </row>
    <row r="439" spans="1:40" x14ac:dyDescent="0.3">
      <c r="A439" s="1">
        <v>16946</v>
      </c>
      <c r="B439" s="2" t="s">
        <v>2206</v>
      </c>
      <c r="C439" s="2" t="s">
        <v>2207</v>
      </c>
      <c r="D439" s="1">
        <v>28</v>
      </c>
      <c r="E439" s="2" t="s">
        <v>75</v>
      </c>
      <c r="F439" s="50" t="s">
        <v>2208</v>
      </c>
      <c r="G439" s="2" t="s">
        <v>2209</v>
      </c>
      <c r="H439" s="1">
        <v>9422</v>
      </c>
      <c r="I439" s="1">
        <v>9008</v>
      </c>
      <c r="J439" s="2" t="s">
        <v>360</v>
      </c>
      <c r="K439" s="2" t="s">
        <v>1047</v>
      </c>
      <c r="L439" s="2" t="s">
        <v>462</v>
      </c>
      <c r="M439" s="1">
        <v>519</v>
      </c>
      <c r="N439" s="1">
        <v>13706</v>
      </c>
      <c r="O439" s="2" t="s">
        <v>463</v>
      </c>
      <c r="P439" s="2" t="s">
        <v>235</v>
      </c>
      <c r="Q439" s="2" t="s">
        <v>322</v>
      </c>
      <c r="R439" s="2" t="s">
        <v>66</v>
      </c>
      <c r="S439" s="2" t="s">
        <v>96</v>
      </c>
      <c r="T439" s="1">
        <v>6584</v>
      </c>
      <c r="U439" s="2" t="s">
        <v>51</v>
      </c>
      <c r="V439" s="1">
        <v>1215</v>
      </c>
      <c r="W439" s="1">
        <v>1055</v>
      </c>
      <c r="X439" s="2" t="s">
        <v>84</v>
      </c>
      <c r="Y439" s="2" t="s">
        <v>245</v>
      </c>
      <c r="Z439" s="2" t="s">
        <v>745</v>
      </c>
      <c r="AA439" s="2" t="s">
        <v>2053</v>
      </c>
      <c r="AB439" s="1">
        <v>7122</v>
      </c>
      <c r="AC439" s="1">
        <v>4369</v>
      </c>
      <c r="AD439" s="1">
        <v>1695</v>
      </c>
      <c r="AE439" s="1">
        <v>426</v>
      </c>
      <c r="AF439" s="1">
        <v>85</v>
      </c>
      <c r="AG439" s="1">
        <v>9</v>
      </c>
      <c r="AH439" s="1">
        <v>7151</v>
      </c>
      <c r="AI439" s="1">
        <v>196</v>
      </c>
      <c r="AJ439" s="1">
        <v>611</v>
      </c>
      <c r="AK439" s="1">
        <v>1360</v>
      </c>
      <c r="AL439" s="1">
        <v>107</v>
      </c>
      <c r="AM439" s="1">
        <v>14</v>
      </c>
      <c r="AN439" s="2" t="s">
        <v>464</v>
      </c>
    </row>
    <row r="440" spans="1:40" x14ac:dyDescent="0.3">
      <c r="A440" s="1">
        <v>12521</v>
      </c>
      <c r="B440" s="2" t="s">
        <v>2210</v>
      </c>
      <c r="C440" s="2" t="s">
        <v>2211</v>
      </c>
      <c r="D440" s="1">
        <v>26</v>
      </c>
      <c r="E440" s="2" t="s">
        <v>104</v>
      </c>
      <c r="F440" s="50" t="s">
        <v>105</v>
      </c>
      <c r="G440" s="2" t="s">
        <v>105</v>
      </c>
      <c r="H440" s="1">
        <v>18525</v>
      </c>
      <c r="I440" s="1">
        <v>18493</v>
      </c>
      <c r="J440" s="2" t="s">
        <v>1350</v>
      </c>
      <c r="K440" s="2" t="s">
        <v>154</v>
      </c>
      <c r="L440" s="2" t="s">
        <v>331</v>
      </c>
      <c r="M440" s="1">
        <v>1008</v>
      </c>
      <c r="N440" s="1">
        <v>26196</v>
      </c>
      <c r="O440" s="2" t="s">
        <v>646</v>
      </c>
      <c r="P440" s="2" t="s">
        <v>235</v>
      </c>
      <c r="Q440" s="2" t="s">
        <v>646</v>
      </c>
      <c r="R440" s="2" t="s">
        <v>50</v>
      </c>
      <c r="S440" s="2" t="s">
        <v>135</v>
      </c>
      <c r="T440" s="1">
        <v>12438</v>
      </c>
      <c r="U440" s="2" t="s">
        <v>51</v>
      </c>
      <c r="V440" s="1">
        <v>4580</v>
      </c>
      <c r="W440" s="1">
        <v>4507</v>
      </c>
      <c r="X440" s="2" t="s">
        <v>449</v>
      </c>
      <c r="Y440" s="2" t="s">
        <v>72</v>
      </c>
      <c r="Z440" s="2" t="s">
        <v>718</v>
      </c>
      <c r="AA440" s="2" t="s">
        <v>2212</v>
      </c>
      <c r="AB440" s="1">
        <v>13758</v>
      </c>
      <c r="AC440" s="1">
        <v>7860</v>
      </c>
      <c r="AD440" s="1">
        <v>3315</v>
      </c>
      <c r="AE440" s="1">
        <v>1040</v>
      </c>
      <c r="AF440" s="1">
        <v>200</v>
      </c>
      <c r="AG440" s="1">
        <v>23</v>
      </c>
      <c r="AH440" s="1">
        <v>8744</v>
      </c>
      <c r="AI440" s="1">
        <v>5652</v>
      </c>
      <c r="AJ440" s="1">
        <v>1303</v>
      </c>
      <c r="AK440" s="1">
        <v>2440</v>
      </c>
      <c r="AL440" s="1">
        <v>209</v>
      </c>
      <c r="AM440" s="1">
        <v>238</v>
      </c>
      <c r="AN440" s="2" t="s">
        <v>295</v>
      </c>
    </row>
    <row r="441" spans="1:40" x14ac:dyDescent="0.3">
      <c r="A441" s="1">
        <v>2826</v>
      </c>
      <c r="B441" s="2" t="s">
        <v>2213</v>
      </c>
      <c r="C441" s="2" t="s">
        <v>2214</v>
      </c>
      <c r="D441" s="1">
        <v>28</v>
      </c>
      <c r="E441" s="2" t="s">
        <v>327</v>
      </c>
      <c r="F441" s="50" t="s">
        <v>3514</v>
      </c>
      <c r="G441" s="2" t="s">
        <v>2215</v>
      </c>
      <c r="H441" s="1">
        <v>34615</v>
      </c>
      <c r="I441" s="1">
        <v>34010</v>
      </c>
      <c r="J441" s="2" t="s">
        <v>212</v>
      </c>
      <c r="K441" s="2" t="s">
        <v>800</v>
      </c>
      <c r="L441" s="2" t="s">
        <v>575</v>
      </c>
      <c r="M441" s="1">
        <v>1871</v>
      </c>
      <c r="N441" s="1">
        <v>49905</v>
      </c>
      <c r="O441" s="2" t="s">
        <v>463</v>
      </c>
      <c r="P441" s="2" t="s">
        <v>48</v>
      </c>
      <c r="Q441" s="2" t="s">
        <v>167</v>
      </c>
      <c r="R441" s="2" t="s">
        <v>66</v>
      </c>
      <c r="S441" s="2" t="s">
        <v>135</v>
      </c>
      <c r="T441" s="1">
        <v>23430</v>
      </c>
      <c r="U441" s="2" t="s">
        <v>51</v>
      </c>
      <c r="V441" s="1">
        <v>6675</v>
      </c>
      <c r="W441" s="1">
        <v>6246</v>
      </c>
      <c r="X441" s="2" t="s">
        <v>464</v>
      </c>
      <c r="Y441" s="2" t="s">
        <v>98</v>
      </c>
      <c r="Z441" s="2" t="s">
        <v>1165</v>
      </c>
      <c r="AA441" s="2" t="s">
        <v>138</v>
      </c>
      <c r="AB441" s="1">
        <v>26475</v>
      </c>
      <c r="AC441" s="1">
        <v>14883</v>
      </c>
      <c r="AD441" s="1">
        <v>6356</v>
      </c>
      <c r="AE441" s="1">
        <v>1796</v>
      </c>
      <c r="AF441" s="1">
        <v>363</v>
      </c>
      <c r="AG441" s="1">
        <v>32</v>
      </c>
      <c r="AH441" s="1">
        <v>12491</v>
      </c>
      <c r="AI441" s="1">
        <v>14033</v>
      </c>
      <c r="AJ441" s="1">
        <v>1414</v>
      </c>
      <c r="AK441" s="1">
        <v>6010</v>
      </c>
      <c r="AL441" s="1">
        <v>598</v>
      </c>
      <c r="AM441" s="1">
        <v>131</v>
      </c>
      <c r="AN441" s="2">
        <v>1</v>
      </c>
    </row>
    <row r="442" spans="1:40" ht="28.2" x14ac:dyDescent="0.3">
      <c r="A442" s="1">
        <v>8727</v>
      </c>
      <c r="B442" s="2" t="s">
        <v>2216</v>
      </c>
      <c r="C442" s="2" t="s">
        <v>2217</v>
      </c>
      <c r="D442" s="1">
        <v>27</v>
      </c>
      <c r="E442" s="2" t="s">
        <v>75</v>
      </c>
      <c r="F442" s="50" t="s">
        <v>3514</v>
      </c>
      <c r="G442" s="2" t="s">
        <v>2218</v>
      </c>
      <c r="H442" s="1">
        <v>16371</v>
      </c>
      <c r="I442" s="1">
        <v>16030</v>
      </c>
      <c r="J442" s="2" t="s">
        <v>346</v>
      </c>
      <c r="K442" s="2" t="s">
        <v>1529</v>
      </c>
      <c r="L442" s="2" t="s">
        <v>471</v>
      </c>
      <c r="M442" s="1">
        <v>899</v>
      </c>
      <c r="N442" s="1">
        <v>23842</v>
      </c>
      <c r="O442" s="2" t="s">
        <v>463</v>
      </c>
      <c r="P442" s="2" t="s">
        <v>48</v>
      </c>
      <c r="Q442" s="2" t="s">
        <v>225</v>
      </c>
      <c r="R442" s="2" t="s">
        <v>96</v>
      </c>
      <c r="S442" s="2" t="s">
        <v>66</v>
      </c>
      <c r="T442" s="1">
        <v>11101</v>
      </c>
      <c r="U442" s="2" t="s">
        <v>51</v>
      </c>
      <c r="V442" s="1">
        <v>2854</v>
      </c>
      <c r="W442" s="1">
        <v>2546</v>
      </c>
      <c r="X442" s="2" t="s">
        <v>370</v>
      </c>
      <c r="Y442" s="2" t="s">
        <v>295</v>
      </c>
      <c r="Z442" s="2" t="s">
        <v>455</v>
      </c>
      <c r="AA442" s="2" t="s">
        <v>354</v>
      </c>
      <c r="AB442" s="1">
        <v>12741</v>
      </c>
      <c r="AC442" s="1">
        <v>7085</v>
      </c>
      <c r="AD442" s="1">
        <v>2972</v>
      </c>
      <c r="AE442" s="1">
        <v>856</v>
      </c>
      <c r="AF442" s="1">
        <v>172</v>
      </c>
      <c r="AG442" s="1">
        <v>16</v>
      </c>
      <c r="AH442" s="1">
        <v>4556</v>
      </c>
      <c r="AI442" s="1">
        <v>8300</v>
      </c>
      <c r="AJ442" s="1">
        <v>464</v>
      </c>
      <c r="AK442" s="1">
        <v>2883</v>
      </c>
      <c r="AL442" s="1">
        <v>170</v>
      </c>
      <c r="AM442" s="1">
        <v>29</v>
      </c>
      <c r="AN442" s="2">
        <v>1</v>
      </c>
    </row>
    <row r="443" spans="1:40" ht="28.2" x14ac:dyDescent="0.3">
      <c r="A443" s="1">
        <v>16723</v>
      </c>
      <c r="B443" s="2" t="s">
        <v>2219</v>
      </c>
      <c r="C443" s="2" t="s">
        <v>2220</v>
      </c>
      <c r="D443" s="1">
        <v>24</v>
      </c>
      <c r="E443" s="2" t="s">
        <v>196</v>
      </c>
      <c r="F443" s="50" t="s">
        <v>2221</v>
      </c>
      <c r="G443" s="2" t="s">
        <v>2222</v>
      </c>
      <c r="H443" s="1">
        <v>8983</v>
      </c>
      <c r="I443" s="1">
        <v>9034</v>
      </c>
      <c r="J443" s="2" t="s">
        <v>2223</v>
      </c>
      <c r="K443" s="2" t="s">
        <v>1119</v>
      </c>
      <c r="L443" s="2" t="s">
        <v>1170</v>
      </c>
      <c r="M443" s="1">
        <v>477</v>
      </c>
      <c r="N443" s="1">
        <v>12780</v>
      </c>
      <c r="O443" s="2" t="s">
        <v>905</v>
      </c>
      <c r="P443" s="2" t="s">
        <v>202</v>
      </c>
      <c r="Q443" s="2" t="s">
        <v>646</v>
      </c>
      <c r="R443" s="2" t="s">
        <v>67</v>
      </c>
      <c r="S443" s="2" t="s">
        <v>48</v>
      </c>
      <c r="T443" s="1">
        <v>5965</v>
      </c>
      <c r="U443" s="2" t="s">
        <v>51</v>
      </c>
      <c r="V443" s="1">
        <v>1409</v>
      </c>
      <c r="W443" s="1">
        <v>1475</v>
      </c>
      <c r="X443" s="2" t="s">
        <v>472</v>
      </c>
      <c r="Y443" s="2" t="s">
        <v>412</v>
      </c>
      <c r="Z443" s="2" t="s">
        <v>567</v>
      </c>
      <c r="AA443" s="2" t="s">
        <v>734</v>
      </c>
      <c r="AB443" s="1">
        <v>6815</v>
      </c>
      <c r="AC443" s="1">
        <v>3712</v>
      </c>
      <c r="AD443" s="1">
        <v>1619</v>
      </c>
      <c r="AE443" s="1">
        <v>514</v>
      </c>
      <c r="AF443" s="1">
        <v>109</v>
      </c>
      <c r="AG443" s="1">
        <v>11</v>
      </c>
      <c r="AH443" s="1">
        <v>7153</v>
      </c>
      <c r="AI443" s="1">
        <v>136</v>
      </c>
      <c r="AJ443" s="1">
        <v>268</v>
      </c>
      <c r="AK443" s="1">
        <v>1313</v>
      </c>
      <c r="AL443" s="1">
        <v>111</v>
      </c>
      <c r="AM443" s="1">
        <v>43</v>
      </c>
      <c r="AN443" s="2" t="s">
        <v>304</v>
      </c>
    </row>
    <row r="444" spans="1:40" ht="28.2" x14ac:dyDescent="0.3">
      <c r="A444" s="1">
        <v>11307</v>
      </c>
      <c r="B444" s="2" t="s">
        <v>2224</v>
      </c>
      <c r="C444" s="2" t="s">
        <v>2225</v>
      </c>
      <c r="D444" s="1">
        <v>25</v>
      </c>
      <c r="E444" s="2" t="s">
        <v>841</v>
      </c>
      <c r="F444" s="50" t="s">
        <v>3514</v>
      </c>
      <c r="G444" s="2" t="s">
        <v>2226</v>
      </c>
      <c r="H444" s="1">
        <v>7289</v>
      </c>
      <c r="I444" s="1">
        <v>7198</v>
      </c>
      <c r="J444" s="2" t="s">
        <v>514</v>
      </c>
      <c r="K444" s="2" t="s">
        <v>1363</v>
      </c>
      <c r="L444" s="2" t="s">
        <v>441</v>
      </c>
      <c r="M444" s="1">
        <v>401</v>
      </c>
      <c r="N444" s="1">
        <v>10552</v>
      </c>
      <c r="O444" s="2" t="s">
        <v>463</v>
      </c>
      <c r="P444" s="2" t="s">
        <v>202</v>
      </c>
      <c r="Q444" s="2" t="s">
        <v>167</v>
      </c>
      <c r="R444" s="2" t="s">
        <v>96</v>
      </c>
      <c r="S444" s="2" t="s">
        <v>96</v>
      </c>
      <c r="T444" s="1">
        <v>4915</v>
      </c>
      <c r="U444" s="2" t="s">
        <v>51</v>
      </c>
      <c r="V444" s="1">
        <v>957</v>
      </c>
      <c r="W444" s="1">
        <v>962</v>
      </c>
      <c r="X444" s="2" t="s">
        <v>285</v>
      </c>
      <c r="Y444" s="2" t="s">
        <v>503</v>
      </c>
      <c r="Z444" s="2" t="s">
        <v>583</v>
      </c>
      <c r="AA444" s="2" t="s">
        <v>888</v>
      </c>
      <c r="AB444" s="1">
        <v>5637</v>
      </c>
      <c r="AC444" s="1">
        <v>3120</v>
      </c>
      <c r="AD444" s="1">
        <v>1307</v>
      </c>
      <c r="AE444" s="1">
        <v>403</v>
      </c>
      <c r="AF444" s="1">
        <v>79</v>
      </c>
      <c r="AG444" s="1">
        <v>6</v>
      </c>
      <c r="AH444" s="1">
        <v>5280</v>
      </c>
      <c r="AI444" s="1">
        <v>163</v>
      </c>
      <c r="AJ444" s="1">
        <v>562</v>
      </c>
      <c r="AK444" s="1">
        <v>1227</v>
      </c>
      <c r="AL444" s="1">
        <v>56</v>
      </c>
      <c r="AM444" s="1">
        <v>11</v>
      </c>
      <c r="AN444" s="2" t="s">
        <v>407</v>
      </c>
    </row>
    <row r="445" spans="1:40" x14ac:dyDescent="0.3">
      <c r="A445" s="1">
        <v>8413</v>
      </c>
      <c r="B445" s="2" t="s">
        <v>2227</v>
      </c>
      <c r="C445" s="2" t="s">
        <v>2228</v>
      </c>
      <c r="D445" s="1">
        <v>23</v>
      </c>
      <c r="E445" s="2" t="s">
        <v>379</v>
      </c>
      <c r="F445" s="50" t="s">
        <v>550</v>
      </c>
      <c r="G445" s="2" t="s">
        <v>2229</v>
      </c>
      <c r="H445" s="1">
        <v>19118</v>
      </c>
      <c r="I445" s="1">
        <v>18363</v>
      </c>
      <c r="J445" s="2" t="s">
        <v>360</v>
      </c>
      <c r="K445" s="2">
        <v>72</v>
      </c>
      <c r="L445" s="2" t="s">
        <v>143</v>
      </c>
      <c r="M445" s="1">
        <v>1072</v>
      </c>
      <c r="N445" s="1">
        <v>28513</v>
      </c>
      <c r="O445" s="2" t="s">
        <v>225</v>
      </c>
      <c r="P445" s="2" t="s">
        <v>48</v>
      </c>
      <c r="Q445" s="2" t="s">
        <v>65</v>
      </c>
      <c r="R445" s="2" t="s">
        <v>96</v>
      </c>
      <c r="S445" s="2" t="s">
        <v>67</v>
      </c>
      <c r="T445" s="1">
        <v>13202</v>
      </c>
      <c r="U445" s="2" t="s">
        <v>51</v>
      </c>
      <c r="V445" s="1">
        <v>2448</v>
      </c>
      <c r="W445" s="1">
        <v>2283</v>
      </c>
      <c r="X445" s="2" t="s">
        <v>464</v>
      </c>
      <c r="Y445" s="2" t="s">
        <v>472</v>
      </c>
      <c r="Z445" s="2" t="s">
        <v>1268</v>
      </c>
      <c r="AA445" s="2" t="s">
        <v>978</v>
      </c>
      <c r="AB445" s="1">
        <v>15311</v>
      </c>
      <c r="AC445" s="1">
        <v>8655</v>
      </c>
      <c r="AD445" s="1">
        <v>3386</v>
      </c>
      <c r="AE445" s="1">
        <v>982</v>
      </c>
      <c r="AF445" s="1">
        <v>160</v>
      </c>
      <c r="AG445" s="1">
        <v>19</v>
      </c>
      <c r="AH445" s="1">
        <v>15157</v>
      </c>
      <c r="AI445" s="1">
        <v>102</v>
      </c>
      <c r="AJ445" s="1">
        <v>566</v>
      </c>
      <c r="AK445" s="1">
        <v>3129</v>
      </c>
      <c r="AL445" s="1">
        <v>166</v>
      </c>
      <c r="AM445" s="1">
        <v>49</v>
      </c>
      <c r="AN445" s="2">
        <v>1</v>
      </c>
    </row>
    <row r="446" spans="1:40" x14ac:dyDescent="0.3">
      <c r="A446" s="1">
        <v>7383</v>
      </c>
      <c r="B446" s="2" t="s">
        <v>2230</v>
      </c>
      <c r="C446" s="2" t="s">
        <v>2231</v>
      </c>
      <c r="D446" s="1">
        <v>30</v>
      </c>
      <c r="E446" s="2" t="s">
        <v>104</v>
      </c>
      <c r="F446" s="50" t="s">
        <v>2021</v>
      </c>
      <c r="G446" s="2" t="s">
        <v>2232</v>
      </c>
      <c r="H446" s="1">
        <v>13308</v>
      </c>
      <c r="I446" s="1">
        <v>12620</v>
      </c>
      <c r="J446" s="2" t="s">
        <v>1284</v>
      </c>
      <c r="K446" s="2" t="s">
        <v>2233</v>
      </c>
      <c r="L446" s="2" t="s">
        <v>331</v>
      </c>
      <c r="M446" s="1">
        <v>780</v>
      </c>
      <c r="N446" s="1">
        <v>20206</v>
      </c>
      <c r="O446" s="2" t="s">
        <v>322</v>
      </c>
      <c r="P446" s="2" t="s">
        <v>48</v>
      </c>
      <c r="Q446" s="2" t="s">
        <v>144</v>
      </c>
      <c r="R446" s="2" t="s">
        <v>96</v>
      </c>
      <c r="S446" s="2" t="s">
        <v>96</v>
      </c>
      <c r="T446" s="1">
        <v>9254</v>
      </c>
      <c r="U446" s="2" t="s">
        <v>51</v>
      </c>
      <c r="V446" s="1">
        <v>2398</v>
      </c>
      <c r="W446" s="1">
        <v>1798</v>
      </c>
      <c r="X446" s="2" t="s">
        <v>442</v>
      </c>
      <c r="Y446" s="2" t="s">
        <v>362</v>
      </c>
      <c r="Z446" s="2" t="s">
        <v>137</v>
      </c>
      <c r="AA446" s="2" t="s">
        <v>719</v>
      </c>
      <c r="AB446" s="1">
        <v>10952</v>
      </c>
      <c r="AC446" s="1">
        <v>6105</v>
      </c>
      <c r="AD446" s="1">
        <v>2389</v>
      </c>
      <c r="AE446" s="1">
        <v>635</v>
      </c>
      <c r="AF446" s="1">
        <v>114</v>
      </c>
      <c r="AG446" s="1">
        <v>11</v>
      </c>
      <c r="AH446" s="1">
        <v>2972</v>
      </c>
      <c r="AI446" s="1">
        <v>7363</v>
      </c>
      <c r="AJ446" s="1">
        <v>575</v>
      </c>
      <c r="AK446" s="1">
        <v>2187</v>
      </c>
      <c r="AL446" s="1">
        <v>176</v>
      </c>
      <c r="AM446" s="1">
        <v>71</v>
      </c>
      <c r="AN446" s="2">
        <v>1</v>
      </c>
    </row>
    <row r="447" spans="1:40" x14ac:dyDescent="0.3">
      <c r="A447" s="1">
        <v>3669</v>
      </c>
      <c r="B447" s="2" t="s">
        <v>2234</v>
      </c>
      <c r="C447" s="2" t="s">
        <v>2235</v>
      </c>
      <c r="D447" s="1">
        <v>28</v>
      </c>
      <c r="E447" s="2" t="s">
        <v>327</v>
      </c>
      <c r="F447" s="50" t="s">
        <v>2236</v>
      </c>
      <c r="G447" s="2" t="s">
        <v>2237</v>
      </c>
      <c r="H447" s="1">
        <v>32510</v>
      </c>
      <c r="I447" s="1">
        <v>31989</v>
      </c>
      <c r="J447" s="2" t="s">
        <v>1051</v>
      </c>
      <c r="K447" s="2" t="s">
        <v>1183</v>
      </c>
      <c r="L447" s="2" t="s">
        <v>244</v>
      </c>
      <c r="M447" s="1">
        <v>1781</v>
      </c>
      <c r="N447" s="1">
        <v>46956</v>
      </c>
      <c r="O447" s="2" t="s">
        <v>463</v>
      </c>
      <c r="P447" s="2" t="s">
        <v>166</v>
      </c>
      <c r="Q447" s="2" t="s">
        <v>167</v>
      </c>
      <c r="R447" s="2" t="s">
        <v>96</v>
      </c>
      <c r="S447" s="2" t="s">
        <v>96</v>
      </c>
      <c r="T447" s="1">
        <v>22063</v>
      </c>
      <c r="U447" s="2" t="s">
        <v>51</v>
      </c>
      <c r="V447" s="1">
        <v>4286</v>
      </c>
      <c r="W447" s="1">
        <v>4249</v>
      </c>
      <c r="X447" s="2" t="s">
        <v>255</v>
      </c>
      <c r="Y447" s="2" t="s">
        <v>503</v>
      </c>
      <c r="Z447" s="2" t="s">
        <v>809</v>
      </c>
      <c r="AA447" s="2" t="s">
        <v>1379</v>
      </c>
      <c r="AB447" s="1">
        <v>24893</v>
      </c>
      <c r="AC447" s="1">
        <v>14090</v>
      </c>
      <c r="AD447" s="1">
        <v>5872</v>
      </c>
      <c r="AE447" s="1">
        <v>1766</v>
      </c>
      <c r="AF447" s="1">
        <v>310</v>
      </c>
      <c r="AG447" s="1">
        <v>25</v>
      </c>
      <c r="AH447" s="1">
        <v>24182</v>
      </c>
      <c r="AI447" s="1">
        <v>774</v>
      </c>
      <c r="AJ447" s="1">
        <v>1270</v>
      </c>
      <c r="AK447" s="1">
        <v>5790</v>
      </c>
      <c r="AL447" s="1">
        <v>483</v>
      </c>
      <c r="AM447" s="1">
        <v>50</v>
      </c>
      <c r="AN447" s="2">
        <v>1</v>
      </c>
    </row>
    <row r="448" spans="1:40" ht="28.2" x14ac:dyDescent="0.3">
      <c r="A448" s="1">
        <v>8517</v>
      </c>
      <c r="B448" s="2" t="s">
        <v>2238</v>
      </c>
      <c r="C448" s="2" t="s">
        <v>2239</v>
      </c>
      <c r="D448" s="1">
        <v>27</v>
      </c>
      <c r="E448" s="2" t="s">
        <v>459</v>
      </c>
      <c r="F448" s="50" t="s">
        <v>3514</v>
      </c>
      <c r="G448" s="2" t="s">
        <v>2240</v>
      </c>
      <c r="H448" s="1">
        <v>14589</v>
      </c>
      <c r="I448" s="1">
        <v>14428</v>
      </c>
      <c r="J448" s="2" t="s">
        <v>808</v>
      </c>
      <c r="K448" s="2" t="s">
        <v>800</v>
      </c>
      <c r="L448" s="2" t="s">
        <v>1146</v>
      </c>
      <c r="M448" s="1">
        <v>832</v>
      </c>
      <c r="N448" s="1">
        <v>21258</v>
      </c>
      <c r="O448" s="2" t="s">
        <v>463</v>
      </c>
      <c r="P448" s="2" t="s">
        <v>48</v>
      </c>
      <c r="Q448" s="2" t="s">
        <v>167</v>
      </c>
      <c r="R448" s="2" t="s">
        <v>50</v>
      </c>
      <c r="S448" s="2" t="s">
        <v>50</v>
      </c>
      <c r="T448" s="1">
        <v>9884</v>
      </c>
      <c r="U448" s="2" t="s">
        <v>51</v>
      </c>
      <c r="V448" s="1">
        <v>1840</v>
      </c>
      <c r="W448" s="1">
        <v>1853</v>
      </c>
      <c r="X448" s="2" t="s">
        <v>285</v>
      </c>
      <c r="Y448" s="2" t="s">
        <v>820</v>
      </c>
      <c r="Z448" s="2" t="s">
        <v>383</v>
      </c>
      <c r="AA448" s="2" t="s">
        <v>518</v>
      </c>
      <c r="AB448" s="1">
        <v>11374</v>
      </c>
      <c r="AC448" s="1">
        <v>6355</v>
      </c>
      <c r="AD448" s="1">
        <v>2567</v>
      </c>
      <c r="AE448" s="1">
        <v>774</v>
      </c>
      <c r="AF448" s="1">
        <v>164</v>
      </c>
      <c r="AG448" s="1">
        <v>24</v>
      </c>
      <c r="AH448" s="1">
        <v>7762</v>
      </c>
      <c r="AI448" s="1">
        <v>2250</v>
      </c>
      <c r="AJ448" s="1">
        <v>1396</v>
      </c>
      <c r="AK448" s="1">
        <v>2945</v>
      </c>
      <c r="AL448" s="1">
        <v>206</v>
      </c>
      <c r="AM448" s="1">
        <v>51</v>
      </c>
      <c r="AN448" s="2">
        <v>1</v>
      </c>
    </row>
    <row r="449" spans="1:40" ht="28.2" x14ac:dyDescent="0.3">
      <c r="A449" s="1">
        <v>10590</v>
      </c>
      <c r="B449" s="2" t="s">
        <v>2241</v>
      </c>
      <c r="C449" s="2" t="s">
        <v>2242</v>
      </c>
      <c r="D449" s="1">
        <v>27</v>
      </c>
      <c r="E449" s="2" t="s">
        <v>75</v>
      </c>
      <c r="F449" s="50" t="s">
        <v>2243</v>
      </c>
      <c r="G449" s="2" t="s">
        <v>2244</v>
      </c>
      <c r="H449" s="1">
        <v>13225</v>
      </c>
      <c r="I449" s="1">
        <v>13084</v>
      </c>
      <c r="J449" s="2" t="s">
        <v>1769</v>
      </c>
      <c r="K449" s="2" t="s">
        <v>939</v>
      </c>
      <c r="L449" s="2" t="s">
        <v>63</v>
      </c>
      <c r="M449" s="1">
        <v>729</v>
      </c>
      <c r="N449" s="1">
        <v>19059</v>
      </c>
      <c r="O449" s="2" t="s">
        <v>463</v>
      </c>
      <c r="P449" s="2" t="s">
        <v>48</v>
      </c>
      <c r="Q449" s="2" t="s">
        <v>463</v>
      </c>
      <c r="R449" s="2" t="s">
        <v>96</v>
      </c>
      <c r="S449" s="2" t="s">
        <v>96</v>
      </c>
      <c r="T449" s="1">
        <v>8982</v>
      </c>
      <c r="U449" s="2" t="s">
        <v>51</v>
      </c>
      <c r="V449" s="1">
        <v>1735</v>
      </c>
      <c r="W449" s="1">
        <v>1795</v>
      </c>
      <c r="X449" s="2" t="s">
        <v>503</v>
      </c>
      <c r="Y449" s="2" t="s">
        <v>472</v>
      </c>
      <c r="Z449" s="2" t="s">
        <v>2245</v>
      </c>
      <c r="AA449" s="2" t="s">
        <v>1244</v>
      </c>
      <c r="AB449" s="1">
        <v>10077</v>
      </c>
      <c r="AC449" s="1">
        <v>5769</v>
      </c>
      <c r="AD449" s="1">
        <v>2358</v>
      </c>
      <c r="AE449" s="1">
        <v>694</v>
      </c>
      <c r="AF449" s="1">
        <v>147</v>
      </c>
      <c r="AG449" s="1">
        <v>14</v>
      </c>
      <c r="AH449" s="1">
        <v>9374</v>
      </c>
      <c r="AI449" s="1">
        <v>474</v>
      </c>
      <c r="AJ449" s="1">
        <v>1024</v>
      </c>
      <c r="AK449" s="1">
        <v>2261</v>
      </c>
      <c r="AL449" s="1">
        <v>101</v>
      </c>
      <c r="AM449" s="1">
        <v>12</v>
      </c>
      <c r="AN449" s="2">
        <v>1</v>
      </c>
    </row>
    <row r="450" spans="1:40" ht="28.2" x14ac:dyDescent="0.3">
      <c r="A450" s="1">
        <v>1883</v>
      </c>
      <c r="B450" s="2" t="s">
        <v>2246</v>
      </c>
      <c r="C450" s="2" t="s">
        <v>2247</v>
      </c>
      <c r="D450" s="1">
        <v>28</v>
      </c>
      <c r="E450" s="2" t="s">
        <v>196</v>
      </c>
      <c r="F450" s="50" t="s">
        <v>3514</v>
      </c>
      <c r="G450" s="2" t="s">
        <v>2248</v>
      </c>
      <c r="H450" s="1">
        <v>10395</v>
      </c>
      <c r="I450" s="1">
        <v>10029</v>
      </c>
      <c r="J450" s="2" t="s">
        <v>2249</v>
      </c>
      <c r="K450" s="2" t="s">
        <v>2250</v>
      </c>
      <c r="L450" s="2" t="s">
        <v>398</v>
      </c>
      <c r="M450" s="1">
        <v>589</v>
      </c>
      <c r="N450" s="1">
        <v>15307</v>
      </c>
      <c r="O450" s="2" t="s">
        <v>167</v>
      </c>
      <c r="P450" s="2" t="s">
        <v>235</v>
      </c>
      <c r="Q450" s="2" t="s">
        <v>322</v>
      </c>
      <c r="R450" s="2" t="s">
        <v>96</v>
      </c>
      <c r="S450" s="2" t="s">
        <v>50</v>
      </c>
      <c r="T450" s="1">
        <v>7188</v>
      </c>
      <c r="U450" s="2" t="s">
        <v>51</v>
      </c>
      <c r="V450" s="1">
        <v>1352</v>
      </c>
      <c r="W450" s="1">
        <v>1374</v>
      </c>
      <c r="X450" s="2" t="s">
        <v>245</v>
      </c>
      <c r="Y450" s="2" t="s">
        <v>472</v>
      </c>
      <c r="Z450" s="2" t="s">
        <v>286</v>
      </c>
      <c r="AA450" s="2" t="s">
        <v>518</v>
      </c>
      <c r="AB450" s="1">
        <v>8119</v>
      </c>
      <c r="AC450" s="1">
        <v>4701</v>
      </c>
      <c r="AD450" s="1">
        <v>1868</v>
      </c>
      <c r="AE450" s="1">
        <v>522</v>
      </c>
      <c r="AF450" s="1">
        <v>93</v>
      </c>
      <c r="AG450" s="1">
        <v>4</v>
      </c>
      <c r="AH450" s="1">
        <v>8082</v>
      </c>
      <c r="AI450" s="1">
        <v>62</v>
      </c>
      <c r="AJ450" s="1">
        <v>369</v>
      </c>
      <c r="AK450" s="1">
        <v>1733</v>
      </c>
      <c r="AL450" s="1">
        <v>133</v>
      </c>
      <c r="AM450" s="1">
        <v>38</v>
      </c>
      <c r="AN450" s="2">
        <v>1</v>
      </c>
    </row>
    <row r="451" spans="1:40" ht="28.2" x14ac:dyDescent="0.3">
      <c r="A451" s="1">
        <v>11238</v>
      </c>
      <c r="B451" s="2" t="s">
        <v>2251</v>
      </c>
      <c r="C451" s="2" t="s">
        <v>2252</v>
      </c>
      <c r="D451" s="1">
        <v>23</v>
      </c>
      <c r="E451" s="2" t="s">
        <v>459</v>
      </c>
      <c r="F451" s="50" t="s">
        <v>3514</v>
      </c>
      <c r="G451" s="2" t="s">
        <v>2253</v>
      </c>
      <c r="H451" s="1">
        <v>8738</v>
      </c>
      <c r="I451" s="1">
        <v>8790</v>
      </c>
      <c r="J451" s="2" t="s">
        <v>2254</v>
      </c>
      <c r="K451" s="2" t="s">
        <v>2171</v>
      </c>
      <c r="L451" s="2" t="s">
        <v>313</v>
      </c>
      <c r="M451" s="1">
        <v>473</v>
      </c>
      <c r="N451" s="1">
        <v>12356</v>
      </c>
      <c r="O451" s="2" t="s">
        <v>646</v>
      </c>
      <c r="P451" s="2" t="s">
        <v>96</v>
      </c>
      <c r="Q451" s="2" t="s">
        <v>646</v>
      </c>
      <c r="R451" s="2" t="s">
        <v>50</v>
      </c>
      <c r="S451" s="2" t="s">
        <v>50</v>
      </c>
      <c r="T451" s="1">
        <v>5863</v>
      </c>
      <c r="U451" s="2" t="s">
        <v>51</v>
      </c>
      <c r="V451" s="1">
        <v>1737</v>
      </c>
      <c r="W451" s="1">
        <v>1547</v>
      </c>
      <c r="X451" s="2" t="s">
        <v>370</v>
      </c>
      <c r="Y451" s="2" t="s">
        <v>206</v>
      </c>
      <c r="Z451" s="2" t="s">
        <v>2130</v>
      </c>
      <c r="AA451" s="2" t="s">
        <v>2255</v>
      </c>
      <c r="AB451" s="1">
        <v>6493</v>
      </c>
      <c r="AC451" s="1">
        <v>3718</v>
      </c>
      <c r="AD451" s="1">
        <v>1532</v>
      </c>
      <c r="AE451" s="1">
        <v>505</v>
      </c>
      <c r="AF451" s="1">
        <v>99</v>
      </c>
      <c r="AG451" s="1">
        <v>9</v>
      </c>
      <c r="AH451" s="1">
        <v>2379</v>
      </c>
      <c r="AI451" s="1">
        <v>4372</v>
      </c>
      <c r="AJ451" s="1">
        <v>365</v>
      </c>
      <c r="AK451" s="1">
        <v>1578</v>
      </c>
      <c r="AL451" s="1">
        <v>55</v>
      </c>
      <c r="AM451" s="1">
        <v>12</v>
      </c>
      <c r="AN451" s="2" t="s">
        <v>407</v>
      </c>
    </row>
    <row r="452" spans="1:40" ht="28.2" x14ac:dyDescent="0.3">
      <c r="A452" s="1">
        <v>8724</v>
      </c>
      <c r="B452" s="2" t="s">
        <v>2256</v>
      </c>
      <c r="C452" s="2" t="s">
        <v>2257</v>
      </c>
      <c r="D452" s="1">
        <v>29</v>
      </c>
      <c r="E452" s="2" t="s">
        <v>75</v>
      </c>
      <c r="F452" s="50" t="s">
        <v>3514</v>
      </c>
      <c r="G452" s="2" t="s">
        <v>2258</v>
      </c>
      <c r="H452" s="1">
        <v>11017</v>
      </c>
      <c r="I452" s="1">
        <v>10794</v>
      </c>
      <c r="J452" s="2" t="s">
        <v>2259</v>
      </c>
      <c r="K452" s="2" t="s">
        <v>1550</v>
      </c>
      <c r="L452" s="2" t="s">
        <v>487</v>
      </c>
      <c r="M452" s="1">
        <v>623</v>
      </c>
      <c r="N452" s="1">
        <v>16179</v>
      </c>
      <c r="O452" s="2" t="s">
        <v>167</v>
      </c>
      <c r="P452" s="2" t="s">
        <v>96</v>
      </c>
      <c r="Q452" s="2" t="s">
        <v>225</v>
      </c>
      <c r="R452" s="2" t="s">
        <v>66</v>
      </c>
      <c r="S452" s="2" t="s">
        <v>135</v>
      </c>
      <c r="T452" s="1">
        <v>7466</v>
      </c>
      <c r="U452" s="2" t="s">
        <v>51</v>
      </c>
      <c r="V452" s="1">
        <v>2247</v>
      </c>
      <c r="W452" s="1">
        <v>1858</v>
      </c>
      <c r="X452" s="2" t="s">
        <v>136</v>
      </c>
      <c r="Y452" s="2" t="s">
        <v>172</v>
      </c>
      <c r="Z452" s="2" t="s">
        <v>217</v>
      </c>
      <c r="AA452" s="2" t="s">
        <v>1364</v>
      </c>
      <c r="AB452" s="1">
        <v>8713</v>
      </c>
      <c r="AC452" s="1">
        <v>4715</v>
      </c>
      <c r="AD452" s="1">
        <v>2072</v>
      </c>
      <c r="AE452" s="1">
        <v>569</v>
      </c>
      <c r="AF452" s="1">
        <v>99</v>
      </c>
      <c r="AG452" s="1">
        <v>11</v>
      </c>
      <c r="AH452" s="1">
        <v>1576</v>
      </c>
      <c r="AI452" s="1">
        <v>7031</v>
      </c>
      <c r="AJ452" s="1">
        <v>601</v>
      </c>
      <c r="AK452" s="1">
        <v>1708</v>
      </c>
      <c r="AL452" s="1">
        <v>90</v>
      </c>
      <c r="AM452" s="1">
        <v>23</v>
      </c>
      <c r="AN452" s="2">
        <v>1</v>
      </c>
    </row>
    <row r="453" spans="1:40" ht="28.2" x14ac:dyDescent="0.3">
      <c r="A453" s="1">
        <v>11329</v>
      </c>
      <c r="B453" s="2" t="s">
        <v>2260</v>
      </c>
      <c r="C453" s="2" t="s">
        <v>2261</v>
      </c>
      <c r="D453" s="1">
        <v>22</v>
      </c>
      <c r="E453" s="2" t="s">
        <v>104</v>
      </c>
      <c r="F453" s="50" t="s">
        <v>250</v>
      </c>
      <c r="G453" s="2" t="s">
        <v>2262</v>
      </c>
      <c r="H453" s="1">
        <v>10622</v>
      </c>
      <c r="I453" s="1">
        <v>10591</v>
      </c>
      <c r="J453" s="2" t="s">
        <v>448</v>
      </c>
      <c r="K453" s="2" t="s">
        <v>531</v>
      </c>
      <c r="L453" s="2" t="s">
        <v>224</v>
      </c>
      <c r="M453" s="1">
        <v>597</v>
      </c>
      <c r="N453" s="1">
        <v>15378</v>
      </c>
      <c r="O453" s="2" t="s">
        <v>463</v>
      </c>
      <c r="P453" s="2" t="s">
        <v>202</v>
      </c>
      <c r="Q453" s="2" t="s">
        <v>463</v>
      </c>
      <c r="R453" s="2" t="s">
        <v>67</v>
      </c>
      <c r="S453" s="2" t="s">
        <v>50</v>
      </c>
      <c r="T453" s="1">
        <v>7158</v>
      </c>
      <c r="U453" s="2" t="s">
        <v>51</v>
      </c>
      <c r="V453" s="1">
        <v>1828</v>
      </c>
      <c r="W453" s="1">
        <v>1969</v>
      </c>
      <c r="X453" s="2" t="s">
        <v>950</v>
      </c>
      <c r="Y453" s="2" t="s">
        <v>304</v>
      </c>
      <c r="Z453" s="2" t="s">
        <v>932</v>
      </c>
      <c r="AA453" s="2" t="s">
        <v>1385</v>
      </c>
      <c r="AB453" s="1">
        <v>8220</v>
      </c>
      <c r="AC453" s="1">
        <v>4575</v>
      </c>
      <c r="AD453" s="1">
        <v>1848</v>
      </c>
      <c r="AE453" s="1">
        <v>603</v>
      </c>
      <c r="AF453" s="1">
        <v>118</v>
      </c>
      <c r="AG453" s="1">
        <v>14</v>
      </c>
      <c r="AH453" s="1">
        <v>7972</v>
      </c>
      <c r="AI453" s="1">
        <v>166</v>
      </c>
      <c r="AJ453" s="1">
        <v>554</v>
      </c>
      <c r="AK453" s="1">
        <v>1700</v>
      </c>
      <c r="AL453" s="1">
        <v>155</v>
      </c>
      <c r="AM453" s="1">
        <v>106</v>
      </c>
      <c r="AN453" s="2" t="s">
        <v>464</v>
      </c>
    </row>
    <row r="454" spans="1:40" x14ac:dyDescent="0.3">
      <c r="A454" s="1">
        <v>483</v>
      </c>
      <c r="B454" s="2" t="s">
        <v>2263</v>
      </c>
      <c r="C454" s="2" t="s">
        <v>2264</v>
      </c>
      <c r="D454" s="1">
        <v>34</v>
      </c>
      <c r="E454" s="2" t="s">
        <v>59</v>
      </c>
      <c r="F454" s="50" t="s">
        <v>1880</v>
      </c>
      <c r="G454" s="2" t="s">
        <v>60</v>
      </c>
      <c r="H454" s="1">
        <v>26743</v>
      </c>
      <c r="I454" s="1">
        <v>26057</v>
      </c>
      <c r="J454" s="2" t="s">
        <v>1182</v>
      </c>
      <c r="K454" s="2">
        <v>72</v>
      </c>
      <c r="L454" s="2" t="s">
        <v>122</v>
      </c>
      <c r="M454" s="1">
        <v>1477</v>
      </c>
      <c r="N454" s="1">
        <v>38889</v>
      </c>
      <c r="O454" s="2" t="s">
        <v>463</v>
      </c>
      <c r="P454" s="2" t="s">
        <v>202</v>
      </c>
      <c r="Q454" s="2" t="s">
        <v>225</v>
      </c>
      <c r="R454" s="2" t="s">
        <v>96</v>
      </c>
      <c r="S454" s="2" t="s">
        <v>96</v>
      </c>
      <c r="T454" s="1">
        <v>18270</v>
      </c>
      <c r="U454" s="2" t="s">
        <v>51</v>
      </c>
      <c r="V454" s="1">
        <v>3760</v>
      </c>
      <c r="W454" s="1">
        <v>3927</v>
      </c>
      <c r="X454" s="2" t="s">
        <v>472</v>
      </c>
      <c r="Y454" s="2" t="s">
        <v>245</v>
      </c>
      <c r="Z454" s="2" t="s">
        <v>170</v>
      </c>
      <c r="AA454" s="2" t="s">
        <v>739</v>
      </c>
      <c r="AB454" s="1">
        <v>20619</v>
      </c>
      <c r="AC454" s="1">
        <v>11724</v>
      </c>
      <c r="AD454" s="1">
        <v>4956</v>
      </c>
      <c r="AE454" s="1">
        <v>1334</v>
      </c>
      <c r="AF454" s="1">
        <v>238</v>
      </c>
      <c r="AG454" s="1">
        <v>18</v>
      </c>
      <c r="AH454" s="1">
        <v>19786</v>
      </c>
      <c r="AI454" s="1">
        <v>627</v>
      </c>
      <c r="AJ454" s="1">
        <v>1557</v>
      </c>
      <c r="AK454" s="1">
        <v>4391</v>
      </c>
      <c r="AL454" s="1">
        <v>231</v>
      </c>
      <c r="AM454" s="1">
        <v>178</v>
      </c>
      <c r="AN454" s="2">
        <v>1</v>
      </c>
    </row>
    <row r="455" spans="1:40" x14ac:dyDescent="0.3">
      <c r="A455" s="1">
        <v>9245</v>
      </c>
      <c r="B455" s="2" t="s">
        <v>2265</v>
      </c>
      <c r="C455" s="2" t="s">
        <v>2266</v>
      </c>
      <c r="D455" s="1">
        <v>28</v>
      </c>
      <c r="E455" s="2" t="s">
        <v>403</v>
      </c>
      <c r="F455" s="50" t="s">
        <v>2267</v>
      </c>
      <c r="G455" s="2" t="s">
        <v>904</v>
      </c>
      <c r="H455" s="1">
        <v>8757</v>
      </c>
      <c r="I455" s="1">
        <v>8659</v>
      </c>
      <c r="J455" s="2" t="s">
        <v>2166</v>
      </c>
      <c r="K455" s="2" t="s">
        <v>1183</v>
      </c>
      <c r="L455" s="2" t="s">
        <v>541</v>
      </c>
      <c r="M455" s="1">
        <v>488</v>
      </c>
      <c r="N455" s="1">
        <v>12467</v>
      </c>
      <c r="O455" s="2" t="s">
        <v>905</v>
      </c>
      <c r="P455" s="2" t="s">
        <v>235</v>
      </c>
      <c r="Q455" s="2" t="s">
        <v>463</v>
      </c>
      <c r="R455" s="2" t="s">
        <v>50</v>
      </c>
      <c r="S455" s="2" t="s">
        <v>67</v>
      </c>
      <c r="T455" s="1">
        <v>5981</v>
      </c>
      <c r="U455" s="2" t="s">
        <v>51</v>
      </c>
      <c r="V455" s="1">
        <v>1109</v>
      </c>
      <c r="W455" s="1">
        <v>1080</v>
      </c>
      <c r="X455" s="2" t="s">
        <v>412</v>
      </c>
      <c r="Y455" s="2" t="s">
        <v>503</v>
      </c>
      <c r="Z455" s="2" t="s">
        <v>286</v>
      </c>
      <c r="AA455" s="2" t="s">
        <v>1101</v>
      </c>
      <c r="AB455" s="1">
        <v>6486</v>
      </c>
      <c r="AC455" s="1">
        <v>3862</v>
      </c>
      <c r="AD455" s="1">
        <v>1551</v>
      </c>
      <c r="AE455" s="1">
        <v>487</v>
      </c>
      <c r="AF455" s="1">
        <v>73</v>
      </c>
      <c r="AG455" s="1">
        <v>8</v>
      </c>
      <c r="AH455" s="1">
        <v>6618</v>
      </c>
      <c r="AI455" s="1">
        <v>61</v>
      </c>
      <c r="AJ455" s="1">
        <v>387</v>
      </c>
      <c r="AK455" s="1">
        <v>1602</v>
      </c>
      <c r="AL455" s="1">
        <v>86</v>
      </c>
      <c r="AM455" s="1">
        <v>26</v>
      </c>
      <c r="AN455" s="2">
        <v>1</v>
      </c>
    </row>
    <row r="456" spans="1:40" x14ac:dyDescent="0.3">
      <c r="A456" s="1">
        <v>8347</v>
      </c>
      <c r="B456" s="2" t="s">
        <v>2268</v>
      </c>
      <c r="C456" s="2" t="s">
        <v>2269</v>
      </c>
      <c r="D456" s="1">
        <v>33</v>
      </c>
      <c r="E456" s="2" t="s">
        <v>459</v>
      </c>
      <c r="F456" s="50" t="s">
        <v>3514</v>
      </c>
      <c r="G456" s="2" t="s">
        <v>2270</v>
      </c>
      <c r="H456" s="1">
        <v>13273</v>
      </c>
      <c r="I456" s="1">
        <v>13354</v>
      </c>
      <c r="J456" s="2" t="s">
        <v>1431</v>
      </c>
      <c r="K456" s="2" t="s">
        <v>843</v>
      </c>
      <c r="L456" s="2" t="s">
        <v>398</v>
      </c>
      <c r="M456" s="1">
        <v>736</v>
      </c>
      <c r="N456" s="1">
        <v>19138</v>
      </c>
      <c r="O456" s="2" t="s">
        <v>463</v>
      </c>
      <c r="P456" s="2" t="s">
        <v>166</v>
      </c>
      <c r="Q456" s="2" t="s">
        <v>905</v>
      </c>
      <c r="R456" s="2" t="s">
        <v>96</v>
      </c>
      <c r="S456" s="2" t="s">
        <v>66</v>
      </c>
      <c r="T456" s="1">
        <v>8849</v>
      </c>
      <c r="U456" s="2" t="s">
        <v>51</v>
      </c>
      <c r="V456" s="1">
        <v>2127</v>
      </c>
      <c r="W456" s="1">
        <v>2285</v>
      </c>
      <c r="X456" s="2" t="s">
        <v>950</v>
      </c>
      <c r="Y456" s="2" t="s">
        <v>449</v>
      </c>
      <c r="Z456" s="2" t="s">
        <v>705</v>
      </c>
      <c r="AA456" s="2" t="s">
        <v>436</v>
      </c>
      <c r="AB456" s="1">
        <v>10289</v>
      </c>
      <c r="AC456" s="1">
        <v>5567</v>
      </c>
      <c r="AD456" s="1">
        <v>2354</v>
      </c>
      <c r="AE456" s="1">
        <v>752</v>
      </c>
      <c r="AF456" s="1">
        <v>154</v>
      </c>
      <c r="AG456" s="1">
        <v>22</v>
      </c>
      <c r="AH456" s="1">
        <v>9603</v>
      </c>
      <c r="AI456" s="1">
        <v>434</v>
      </c>
      <c r="AJ456" s="1">
        <v>522</v>
      </c>
      <c r="AK456" s="1">
        <v>2405</v>
      </c>
      <c r="AL456" s="1">
        <v>200</v>
      </c>
      <c r="AM456" s="1">
        <v>123</v>
      </c>
      <c r="AN456" s="2">
        <v>1</v>
      </c>
    </row>
    <row r="457" spans="1:40" x14ac:dyDescent="0.3">
      <c r="A457" s="1">
        <v>11574</v>
      </c>
      <c r="B457" s="2" t="s">
        <v>2271</v>
      </c>
      <c r="C457" s="2" t="s">
        <v>2272</v>
      </c>
      <c r="D457" s="1">
        <v>32</v>
      </c>
      <c r="E457" s="2" t="s">
        <v>209</v>
      </c>
      <c r="F457" s="50" t="s">
        <v>1707</v>
      </c>
      <c r="G457" s="2" t="s">
        <v>2273</v>
      </c>
      <c r="H457" s="1">
        <v>15686</v>
      </c>
      <c r="I457" s="1">
        <v>15651</v>
      </c>
      <c r="J457" s="2" t="s">
        <v>1882</v>
      </c>
      <c r="K457" s="2">
        <v>80</v>
      </c>
      <c r="L457" s="2" t="s">
        <v>658</v>
      </c>
      <c r="M457" s="1">
        <v>847</v>
      </c>
      <c r="N457" s="1">
        <v>22333</v>
      </c>
      <c r="O457" s="2" t="s">
        <v>905</v>
      </c>
      <c r="P457" s="2" t="s">
        <v>553</v>
      </c>
      <c r="Q457" s="2" t="s">
        <v>905</v>
      </c>
      <c r="R457" s="2" t="s">
        <v>67</v>
      </c>
      <c r="S457" s="2" t="s">
        <v>50</v>
      </c>
      <c r="T457" s="1">
        <v>10605</v>
      </c>
      <c r="U457" s="2" t="s">
        <v>51</v>
      </c>
      <c r="V457" s="1">
        <v>2494</v>
      </c>
      <c r="W457" s="1">
        <v>2351</v>
      </c>
      <c r="X457" s="2" t="s">
        <v>590</v>
      </c>
      <c r="Y457" s="2" t="s">
        <v>304</v>
      </c>
      <c r="Z457" s="2" t="s">
        <v>383</v>
      </c>
      <c r="AA457" s="2" t="s">
        <v>436</v>
      </c>
      <c r="AB457" s="1">
        <v>11728</v>
      </c>
      <c r="AC457" s="1">
        <v>6742</v>
      </c>
      <c r="AD457" s="1">
        <v>2844</v>
      </c>
      <c r="AE457" s="1">
        <v>837</v>
      </c>
      <c r="AF457" s="1">
        <v>165</v>
      </c>
      <c r="AG457" s="1">
        <v>17</v>
      </c>
      <c r="AH457" s="1">
        <v>10721</v>
      </c>
      <c r="AI457" s="1">
        <v>722</v>
      </c>
      <c r="AJ457" s="1">
        <v>1182</v>
      </c>
      <c r="AK457" s="1">
        <v>2793</v>
      </c>
      <c r="AL457" s="1">
        <v>245</v>
      </c>
      <c r="AM457" s="1">
        <v>50</v>
      </c>
      <c r="AN457" s="2" t="s">
        <v>277</v>
      </c>
    </row>
    <row r="458" spans="1:40" x14ac:dyDescent="0.3">
      <c r="A458" s="1">
        <v>147</v>
      </c>
      <c r="B458" s="2" t="s">
        <v>2274</v>
      </c>
      <c r="C458" s="2" t="s">
        <v>2275</v>
      </c>
      <c r="D458" s="1">
        <v>31</v>
      </c>
      <c r="E458" s="2" t="s">
        <v>42</v>
      </c>
      <c r="F458" s="50" t="s">
        <v>2276</v>
      </c>
      <c r="G458" s="2" t="s">
        <v>2277</v>
      </c>
      <c r="H458" s="1">
        <v>18867</v>
      </c>
      <c r="I458" s="1">
        <v>17915</v>
      </c>
      <c r="J458" s="2" t="s">
        <v>2278</v>
      </c>
      <c r="K458" s="2" t="s">
        <v>2067</v>
      </c>
      <c r="L458" s="2" t="s">
        <v>179</v>
      </c>
      <c r="M458" s="1">
        <v>1087</v>
      </c>
      <c r="N458" s="1">
        <v>28664</v>
      </c>
      <c r="O458" s="2" t="s">
        <v>322</v>
      </c>
      <c r="P458" s="2" t="s">
        <v>67</v>
      </c>
      <c r="Q458" s="2" t="s">
        <v>144</v>
      </c>
      <c r="R458" s="2" t="s">
        <v>96</v>
      </c>
      <c r="S458" s="2" t="s">
        <v>50</v>
      </c>
      <c r="T458" s="1">
        <v>13166</v>
      </c>
      <c r="U458" s="2" t="s">
        <v>51</v>
      </c>
      <c r="V458" s="1">
        <v>2502</v>
      </c>
      <c r="W458" s="1">
        <v>2160</v>
      </c>
      <c r="X458" s="2" t="s">
        <v>206</v>
      </c>
      <c r="Y458" s="2" t="s">
        <v>245</v>
      </c>
      <c r="Z458" s="2" t="s">
        <v>821</v>
      </c>
      <c r="AA458" s="2" t="s">
        <v>518</v>
      </c>
      <c r="AB458" s="1">
        <v>15498</v>
      </c>
      <c r="AC458" s="1">
        <v>8715</v>
      </c>
      <c r="AD458" s="1">
        <v>3361</v>
      </c>
      <c r="AE458" s="1">
        <v>940</v>
      </c>
      <c r="AF458" s="1">
        <v>140</v>
      </c>
      <c r="AG458" s="1">
        <v>10</v>
      </c>
      <c r="AH458" s="1">
        <v>8126</v>
      </c>
      <c r="AI458" s="1">
        <v>6032</v>
      </c>
      <c r="AJ458" s="1">
        <v>854</v>
      </c>
      <c r="AK458" s="1">
        <v>3695</v>
      </c>
      <c r="AL458" s="1">
        <v>171</v>
      </c>
      <c r="AM458" s="1">
        <v>47</v>
      </c>
      <c r="AN458" s="2">
        <v>1</v>
      </c>
    </row>
    <row r="459" spans="1:40" ht="28.2" x14ac:dyDescent="0.3">
      <c r="A459" s="1">
        <v>11515</v>
      </c>
      <c r="B459" s="2" t="s">
        <v>2279</v>
      </c>
      <c r="C459" s="2" t="s">
        <v>2280</v>
      </c>
      <c r="D459" s="1">
        <v>25</v>
      </c>
      <c r="E459" s="2" t="s">
        <v>59</v>
      </c>
      <c r="F459" s="50" t="s">
        <v>1699</v>
      </c>
      <c r="G459" s="2" t="s">
        <v>2281</v>
      </c>
      <c r="H459" s="1">
        <v>10785</v>
      </c>
      <c r="I459" s="1">
        <v>10728</v>
      </c>
      <c r="J459" s="2" t="s">
        <v>2082</v>
      </c>
      <c r="K459" s="2" t="s">
        <v>723</v>
      </c>
      <c r="L459" s="2" t="s">
        <v>425</v>
      </c>
      <c r="M459" s="1">
        <v>598</v>
      </c>
      <c r="N459" s="1">
        <v>15627</v>
      </c>
      <c r="O459" s="2" t="s">
        <v>463</v>
      </c>
      <c r="P459" s="2" t="s">
        <v>202</v>
      </c>
      <c r="Q459" s="2" t="s">
        <v>463</v>
      </c>
      <c r="R459" s="2" t="s">
        <v>50</v>
      </c>
      <c r="S459" s="2" t="s">
        <v>67</v>
      </c>
      <c r="T459" s="1">
        <v>7316</v>
      </c>
      <c r="U459" s="2" t="s">
        <v>51</v>
      </c>
      <c r="V459" s="1">
        <v>1522</v>
      </c>
      <c r="W459" s="1">
        <v>1482</v>
      </c>
      <c r="X459" s="2" t="s">
        <v>412</v>
      </c>
      <c r="Y459" s="2">
        <v>1</v>
      </c>
      <c r="Z459" s="2" t="s">
        <v>1327</v>
      </c>
      <c r="AA459" s="2" t="s">
        <v>724</v>
      </c>
      <c r="AB459" s="1">
        <v>8311</v>
      </c>
      <c r="AC459" s="1">
        <v>4710</v>
      </c>
      <c r="AD459" s="1">
        <v>1905</v>
      </c>
      <c r="AE459" s="1">
        <v>557</v>
      </c>
      <c r="AF459" s="1">
        <v>126</v>
      </c>
      <c r="AG459" s="1">
        <v>18</v>
      </c>
      <c r="AH459" s="1">
        <v>7491</v>
      </c>
      <c r="AI459" s="1">
        <v>618</v>
      </c>
      <c r="AJ459" s="1">
        <v>509</v>
      </c>
      <c r="AK459" s="1">
        <v>2103</v>
      </c>
      <c r="AL459" s="1">
        <v>63</v>
      </c>
      <c r="AM459" s="1">
        <v>34</v>
      </c>
      <c r="AN459" s="2" t="s">
        <v>304</v>
      </c>
    </row>
    <row r="460" spans="1:40" ht="28.2" x14ac:dyDescent="0.3">
      <c r="A460" s="1">
        <v>14205</v>
      </c>
      <c r="B460" s="2" t="s">
        <v>2282</v>
      </c>
      <c r="C460" s="2" t="s">
        <v>2283</v>
      </c>
      <c r="D460" s="1">
        <v>20</v>
      </c>
      <c r="E460" s="2" t="s">
        <v>1033</v>
      </c>
      <c r="F460" s="50" t="s">
        <v>2284</v>
      </c>
      <c r="G460" s="2" t="s">
        <v>2285</v>
      </c>
      <c r="H460" s="1">
        <v>9436</v>
      </c>
      <c r="I460" s="1">
        <v>9215</v>
      </c>
      <c r="J460" s="2" t="s">
        <v>1431</v>
      </c>
      <c r="K460" s="2" t="s">
        <v>2250</v>
      </c>
      <c r="L460" s="2">
        <v>3</v>
      </c>
      <c r="M460" s="1">
        <v>527</v>
      </c>
      <c r="N460" s="1">
        <v>13874</v>
      </c>
      <c r="O460" s="2" t="s">
        <v>167</v>
      </c>
      <c r="P460" s="2" t="s">
        <v>48</v>
      </c>
      <c r="Q460" s="2" t="s">
        <v>322</v>
      </c>
      <c r="R460" s="2" t="s">
        <v>96</v>
      </c>
      <c r="S460" s="2" t="s">
        <v>50</v>
      </c>
      <c r="T460" s="1">
        <v>6474</v>
      </c>
      <c r="U460" s="2" t="s">
        <v>51</v>
      </c>
      <c r="V460" s="1">
        <v>1102</v>
      </c>
      <c r="W460" s="1">
        <v>1235</v>
      </c>
      <c r="X460" s="2" t="s">
        <v>1551</v>
      </c>
      <c r="Y460" s="2" t="s">
        <v>1314</v>
      </c>
      <c r="Z460" s="2" t="s">
        <v>1020</v>
      </c>
      <c r="AA460" s="2" t="s">
        <v>287</v>
      </c>
      <c r="AB460" s="1">
        <v>7400</v>
      </c>
      <c r="AC460" s="1">
        <v>4208</v>
      </c>
      <c r="AD460" s="1">
        <v>1674</v>
      </c>
      <c r="AE460" s="1">
        <v>494</v>
      </c>
      <c r="AF460" s="1">
        <v>92</v>
      </c>
      <c r="AG460" s="1">
        <v>6</v>
      </c>
      <c r="AH460" s="1">
        <v>6743</v>
      </c>
      <c r="AI460" s="1">
        <v>325</v>
      </c>
      <c r="AJ460" s="1">
        <v>602</v>
      </c>
      <c r="AK460" s="1">
        <v>1624</v>
      </c>
      <c r="AL460" s="1">
        <v>91</v>
      </c>
      <c r="AM460" s="1">
        <v>74</v>
      </c>
      <c r="AN460" s="2" t="s">
        <v>407</v>
      </c>
    </row>
    <row r="461" spans="1:40" x14ac:dyDescent="0.3">
      <c r="A461" s="1">
        <v>13240</v>
      </c>
      <c r="B461" s="2" t="s">
        <v>2286</v>
      </c>
      <c r="C461" s="2" t="s">
        <v>2287</v>
      </c>
      <c r="D461" s="1">
        <v>22</v>
      </c>
      <c r="E461" s="2" t="s">
        <v>1144</v>
      </c>
      <c r="F461" s="50" t="s">
        <v>3514</v>
      </c>
      <c r="G461" s="2" t="s">
        <v>2288</v>
      </c>
      <c r="H461" s="1">
        <v>16518</v>
      </c>
      <c r="I461" s="1">
        <v>16449</v>
      </c>
      <c r="J461" s="2" t="s">
        <v>1933</v>
      </c>
      <c r="K461" s="2" t="s">
        <v>624</v>
      </c>
      <c r="L461" s="2" t="s">
        <v>179</v>
      </c>
      <c r="M461" s="1">
        <v>902</v>
      </c>
      <c r="N461" s="1">
        <v>24117</v>
      </c>
      <c r="O461" s="2" t="s">
        <v>167</v>
      </c>
      <c r="P461" s="2" t="s">
        <v>202</v>
      </c>
      <c r="Q461" s="2" t="s">
        <v>167</v>
      </c>
      <c r="R461" s="2" t="s">
        <v>96</v>
      </c>
      <c r="S461" s="2" t="s">
        <v>96</v>
      </c>
      <c r="T461" s="1">
        <v>11134</v>
      </c>
      <c r="U461" s="2" t="s">
        <v>51</v>
      </c>
      <c r="V461" s="1">
        <v>2600</v>
      </c>
      <c r="W461" s="1">
        <v>2896</v>
      </c>
      <c r="X461" s="2" t="s">
        <v>1906</v>
      </c>
      <c r="Y461" s="2" t="s">
        <v>255</v>
      </c>
      <c r="Z461" s="2" t="s">
        <v>705</v>
      </c>
      <c r="AA461" s="2" t="s">
        <v>844</v>
      </c>
      <c r="AB461" s="1">
        <v>12983</v>
      </c>
      <c r="AC461" s="1">
        <v>7105</v>
      </c>
      <c r="AD461" s="1">
        <v>2904</v>
      </c>
      <c r="AE461" s="1">
        <v>915</v>
      </c>
      <c r="AF461" s="1">
        <v>190</v>
      </c>
      <c r="AG461" s="1">
        <v>20</v>
      </c>
      <c r="AH461" s="1">
        <v>11530</v>
      </c>
      <c r="AI461" s="1">
        <v>1025</v>
      </c>
      <c r="AJ461" s="1">
        <v>1165</v>
      </c>
      <c r="AK461" s="1">
        <v>2650</v>
      </c>
      <c r="AL461" s="1">
        <v>143</v>
      </c>
      <c r="AM461" s="1">
        <v>55</v>
      </c>
      <c r="AN461" s="2" t="s">
        <v>407</v>
      </c>
    </row>
    <row r="462" spans="1:40" ht="42" x14ac:dyDescent="0.3">
      <c r="A462" s="1">
        <v>10764</v>
      </c>
      <c r="B462" s="2" t="s">
        <v>2289</v>
      </c>
      <c r="C462" s="2" t="s">
        <v>2290</v>
      </c>
      <c r="D462" s="1">
        <v>28</v>
      </c>
      <c r="E462" s="2" t="s">
        <v>477</v>
      </c>
      <c r="F462" s="50" t="s">
        <v>3514</v>
      </c>
      <c r="G462" s="2" t="s">
        <v>2291</v>
      </c>
      <c r="H462" s="1">
        <v>7029</v>
      </c>
      <c r="I462" s="1">
        <v>6866</v>
      </c>
      <c r="J462" s="2" t="s">
        <v>737</v>
      </c>
      <c r="K462" s="2" t="s">
        <v>1057</v>
      </c>
      <c r="L462" s="2" t="s">
        <v>201</v>
      </c>
      <c r="M462" s="1">
        <v>404</v>
      </c>
      <c r="N462" s="1">
        <v>10342</v>
      </c>
      <c r="O462" s="2" t="s">
        <v>167</v>
      </c>
      <c r="P462" s="2" t="s">
        <v>166</v>
      </c>
      <c r="Q462" s="2" t="s">
        <v>322</v>
      </c>
      <c r="R462" s="2" t="s">
        <v>50</v>
      </c>
      <c r="S462" s="2" t="s">
        <v>50</v>
      </c>
      <c r="T462" s="1">
        <v>4827</v>
      </c>
      <c r="U462" s="2" t="s">
        <v>51</v>
      </c>
      <c r="V462" s="1">
        <v>915</v>
      </c>
      <c r="W462" s="1">
        <v>1021</v>
      </c>
      <c r="X462" s="2" t="s">
        <v>1906</v>
      </c>
      <c r="Y462" s="2" t="s">
        <v>1570</v>
      </c>
      <c r="Z462" s="2" t="s">
        <v>517</v>
      </c>
      <c r="AA462" s="2" t="s">
        <v>257</v>
      </c>
      <c r="AB462" s="1">
        <v>5515</v>
      </c>
      <c r="AC462" s="1">
        <v>3155</v>
      </c>
      <c r="AD462" s="1">
        <v>1208</v>
      </c>
      <c r="AE462" s="1">
        <v>406</v>
      </c>
      <c r="AF462" s="1">
        <v>50</v>
      </c>
      <c r="AG462" s="1">
        <v>8</v>
      </c>
      <c r="AH462" s="1">
        <v>4976</v>
      </c>
      <c r="AI462" s="1">
        <v>64</v>
      </c>
      <c r="AJ462" s="1">
        <v>798</v>
      </c>
      <c r="AK462" s="1">
        <v>1115</v>
      </c>
      <c r="AL462" s="1">
        <v>81</v>
      </c>
      <c r="AM462" s="1">
        <v>11</v>
      </c>
      <c r="AN462" s="2" t="s">
        <v>590</v>
      </c>
    </row>
    <row r="463" spans="1:40" x14ac:dyDescent="0.3">
      <c r="A463" s="1">
        <v>10570</v>
      </c>
      <c r="B463" s="2" t="s">
        <v>2292</v>
      </c>
      <c r="C463" s="2" t="s">
        <v>2293</v>
      </c>
      <c r="D463" s="1">
        <v>25</v>
      </c>
      <c r="E463" s="2" t="s">
        <v>104</v>
      </c>
      <c r="F463" s="50" t="s">
        <v>3514</v>
      </c>
      <c r="G463" s="2" t="s">
        <v>2294</v>
      </c>
      <c r="H463" s="1">
        <v>12004</v>
      </c>
      <c r="I463" s="1">
        <v>11856</v>
      </c>
      <c r="J463" s="2" t="s">
        <v>886</v>
      </c>
      <c r="K463" s="2" t="s">
        <v>1057</v>
      </c>
      <c r="L463" s="2" t="s">
        <v>331</v>
      </c>
      <c r="M463" s="1">
        <v>676</v>
      </c>
      <c r="N463" s="1">
        <v>17504</v>
      </c>
      <c r="O463" s="2" t="s">
        <v>463</v>
      </c>
      <c r="P463" s="2" t="s">
        <v>202</v>
      </c>
      <c r="Q463" s="2" t="s">
        <v>167</v>
      </c>
      <c r="R463" s="2" t="s">
        <v>50</v>
      </c>
      <c r="S463" s="2" t="s">
        <v>96</v>
      </c>
      <c r="T463" s="1">
        <v>8152</v>
      </c>
      <c r="U463" s="2" t="s">
        <v>51</v>
      </c>
      <c r="V463" s="1">
        <v>2100</v>
      </c>
      <c r="W463" s="1">
        <v>2069</v>
      </c>
      <c r="X463" s="2" t="s">
        <v>255</v>
      </c>
      <c r="Y463" s="2" t="s">
        <v>464</v>
      </c>
      <c r="Z463" s="2" t="s">
        <v>809</v>
      </c>
      <c r="AA463" s="2" t="s">
        <v>315</v>
      </c>
      <c r="AB463" s="1">
        <v>9352</v>
      </c>
      <c r="AC463" s="1">
        <v>5217</v>
      </c>
      <c r="AD463" s="1">
        <v>2166</v>
      </c>
      <c r="AE463" s="1">
        <v>629</v>
      </c>
      <c r="AF463" s="1">
        <v>132</v>
      </c>
      <c r="AG463" s="1">
        <v>8</v>
      </c>
      <c r="AH463" s="1">
        <v>8221</v>
      </c>
      <c r="AI463" s="1">
        <v>843</v>
      </c>
      <c r="AJ463" s="1">
        <v>817</v>
      </c>
      <c r="AK463" s="1">
        <v>1938</v>
      </c>
      <c r="AL463" s="1">
        <v>127</v>
      </c>
      <c r="AM463" s="1">
        <v>105</v>
      </c>
      <c r="AN463" s="2">
        <v>1</v>
      </c>
    </row>
    <row r="464" spans="1:40" ht="28.2" x14ac:dyDescent="0.3">
      <c r="A464" s="1">
        <v>9339</v>
      </c>
      <c r="B464" s="2" t="s">
        <v>2295</v>
      </c>
      <c r="C464" s="2" t="s">
        <v>2296</v>
      </c>
      <c r="D464" s="1">
        <v>26</v>
      </c>
      <c r="E464" s="2" t="s">
        <v>290</v>
      </c>
      <c r="F464" s="50" t="s">
        <v>3514</v>
      </c>
      <c r="G464" s="2" t="s">
        <v>2297</v>
      </c>
      <c r="H464" s="1">
        <v>12159</v>
      </c>
      <c r="I464" s="1">
        <v>12028</v>
      </c>
      <c r="J464" s="2" t="s">
        <v>954</v>
      </c>
      <c r="K464" s="2" t="s">
        <v>948</v>
      </c>
      <c r="L464" s="2" t="s">
        <v>294</v>
      </c>
      <c r="M464" s="1">
        <v>684</v>
      </c>
      <c r="N464" s="1">
        <v>17721</v>
      </c>
      <c r="O464" s="2" t="s">
        <v>463</v>
      </c>
      <c r="P464" s="2" t="s">
        <v>166</v>
      </c>
      <c r="Q464" s="2" t="s">
        <v>167</v>
      </c>
      <c r="R464" s="2" t="s">
        <v>50</v>
      </c>
      <c r="S464" s="2" t="s">
        <v>67</v>
      </c>
      <c r="T464" s="1">
        <v>8269</v>
      </c>
      <c r="U464" s="2" t="s">
        <v>51</v>
      </c>
      <c r="V464" s="1">
        <v>1764</v>
      </c>
      <c r="W464" s="1">
        <v>1736</v>
      </c>
      <c r="X464" s="2" t="s">
        <v>449</v>
      </c>
      <c r="Y464" s="2">
        <v>1</v>
      </c>
      <c r="Z464" s="2" t="s">
        <v>217</v>
      </c>
      <c r="AA464" s="2" t="s">
        <v>724</v>
      </c>
      <c r="AB464" s="1">
        <v>9452</v>
      </c>
      <c r="AC464" s="1">
        <v>5338</v>
      </c>
      <c r="AD464" s="1">
        <v>2123</v>
      </c>
      <c r="AE464" s="1">
        <v>667</v>
      </c>
      <c r="AF464" s="1">
        <v>131</v>
      </c>
      <c r="AG464" s="1">
        <v>10</v>
      </c>
      <c r="AH464" s="1">
        <v>8835</v>
      </c>
      <c r="AI464" s="1">
        <v>299</v>
      </c>
      <c r="AJ464" s="1">
        <v>640</v>
      </c>
      <c r="AK464" s="1">
        <v>2226</v>
      </c>
      <c r="AL464" s="1">
        <v>146</v>
      </c>
      <c r="AM464" s="1">
        <v>50</v>
      </c>
      <c r="AN464" s="2">
        <v>1</v>
      </c>
    </row>
    <row r="465" spans="1:40" x14ac:dyDescent="0.3">
      <c r="A465" s="1">
        <v>11654</v>
      </c>
      <c r="B465" s="2" t="s">
        <v>2298</v>
      </c>
      <c r="C465" s="2" t="s">
        <v>2299</v>
      </c>
      <c r="D465" s="1">
        <v>23</v>
      </c>
      <c r="E465" s="2" t="s">
        <v>75</v>
      </c>
      <c r="F465" s="50" t="s">
        <v>2300</v>
      </c>
      <c r="G465" s="2" t="s">
        <v>491</v>
      </c>
      <c r="H465" s="1">
        <v>23593</v>
      </c>
      <c r="I465" s="1">
        <v>23026</v>
      </c>
      <c r="J465" s="2" t="s">
        <v>587</v>
      </c>
      <c r="K465" s="2" t="s">
        <v>582</v>
      </c>
      <c r="L465" s="2" t="s">
        <v>294</v>
      </c>
      <c r="M465" s="1">
        <v>1310</v>
      </c>
      <c r="N465" s="1">
        <v>35199</v>
      </c>
      <c r="O465" s="2" t="s">
        <v>225</v>
      </c>
      <c r="P465" s="2" t="s">
        <v>202</v>
      </c>
      <c r="Q465" s="2" t="s">
        <v>276</v>
      </c>
      <c r="R465" s="2" t="s">
        <v>50</v>
      </c>
      <c r="S465" s="2" t="s">
        <v>96</v>
      </c>
      <c r="T465" s="1">
        <v>16140</v>
      </c>
      <c r="U465" s="2" t="s">
        <v>51</v>
      </c>
      <c r="V465" s="1">
        <v>3151</v>
      </c>
      <c r="W465" s="1">
        <v>3334</v>
      </c>
      <c r="X465" s="2" t="s">
        <v>820</v>
      </c>
      <c r="Y465" s="2" t="s">
        <v>472</v>
      </c>
      <c r="Z465" s="2" t="s">
        <v>1467</v>
      </c>
      <c r="AA465" s="2" t="s">
        <v>247</v>
      </c>
      <c r="AB465" s="1">
        <v>19059</v>
      </c>
      <c r="AC465" s="1">
        <v>10457</v>
      </c>
      <c r="AD465" s="1">
        <v>4203</v>
      </c>
      <c r="AE465" s="1">
        <v>1214</v>
      </c>
      <c r="AF465" s="1">
        <v>242</v>
      </c>
      <c r="AG465" s="1">
        <v>24</v>
      </c>
      <c r="AH465" s="1">
        <v>16381</v>
      </c>
      <c r="AI465" s="1">
        <v>1575</v>
      </c>
      <c r="AJ465" s="1">
        <v>1128</v>
      </c>
      <c r="AK465" s="1">
        <v>4185</v>
      </c>
      <c r="AL465" s="1">
        <v>315</v>
      </c>
      <c r="AM465" s="1">
        <v>87</v>
      </c>
      <c r="AN465" s="2" t="s">
        <v>590</v>
      </c>
    </row>
    <row r="466" spans="1:40" x14ac:dyDescent="0.3">
      <c r="A466" s="1">
        <v>19738</v>
      </c>
      <c r="B466" s="2" t="s">
        <v>2301</v>
      </c>
      <c r="C466" s="2" t="s">
        <v>2302</v>
      </c>
      <c r="D466" s="1">
        <v>25</v>
      </c>
      <c r="E466" s="2" t="s">
        <v>42</v>
      </c>
      <c r="F466" s="50" t="s">
        <v>1348</v>
      </c>
      <c r="G466" s="2" t="s">
        <v>2303</v>
      </c>
      <c r="H466" s="1">
        <v>9138</v>
      </c>
      <c r="I466" s="1">
        <v>9139</v>
      </c>
      <c r="J466" s="2" t="s">
        <v>2304</v>
      </c>
      <c r="K466" s="2" t="s">
        <v>645</v>
      </c>
      <c r="L466" s="2" t="s">
        <v>1846</v>
      </c>
      <c r="M466" s="1">
        <v>503</v>
      </c>
      <c r="N466" s="1">
        <v>13359</v>
      </c>
      <c r="O466" s="2" t="s">
        <v>167</v>
      </c>
      <c r="P466" s="2" t="s">
        <v>202</v>
      </c>
      <c r="Q466" s="2" t="s">
        <v>167</v>
      </c>
      <c r="R466" s="2" t="s">
        <v>50</v>
      </c>
      <c r="S466" s="2" t="s">
        <v>50</v>
      </c>
      <c r="T466" s="1">
        <v>6125</v>
      </c>
      <c r="U466" s="2" t="s">
        <v>51</v>
      </c>
      <c r="V466" s="1">
        <v>1446</v>
      </c>
      <c r="W466" s="1">
        <v>1615</v>
      </c>
      <c r="X466" s="2" t="s">
        <v>1906</v>
      </c>
      <c r="Y466" s="2" t="s">
        <v>255</v>
      </c>
      <c r="Z466" s="2" t="s">
        <v>455</v>
      </c>
      <c r="AA466" s="2" t="s">
        <v>648</v>
      </c>
      <c r="AB466" s="1">
        <v>7234</v>
      </c>
      <c r="AC466" s="1">
        <v>3878</v>
      </c>
      <c r="AD466" s="1">
        <v>1608</v>
      </c>
      <c r="AE466" s="1">
        <v>523</v>
      </c>
      <c r="AF466" s="1">
        <v>105</v>
      </c>
      <c r="AG466" s="1">
        <v>11</v>
      </c>
      <c r="AH466" s="1">
        <v>6719</v>
      </c>
      <c r="AI466" s="1">
        <v>101</v>
      </c>
      <c r="AJ466" s="1">
        <v>427</v>
      </c>
      <c r="AK466" s="1">
        <v>1753</v>
      </c>
      <c r="AL466" s="1">
        <v>146</v>
      </c>
      <c r="AM466" s="1">
        <v>25</v>
      </c>
      <c r="AN466" s="2" t="s">
        <v>304</v>
      </c>
    </row>
    <row r="467" spans="1:40" x14ac:dyDescent="0.3">
      <c r="A467" s="1">
        <v>5792</v>
      </c>
      <c r="B467" s="2" t="s">
        <v>2305</v>
      </c>
      <c r="C467" s="2" t="s">
        <v>2306</v>
      </c>
      <c r="D467" s="1">
        <v>29</v>
      </c>
      <c r="E467" s="2" t="s">
        <v>1643</v>
      </c>
      <c r="F467" s="50" t="s">
        <v>3514</v>
      </c>
      <c r="G467" s="2" t="s">
        <v>2307</v>
      </c>
      <c r="H467" s="1">
        <v>7851</v>
      </c>
      <c r="I467" s="1">
        <v>7867</v>
      </c>
      <c r="J467" s="2" t="s">
        <v>2308</v>
      </c>
      <c r="K467" s="2" t="s">
        <v>2309</v>
      </c>
      <c r="L467" s="2" t="s">
        <v>93</v>
      </c>
      <c r="M467" s="1">
        <v>429</v>
      </c>
      <c r="N467" s="1">
        <v>11159</v>
      </c>
      <c r="O467" s="2" t="s">
        <v>905</v>
      </c>
      <c r="P467" s="2" t="s">
        <v>553</v>
      </c>
      <c r="Q467" s="2" t="s">
        <v>905</v>
      </c>
      <c r="R467" s="2" t="s">
        <v>50</v>
      </c>
      <c r="S467" s="2" t="s">
        <v>67</v>
      </c>
      <c r="T467" s="1">
        <v>5256</v>
      </c>
      <c r="U467" s="2" t="s">
        <v>51</v>
      </c>
      <c r="V467" s="1">
        <v>1162</v>
      </c>
      <c r="W467" s="1">
        <v>1187</v>
      </c>
      <c r="X467" s="2" t="s">
        <v>245</v>
      </c>
      <c r="Y467" s="2" t="s">
        <v>255</v>
      </c>
      <c r="Z467" s="2" t="s">
        <v>54</v>
      </c>
      <c r="AA467" s="2" t="s">
        <v>789</v>
      </c>
      <c r="AB467" s="1">
        <v>5903</v>
      </c>
      <c r="AC467" s="1">
        <v>3288</v>
      </c>
      <c r="AD467" s="1">
        <v>1441</v>
      </c>
      <c r="AE467" s="1">
        <v>449</v>
      </c>
      <c r="AF467" s="1">
        <v>69</v>
      </c>
      <c r="AG467" s="1">
        <v>9</v>
      </c>
      <c r="AH467" s="1">
        <v>5830</v>
      </c>
      <c r="AI467" s="1">
        <v>217</v>
      </c>
      <c r="AJ467" s="1">
        <v>308</v>
      </c>
      <c r="AK467" s="1">
        <v>1409</v>
      </c>
      <c r="AL467" s="1">
        <v>77</v>
      </c>
      <c r="AM467" s="1">
        <v>16</v>
      </c>
      <c r="AN467" s="2">
        <v>1</v>
      </c>
    </row>
    <row r="468" spans="1:40" ht="28.2" x14ac:dyDescent="0.3">
      <c r="A468" s="1">
        <v>10443</v>
      </c>
      <c r="B468" s="2" t="s">
        <v>2310</v>
      </c>
      <c r="C468" s="2" t="s">
        <v>2311</v>
      </c>
      <c r="D468" s="1">
        <v>23</v>
      </c>
      <c r="E468" s="2" t="s">
        <v>196</v>
      </c>
      <c r="F468" s="50" t="s">
        <v>3514</v>
      </c>
      <c r="G468" s="2" t="s">
        <v>992</v>
      </c>
      <c r="H468" s="1">
        <v>10081</v>
      </c>
      <c r="I468" s="1">
        <v>9816</v>
      </c>
      <c r="J468" s="2" t="s">
        <v>1208</v>
      </c>
      <c r="K468" s="2" t="s">
        <v>1842</v>
      </c>
      <c r="L468" s="2" t="s">
        <v>462</v>
      </c>
      <c r="M468" s="1">
        <v>582</v>
      </c>
      <c r="N468" s="1">
        <v>15218</v>
      </c>
      <c r="O468" s="2" t="s">
        <v>322</v>
      </c>
      <c r="P468" s="2" t="s">
        <v>50</v>
      </c>
      <c r="Q468" s="2" t="s">
        <v>276</v>
      </c>
      <c r="R468" s="2" t="s">
        <v>96</v>
      </c>
      <c r="S468" s="2" t="s">
        <v>50</v>
      </c>
      <c r="T468" s="1">
        <v>6901</v>
      </c>
      <c r="U468" s="2" t="s">
        <v>51</v>
      </c>
      <c r="V468" s="1">
        <v>1126</v>
      </c>
      <c r="W468" s="1">
        <v>1165</v>
      </c>
      <c r="X468" s="2" t="s">
        <v>503</v>
      </c>
      <c r="Y468" s="2" t="s">
        <v>1749</v>
      </c>
      <c r="Z468" s="2" t="s">
        <v>237</v>
      </c>
      <c r="AA468" s="2" t="s">
        <v>1636</v>
      </c>
      <c r="AB468" s="1">
        <v>8317</v>
      </c>
      <c r="AC468" s="1">
        <v>4487</v>
      </c>
      <c r="AD468" s="1">
        <v>1779</v>
      </c>
      <c r="AE468" s="1">
        <v>520</v>
      </c>
      <c r="AF468" s="1">
        <v>99</v>
      </c>
      <c r="AG468" s="1">
        <v>16</v>
      </c>
      <c r="AH468" s="1">
        <v>7285</v>
      </c>
      <c r="AI468" s="1">
        <v>335</v>
      </c>
      <c r="AJ468" s="1">
        <v>556</v>
      </c>
      <c r="AK468" s="1">
        <v>1779</v>
      </c>
      <c r="AL468" s="1">
        <v>115</v>
      </c>
      <c r="AM468" s="1">
        <v>27</v>
      </c>
      <c r="AN468" s="2">
        <v>1</v>
      </c>
    </row>
    <row r="469" spans="1:40" ht="28.2" x14ac:dyDescent="0.3">
      <c r="A469" s="1">
        <v>10663</v>
      </c>
      <c r="B469" s="2" t="s">
        <v>2312</v>
      </c>
      <c r="C469" s="2" t="s">
        <v>2313</v>
      </c>
      <c r="D469" s="1">
        <v>21</v>
      </c>
      <c r="E469" s="2" t="s">
        <v>477</v>
      </c>
      <c r="F469" s="50" t="s">
        <v>3514</v>
      </c>
      <c r="G469" s="2" t="s">
        <v>2314</v>
      </c>
      <c r="H469" s="1">
        <v>8834</v>
      </c>
      <c r="I469" s="1">
        <v>8801</v>
      </c>
      <c r="J469" s="2" t="s">
        <v>737</v>
      </c>
      <c r="K469" s="2" t="s">
        <v>79</v>
      </c>
      <c r="L469" s="2" t="s">
        <v>471</v>
      </c>
      <c r="M469" s="1">
        <v>492</v>
      </c>
      <c r="N469" s="1">
        <v>12610</v>
      </c>
      <c r="O469" s="2" t="s">
        <v>905</v>
      </c>
      <c r="P469" s="2" t="s">
        <v>235</v>
      </c>
      <c r="Q469" s="2" t="s">
        <v>905</v>
      </c>
      <c r="R469" s="2" t="s">
        <v>96</v>
      </c>
      <c r="S469" s="2" t="s">
        <v>96</v>
      </c>
      <c r="T469" s="1">
        <v>5999</v>
      </c>
      <c r="U469" s="2" t="s">
        <v>51</v>
      </c>
      <c r="V469" s="1">
        <v>1246</v>
      </c>
      <c r="W469" s="1">
        <v>1422</v>
      </c>
      <c r="X469" s="2" t="s">
        <v>2315</v>
      </c>
      <c r="Y469" s="2" t="s">
        <v>503</v>
      </c>
      <c r="Z469" s="2" t="s">
        <v>508</v>
      </c>
      <c r="AA469" s="2" t="s">
        <v>408</v>
      </c>
      <c r="AB469" s="1">
        <v>6611</v>
      </c>
      <c r="AC469" s="1">
        <v>3834</v>
      </c>
      <c r="AD469" s="1">
        <v>1613</v>
      </c>
      <c r="AE469" s="1">
        <v>447</v>
      </c>
      <c r="AF469" s="1">
        <v>92</v>
      </c>
      <c r="AG469" s="1">
        <v>13</v>
      </c>
      <c r="AH469" s="1">
        <v>6463</v>
      </c>
      <c r="AI469" s="1">
        <v>180</v>
      </c>
      <c r="AJ469" s="1">
        <v>490</v>
      </c>
      <c r="AK469" s="1">
        <v>1571</v>
      </c>
      <c r="AL469" s="1">
        <v>87</v>
      </c>
      <c r="AM469" s="1">
        <v>58</v>
      </c>
      <c r="AN469" s="2" t="s">
        <v>590</v>
      </c>
    </row>
    <row r="470" spans="1:40" x14ac:dyDescent="0.3">
      <c r="A470" s="1">
        <v>4637</v>
      </c>
      <c r="B470" s="2" t="s">
        <v>2316</v>
      </c>
      <c r="C470" s="2" t="s">
        <v>2317</v>
      </c>
      <c r="D470" s="1">
        <v>33</v>
      </c>
      <c r="E470" s="2" t="s">
        <v>270</v>
      </c>
      <c r="F470" s="50" t="s">
        <v>3514</v>
      </c>
      <c r="G470" s="2" t="s">
        <v>2318</v>
      </c>
      <c r="H470" s="1">
        <v>8381</v>
      </c>
      <c r="I470" s="1">
        <v>8327</v>
      </c>
      <c r="J470" s="2" t="s">
        <v>1516</v>
      </c>
      <c r="K470" s="2" t="s">
        <v>515</v>
      </c>
      <c r="L470" s="2" t="s">
        <v>575</v>
      </c>
      <c r="M470" s="1">
        <v>482</v>
      </c>
      <c r="N470" s="1">
        <v>12229</v>
      </c>
      <c r="O470" s="2" t="s">
        <v>463</v>
      </c>
      <c r="P470" s="2" t="s">
        <v>434</v>
      </c>
      <c r="Q470" s="2" t="s">
        <v>167</v>
      </c>
      <c r="R470" s="2" t="s">
        <v>202</v>
      </c>
      <c r="S470" s="2" t="s">
        <v>67</v>
      </c>
      <c r="T470" s="1">
        <v>5672</v>
      </c>
      <c r="U470" s="2" t="s">
        <v>51</v>
      </c>
      <c r="V470" s="1">
        <v>1512</v>
      </c>
      <c r="W470" s="1">
        <v>1519</v>
      </c>
      <c r="X470" s="2">
        <v>1</v>
      </c>
      <c r="Y470" s="2" t="s">
        <v>277</v>
      </c>
      <c r="Z470" s="2" t="s">
        <v>1614</v>
      </c>
      <c r="AA470" s="2" t="s">
        <v>238</v>
      </c>
      <c r="AB470" s="1">
        <v>6557</v>
      </c>
      <c r="AC470" s="1">
        <v>3641</v>
      </c>
      <c r="AD470" s="1">
        <v>1453</v>
      </c>
      <c r="AE470" s="1">
        <v>491</v>
      </c>
      <c r="AF470" s="1">
        <v>74</v>
      </c>
      <c r="AG470" s="1">
        <v>13</v>
      </c>
      <c r="AH470" s="1">
        <v>5704</v>
      </c>
      <c r="AI470" s="1">
        <v>499</v>
      </c>
      <c r="AJ470" s="1">
        <v>687</v>
      </c>
      <c r="AK470" s="1">
        <v>1350</v>
      </c>
      <c r="AL470" s="1">
        <v>131</v>
      </c>
      <c r="AM470" s="1">
        <v>27</v>
      </c>
      <c r="AN470" s="2">
        <v>1</v>
      </c>
    </row>
    <row r="471" spans="1:40" ht="28.2" x14ac:dyDescent="0.3">
      <c r="A471" s="1">
        <v>11922</v>
      </c>
      <c r="B471" s="2" t="s">
        <v>2319</v>
      </c>
      <c r="C471" s="2" t="s">
        <v>2320</v>
      </c>
      <c r="D471" s="1">
        <v>25</v>
      </c>
      <c r="E471" s="2" t="s">
        <v>104</v>
      </c>
      <c r="F471" s="50" t="s">
        <v>3514</v>
      </c>
      <c r="G471" s="2" t="s">
        <v>2321</v>
      </c>
      <c r="H471" s="1">
        <v>7659</v>
      </c>
      <c r="I471" s="1">
        <v>7550</v>
      </c>
      <c r="J471" s="2" t="s">
        <v>470</v>
      </c>
      <c r="K471" s="2" t="s">
        <v>989</v>
      </c>
      <c r="L471" s="2" t="s">
        <v>375</v>
      </c>
      <c r="M471" s="1">
        <v>423</v>
      </c>
      <c r="N471" s="1">
        <v>11227</v>
      </c>
      <c r="O471" s="2" t="s">
        <v>167</v>
      </c>
      <c r="P471" s="2" t="s">
        <v>235</v>
      </c>
      <c r="Q471" s="2" t="s">
        <v>225</v>
      </c>
      <c r="R471" s="2" t="s">
        <v>67</v>
      </c>
      <c r="S471" s="2" t="s">
        <v>50</v>
      </c>
      <c r="T471" s="1">
        <v>5212</v>
      </c>
      <c r="U471" s="2" t="s">
        <v>51</v>
      </c>
      <c r="V471" s="1">
        <v>1127</v>
      </c>
      <c r="W471" s="1">
        <v>1063</v>
      </c>
      <c r="X471" s="2" t="s">
        <v>590</v>
      </c>
      <c r="Y471" s="2" t="s">
        <v>255</v>
      </c>
      <c r="Z471" s="2" t="s">
        <v>112</v>
      </c>
      <c r="AA471" s="2" t="s">
        <v>648</v>
      </c>
      <c r="AB471" s="1">
        <v>6015</v>
      </c>
      <c r="AC471" s="1">
        <v>3346</v>
      </c>
      <c r="AD471" s="1">
        <v>1378</v>
      </c>
      <c r="AE471" s="1">
        <v>401</v>
      </c>
      <c r="AF471" s="1">
        <v>81</v>
      </c>
      <c r="AG471" s="1">
        <v>6</v>
      </c>
      <c r="AH471" s="1">
        <v>5504</v>
      </c>
      <c r="AI471" s="1">
        <v>354</v>
      </c>
      <c r="AJ471" s="1">
        <v>418</v>
      </c>
      <c r="AK471" s="1">
        <v>1257</v>
      </c>
      <c r="AL471" s="1">
        <v>133</v>
      </c>
      <c r="AM471" s="1">
        <v>20</v>
      </c>
      <c r="AN471" s="2" t="s">
        <v>464</v>
      </c>
    </row>
    <row r="472" spans="1:40" ht="42" x14ac:dyDescent="0.3">
      <c r="A472" s="1">
        <v>9254</v>
      </c>
      <c r="B472" s="2" t="s">
        <v>2322</v>
      </c>
      <c r="C472" s="2" t="s">
        <v>2323</v>
      </c>
      <c r="D472" s="1">
        <v>25</v>
      </c>
      <c r="E472" s="2" t="s">
        <v>683</v>
      </c>
      <c r="F472" s="50" t="s">
        <v>1674</v>
      </c>
      <c r="G472" s="2" t="s">
        <v>1674</v>
      </c>
      <c r="H472" s="1">
        <v>20909</v>
      </c>
      <c r="I472" s="1">
        <v>20945</v>
      </c>
      <c r="J472" s="2" t="s">
        <v>448</v>
      </c>
      <c r="K472" s="2" t="s">
        <v>939</v>
      </c>
      <c r="L472" s="2" t="s">
        <v>949</v>
      </c>
      <c r="M472" s="1">
        <v>1158</v>
      </c>
      <c r="N472" s="1">
        <v>30745</v>
      </c>
      <c r="O472" s="2" t="s">
        <v>167</v>
      </c>
      <c r="P472" s="2" t="s">
        <v>202</v>
      </c>
      <c r="Q472" s="2" t="s">
        <v>167</v>
      </c>
      <c r="R472" s="2" t="s">
        <v>96</v>
      </c>
      <c r="S472" s="2" t="s">
        <v>135</v>
      </c>
      <c r="T472" s="1">
        <v>13971</v>
      </c>
      <c r="U472" s="2" t="s">
        <v>51</v>
      </c>
      <c r="V472" s="1">
        <v>3550</v>
      </c>
      <c r="W472" s="1">
        <v>4060</v>
      </c>
      <c r="X472" s="2" t="s">
        <v>2324</v>
      </c>
      <c r="Y472" s="2" t="s">
        <v>449</v>
      </c>
      <c r="Z472" s="2" t="s">
        <v>705</v>
      </c>
      <c r="AA472" s="2" t="s">
        <v>86</v>
      </c>
      <c r="AB472" s="1">
        <v>16774</v>
      </c>
      <c r="AC472" s="1">
        <v>8796</v>
      </c>
      <c r="AD472" s="1">
        <v>3713</v>
      </c>
      <c r="AE472" s="1">
        <v>1190</v>
      </c>
      <c r="AF472" s="1">
        <v>243</v>
      </c>
      <c r="AG472" s="1">
        <v>29</v>
      </c>
      <c r="AH472" s="1">
        <v>14769</v>
      </c>
      <c r="AI472" s="1">
        <v>532</v>
      </c>
      <c r="AJ472" s="1">
        <v>2188</v>
      </c>
      <c r="AK472" s="1">
        <v>3151</v>
      </c>
      <c r="AL472" s="1">
        <v>207</v>
      </c>
      <c r="AM472" s="1">
        <v>132</v>
      </c>
      <c r="AN472" s="2">
        <v>1</v>
      </c>
    </row>
    <row r="473" spans="1:40" ht="28.2" x14ac:dyDescent="0.3">
      <c r="A473" s="1">
        <v>16415</v>
      </c>
      <c r="B473" s="2" t="s">
        <v>2325</v>
      </c>
      <c r="C473" s="2" t="s">
        <v>2326</v>
      </c>
      <c r="D473" s="1">
        <v>20</v>
      </c>
      <c r="E473" s="2" t="s">
        <v>446</v>
      </c>
      <c r="F473" s="50" t="s">
        <v>338</v>
      </c>
      <c r="G473" s="2" t="s">
        <v>2327</v>
      </c>
      <c r="H473" s="1">
        <v>9501</v>
      </c>
      <c r="I473" s="1">
        <v>9428</v>
      </c>
      <c r="J473" s="2" t="s">
        <v>2328</v>
      </c>
      <c r="K473" s="2" t="s">
        <v>2052</v>
      </c>
      <c r="L473" s="2" t="s">
        <v>282</v>
      </c>
      <c r="M473" s="1">
        <v>533</v>
      </c>
      <c r="N473" s="1">
        <v>14303</v>
      </c>
      <c r="O473" s="2" t="s">
        <v>322</v>
      </c>
      <c r="P473" s="2" t="s">
        <v>48</v>
      </c>
      <c r="Q473" s="2" t="s">
        <v>322</v>
      </c>
      <c r="R473" s="2" t="s">
        <v>50</v>
      </c>
      <c r="S473" s="2" t="s">
        <v>50</v>
      </c>
      <c r="T473" s="1">
        <v>6379</v>
      </c>
      <c r="U473" s="2" t="s">
        <v>51</v>
      </c>
      <c r="V473" s="1">
        <v>1492</v>
      </c>
      <c r="W473" s="1">
        <v>1658</v>
      </c>
      <c r="X473" s="2" t="s">
        <v>1906</v>
      </c>
      <c r="Y473" s="2">
        <v>1</v>
      </c>
      <c r="Z473" s="2" t="s">
        <v>237</v>
      </c>
      <c r="AA473" s="2" t="s">
        <v>844</v>
      </c>
      <c r="AB473" s="1">
        <v>7924</v>
      </c>
      <c r="AC473" s="1">
        <v>4059</v>
      </c>
      <c r="AD473" s="1">
        <v>1665</v>
      </c>
      <c r="AE473" s="1">
        <v>519</v>
      </c>
      <c r="AF473" s="1">
        <v>125</v>
      </c>
      <c r="AG473" s="1">
        <v>11</v>
      </c>
      <c r="AH473" s="1">
        <v>6892</v>
      </c>
      <c r="AI473" s="1">
        <v>350</v>
      </c>
      <c r="AJ473" s="1">
        <v>607</v>
      </c>
      <c r="AK473" s="1">
        <v>1502</v>
      </c>
      <c r="AL473" s="1">
        <v>131</v>
      </c>
      <c r="AM473" s="1">
        <v>48</v>
      </c>
      <c r="AN473" s="2" t="s">
        <v>304</v>
      </c>
    </row>
    <row r="474" spans="1:40" ht="28.2" x14ac:dyDescent="0.3">
      <c r="A474" s="1">
        <v>10397</v>
      </c>
      <c r="B474" s="2" t="s">
        <v>2329</v>
      </c>
      <c r="C474" s="2" t="s">
        <v>2330</v>
      </c>
      <c r="D474" s="1">
        <v>27</v>
      </c>
      <c r="E474" s="2" t="s">
        <v>1070</v>
      </c>
      <c r="F474" s="50" t="s">
        <v>3514</v>
      </c>
      <c r="G474" s="2" t="s">
        <v>2128</v>
      </c>
      <c r="H474" s="1">
        <v>11785</v>
      </c>
      <c r="I474" s="1">
        <v>11718</v>
      </c>
      <c r="J474" s="2" t="s">
        <v>2166</v>
      </c>
      <c r="K474" s="2">
        <v>74</v>
      </c>
      <c r="L474" s="2" t="s">
        <v>46</v>
      </c>
      <c r="M474" s="1">
        <v>653</v>
      </c>
      <c r="N474" s="1">
        <v>17335</v>
      </c>
      <c r="O474" s="2" t="s">
        <v>167</v>
      </c>
      <c r="P474" s="2" t="s">
        <v>202</v>
      </c>
      <c r="Q474" s="2" t="s">
        <v>167</v>
      </c>
      <c r="R474" s="2" t="s">
        <v>67</v>
      </c>
      <c r="S474" s="2" t="s">
        <v>67</v>
      </c>
      <c r="T474" s="1">
        <v>7946</v>
      </c>
      <c r="U474" s="2" t="s">
        <v>51</v>
      </c>
      <c r="V474" s="1">
        <v>1800</v>
      </c>
      <c r="W474" s="1">
        <v>1951</v>
      </c>
      <c r="X474" s="2" t="s">
        <v>1314</v>
      </c>
      <c r="Y474" s="2">
        <v>1</v>
      </c>
      <c r="Z474" s="2" t="s">
        <v>932</v>
      </c>
      <c r="AA474" s="2" t="s">
        <v>547</v>
      </c>
      <c r="AB474" s="1">
        <v>9389</v>
      </c>
      <c r="AC474" s="1">
        <v>5042</v>
      </c>
      <c r="AD474" s="1">
        <v>2143</v>
      </c>
      <c r="AE474" s="1">
        <v>603</v>
      </c>
      <c r="AF474" s="1">
        <v>142</v>
      </c>
      <c r="AG474" s="1">
        <v>16</v>
      </c>
      <c r="AH474" s="1">
        <v>8101</v>
      </c>
      <c r="AI474" s="1">
        <v>753</v>
      </c>
      <c r="AJ474" s="1">
        <v>791</v>
      </c>
      <c r="AK474" s="1">
        <v>1996</v>
      </c>
      <c r="AL474" s="1">
        <v>146</v>
      </c>
      <c r="AM474" s="1">
        <v>29</v>
      </c>
      <c r="AN474" s="2">
        <v>1</v>
      </c>
    </row>
    <row r="475" spans="1:40" ht="28.2" x14ac:dyDescent="0.3">
      <c r="A475" s="1">
        <v>973</v>
      </c>
      <c r="B475" s="2" t="s">
        <v>2331</v>
      </c>
      <c r="C475" s="2" t="s">
        <v>2332</v>
      </c>
      <c r="D475" s="1">
        <v>31</v>
      </c>
      <c r="E475" s="2" t="s">
        <v>327</v>
      </c>
      <c r="F475" s="50" t="s">
        <v>3514</v>
      </c>
      <c r="G475" s="2" t="s">
        <v>2333</v>
      </c>
      <c r="H475" s="1">
        <v>36985</v>
      </c>
      <c r="I475" s="1">
        <v>36135</v>
      </c>
      <c r="J475" s="2" t="s">
        <v>1788</v>
      </c>
      <c r="K475" s="2" t="s">
        <v>1529</v>
      </c>
      <c r="L475" s="2" t="s">
        <v>93</v>
      </c>
      <c r="M475" s="1">
        <v>2058</v>
      </c>
      <c r="N475" s="1">
        <v>54420</v>
      </c>
      <c r="O475" s="2" t="s">
        <v>167</v>
      </c>
      <c r="P475" s="2" t="s">
        <v>48</v>
      </c>
      <c r="Q475" s="2" t="s">
        <v>322</v>
      </c>
      <c r="R475" s="2" t="s">
        <v>135</v>
      </c>
      <c r="S475" s="2" t="s">
        <v>135</v>
      </c>
      <c r="T475" s="1">
        <v>25423</v>
      </c>
      <c r="U475" s="2" t="s">
        <v>51</v>
      </c>
      <c r="V475" s="1">
        <v>6407</v>
      </c>
      <c r="W475" s="1">
        <v>5753</v>
      </c>
      <c r="X475" s="2" t="s">
        <v>362</v>
      </c>
      <c r="Y475" s="2" t="s">
        <v>277</v>
      </c>
      <c r="Z475" s="2" t="s">
        <v>635</v>
      </c>
      <c r="AA475" s="2" t="s">
        <v>315</v>
      </c>
      <c r="AB475" s="1">
        <v>28997</v>
      </c>
      <c r="AC475" s="1">
        <v>16587</v>
      </c>
      <c r="AD475" s="1">
        <v>6530</v>
      </c>
      <c r="AE475" s="1">
        <v>1924</v>
      </c>
      <c r="AF475" s="1">
        <v>358</v>
      </c>
      <c r="AG475" s="1">
        <v>24</v>
      </c>
      <c r="AH475" s="1">
        <v>13721</v>
      </c>
      <c r="AI475" s="1">
        <v>14286</v>
      </c>
      <c r="AJ475" s="1">
        <v>1747</v>
      </c>
      <c r="AK475" s="1">
        <v>6492</v>
      </c>
      <c r="AL475" s="1">
        <v>525</v>
      </c>
      <c r="AM475" s="1">
        <v>291</v>
      </c>
      <c r="AN475" s="2">
        <v>1</v>
      </c>
    </row>
    <row r="476" spans="1:40" x14ac:dyDescent="0.3">
      <c r="A476" s="1">
        <v>7433</v>
      </c>
      <c r="B476" s="2" t="s">
        <v>2334</v>
      </c>
      <c r="C476" s="2" t="s">
        <v>2335</v>
      </c>
      <c r="D476" s="1">
        <v>32</v>
      </c>
      <c r="E476" s="2" t="s">
        <v>459</v>
      </c>
      <c r="F476" s="50" t="s">
        <v>528</v>
      </c>
      <c r="G476" s="2" t="s">
        <v>2336</v>
      </c>
      <c r="H476" s="1">
        <v>12259</v>
      </c>
      <c r="I476" s="1">
        <v>11879</v>
      </c>
      <c r="J476" s="2" t="s">
        <v>1804</v>
      </c>
      <c r="K476" s="2" t="s">
        <v>531</v>
      </c>
      <c r="L476" s="2" t="s">
        <v>687</v>
      </c>
      <c r="M476" s="1">
        <v>697</v>
      </c>
      <c r="N476" s="1">
        <v>18241</v>
      </c>
      <c r="O476" s="2" t="s">
        <v>225</v>
      </c>
      <c r="P476" s="2" t="s">
        <v>166</v>
      </c>
      <c r="Q476" s="2" t="s">
        <v>276</v>
      </c>
      <c r="R476" s="2" t="s">
        <v>50</v>
      </c>
      <c r="S476" s="2" t="s">
        <v>48</v>
      </c>
      <c r="T476" s="1">
        <v>8474</v>
      </c>
      <c r="U476" s="2" t="s">
        <v>51</v>
      </c>
      <c r="V476" s="1">
        <v>1655</v>
      </c>
      <c r="W476" s="1">
        <v>1449</v>
      </c>
      <c r="X476" s="2" t="s">
        <v>111</v>
      </c>
      <c r="Y476" s="2" t="s">
        <v>285</v>
      </c>
      <c r="Z476" s="2" t="s">
        <v>517</v>
      </c>
      <c r="AA476" s="2" t="s">
        <v>888</v>
      </c>
      <c r="AB476" s="1">
        <v>9767</v>
      </c>
      <c r="AC476" s="1">
        <v>5589</v>
      </c>
      <c r="AD476" s="1">
        <v>2139</v>
      </c>
      <c r="AE476" s="1">
        <v>619</v>
      </c>
      <c r="AF476" s="1">
        <v>117</v>
      </c>
      <c r="AG476" s="1">
        <v>10</v>
      </c>
      <c r="AH476" s="1">
        <v>6304</v>
      </c>
      <c r="AI476" s="1">
        <v>3011</v>
      </c>
      <c r="AJ476" s="1">
        <v>457</v>
      </c>
      <c r="AK476" s="1">
        <v>2204</v>
      </c>
      <c r="AL476" s="1">
        <v>261</v>
      </c>
      <c r="AM476" s="1">
        <v>34</v>
      </c>
      <c r="AN476" s="2">
        <v>1</v>
      </c>
    </row>
    <row r="477" spans="1:40" ht="28.2" x14ac:dyDescent="0.3">
      <c r="A477" s="1">
        <v>7248</v>
      </c>
      <c r="B477" s="2" t="s">
        <v>2337</v>
      </c>
      <c r="C477" s="2" t="s">
        <v>2338</v>
      </c>
      <c r="D477" s="1">
        <v>27</v>
      </c>
      <c r="E477" s="2" t="s">
        <v>452</v>
      </c>
      <c r="F477" s="50" t="s">
        <v>537</v>
      </c>
      <c r="G477" s="2" t="s">
        <v>2339</v>
      </c>
      <c r="H477" s="1">
        <v>22799</v>
      </c>
      <c r="I477" s="1">
        <v>22439</v>
      </c>
      <c r="J477" s="2" t="s">
        <v>1100</v>
      </c>
      <c r="K477" s="2" t="s">
        <v>704</v>
      </c>
      <c r="L477" s="2">
        <v>6</v>
      </c>
      <c r="M477" s="1">
        <v>1275</v>
      </c>
      <c r="N477" s="1">
        <v>33704</v>
      </c>
      <c r="O477" s="2" t="s">
        <v>167</v>
      </c>
      <c r="P477" s="2" t="s">
        <v>553</v>
      </c>
      <c r="Q477" s="2" t="s">
        <v>225</v>
      </c>
      <c r="R477" s="2" t="s">
        <v>96</v>
      </c>
      <c r="S477" s="2" t="s">
        <v>96</v>
      </c>
      <c r="T477" s="1">
        <v>15545</v>
      </c>
      <c r="U477" s="2" t="s">
        <v>51</v>
      </c>
      <c r="V477" s="1">
        <v>3305</v>
      </c>
      <c r="W477" s="1">
        <v>3328</v>
      </c>
      <c r="X477" s="2" t="s">
        <v>285</v>
      </c>
      <c r="Y477" s="2" t="s">
        <v>285</v>
      </c>
      <c r="Z477" s="2" t="s">
        <v>1165</v>
      </c>
      <c r="AA477" s="2" t="s">
        <v>413</v>
      </c>
      <c r="AB477" s="1">
        <v>18159</v>
      </c>
      <c r="AC477" s="1">
        <v>10024</v>
      </c>
      <c r="AD477" s="1">
        <v>4082</v>
      </c>
      <c r="AE477" s="1">
        <v>1172</v>
      </c>
      <c r="AF477" s="1">
        <v>240</v>
      </c>
      <c r="AG477" s="1">
        <v>27</v>
      </c>
      <c r="AH477" s="1">
        <v>15494</v>
      </c>
      <c r="AI477" s="1">
        <v>651</v>
      </c>
      <c r="AJ477" s="1">
        <v>2069</v>
      </c>
      <c r="AK477" s="1">
        <v>4098</v>
      </c>
      <c r="AL477" s="1">
        <v>440</v>
      </c>
      <c r="AM477" s="1">
        <v>85</v>
      </c>
      <c r="AN477" s="2">
        <v>1</v>
      </c>
    </row>
    <row r="478" spans="1:40" x14ac:dyDescent="0.3">
      <c r="A478" s="1">
        <v>14954</v>
      </c>
      <c r="B478" s="2" t="s">
        <v>2340</v>
      </c>
      <c r="C478" s="2" t="s">
        <v>2341</v>
      </c>
      <c r="D478" s="1">
        <v>21</v>
      </c>
      <c r="E478" s="2" t="s">
        <v>299</v>
      </c>
      <c r="F478" s="50" t="s">
        <v>3514</v>
      </c>
      <c r="G478" s="2" t="s">
        <v>2342</v>
      </c>
      <c r="H478" s="1">
        <v>7854</v>
      </c>
      <c r="I478" s="1">
        <v>7727</v>
      </c>
      <c r="J478" s="2" t="s">
        <v>827</v>
      </c>
      <c r="K478" s="2" t="s">
        <v>624</v>
      </c>
      <c r="L478" s="2" t="s">
        <v>275</v>
      </c>
      <c r="M478" s="1">
        <v>437</v>
      </c>
      <c r="N478" s="1">
        <v>11368</v>
      </c>
      <c r="O478" s="2" t="s">
        <v>463</v>
      </c>
      <c r="P478" s="2" t="s">
        <v>202</v>
      </c>
      <c r="Q478" s="2" t="s">
        <v>167</v>
      </c>
      <c r="R478" s="2" t="s">
        <v>50</v>
      </c>
      <c r="S478" s="2" t="s">
        <v>67</v>
      </c>
      <c r="T478" s="1">
        <v>5389</v>
      </c>
      <c r="U478" s="2" t="s">
        <v>51</v>
      </c>
      <c r="V478" s="1">
        <v>837</v>
      </c>
      <c r="W478" s="1">
        <v>829</v>
      </c>
      <c r="X478" s="2" t="s">
        <v>255</v>
      </c>
      <c r="Y478" s="2" t="s">
        <v>1749</v>
      </c>
      <c r="Z478" s="2" t="s">
        <v>821</v>
      </c>
      <c r="AA478" s="2" t="s">
        <v>1443</v>
      </c>
      <c r="AB478" s="1">
        <v>5979</v>
      </c>
      <c r="AC478" s="1">
        <v>3494</v>
      </c>
      <c r="AD478" s="1">
        <v>1410</v>
      </c>
      <c r="AE478" s="1">
        <v>404</v>
      </c>
      <c r="AF478" s="1">
        <v>77</v>
      </c>
      <c r="AG478" s="1">
        <v>4</v>
      </c>
      <c r="AH478" s="1">
        <v>5845</v>
      </c>
      <c r="AI478" s="1">
        <v>156</v>
      </c>
      <c r="AJ478" s="1">
        <v>339</v>
      </c>
      <c r="AK478" s="1">
        <v>1400</v>
      </c>
      <c r="AL478" s="1">
        <v>74</v>
      </c>
      <c r="AM478" s="1">
        <v>45</v>
      </c>
      <c r="AN478" s="2" t="s">
        <v>412</v>
      </c>
    </row>
    <row r="479" spans="1:40" ht="28.2" x14ac:dyDescent="0.3">
      <c r="A479" s="1">
        <v>7527</v>
      </c>
      <c r="B479" s="2" t="s">
        <v>2343</v>
      </c>
      <c r="C479" s="2" t="s">
        <v>2344</v>
      </c>
      <c r="D479" s="1">
        <v>28</v>
      </c>
      <c r="E479" s="2" t="s">
        <v>545</v>
      </c>
      <c r="F479" s="50" t="s">
        <v>3514</v>
      </c>
      <c r="G479" s="2" t="s">
        <v>2345</v>
      </c>
      <c r="H479" s="1">
        <v>13677</v>
      </c>
      <c r="I479" s="1">
        <v>13682</v>
      </c>
      <c r="J479" s="2" t="s">
        <v>836</v>
      </c>
      <c r="K479" s="2" t="s">
        <v>2346</v>
      </c>
      <c r="L479" s="2" t="s">
        <v>398</v>
      </c>
      <c r="M479" s="1">
        <v>756</v>
      </c>
      <c r="N479" s="1">
        <v>19801</v>
      </c>
      <c r="O479" s="2" t="s">
        <v>463</v>
      </c>
      <c r="P479" s="2" t="s">
        <v>202</v>
      </c>
      <c r="Q479" s="2" t="s">
        <v>463</v>
      </c>
      <c r="R479" s="2" t="s">
        <v>50</v>
      </c>
      <c r="S479" s="2" t="s">
        <v>50</v>
      </c>
      <c r="T479" s="1">
        <v>9175</v>
      </c>
      <c r="U479" s="2" t="s">
        <v>51</v>
      </c>
      <c r="V479" s="1">
        <v>1888</v>
      </c>
      <c r="W479" s="1">
        <v>1900</v>
      </c>
      <c r="X479" s="2" t="s">
        <v>285</v>
      </c>
      <c r="Y479" s="2" t="s">
        <v>245</v>
      </c>
      <c r="Z479" s="2" t="s">
        <v>795</v>
      </c>
      <c r="AA479" s="2" t="s">
        <v>933</v>
      </c>
      <c r="AB479" s="1">
        <v>10626</v>
      </c>
      <c r="AC479" s="1">
        <v>5784</v>
      </c>
      <c r="AD479" s="1">
        <v>2488</v>
      </c>
      <c r="AE479" s="1">
        <v>737</v>
      </c>
      <c r="AF479" s="1">
        <v>147</v>
      </c>
      <c r="AG479" s="1">
        <v>19</v>
      </c>
      <c r="AH479" s="1">
        <v>9396</v>
      </c>
      <c r="AI479" s="1">
        <v>972</v>
      </c>
      <c r="AJ479" s="1">
        <v>486</v>
      </c>
      <c r="AK479" s="1">
        <v>2615</v>
      </c>
      <c r="AL479" s="1">
        <v>164</v>
      </c>
      <c r="AM479" s="1">
        <v>64</v>
      </c>
      <c r="AN479" s="2">
        <v>1</v>
      </c>
    </row>
    <row r="480" spans="1:40" x14ac:dyDescent="0.3">
      <c r="A480" s="1">
        <v>545</v>
      </c>
      <c r="B480" s="2" t="s">
        <v>2347</v>
      </c>
      <c r="C480" s="2" t="s">
        <v>2348</v>
      </c>
      <c r="D480" s="1">
        <v>33</v>
      </c>
      <c r="E480" s="2" t="s">
        <v>545</v>
      </c>
      <c r="F480" s="50" t="s">
        <v>2349</v>
      </c>
      <c r="G480" s="2" t="s">
        <v>2350</v>
      </c>
      <c r="H480" s="1">
        <v>20585</v>
      </c>
      <c r="I480" s="1">
        <v>20184</v>
      </c>
      <c r="J480" s="2" t="s">
        <v>273</v>
      </c>
      <c r="K480" s="2" t="s">
        <v>916</v>
      </c>
      <c r="L480" s="2" t="s">
        <v>46</v>
      </c>
      <c r="M480" s="1">
        <v>1170</v>
      </c>
      <c r="N480" s="1">
        <v>30550</v>
      </c>
      <c r="O480" s="2" t="s">
        <v>225</v>
      </c>
      <c r="P480" s="2" t="s">
        <v>202</v>
      </c>
      <c r="Q480" s="2" t="s">
        <v>322</v>
      </c>
      <c r="R480" s="2" t="s">
        <v>66</v>
      </c>
      <c r="S480" s="2" t="s">
        <v>66</v>
      </c>
      <c r="T480" s="1">
        <v>14035</v>
      </c>
      <c r="U480" s="2" t="s">
        <v>51</v>
      </c>
      <c r="V480" s="1">
        <v>3049</v>
      </c>
      <c r="W480" s="1">
        <v>3120</v>
      </c>
      <c r="X480" s="2" t="s">
        <v>245</v>
      </c>
      <c r="Y480" s="2">
        <v>1</v>
      </c>
      <c r="Z480" s="2" t="s">
        <v>324</v>
      </c>
      <c r="AA480" s="2" t="s">
        <v>408</v>
      </c>
      <c r="AB480" s="1">
        <v>16515</v>
      </c>
      <c r="AC480" s="1">
        <v>9047</v>
      </c>
      <c r="AD480" s="1">
        <v>3700</v>
      </c>
      <c r="AE480" s="1">
        <v>1054</v>
      </c>
      <c r="AF480" s="1">
        <v>217</v>
      </c>
      <c r="AG480" s="1">
        <v>17</v>
      </c>
      <c r="AH480" s="1">
        <v>15077</v>
      </c>
      <c r="AI480" s="1">
        <v>356</v>
      </c>
      <c r="AJ480" s="1">
        <v>1300</v>
      </c>
      <c r="AK480" s="1">
        <v>3507</v>
      </c>
      <c r="AL480" s="1">
        <v>308</v>
      </c>
      <c r="AM480" s="1">
        <v>64</v>
      </c>
      <c r="AN480" s="2">
        <v>1</v>
      </c>
    </row>
    <row r="481" spans="1:40" ht="28.2" x14ac:dyDescent="0.3">
      <c r="A481" s="1">
        <v>13186</v>
      </c>
      <c r="B481" s="2" t="s">
        <v>2351</v>
      </c>
      <c r="C481" s="2" t="s">
        <v>2352</v>
      </c>
      <c r="D481" s="1">
        <v>24</v>
      </c>
      <c r="E481" s="2" t="s">
        <v>459</v>
      </c>
      <c r="F481" s="50" t="s">
        <v>3514</v>
      </c>
      <c r="G481" s="2" t="s">
        <v>2353</v>
      </c>
      <c r="H481" s="1">
        <v>9454</v>
      </c>
      <c r="I481" s="1">
        <v>9285</v>
      </c>
      <c r="J481" s="2" t="s">
        <v>573</v>
      </c>
      <c r="K481" s="2" t="s">
        <v>2354</v>
      </c>
      <c r="L481" s="2" t="s">
        <v>282</v>
      </c>
      <c r="M481" s="1">
        <v>544</v>
      </c>
      <c r="N481" s="1">
        <v>13974</v>
      </c>
      <c r="O481" s="2" t="s">
        <v>167</v>
      </c>
      <c r="P481" s="2" t="s">
        <v>166</v>
      </c>
      <c r="Q481" s="2" t="s">
        <v>322</v>
      </c>
      <c r="R481" s="2" t="s">
        <v>48</v>
      </c>
      <c r="S481" s="2" t="s">
        <v>48</v>
      </c>
      <c r="T481" s="1">
        <v>6470</v>
      </c>
      <c r="U481" s="2" t="s">
        <v>51</v>
      </c>
      <c r="V481" s="1">
        <v>1227</v>
      </c>
      <c r="W481" s="1">
        <v>1285</v>
      </c>
      <c r="X481" s="2" t="s">
        <v>820</v>
      </c>
      <c r="Y481" s="2" t="s">
        <v>820</v>
      </c>
      <c r="Z481" s="2" t="s">
        <v>314</v>
      </c>
      <c r="AA481" s="2" t="s">
        <v>1083</v>
      </c>
      <c r="AB481" s="1">
        <v>7504</v>
      </c>
      <c r="AC481" s="1">
        <v>4191</v>
      </c>
      <c r="AD481" s="1">
        <v>1690</v>
      </c>
      <c r="AE481" s="1">
        <v>488</v>
      </c>
      <c r="AF481" s="1">
        <v>86</v>
      </c>
      <c r="AG481" s="1">
        <v>15</v>
      </c>
      <c r="AH481" s="1">
        <v>6597</v>
      </c>
      <c r="AI481" s="1">
        <v>206</v>
      </c>
      <c r="AJ481" s="1">
        <v>723</v>
      </c>
      <c r="AK481" s="1">
        <v>1685</v>
      </c>
      <c r="AL481" s="1">
        <v>157</v>
      </c>
      <c r="AM481" s="1">
        <v>107</v>
      </c>
      <c r="AN481" s="2" t="s">
        <v>590</v>
      </c>
    </row>
    <row r="482" spans="1:40" ht="28.2" x14ac:dyDescent="0.3">
      <c r="A482" s="1">
        <v>7369</v>
      </c>
      <c r="B482" s="2" t="s">
        <v>2355</v>
      </c>
      <c r="C482" s="2" t="s">
        <v>2356</v>
      </c>
      <c r="D482" s="1">
        <v>31</v>
      </c>
      <c r="E482" s="2" t="s">
        <v>327</v>
      </c>
      <c r="F482" s="50" t="s">
        <v>3514</v>
      </c>
      <c r="G482" s="2" t="s">
        <v>2357</v>
      </c>
      <c r="H482" s="1">
        <v>6788</v>
      </c>
      <c r="I482" s="1">
        <v>6691</v>
      </c>
      <c r="J482" s="2" t="s">
        <v>943</v>
      </c>
      <c r="K482" s="2">
        <v>71</v>
      </c>
      <c r="L482" s="2" t="s">
        <v>441</v>
      </c>
      <c r="M482" s="1">
        <v>379</v>
      </c>
      <c r="N482" s="1">
        <v>9993</v>
      </c>
      <c r="O482" s="2" t="s">
        <v>167</v>
      </c>
      <c r="P482" s="2" t="s">
        <v>48</v>
      </c>
      <c r="Q482" s="2" t="s">
        <v>225</v>
      </c>
      <c r="R482" s="2" t="s">
        <v>50</v>
      </c>
      <c r="S482" s="2" t="s">
        <v>50</v>
      </c>
      <c r="T482" s="1">
        <v>4623</v>
      </c>
      <c r="U482" s="2" t="s">
        <v>51</v>
      </c>
      <c r="V482" s="1">
        <v>1193</v>
      </c>
      <c r="W482" s="1">
        <v>989</v>
      </c>
      <c r="X482" s="2" t="s">
        <v>136</v>
      </c>
      <c r="Y482" s="2" t="s">
        <v>561</v>
      </c>
      <c r="Z482" s="2" t="s">
        <v>183</v>
      </c>
      <c r="AA482" s="2" t="s">
        <v>354</v>
      </c>
      <c r="AB482" s="1">
        <v>5370</v>
      </c>
      <c r="AC482" s="1">
        <v>2985</v>
      </c>
      <c r="AD482" s="1">
        <v>1200</v>
      </c>
      <c r="AE482" s="1">
        <v>366</v>
      </c>
      <c r="AF482" s="1">
        <v>64</v>
      </c>
      <c r="AG482" s="1">
        <v>8</v>
      </c>
      <c r="AH482" s="1">
        <v>2930</v>
      </c>
      <c r="AI482" s="1">
        <v>2378</v>
      </c>
      <c r="AJ482" s="1">
        <v>232</v>
      </c>
      <c r="AK482" s="1">
        <v>1161</v>
      </c>
      <c r="AL482" s="1">
        <v>61</v>
      </c>
      <c r="AM482" s="1">
        <v>28</v>
      </c>
      <c r="AN482" s="2">
        <v>1</v>
      </c>
    </row>
    <row r="483" spans="1:40" x14ac:dyDescent="0.3">
      <c r="A483" s="1">
        <v>7687</v>
      </c>
      <c r="B483" s="2" t="s">
        <v>2358</v>
      </c>
      <c r="C483" s="2" t="s">
        <v>2359</v>
      </c>
      <c r="D483" s="1">
        <v>26</v>
      </c>
      <c r="E483" s="2" t="s">
        <v>459</v>
      </c>
      <c r="F483" s="50" t="s">
        <v>528</v>
      </c>
      <c r="G483" s="2" t="s">
        <v>528</v>
      </c>
      <c r="H483" s="1">
        <v>24560</v>
      </c>
      <c r="I483" s="1">
        <v>24088</v>
      </c>
      <c r="J483" s="2" t="s">
        <v>2078</v>
      </c>
      <c r="K483" s="2" t="s">
        <v>1435</v>
      </c>
      <c r="L483" s="2" t="s">
        <v>575</v>
      </c>
      <c r="M483" s="1">
        <v>1401</v>
      </c>
      <c r="N483" s="1">
        <v>36557</v>
      </c>
      <c r="O483" s="2" t="s">
        <v>225</v>
      </c>
      <c r="P483" s="2" t="s">
        <v>235</v>
      </c>
      <c r="Q483" s="2" t="s">
        <v>322</v>
      </c>
      <c r="R483" s="2" t="s">
        <v>67</v>
      </c>
      <c r="S483" s="2" t="s">
        <v>50</v>
      </c>
      <c r="T483" s="1">
        <v>16723</v>
      </c>
      <c r="U483" s="2" t="s">
        <v>51</v>
      </c>
      <c r="V483" s="1">
        <v>3743</v>
      </c>
      <c r="W483" s="1">
        <v>3758</v>
      </c>
      <c r="X483" s="2">
        <v>1</v>
      </c>
      <c r="Y483" s="2" t="s">
        <v>255</v>
      </c>
      <c r="Z483" s="2" t="s">
        <v>583</v>
      </c>
      <c r="AA483" s="2" t="s">
        <v>1030</v>
      </c>
      <c r="AB483" s="1">
        <v>19834</v>
      </c>
      <c r="AC483" s="1">
        <v>10725</v>
      </c>
      <c r="AD483" s="1">
        <v>4456</v>
      </c>
      <c r="AE483" s="1">
        <v>1289</v>
      </c>
      <c r="AF483" s="1">
        <v>228</v>
      </c>
      <c r="AG483" s="1">
        <v>25</v>
      </c>
      <c r="AH483" s="1">
        <v>15315</v>
      </c>
      <c r="AI483" s="1">
        <v>2886</v>
      </c>
      <c r="AJ483" s="1">
        <v>1640</v>
      </c>
      <c r="AK483" s="1">
        <v>4256</v>
      </c>
      <c r="AL483" s="1">
        <v>385</v>
      </c>
      <c r="AM483" s="1">
        <v>108</v>
      </c>
      <c r="AN483" s="2">
        <v>1</v>
      </c>
    </row>
    <row r="484" spans="1:40" ht="28.2" x14ac:dyDescent="0.3">
      <c r="A484" s="1">
        <v>11926</v>
      </c>
      <c r="B484" s="2" t="s">
        <v>2360</v>
      </c>
      <c r="C484" s="2" t="s">
        <v>2361</v>
      </c>
      <c r="D484" s="1">
        <v>23</v>
      </c>
      <c r="E484" s="2" t="s">
        <v>742</v>
      </c>
      <c r="F484" s="50" t="s">
        <v>2208</v>
      </c>
      <c r="G484" s="2" t="s">
        <v>1023</v>
      </c>
      <c r="H484" s="1">
        <v>19676</v>
      </c>
      <c r="I484" s="1">
        <v>19236</v>
      </c>
      <c r="J484" s="2" t="s">
        <v>2093</v>
      </c>
      <c r="K484" s="2" t="s">
        <v>1089</v>
      </c>
      <c r="L484" s="2" t="s">
        <v>275</v>
      </c>
      <c r="M484" s="1">
        <v>1096</v>
      </c>
      <c r="N484" s="1">
        <v>29290</v>
      </c>
      <c r="O484" s="2" t="s">
        <v>225</v>
      </c>
      <c r="P484" s="2" t="s">
        <v>67</v>
      </c>
      <c r="Q484" s="2" t="s">
        <v>322</v>
      </c>
      <c r="R484" s="2" t="s">
        <v>96</v>
      </c>
      <c r="S484" s="2" t="s">
        <v>96</v>
      </c>
      <c r="T484" s="1">
        <v>13506</v>
      </c>
      <c r="U484" s="2" t="s">
        <v>51</v>
      </c>
      <c r="V484" s="1">
        <v>2672</v>
      </c>
      <c r="W484" s="1">
        <v>2676</v>
      </c>
      <c r="X484" s="2">
        <v>1</v>
      </c>
      <c r="Y484" s="2" t="s">
        <v>503</v>
      </c>
      <c r="Z484" s="2" t="s">
        <v>1121</v>
      </c>
      <c r="AA484" s="2" t="s">
        <v>1244</v>
      </c>
      <c r="AB484" s="1">
        <v>15784</v>
      </c>
      <c r="AC484" s="1">
        <v>8776</v>
      </c>
      <c r="AD484" s="1">
        <v>3517</v>
      </c>
      <c r="AE484" s="1">
        <v>1003</v>
      </c>
      <c r="AF484" s="1">
        <v>193</v>
      </c>
      <c r="AG484" s="1">
        <v>17</v>
      </c>
      <c r="AH484" s="1">
        <v>14219</v>
      </c>
      <c r="AI484" s="1">
        <v>386</v>
      </c>
      <c r="AJ484" s="1">
        <v>1537</v>
      </c>
      <c r="AK484" s="1">
        <v>3355</v>
      </c>
      <c r="AL484" s="1">
        <v>169</v>
      </c>
      <c r="AM484" s="1">
        <v>54</v>
      </c>
      <c r="AN484" s="2" t="s">
        <v>407</v>
      </c>
    </row>
    <row r="485" spans="1:40" x14ac:dyDescent="0.3">
      <c r="A485" s="1">
        <v>10163</v>
      </c>
      <c r="B485" s="2" t="s">
        <v>2362</v>
      </c>
      <c r="C485" s="2" t="s">
        <v>2363</v>
      </c>
      <c r="D485" s="1">
        <v>25</v>
      </c>
      <c r="E485" s="2" t="s">
        <v>299</v>
      </c>
      <c r="F485" s="50" t="s">
        <v>3514</v>
      </c>
      <c r="G485" s="2" t="s">
        <v>1279</v>
      </c>
      <c r="H485" s="1">
        <v>6620</v>
      </c>
      <c r="I485" s="1">
        <v>6458</v>
      </c>
      <c r="J485" s="2" t="s">
        <v>1051</v>
      </c>
      <c r="K485" s="2" t="s">
        <v>486</v>
      </c>
      <c r="L485" s="2" t="s">
        <v>224</v>
      </c>
      <c r="M485" s="1">
        <v>389</v>
      </c>
      <c r="N485" s="1">
        <v>9930</v>
      </c>
      <c r="O485" s="2" t="s">
        <v>225</v>
      </c>
      <c r="P485" s="2" t="s">
        <v>235</v>
      </c>
      <c r="Q485" s="2" t="s">
        <v>276</v>
      </c>
      <c r="R485" s="2" t="s">
        <v>96</v>
      </c>
      <c r="S485" s="2" t="s">
        <v>66</v>
      </c>
      <c r="T485" s="1">
        <v>4527</v>
      </c>
      <c r="U485" s="2" t="s">
        <v>51</v>
      </c>
      <c r="V485" s="1">
        <v>763</v>
      </c>
      <c r="W485" s="1">
        <v>826</v>
      </c>
      <c r="X485" s="2" t="s">
        <v>1314</v>
      </c>
      <c r="Y485" s="2" t="s">
        <v>1749</v>
      </c>
      <c r="Z485" s="2" t="s">
        <v>1467</v>
      </c>
      <c r="AA485" s="2" t="s">
        <v>2364</v>
      </c>
      <c r="AB485" s="1">
        <v>5403</v>
      </c>
      <c r="AC485" s="1">
        <v>2910</v>
      </c>
      <c r="AD485" s="1">
        <v>1214</v>
      </c>
      <c r="AE485" s="1">
        <v>334</v>
      </c>
      <c r="AF485" s="1">
        <v>65</v>
      </c>
      <c r="AG485" s="1">
        <v>4</v>
      </c>
      <c r="AH485" s="1">
        <v>4512</v>
      </c>
      <c r="AI485" s="1">
        <v>91</v>
      </c>
      <c r="AJ485" s="1">
        <v>592</v>
      </c>
      <c r="AK485" s="1">
        <v>1324</v>
      </c>
      <c r="AL485" s="1">
        <v>96</v>
      </c>
      <c r="AM485" s="1">
        <v>17</v>
      </c>
      <c r="AN485" s="2">
        <v>1</v>
      </c>
    </row>
    <row r="486" spans="1:40" ht="28.2" x14ac:dyDescent="0.3">
      <c r="A486" s="1">
        <v>6904</v>
      </c>
      <c r="B486" s="2" t="s">
        <v>2365</v>
      </c>
      <c r="C486" s="2" t="s">
        <v>2366</v>
      </c>
      <c r="D486" s="1">
        <v>26</v>
      </c>
      <c r="E486" s="2" t="s">
        <v>379</v>
      </c>
      <c r="F486" s="50" t="s">
        <v>599</v>
      </c>
      <c r="G486" s="2" t="s">
        <v>2367</v>
      </c>
      <c r="H486" s="1">
        <v>27642</v>
      </c>
      <c r="I486" s="1">
        <v>27189</v>
      </c>
      <c r="J486" s="2" t="s">
        <v>2368</v>
      </c>
      <c r="K486" s="2" t="s">
        <v>2250</v>
      </c>
      <c r="L486" s="2">
        <v>5</v>
      </c>
      <c r="M486" s="1">
        <v>1569</v>
      </c>
      <c r="N486" s="1">
        <v>41373</v>
      </c>
      <c r="O486" s="2" t="s">
        <v>225</v>
      </c>
      <c r="P486" s="2" t="s">
        <v>202</v>
      </c>
      <c r="Q486" s="2" t="s">
        <v>322</v>
      </c>
      <c r="R486" s="2" t="s">
        <v>96</v>
      </c>
      <c r="S486" s="2" t="s">
        <v>66</v>
      </c>
      <c r="T486" s="1">
        <v>18847</v>
      </c>
      <c r="U486" s="2" t="s">
        <v>51</v>
      </c>
      <c r="V486" s="1">
        <v>3562</v>
      </c>
      <c r="W486" s="1">
        <v>3820</v>
      </c>
      <c r="X486" s="2" t="s">
        <v>950</v>
      </c>
      <c r="Y486" s="2" t="s">
        <v>1570</v>
      </c>
      <c r="Z486" s="2" t="s">
        <v>391</v>
      </c>
      <c r="AA486" s="2" t="s">
        <v>247</v>
      </c>
      <c r="AB486" s="1">
        <v>22526</v>
      </c>
      <c r="AC486" s="1">
        <v>12210</v>
      </c>
      <c r="AD486" s="1">
        <v>4857</v>
      </c>
      <c r="AE486" s="1">
        <v>1458</v>
      </c>
      <c r="AF486" s="1">
        <v>283</v>
      </c>
      <c r="AG486" s="1">
        <v>39</v>
      </c>
      <c r="AH486" s="1">
        <v>19482</v>
      </c>
      <c r="AI486" s="1">
        <v>1192</v>
      </c>
      <c r="AJ486" s="1">
        <v>1435</v>
      </c>
      <c r="AK486" s="1">
        <v>4947</v>
      </c>
      <c r="AL486" s="1">
        <v>473</v>
      </c>
      <c r="AM486" s="1">
        <v>178</v>
      </c>
      <c r="AN486" s="2">
        <v>1</v>
      </c>
    </row>
    <row r="487" spans="1:40" ht="28.2" x14ac:dyDescent="0.3">
      <c r="A487" s="1">
        <v>9298</v>
      </c>
      <c r="B487" s="2" t="s">
        <v>2369</v>
      </c>
      <c r="C487" s="2" t="s">
        <v>2370</v>
      </c>
      <c r="D487" s="1">
        <v>25</v>
      </c>
      <c r="E487" s="2" t="s">
        <v>1070</v>
      </c>
      <c r="F487" s="50" t="s">
        <v>3514</v>
      </c>
      <c r="G487" s="2" t="s">
        <v>2371</v>
      </c>
      <c r="H487" s="1">
        <v>8886</v>
      </c>
      <c r="I487" s="1">
        <v>8837</v>
      </c>
      <c r="J487" s="2" t="s">
        <v>1995</v>
      </c>
      <c r="K487" s="2" t="s">
        <v>1062</v>
      </c>
      <c r="L487" s="2" t="s">
        <v>93</v>
      </c>
      <c r="M487" s="1">
        <v>479</v>
      </c>
      <c r="N487" s="1">
        <v>12857</v>
      </c>
      <c r="O487" s="2" t="s">
        <v>463</v>
      </c>
      <c r="P487" s="2" t="s">
        <v>48</v>
      </c>
      <c r="Q487" s="2" t="s">
        <v>463</v>
      </c>
      <c r="R487" s="2" t="s">
        <v>96</v>
      </c>
      <c r="S487" s="2" t="s">
        <v>50</v>
      </c>
      <c r="T487" s="1">
        <v>6035</v>
      </c>
      <c r="U487" s="2" t="s">
        <v>51</v>
      </c>
      <c r="V487" s="1">
        <v>1130</v>
      </c>
      <c r="W487" s="1">
        <v>1173</v>
      </c>
      <c r="X487" s="2" t="s">
        <v>472</v>
      </c>
      <c r="Y487" s="2" t="s">
        <v>820</v>
      </c>
      <c r="Z487" s="2" t="s">
        <v>278</v>
      </c>
      <c r="AA487" s="2" t="s">
        <v>783</v>
      </c>
      <c r="AB487" s="1">
        <v>6822</v>
      </c>
      <c r="AC487" s="1">
        <v>3850</v>
      </c>
      <c r="AD487" s="1">
        <v>1621</v>
      </c>
      <c r="AE487" s="1">
        <v>468</v>
      </c>
      <c r="AF487" s="1">
        <v>90</v>
      </c>
      <c r="AG487" s="1">
        <v>6</v>
      </c>
      <c r="AH487" s="1">
        <v>6569</v>
      </c>
      <c r="AI487" s="1">
        <v>416</v>
      </c>
      <c r="AJ487" s="1">
        <v>386</v>
      </c>
      <c r="AK487" s="1">
        <v>1421</v>
      </c>
      <c r="AL487" s="1">
        <v>86</v>
      </c>
      <c r="AM487" s="1">
        <v>20</v>
      </c>
      <c r="AN487" s="2">
        <v>1</v>
      </c>
    </row>
    <row r="488" spans="1:40" x14ac:dyDescent="0.3">
      <c r="A488" s="1">
        <v>2161</v>
      </c>
      <c r="B488" s="2" t="s">
        <v>2372</v>
      </c>
      <c r="C488" s="2" t="s">
        <v>2373</v>
      </c>
      <c r="D488" s="1">
        <v>29</v>
      </c>
      <c r="E488" s="2" t="s">
        <v>1012</v>
      </c>
      <c r="F488" s="50" t="s">
        <v>2374</v>
      </c>
      <c r="G488" s="2" t="s">
        <v>2374</v>
      </c>
      <c r="H488" s="1">
        <v>13891</v>
      </c>
      <c r="I488" s="1">
        <v>13644</v>
      </c>
      <c r="J488" s="2" t="s">
        <v>212</v>
      </c>
      <c r="K488" s="2" t="s">
        <v>582</v>
      </c>
      <c r="L488" s="2" t="s">
        <v>164</v>
      </c>
      <c r="M488" s="1">
        <v>789</v>
      </c>
      <c r="N488" s="1">
        <v>20642</v>
      </c>
      <c r="O488" s="2" t="s">
        <v>225</v>
      </c>
      <c r="P488" s="2" t="s">
        <v>202</v>
      </c>
      <c r="Q488" s="2" t="s">
        <v>322</v>
      </c>
      <c r="R488" s="2" t="s">
        <v>96</v>
      </c>
      <c r="S488" s="2" t="s">
        <v>96</v>
      </c>
      <c r="T488" s="1">
        <v>9484</v>
      </c>
      <c r="U488" s="2" t="s">
        <v>51</v>
      </c>
      <c r="V488" s="1">
        <v>2545</v>
      </c>
      <c r="W488" s="1">
        <v>2321</v>
      </c>
      <c r="X488" s="2" t="s">
        <v>561</v>
      </c>
      <c r="Y488" s="2" t="s">
        <v>561</v>
      </c>
      <c r="Z488" s="2" t="s">
        <v>473</v>
      </c>
      <c r="AA488" s="2" t="s">
        <v>719</v>
      </c>
      <c r="AB488" s="1">
        <v>11158</v>
      </c>
      <c r="AC488" s="1">
        <v>6102</v>
      </c>
      <c r="AD488" s="1">
        <v>2510</v>
      </c>
      <c r="AE488" s="1">
        <v>728</v>
      </c>
      <c r="AF488" s="1">
        <v>135</v>
      </c>
      <c r="AG488" s="1">
        <v>9</v>
      </c>
      <c r="AH488" s="1">
        <v>5726</v>
      </c>
      <c r="AI488" s="1">
        <v>5066</v>
      </c>
      <c r="AJ488" s="1">
        <v>724</v>
      </c>
      <c r="AK488" s="1">
        <v>2223</v>
      </c>
      <c r="AL488" s="1">
        <v>161</v>
      </c>
      <c r="AM488" s="1">
        <v>33</v>
      </c>
      <c r="AN488" s="2" t="s">
        <v>590</v>
      </c>
    </row>
    <row r="489" spans="1:40" x14ac:dyDescent="0.3">
      <c r="A489" s="1">
        <v>9260</v>
      </c>
      <c r="B489" s="2" t="s">
        <v>2375</v>
      </c>
      <c r="C489" s="2" t="s">
        <v>2376</v>
      </c>
      <c r="D489" s="1">
        <v>26</v>
      </c>
      <c r="E489" s="2" t="s">
        <v>459</v>
      </c>
      <c r="F489" s="50" t="s">
        <v>3514</v>
      </c>
      <c r="G489" s="2" t="s">
        <v>2377</v>
      </c>
      <c r="H489" s="1">
        <v>8668</v>
      </c>
      <c r="I489" s="1">
        <v>8540</v>
      </c>
      <c r="J489" s="2" t="s">
        <v>252</v>
      </c>
      <c r="K489" s="2" t="s">
        <v>1363</v>
      </c>
      <c r="L489" s="2" t="s">
        <v>390</v>
      </c>
      <c r="M489" s="1">
        <v>493</v>
      </c>
      <c r="N489" s="1">
        <v>12707</v>
      </c>
      <c r="O489" s="2" t="s">
        <v>167</v>
      </c>
      <c r="P489" s="2" t="s">
        <v>235</v>
      </c>
      <c r="Q489" s="2" t="s">
        <v>225</v>
      </c>
      <c r="R489" s="2" t="s">
        <v>48</v>
      </c>
      <c r="S489" s="2" t="s">
        <v>67</v>
      </c>
      <c r="T489" s="1">
        <v>5944</v>
      </c>
      <c r="U489" s="2" t="s">
        <v>51</v>
      </c>
      <c r="V489" s="1">
        <v>1155</v>
      </c>
      <c r="W489" s="1">
        <v>1173</v>
      </c>
      <c r="X489" s="2" t="s">
        <v>245</v>
      </c>
      <c r="Y489" s="2" t="s">
        <v>503</v>
      </c>
      <c r="Z489" s="2" t="s">
        <v>391</v>
      </c>
      <c r="AA489" s="2" t="s">
        <v>888</v>
      </c>
      <c r="AB489" s="1">
        <v>6763</v>
      </c>
      <c r="AC489" s="1">
        <v>3861</v>
      </c>
      <c r="AD489" s="1">
        <v>1549</v>
      </c>
      <c r="AE489" s="1">
        <v>437</v>
      </c>
      <c r="AF489" s="1">
        <v>89</v>
      </c>
      <c r="AG489" s="1">
        <v>8</v>
      </c>
      <c r="AH489" s="1">
        <v>6387</v>
      </c>
      <c r="AI489" s="1">
        <v>88</v>
      </c>
      <c r="AJ489" s="1">
        <v>583</v>
      </c>
      <c r="AK489" s="1">
        <v>1509</v>
      </c>
      <c r="AL489" s="1">
        <v>96</v>
      </c>
      <c r="AM489" s="1">
        <v>19</v>
      </c>
      <c r="AN489" s="2">
        <v>1</v>
      </c>
    </row>
    <row r="490" spans="1:40" ht="42" x14ac:dyDescent="0.3">
      <c r="A490" s="1">
        <v>10463</v>
      </c>
      <c r="B490" s="2" t="s">
        <v>2378</v>
      </c>
      <c r="C490" s="2" t="s">
        <v>2379</v>
      </c>
      <c r="D490" s="1">
        <v>23</v>
      </c>
      <c r="E490" s="2" t="s">
        <v>545</v>
      </c>
      <c r="F490" s="50" t="s">
        <v>3514</v>
      </c>
      <c r="G490" s="2" t="s">
        <v>2380</v>
      </c>
      <c r="H490" s="1">
        <v>13293</v>
      </c>
      <c r="I490" s="1">
        <v>13254</v>
      </c>
      <c r="J490" s="2" t="s">
        <v>2381</v>
      </c>
      <c r="K490" s="2" t="s">
        <v>624</v>
      </c>
      <c r="L490" s="2" t="s">
        <v>589</v>
      </c>
      <c r="M490" s="1">
        <v>738</v>
      </c>
      <c r="N490" s="1">
        <v>19661</v>
      </c>
      <c r="O490" s="2" t="s">
        <v>167</v>
      </c>
      <c r="P490" s="2" t="s">
        <v>48</v>
      </c>
      <c r="Q490" s="2" t="s">
        <v>225</v>
      </c>
      <c r="R490" s="2" t="s">
        <v>50</v>
      </c>
      <c r="S490" s="2" t="s">
        <v>67</v>
      </c>
      <c r="T490" s="1">
        <v>8975</v>
      </c>
      <c r="U490" s="2" t="s">
        <v>51</v>
      </c>
      <c r="V490" s="1">
        <v>1721</v>
      </c>
      <c r="W490" s="1">
        <v>1976</v>
      </c>
      <c r="X490" s="2" t="s">
        <v>2324</v>
      </c>
      <c r="Y490" s="2" t="s">
        <v>1570</v>
      </c>
      <c r="Z490" s="2" t="s">
        <v>1268</v>
      </c>
      <c r="AA490" s="2" t="s">
        <v>828</v>
      </c>
      <c r="AB490" s="1">
        <v>10686</v>
      </c>
      <c r="AC490" s="1">
        <v>5746</v>
      </c>
      <c r="AD490" s="1">
        <v>2319</v>
      </c>
      <c r="AE490" s="1">
        <v>746</v>
      </c>
      <c r="AF490" s="1">
        <v>149</v>
      </c>
      <c r="AG490" s="1">
        <v>15</v>
      </c>
      <c r="AH490" s="1">
        <v>9494</v>
      </c>
      <c r="AI490" s="1">
        <v>144</v>
      </c>
      <c r="AJ490" s="1">
        <v>1141</v>
      </c>
      <c r="AK490" s="1">
        <v>2353</v>
      </c>
      <c r="AL490" s="1">
        <v>168</v>
      </c>
      <c r="AM490" s="1">
        <v>20</v>
      </c>
      <c r="AN490" s="2">
        <v>1</v>
      </c>
    </row>
    <row r="491" spans="1:40" ht="28.2" x14ac:dyDescent="0.3">
      <c r="A491" s="1">
        <v>9818</v>
      </c>
      <c r="B491" s="2" t="s">
        <v>2382</v>
      </c>
      <c r="C491" s="2" t="s">
        <v>2383</v>
      </c>
      <c r="D491" s="1">
        <v>24</v>
      </c>
      <c r="E491" s="2" t="s">
        <v>452</v>
      </c>
      <c r="F491" s="50" t="s">
        <v>2384</v>
      </c>
      <c r="G491" s="2" t="s">
        <v>2384</v>
      </c>
      <c r="H491" s="1">
        <v>10468</v>
      </c>
      <c r="I491" s="1">
        <v>10254</v>
      </c>
      <c r="J491" s="2" t="s">
        <v>808</v>
      </c>
      <c r="K491" s="2" t="s">
        <v>531</v>
      </c>
      <c r="L491" s="2" t="s">
        <v>949</v>
      </c>
      <c r="M491" s="1">
        <v>575</v>
      </c>
      <c r="N491" s="1">
        <v>15393</v>
      </c>
      <c r="O491" s="2" t="s">
        <v>167</v>
      </c>
      <c r="P491" s="2" t="s">
        <v>202</v>
      </c>
      <c r="Q491" s="2" t="s">
        <v>225</v>
      </c>
      <c r="R491" s="2" t="s">
        <v>96</v>
      </c>
      <c r="S491" s="2" t="s">
        <v>50</v>
      </c>
      <c r="T491" s="1">
        <v>7242</v>
      </c>
      <c r="U491" s="2" t="s">
        <v>51</v>
      </c>
      <c r="V491" s="1">
        <v>1540</v>
      </c>
      <c r="W491" s="1">
        <v>1458</v>
      </c>
      <c r="X491" s="2" t="s">
        <v>590</v>
      </c>
      <c r="Y491" s="2" t="s">
        <v>255</v>
      </c>
      <c r="Z491" s="2" t="s">
        <v>554</v>
      </c>
      <c r="AA491" s="2" t="s">
        <v>648</v>
      </c>
      <c r="AB491" s="1">
        <v>8151</v>
      </c>
      <c r="AC491" s="1">
        <v>4782</v>
      </c>
      <c r="AD491" s="1">
        <v>1814</v>
      </c>
      <c r="AE491" s="1">
        <v>534</v>
      </c>
      <c r="AF491" s="1">
        <v>104</v>
      </c>
      <c r="AG491" s="1">
        <v>8</v>
      </c>
      <c r="AH491" s="1">
        <v>8072</v>
      </c>
      <c r="AI491" s="1">
        <v>165</v>
      </c>
      <c r="AJ491" s="1">
        <v>456</v>
      </c>
      <c r="AK491" s="1">
        <v>1673</v>
      </c>
      <c r="AL491" s="1">
        <v>103</v>
      </c>
      <c r="AM491" s="1">
        <v>24</v>
      </c>
      <c r="AN491" s="2">
        <v>1</v>
      </c>
    </row>
    <row r="492" spans="1:40" ht="28.2" x14ac:dyDescent="0.3">
      <c r="A492" s="1">
        <v>630</v>
      </c>
      <c r="B492" s="2" t="s">
        <v>2385</v>
      </c>
      <c r="C492" s="2" t="s">
        <v>2386</v>
      </c>
      <c r="D492" s="1">
        <v>29</v>
      </c>
      <c r="E492" s="2" t="s">
        <v>1643</v>
      </c>
      <c r="F492" s="50" t="s">
        <v>1644</v>
      </c>
      <c r="G492" s="2" t="s">
        <v>2387</v>
      </c>
      <c r="H492" s="1">
        <v>22278</v>
      </c>
      <c r="I492" s="1">
        <v>22069</v>
      </c>
      <c r="J492" s="2" t="s">
        <v>1260</v>
      </c>
      <c r="K492" s="2">
        <v>78</v>
      </c>
      <c r="L492" s="2" t="s">
        <v>782</v>
      </c>
      <c r="M492" s="1">
        <v>1235</v>
      </c>
      <c r="N492" s="1">
        <v>32303</v>
      </c>
      <c r="O492" s="2" t="s">
        <v>463</v>
      </c>
      <c r="P492" s="2" t="s">
        <v>166</v>
      </c>
      <c r="Q492" s="2" t="s">
        <v>167</v>
      </c>
      <c r="R492" s="2" t="s">
        <v>50</v>
      </c>
      <c r="S492" s="2" t="s">
        <v>50</v>
      </c>
      <c r="T492" s="1">
        <v>15208</v>
      </c>
      <c r="U492" s="2" t="s">
        <v>51</v>
      </c>
      <c r="V492" s="1">
        <v>3382</v>
      </c>
      <c r="W492" s="1">
        <v>3326</v>
      </c>
      <c r="X492" s="2" t="s">
        <v>449</v>
      </c>
      <c r="Y492" s="2" t="s">
        <v>449</v>
      </c>
      <c r="Z492" s="2" t="s">
        <v>554</v>
      </c>
      <c r="AA492" s="2" t="s">
        <v>676</v>
      </c>
      <c r="AB492" s="1">
        <v>17095</v>
      </c>
      <c r="AC492" s="1">
        <v>9787</v>
      </c>
      <c r="AD492" s="1">
        <v>4043</v>
      </c>
      <c r="AE492" s="1">
        <v>1146</v>
      </c>
      <c r="AF492" s="1">
        <v>207</v>
      </c>
      <c r="AG492" s="1">
        <v>25</v>
      </c>
      <c r="AH492" s="1">
        <v>17101</v>
      </c>
      <c r="AI492" s="1">
        <v>113</v>
      </c>
      <c r="AJ492" s="1">
        <v>995</v>
      </c>
      <c r="AK492" s="1">
        <v>3747</v>
      </c>
      <c r="AL492" s="1">
        <v>314</v>
      </c>
      <c r="AM492" s="1">
        <v>38</v>
      </c>
      <c r="AN492" s="2">
        <v>1</v>
      </c>
    </row>
    <row r="493" spans="1:40" ht="28.2" x14ac:dyDescent="0.3">
      <c r="A493" s="1">
        <v>9257</v>
      </c>
      <c r="B493" s="2" t="s">
        <v>2388</v>
      </c>
      <c r="C493" s="2" t="s">
        <v>2389</v>
      </c>
      <c r="D493" s="1">
        <v>28</v>
      </c>
      <c r="E493" s="2" t="s">
        <v>545</v>
      </c>
      <c r="F493" s="50" t="s">
        <v>3514</v>
      </c>
      <c r="G493" s="2" t="s">
        <v>2390</v>
      </c>
      <c r="H493" s="1">
        <v>20728</v>
      </c>
      <c r="I493" s="1">
        <v>20548</v>
      </c>
      <c r="J493" s="2" t="s">
        <v>1046</v>
      </c>
      <c r="K493" s="2">
        <v>77</v>
      </c>
      <c r="L493" s="2" t="s">
        <v>294</v>
      </c>
      <c r="M493" s="1">
        <v>1135</v>
      </c>
      <c r="N493" s="1">
        <v>30119</v>
      </c>
      <c r="O493" s="2" t="s">
        <v>463</v>
      </c>
      <c r="P493" s="2" t="s">
        <v>235</v>
      </c>
      <c r="Q493" s="2" t="s">
        <v>167</v>
      </c>
      <c r="R493" s="2" t="s">
        <v>96</v>
      </c>
      <c r="S493" s="2" t="s">
        <v>96</v>
      </c>
      <c r="T493" s="1">
        <v>14171</v>
      </c>
      <c r="U493" s="2" t="s">
        <v>51</v>
      </c>
      <c r="V493" s="1">
        <v>3160</v>
      </c>
      <c r="W493" s="1">
        <v>3144</v>
      </c>
      <c r="X493" s="2" t="s">
        <v>255</v>
      </c>
      <c r="Y493" s="2" t="s">
        <v>449</v>
      </c>
      <c r="Z493" s="2" t="s">
        <v>554</v>
      </c>
      <c r="AA493" s="2" t="s">
        <v>844</v>
      </c>
      <c r="AB493" s="1">
        <v>15948</v>
      </c>
      <c r="AC493" s="1">
        <v>9094</v>
      </c>
      <c r="AD493" s="1">
        <v>3848</v>
      </c>
      <c r="AE493" s="1">
        <v>1006</v>
      </c>
      <c r="AF493" s="1">
        <v>196</v>
      </c>
      <c r="AG493" s="1">
        <v>27</v>
      </c>
      <c r="AH493" s="1">
        <v>15233</v>
      </c>
      <c r="AI493" s="1">
        <v>561</v>
      </c>
      <c r="AJ493" s="1">
        <v>1134</v>
      </c>
      <c r="AK493" s="1">
        <v>3537</v>
      </c>
      <c r="AL493" s="1">
        <v>218</v>
      </c>
      <c r="AM493" s="1">
        <v>87</v>
      </c>
      <c r="AN493" s="2" t="s">
        <v>285</v>
      </c>
    </row>
    <row r="494" spans="1:40" x14ac:dyDescent="0.3">
      <c r="A494" s="1">
        <v>1915</v>
      </c>
      <c r="B494" s="2" t="s">
        <v>2391</v>
      </c>
      <c r="C494" s="2" t="s">
        <v>2392</v>
      </c>
      <c r="D494" s="1">
        <v>33</v>
      </c>
      <c r="E494" s="2" t="s">
        <v>500</v>
      </c>
      <c r="F494" s="50" t="s">
        <v>825</v>
      </c>
      <c r="G494" s="2" t="s">
        <v>2393</v>
      </c>
      <c r="H494" s="1">
        <v>15472</v>
      </c>
      <c r="I494" s="1">
        <v>15505</v>
      </c>
      <c r="J494" s="2" t="s">
        <v>493</v>
      </c>
      <c r="K494" s="2" t="s">
        <v>920</v>
      </c>
      <c r="L494" s="2" t="s">
        <v>390</v>
      </c>
      <c r="M494" s="1">
        <v>848</v>
      </c>
      <c r="N494" s="1">
        <v>21936</v>
      </c>
      <c r="O494" s="2" t="s">
        <v>646</v>
      </c>
      <c r="P494" s="2" t="s">
        <v>235</v>
      </c>
      <c r="Q494" s="2" t="s">
        <v>646</v>
      </c>
      <c r="R494" s="2" t="s">
        <v>50</v>
      </c>
      <c r="S494" s="2" t="s">
        <v>50</v>
      </c>
      <c r="T494" s="1">
        <v>10488</v>
      </c>
      <c r="U494" s="2" t="s">
        <v>51</v>
      </c>
      <c r="V494" s="1">
        <v>2409</v>
      </c>
      <c r="W494" s="1">
        <v>2211</v>
      </c>
      <c r="X494" s="2" t="s">
        <v>295</v>
      </c>
      <c r="Y494" s="2" t="s">
        <v>304</v>
      </c>
      <c r="Z494" s="2" t="s">
        <v>427</v>
      </c>
      <c r="AA494" s="2" t="s">
        <v>969</v>
      </c>
      <c r="AB494" s="1">
        <v>11448</v>
      </c>
      <c r="AC494" s="1">
        <v>6664</v>
      </c>
      <c r="AD494" s="1">
        <v>2849</v>
      </c>
      <c r="AE494" s="1">
        <v>818</v>
      </c>
      <c r="AF494" s="1">
        <v>148</v>
      </c>
      <c r="AG494" s="1">
        <v>9</v>
      </c>
      <c r="AH494" s="1">
        <v>6452</v>
      </c>
      <c r="AI494" s="1">
        <v>4597</v>
      </c>
      <c r="AJ494" s="1">
        <v>799</v>
      </c>
      <c r="AK494" s="1">
        <v>3415</v>
      </c>
      <c r="AL494" s="1">
        <v>204</v>
      </c>
      <c r="AM494" s="1">
        <v>38</v>
      </c>
      <c r="AN494" s="2" t="s">
        <v>285</v>
      </c>
    </row>
    <row r="495" spans="1:40" x14ac:dyDescent="0.3">
      <c r="A495" s="1">
        <v>7873</v>
      </c>
      <c r="B495" s="2" t="s">
        <v>2394</v>
      </c>
      <c r="C495" s="2" t="s">
        <v>2395</v>
      </c>
      <c r="D495" s="1">
        <v>30</v>
      </c>
      <c r="E495" s="3" t="s">
        <v>141</v>
      </c>
      <c r="F495" s="50" t="s">
        <v>3514</v>
      </c>
      <c r="G495" s="2" t="s">
        <v>812</v>
      </c>
      <c r="H495" s="1">
        <v>14252</v>
      </c>
      <c r="I495" s="1">
        <v>14484</v>
      </c>
      <c r="J495" s="2" t="s">
        <v>910</v>
      </c>
      <c r="K495" s="2" t="s">
        <v>738</v>
      </c>
      <c r="L495" s="2" t="s">
        <v>575</v>
      </c>
      <c r="M495" s="1">
        <v>768</v>
      </c>
      <c r="N495" s="1">
        <v>20106</v>
      </c>
      <c r="O495" s="2" t="s">
        <v>646</v>
      </c>
      <c r="P495" s="2" t="s">
        <v>553</v>
      </c>
      <c r="Q495" s="2" t="s">
        <v>311</v>
      </c>
      <c r="R495" s="2" t="s">
        <v>67</v>
      </c>
      <c r="S495" s="2" t="s">
        <v>50</v>
      </c>
      <c r="T495" s="1">
        <v>9565</v>
      </c>
      <c r="U495" s="2" t="s">
        <v>51</v>
      </c>
      <c r="V495" s="1">
        <v>2501</v>
      </c>
      <c r="W495" s="1">
        <v>2493</v>
      </c>
      <c r="X495" s="2">
        <v>1</v>
      </c>
      <c r="Y495" s="2" t="s">
        <v>277</v>
      </c>
      <c r="Z495" s="2" t="s">
        <v>1765</v>
      </c>
      <c r="AA495" s="2" t="s">
        <v>392</v>
      </c>
      <c r="AB495" s="1">
        <v>10541</v>
      </c>
      <c r="AC495" s="1">
        <v>6003</v>
      </c>
      <c r="AD495" s="1">
        <v>2633</v>
      </c>
      <c r="AE495" s="1">
        <v>753</v>
      </c>
      <c r="AF495" s="1">
        <v>156</v>
      </c>
      <c r="AG495" s="1">
        <v>20</v>
      </c>
      <c r="AH495" s="1">
        <v>8804</v>
      </c>
      <c r="AI495" s="1">
        <v>1444</v>
      </c>
      <c r="AJ495" s="1">
        <v>1339</v>
      </c>
      <c r="AK495" s="1">
        <v>2456</v>
      </c>
      <c r="AL495" s="1">
        <v>186</v>
      </c>
      <c r="AM495" s="1">
        <v>52</v>
      </c>
      <c r="AN495" s="2" t="s">
        <v>285</v>
      </c>
    </row>
    <row r="496" spans="1:40" ht="28.2" x14ac:dyDescent="0.3">
      <c r="A496" s="1">
        <v>16769</v>
      </c>
      <c r="B496" s="2" t="s">
        <v>2396</v>
      </c>
      <c r="C496" s="2" t="s">
        <v>2397</v>
      </c>
      <c r="D496" s="1">
        <v>27</v>
      </c>
      <c r="E496" s="2" t="s">
        <v>104</v>
      </c>
      <c r="F496" s="50" t="s">
        <v>2398</v>
      </c>
      <c r="G496" s="2" t="s">
        <v>2399</v>
      </c>
      <c r="H496" s="1">
        <v>10196</v>
      </c>
      <c r="I496" s="1">
        <v>10040</v>
      </c>
      <c r="J496" s="2" t="s">
        <v>252</v>
      </c>
      <c r="K496" s="2" t="s">
        <v>788</v>
      </c>
      <c r="L496" s="2" t="s">
        <v>687</v>
      </c>
      <c r="M496" s="1">
        <v>581</v>
      </c>
      <c r="N496" s="1">
        <v>15398</v>
      </c>
      <c r="O496" s="2" t="s">
        <v>322</v>
      </c>
      <c r="P496" s="2" t="s">
        <v>235</v>
      </c>
      <c r="Q496" s="2" t="s">
        <v>276</v>
      </c>
      <c r="R496" s="2" t="s">
        <v>67</v>
      </c>
      <c r="S496" s="2" t="s">
        <v>96</v>
      </c>
      <c r="T496" s="1">
        <v>6980</v>
      </c>
      <c r="U496" s="2" t="s">
        <v>51</v>
      </c>
      <c r="V496" s="1">
        <v>1521</v>
      </c>
      <c r="W496" s="1">
        <v>1635</v>
      </c>
      <c r="X496" s="2" t="s">
        <v>950</v>
      </c>
      <c r="Y496" s="2" t="s">
        <v>245</v>
      </c>
      <c r="Z496" s="2" t="s">
        <v>1765</v>
      </c>
      <c r="AA496" s="2" t="s">
        <v>888</v>
      </c>
      <c r="AB496" s="1">
        <v>8418</v>
      </c>
      <c r="AC496" s="1">
        <v>4578</v>
      </c>
      <c r="AD496" s="1">
        <v>1717</v>
      </c>
      <c r="AE496" s="1">
        <v>565</v>
      </c>
      <c r="AF496" s="1">
        <v>111</v>
      </c>
      <c r="AG496" s="1">
        <v>9</v>
      </c>
      <c r="AH496" s="1">
        <v>7243</v>
      </c>
      <c r="AI496" s="1">
        <v>153</v>
      </c>
      <c r="AJ496" s="1">
        <v>820</v>
      </c>
      <c r="AK496" s="1">
        <v>1802</v>
      </c>
      <c r="AL496" s="1">
        <v>166</v>
      </c>
      <c r="AM496" s="1">
        <v>43</v>
      </c>
      <c r="AN496" s="2" t="s">
        <v>464</v>
      </c>
    </row>
    <row r="497" spans="1:40" ht="28.2" x14ac:dyDescent="0.3">
      <c r="A497" s="1">
        <v>7808</v>
      </c>
      <c r="B497" s="2" t="s">
        <v>2400</v>
      </c>
      <c r="C497" s="2" t="s">
        <v>2401</v>
      </c>
      <c r="D497" s="1">
        <v>29</v>
      </c>
      <c r="E497" s="2" t="s">
        <v>459</v>
      </c>
      <c r="F497" s="50" t="s">
        <v>749</v>
      </c>
      <c r="G497" s="2" t="s">
        <v>2402</v>
      </c>
      <c r="H497" s="1">
        <v>16041</v>
      </c>
      <c r="I497" s="1">
        <v>16075</v>
      </c>
      <c r="J497" s="2" t="s">
        <v>832</v>
      </c>
      <c r="K497" s="2" t="s">
        <v>1195</v>
      </c>
      <c r="L497" s="2" t="s">
        <v>1170</v>
      </c>
      <c r="M497" s="1">
        <v>901</v>
      </c>
      <c r="N497" s="1">
        <v>23127</v>
      </c>
      <c r="O497" s="2" t="s">
        <v>463</v>
      </c>
      <c r="P497" s="2" t="s">
        <v>166</v>
      </c>
      <c r="Q497" s="2" t="s">
        <v>905</v>
      </c>
      <c r="R497" s="2" t="s">
        <v>67</v>
      </c>
      <c r="S497" s="2" t="s">
        <v>50</v>
      </c>
      <c r="T497" s="1">
        <v>10874</v>
      </c>
      <c r="U497" s="2" t="s">
        <v>51</v>
      </c>
      <c r="V497" s="1">
        <v>2494</v>
      </c>
      <c r="W497" s="1">
        <v>2758</v>
      </c>
      <c r="X497" s="2" t="s">
        <v>1906</v>
      </c>
      <c r="Y497" s="2" t="s">
        <v>255</v>
      </c>
      <c r="Z497" s="2" t="s">
        <v>70</v>
      </c>
      <c r="AA497" s="2" t="s">
        <v>789</v>
      </c>
      <c r="AB497" s="1">
        <v>12253</v>
      </c>
      <c r="AC497" s="1">
        <v>6953</v>
      </c>
      <c r="AD497" s="1">
        <v>2888</v>
      </c>
      <c r="AE497" s="1">
        <v>844</v>
      </c>
      <c r="AF497" s="1">
        <v>173</v>
      </c>
      <c r="AG497" s="1">
        <v>16</v>
      </c>
      <c r="AH497" s="1">
        <v>11682</v>
      </c>
      <c r="AI497" s="1">
        <v>87</v>
      </c>
      <c r="AJ497" s="1">
        <v>1173</v>
      </c>
      <c r="AK497" s="1">
        <v>2859</v>
      </c>
      <c r="AL497" s="1">
        <v>212</v>
      </c>
      <c r="AM497" s="1">
        <v>61</v>
      </c>
      <c r="AN497" s="2" t="s">
        <v>285</v>
      </c>
    </row>
    <row r="498" spans="1:40" ht="28.2" x14ac:dyDescent="0.3">
      <c r="A498" s="1">
        <v>13157</v>
      </c>
      <c r="B498" s="2" t="s">
        <v>2403</v>
      </c>
      <c r="C498" s="2" t="s">
        <v>2404</v>
      </c>
      <c r="D498" s="1">
        <v>24</v>
      </c>
      <c r="E498" s="2" t="s">
        <v>75</v>
      </c>
      <c r="F498" s="50" t="s">
        <v>491</v>
      </c>
      <c r="G498" s="2" t="s">
        <v>491</v>
      </c>
      <c r="H498" s="1">
        <v>29312</v>
      </c>
      <c r="I498" s="1">
        <v>29038</v>
      </c>
      <c r="J498" s="2" t="s">
        <v>1675</v>
      </c>
      <c r="K498" s="2" t="s">
        <v>723</v>
      </c>
      <c r="L498" s="2" t="s">
        <v>224</v>
      </c>
      <c r="M498" s="1">
        <v>1598</v>
      </c>
      <c r="N498" s="1">
        <v>43012</v>
      </c>
      <c r="O498" s="2" t="s">
        <v>167</v>
      </c>
      <c r="P498" s="2" t="s">
        <v>235</v>
      </c>
      <c r="Q498" s="2" t="s">
        <v>167</v>
      </c>
      <c r="R498" s="2" t="s">
        <v>50</v>
      </c>
      <c r="S498" s="2" t="s">
        <v>96</v>
      </c>
      <c r="T498" s="1">
        <v>20081</v>
      </c>
      <c r="U498" s="2" t="s">
        <v>51</v>
      </c>
      <c r="V498" s="1">
        <v>4508</v>
      </c>
      <c r="W498" s="1">
        <v>4337</v>
      </c>
      <c r="X498" s="2" t="s">
        <v>407</v>
      </c>
      <c r="Y498" s="2" t="s">
        <v>449</v>
      </c>
      <c r="Z498" s="2" t="s">
        <v>54</v>
      </c>
      <c r="AA498" s="2" t="s">
        <v>577</v>
      </c>
      <c r="AB498" s="1">
        <v>22931</v>
      </c>
      <c r="AC498" s="1">
        <v>13033</v>
      </c>
      <c r="AD498" s="1">
        <v>5234</v>
      </c>
      <c r="AE498" s="1">
        <v>1480</v>
      </c>
      <c r="AF498" s="1">
        <v>299</v>
      </c>
      <c r="AG498" s="1">
        <v>35</v>
      </c>
      <c r="AH498" s="1">
        <v>21174</v>
      </c>
      <c r="AI498" s="1">
        <v>496</v>
      </c>
      <c r="AJ498" s="1">
        <v>2723</v>
      </c>
      <c r="AK498" s="1">
        <v>4648</v>
      </c>
      <c r="AL498" s="1">
        <v>273</v>
      </c>
      <c r="AM498" s="1">
        <v>71</v>
      </c>
      <c r="AN498" s="2" t="s">
        <v>464</v>
      </c>
    </row>
    <row r="499" spans="1:40" x14ac:dyDescent="0.3">
      <c r="A499" s="1">
        <v>18317</v>
      </c>
      <c r="B499" s="2" t="s">
        <v>2405</v>
      </c>
      <c r="C499" s="2" t="s">
        <v>2406</v>
      </c>
      <c r="D499" s="1">
        <v>19</v>
      </c>
      <c r="E499" s="2" t="s">
        <v>75</v>
      </c>
      <c r="F499" s="50" t="s">
        <v>1242</v>
      </c>
      <c r="G499" s="2" t="s">
        <v>1242</v>
      </c>
      <c r="H499" s="1">
        <v>10965</v>
      </c>
      <c r="I499" s="1">
        <v>10680</v>
      </c>
      <c r="J499" s="2" t="s">
        <v>2407</v>
      </c>
      <c r="K499" s="2" t="s">
        <v>2346</v>
      </c>
      <c r="L499" s="2" t="s">
        <v>589</v>
      </c>
      <c r="M499" s="1">
        <v>638</v>
      </c>
      <c r="N499" s="1">
        <v>16888</v>
      </c>
      <c r="O499" s="2" t="s">
        <v>276</v>
      </c>
      <c r="P499" s="2" t="s">
        <v>67</v>
      </c>
      <c r="Q499" s="2" t="s">
        <v>215</v>
      </c>
      <c r="R499" s="2" t="s">
        <v>50</v>
      </c>
      <c r="S499" s="2" t="s">
        <v>50</v>
      </c>
      <c r="T499" s="1">
        <v>7544</v>
      </c>
      <c r="U499" s="2" t="s">
        <v>51</v>
      </c>
      <c r="V499" s="1">
        <v>1561</v>
      </c>
      <c r="W499" s="1">
        <v>1575</v>
      </c>
      <c r="X499" s="2" t="s">
        <v>285</v>
      </c>
      <c r="Y499" s="2" t="s">
        <v>503</v>
      </c>
      <c r="Z499" s="2" t="s">
        <v>443</v>
      </c>
      <c r="AA499" s="2" t="s">
        <v>783</v>
      </c>
      <c r="AB499" s="1">
        <v>9344</v>
      </c>
      <c r="AC499" s="1">
        <v>4957</v>
      </c>
      <c r="AD499" s="1">
        <v>1888</v>
      </c>
      <c r="AE499" s="1">
        <v>577</v>
      </c>
      <c r="AF499" s="1">
        <v>109</v>
      </c>
      <c r="AG499" s="1">
        <v>13</v>
      </c>
      <c r="AH499" s="1">
        <v>8137</v>
      </c>
      <c r="AI499" s="1">
        <v>352</v>
      </c>
      <c r="AJ499" s="1">
        <v>426</v>
      </c>
      <c r="AK499" s="1">
        <v>1897</v>
      </c>
      <c r="AL499" s="1">
        <v>121</v>
      </c>
      <c r="AM499" s="1">
        <v>66</v>
      </c>
      <c r="AN499" s="2" t="s">
        <v>304</v>
      </c>
    </row>
    <row r="500" spans="1:40" ht="28.2" x14ac:dyDescent="0.3">
      <c r="A500" s="1">
        <v>12083</v>
      </c>
      <c r="B500" s="2" t="s">
        <v>2408</v>
      </c>
      <c r="C500" s="2" t="s">
        <v>2409</v>
      </c>
      <c r="D500" s="1">
        <v>23</v>
      </c>
      <c r="E500" s="2" t="s">
        <v>299</v>
      </c>
      <c r="F500" s="50" t="s">
        <v>2410</v>
      </c>
      <c r="G500" s="2" t="s">
        <v>2411</v>
      </c>
      <c r="H500" s="1">
        <v>7636</v>
      </c>
      <c r="I500" s="1">
        <v>7533</v>
      </c>
      <c r="J500" s="2" t="s">
        <v>2412</v>
      </c>
      <c r="K500" s="2">
        <v>71</v>
      </c>
      <c r="L500" s="2" t="s">
        <v>122</v>
      </c>
      <c r="M500" s="1">
        <v>435</v>
      </c>
      <c r="N500" s="1">
        <v>11265</v>
      </c>
      <c r="O500" s="2" t="s">
        <v>167</v>
      </c>
      <c r="P500" s="2" t="s">
        <v>67</v>
      </c>
      <c r="Q500" s="2" t="s">
        <v>225</v>
      </c>
      <c r="R500" s="2" t="s">
        <v>96</v>
      </c>
      <c r="S500" s="2" t="s">
        <v>50</v>
      </c>
      <c r="T500" s="1">
        <v>5215</v>
      </c>
      <c r="U500" s="2" t="s">
        <v>51</v>
      </c>
      <c r="V500" s="1">
        <v>1305</v>
      </c>
      <c r="W500" s="1">
        <v>1112</v>
      </c>
      <c r="X500" s="2" t="s">
        <v>172</v>
      </c>
      <c r="Y500" s="2" t="s">
        <v>277</v>
      </c>
      <c r="Z500" s="2" t="s">
        <v>576</v>
      </c>
      <c r="AA500" s="2" t="s">
        <v>719</v>
      </c>
      <c r="AB500" s="1">
        <v>6050</v>
      </c>
      <c r="AC500" s="1">
        <v>3350</v>
      </c>
      <c r="AD500" s="1">
        <v>1379</v>
      </c>
      <c r="AE500" s="1">
        <v>418</v>
      </c>
      <c r="AF500" s="1">
        <v>66</v>
      </c>
      <c r="AG500" s="1">
        <v>2</v>
      </c>
      <c r="AH500" s="1">
        <v>2527</v>
      </c>
      <c r="AI500" s="1">
        <v>3134</v>
      </c>
      <c r="AJ500" s="1">
        <v>317</v>
      </c>
      <c r="AK500" s="1">
        <v>1576</v>
      </c>
      <c r="AL500" s="1">
        <v>85</v>
      </c>
      <c r="AM500" s="1">
        <v>11</v>
      </c>
      <c r="AN500" s="2" t="s">
        <v>412</v>
      </c>
    </row>
    <row r="501" spans="1:40" x14ac:dyDescent="0.3">
      <c r="A501" s="1">
        <v>7700</v>
      </c>
      <c r="B501" s="2" t="s">
        <v>2413</v>
      </c>
      <c r="C501" s="2" t="s">
        <v>2414</v>
      </c>
      <c r="D501" s="1">
        <v>27</v>
      </c>
      <c r="E501" s="2" t="s">
        <v>545</v>
      </c>
      <c r="F501" s="50" t="s">
        <v>3514</v>
      </c>
      <c r="G501" s="2" t="s">
        <v>2415</v>
      </c>
      <c r="H501" s="1">
        <v>27595</v>
      </c>
      <c r="I501" s="1">
        <v>27649</v>
      </c>
      <c r="J501" s="2" t="s">
        <v>1951</v>
      </c>
      <c r="K501" s="2" t="s">
        <v>121</v>
      </c>
      <c r="L501" s="2" t="s">
        <v>2416</v>
      </c>
      <c r="M501" s="1">
        <v>1508</v>
      </c>
      <c r="N501" s="1">
        <v>40171</v>
      </c>
      <c r="O501" s="2" t="s">
        <v>463</v>
      </c>
      <c r="P501" s="2" t="s">
        <v>434</v>
      </c>
      <c r="Q501" s="2" t="s">
        <v>463</v>
      </c>
      <c r="R501" s="2" t="s">
        <v>67</v>
      </c>
      <c r="S501" s="2" t="s">
        <v>50</v>
      </c>
      <c r="T501" s="1">
        <v>18738</v>
      </c>
      <c r="U501" s="2" t="s">
        <v>51</v>
      </c>
      <c r="V501" s="1">
        <v>3904</v>
      </c>
      <c r="W501" s="1">
        <v>4242</v>
      </c>
      <c r="X501" s="2" t="s">
        <v>1314</v>
      </c>
      <c r="Y501" s="2" t="s">
        <v>245</v>
      </c>
      <c r="Z501" s="2" t="s">
        <v>576</v>
      </c>
      <c r="AA501" s="2" t="s">
        <v>739</v>
      </c>
      <c r="AB501" s="1">
        <v>21433</v>
      </c>
      <c r="AC501" s="1">
        <v>12079</v>
      </c>
      <c r="AD501" s="1">
        <v>4832</v>
      </c>
      <c r="AE501" s="1">
        <v>1488</v>
      </c>
      <c r="AF501" s="1">
        <v>309</v>
      </c>
      <c r="AG501" s="1">
        <v>30</v>
      </c>
      <c r="AH501" s="1">
        <v>19884</v>
      </c>
      <c r="AI501" s="1">
        <v>522</v>
      </c>
      <c r="AJ501" s="1">
        <v>1899</v>
      </c>
      <c r="AK501" s="1">
        <v>4617</v>
      </c>
      <c r="AL501" s="1">
        <v>664</v>
      </c>
      <c r="AM501" s="1">
        <v>102</v>
      </c>
      <c r="AN501" s="2" t="s">
        <v>285</v>
      </c>
    </row>
    <row r="502" spans="1:40" ht="42" x14ac:dyDescent="0.3">
      <c r="A502" s="1">
        <v>12710</v>
      </c>
      <c r="B502" s="2" t="s">
        <v>2417</v>
      </c>
      <c r="C502" s="2" t="s">
        <v>2418</v>
      </c>
      <c r="D502" s="1">
        <v>21</v>
      </c>
      <c r="E502" s="2" t="s">
        <v>500</v>
      </c>
      <c r="F502" s="50" t="s">
        <v>3514</v>
      </c>
      <c r="G502" s="2" t="s">
        <v>2419</v>
      </c>
      <c r="H502" s="1">
        <v>8389</v>
      </c>
      <c r="I502" s="1">
        <v>8436</v>
      </c>
      <c r="J502" s="2" t="s">
        <v>2420</v>
      </c>
      <c r="K502" s="2" t="s">
        <v>1062</v>
      </c>
      <c r="L502" s="2" t="s">
        <v>462</v>
      </c>
      <c r="M502" s="1">
        <v>464</v>
      </c>
      <c r="N502" s="1">
        <v>12098</v>
      </c>
      <c r="O502" s="2" t="s">
        <v>463</v>
      </c>
      <c r="P502" s="2" t="s">
        <v>235</v>
      </c>
      <c r="Q502" s="2" t="s">
        <v>905</v>
      </c>
      <c r="R502" s="2" t="s">
        <v>67</v>
      </c>
      <c r="S502" s="2" t="s">
        <v>67</v>
      </c>
      <c r="T502" s="1">
        <v>5676</v>
      </c>
      <c r="U502" s="2" t="s">
        <v>51</v>
      </c>
      <c r="V502" s="1">
        <v>1188</v>
      </c>
      <c r="W502" s="1">
        <v>1355</v>
      </c>
      <c r="X502" s="2" t="s">
        <v>2315</v>
      </c>
      <c r="Y502" s="2" t="s">
        <v>503</v>
      </c>
      <c r="Z502" s="2" t="s">
        <v>745</v>
      </c>
      <c r="AA502" s="2" t="s">
        <v>933</v>
      </c>
      <c r="AB502" s="1">
        <v>6422</v>
      </c>
      <c r="AC502" s="1">
        <v>3613</v>
      </c>
      <c r="AD502" s="1">
        <v>1527</v>
      </c>
      <c r="AE502" s="1">
        <v>432</v>
      </c>
      <c r="AF502" s="1">
        <v>94</v>
      </c>
      <c r="AG502" s="1">
        <v>10</v>
      </c>
      <c r="AH502" s="1">
        <v>5997</v>
      </c>
      <c r="AI502" s="1">
        <v>375</v>
      </c>
      <c r="AJ502" s="1">
        <v>398</v>
      </c>
      <c r="AK502" s="1">
        <v>1551</v>
      </c>
      <c r="AL502" s="1">
        <v>66</v>
      </c>
      <c r="AM502" s="1">
        <v>18</v>
      </c>
      <c r="AN502" s="2" t="s">
        <v>304</v>
      </c>
    </row>
    <row r="503" spans="1:40" x14ac:dyDescent="0.3">
      <c r="A503" s="1">
        <v>8184</v>
      </c>
      <c r="B503" s="2" t="s">
        <v>2421</v>
      </c>
      <c r="C503" s="2" t="s">
        <v>2422</v>
      </c>
      <c r="D503" s="1">
        <v>26</v>
      </c>
      <c r="E503" s="2" t="s">
        <v>141</v>
      </c>
      <c r="F503" s="50" t="s">
        <v>605</v>
      </c>
      <c r="G503" s="2" t="s">
        <v>2423</v>
      </c>
      <c r="H503" s="1">
        <v>21407</v>
      </c>
      <c r="I503" s="1">
        <v>21779</v>
      </c>
      <c r="J503" s="2" t="s">
        <v>2424</v>
      </c>
      <c r="K503" s="2" t="s">
        <v>588</v>
      </c>
      <c r="L503" s="2" t="s">
        <v>462</v>
      </c>
      <c r="M503" s="1">
        <v>1162</v>
      </c>
      <c r="N503" s="1">
        <v>30750</v>
      </c>
      <c r="O503" s="2" t="s">
        <v>905</v>
      </c>
      <c r="P503" s="2" t="s">
        <v>202</v>
      </c>
      <c r="Q503" s="2" t="s">
        <v>646</v>
      </c>
      <c r="R503" s="2" t="s">
        <v>50</v>
      </c>
      <c r="S503" s="2" t="s">
        <v>96</v>
      </c>
      <c r="T503" s="1">
        <v>14301</v>
      </c>
      <c r="U503" s="2" t="s">
        <v>51</v>
      </c>
      <c r="V503" s="1">
        <v>3278</v>
      </c>
      <c r="W503" s="1">
        <v>3941</v>
      </c>
      <c r="X503" s="2" t="s">
        <v>2425</v>
      </c>
      <c r="Y503" s="2" t="s">
        <v>285</v>
      </c>
      <c r="Z503" s="2" t="s">
        <v>54</v>
      </c>
      <c r="AA503" s="2" t="s">
        <v>384</v>
      </c>
      <c r="AB503" s="1">
        <v>16449</v>
      </c>
      <c r="AC503" s="1">
        <v>8992</v>
      </c>
      <c r="AD503" s="1">
        <v>3803</v>
      </c>
      <c r="AE503" s="1">
        <v>1234</v>
      </c>
      <c r="AF503" s="1">
        <v>254</v>
      </c>
      <c r="AG503" s="1">
        <v>18</v>
      </c>
      <c r="AH503" s="1">
        <v>15139</v>
      </c>
      <c r="AI503" s="1">
        <v>620</v>
      </c>
      <c r="AJ503" s="1">
        <v>1637</v>
      </c>
      <c r="AK503" s="1">
        <v>3789</v>
      </c>
      <c r="AL503" s="1">
        <v>216</v>
      </c>
      <c r="AM503" s="1">
        <v>54</v>
      </c>
      <c r="AN503" s="2" t="s">
        <v>285</v>
      </c>
    </row>
    <row r="504" spans="1:40" x14ac:dyDescent="0.3">
      <c r="A504" s="1">
        <v>338</v>
      </c>
      <c r="B504" s="2" t="s">
        <v>2426</v>
      </c>
      <c r="C504" s="2" t="s">
        <v>2427</v>
      </c>
      <c r="D504" s="1">
        <v>34</v>
      </c>
      <c r="E504" s="2" t="s">
        <v>59</v>
      </c>
      <c r="F504" s="50" t="s">
        <v>3514</v>
      </c>
      <c r="G504" s="2" t="s">
        <v>2428</v>
      </c>
      <c r="H504" s="1">
        <v>19780</v>
      </c>
      <c r="I504" s="1">
        <v>19292</v>
      </c>
      <c r="J504" s="2" t="s">
        <v>611</v>
      </c>
      <c r="K504" s="2" t="s">
        <v>494</v>
      </c>
      <c r="L504" s="2">
        <v>5</v>
      </c>
      <c r="M504" s="1">
        <v>1143</v>
      </c>
      <c r="N504" s="1">
        <v>29624</v>
      </c>
      <c r="O504" s="2" t="s">
        <v>225</v>
      </c>
      <c r="P504" s="2" t="s">
        <v>166</v>
      </c>
      <c r="Q504" s="2" t="s">
        <v>276</v>
      </c>
      <c r="R504" s="2" t="s">
        <v>66</v>
      </c>
      <c r="S504" s="2" t="s">
        <v>96</v>
      </c>
      <c r="T504" s="1">
        <v>13622</v>
      </c>
      <c r="U504" s="2" t="s">
        <v>51</v>
      </c>
      <c r="V504" s="1">
        <v>2299</v>
      </c>
      <c r="W504" s="1">
        <v>2181</v>
      </c>
      <c r="X504" s="2" t="s">
        <v>304</v>
      </c>
      <c r="Y504" s="2" t="s">
        <v>950</v>
      </c>
      <c r="Z504" s="2" t="s">
        <v>635</v>
      </c>
      <c r="AA504" s="2" t="s">
        <v>2429</v>
      </c>
      <c r="AB504" s="1">
        <v>16002</v>
      </c>
      <c r="AC504" s="1">
        <v>8902</v>
      </c>
      <c r="AD504" s="1">
        <v>3532</v>
      </c>
      <c r="AE504" s="1">
        <v>1000</v>
      </c>
      <c r="AF504" s="1">
        <v>172</v>
      </c>
      <c r="AG504" s="1">
        <v>16</v>
      </c>
      <c r="AH504" s="1">
        <v>13350</v>
      </c>
      <c r="AI504" s="1">
        <v>1913</v>
      </c>
      <c r="AJ504" s="1">
        <v>724</v>
      </c>
      <c r="AK504" s="1">
        <v>3380</v>
      </c>
      <c r="AL504" s="1">
        <v>363</v>
      </c>
      <c r="AM504" s="1">
        <v>61</v>
      </c>
      <c r="AN504" s="2" t="s">
        <v>285</v>
      </c>
    </row>
    <row r="505" spans="1:40" ht="30.6" x14ac:dyDescent="0.3">
      <c r="A505" s="1">
        <v>7296</v>
      </c>
      <c r="B505" s="2" t="s">
        <v>2430</v>
      </c>
      <c r="C505" s="2" t="s">
        <v>2431</v>
      </c>
      <c r="D505" s="1">
        <v>28</v>
      </c>
      <c r="E505" s="2" t="s">
        <v>141</v>
      </c>
      <c r="F505" s="50" t="s">
        <v>2432</v>
      </c>
      <c r="G505" s="2" t="s">
        <v>2433</v>
      </c>
      <c r="H505" s="1">
        <v>7860</v>
      </c>
      <c r="I505" s="1">
        <v>7786</v>
      </c>
      <c r="J505" s="2" t="s">
        <v>1521</v>
      </c>
      <c r="K505" s="2" t="s">
        <v>353</v>
      </c>
      <c r="L505" s="2" t="s">
        <v>331</v>
      </c>
      <c r="M505" s="1">
        <v>436</v>
      </c>
      <c r="N505" s="1">
        <v>11572</v>
      </c>
      <c r="O505" s="2" t="s">
        <v>167</v>
      </c>
      <c r="P505" s="2" t="s">
        <v>166</v>
      </c>
      <c r="Q505" s="2" t="s">
        <v>225</v>
      </c>
      <c r="R505" s="2" t="s">
        <v>67</v>
      </c>
      <c r="S505" s="2" t="s">
        <v>48</v>
      </c>
      <c r="T505" s="1">
        <v>5377</v>
      </c>
      <c r="U505" s="2" t="s">
        <v>51</v>
      </c>
      <c r="V505" s="1">
        <v>1063</v>
      </c>
      <c r="W505" s="1">
        <v>995</v>
      </c>
      <c r="X505" s="2" t="s">
        <v>464</v>
      </c>
      <c r="Y505" s="2" t="s">
        <v>245</v>
      </c>
      <c r="Z505" s="2" t="s">
        <v>2434</v>
      </c>
      <c r="AA505" s="2" t="s">
        <v>1101</v>
      </c>
      <c r="AB505" s="1">
        <v>6195</v>
      </c>
      <c r="AC505" s="1">
        <v>3482</v>
      </c>
      <c r="AD505" s="1">
        <v>1401</v>
      </c>
      <c r="AE505" s="1">
        <v>409</v>
      </c>
      <c r="AF505" s="1">
        <v>79</v>
      </c>
      <c r="AG505" s="1">
        <v>6</v>
      </c>
      <c r="AH505" s="1">
        <v>5040</v>
      </c>
      <c r="AI505" s="1">
        <v>795</v>
      </c>
      <c r="AJ505" s="1">
        <v>456</v>
      </c>
      <c r="AK505" s="1">
        <v>1451</v>
      </c>
      <c r="AL505" s="1">
        <v>103</v>
      </c>
      <c r="AM505" s="1">
        <v>23</v>
      </c>
      <c r="AN505" s="2" t="s">
        <v>285</v>
      </c>
    </row>
    <row r="506" spans="1:40" ht="28.2" x14ac:dyDescent="0.3">
      <c r="A506" s="1">
        <v>15204</v>
      </c>
      <c r="B506" s="2" t="s">
        <v>2435</v>
      </c>
      <c r="C506" s="2" t="s">
        <v>2436</v>
      </c>
      <c r="D506" s="1">
        <v>22</v>
      </c>
      <c r="E506" s="2" t="s">
        <v>327</v>
      </c>
      <c r="F506" s="50" t="s">
        <v>2236</v>
      </c>
      <c r="G506" s="2" t="s">
        <v>2437</v>
      </c>
      <c r="H506" s="1">
        <v>15239</v>
      </c>
      <c r="I506" s="1">
        <v>15404</v>
      </c>
      <c r="J506" s="2" t="s">
        <v>910</v>
      </c>
      <c r="K506" s="2">
        <v>77</v>
      </c>
      <c r="L506" s="2" t="s">
        <v>589</v>
      </c>
      <c r="M506" s="1">
        <v>801</v>
      </c>
      <c r="N506" s="1">
        <v>21935</v>
      </c>
      <c r="O506" s="2" t="s">
        <v>463</v>
      </c>
      <c r="P506" s="2" t="s">
        <v>202</v>
      </c>
      <c r="Q506" s="2" t="s">
        <v>905</v>
      </c>
      <c r="R506" s="2" t="s">
        <v>50</v>
      </c>
      <c r="S506" s="2" t="s">
        <v>50</v>
      </c>
      <c r="T506" s="1">
        <v>10292</v>
      </c>
      <c r="U506" s="2" t="s">
        <v>51</v>
      </c>
      <c r="V506" s="1">
        <v>2250</v>
      </c>
      <c r="W506" s="1">
        <v>2516</v>
      </c>
      <c r="X506" s="2" t="s">
        <v>1551</v>
      </c>
      <c r="Y506" s="2" t="s">
        <v>285</v>
      </c>
      <c r="Z506" s="2" t="s">
        <v>1765</v>
      </c>
      <c r="AA506" s="2" t="s">
        <v>547</v>
      </c>
      <c r="AB506" s="1">
        <v>11643</v>
      </c>
      <c r="AC506" s="1">
        <v>6571</v>
      </c>
      <c r="AD506" s="1">
        <v>2707</v>
      </c>
      <c r="AE506" s="1">
        <v>824</v>
      </c>
      <c r="AF506" s="1">
        <v>168</v>
      </c>
      <c r="AG506" s="1">
        <v>22</v>
      </c>
      <c r="AH506" s="1">
        <v>11595</v>
      </c>
      <c r="AI506" s="1">
        <v>151</v>
      </c>
      <c r="AJ506" s="1">
        <v>728</v>
      </c>
      <c r="AK506" s="1">
        <v>2612</v>
      </c>
      <c r="AL506" s="1">
        <v>154</v>
      </c>
      <c r="AM506" s="1">
        <v>37</v>
      </c>
      <c r="AN506" s="2" t="s">
        <v>407</v>
      </c>
    </row>
    <row r="507" spans="1:40" ht="28.2" x14ac:dyDescent="0.3">
      <c r="A507" s="1">
        <v>12101</v>
      </c>
      <c r="B507" s="2" t="s">
        <v>2438</v>
      </c>
      <c r="C507" s="2" t="s">
        <v>2439</v>
      </c>
      <c r="D507" s="1">
        <v>19</v>
      </c>
      <c r="E507" s="2" t="s">
        <v>459</v>
      </c>
      <c r="F507" s="50" t="s">
        <v>3514</v>
      </c>
      <c r="G507" s="2" t="s">
        <v>2440</v>
      </c>
      <c r="H507" s="1">
        <v>9091</v>
      </c>
      <c r="I507" s="1">
        <v>9114</v>
      </c>
      <c r="J507" s="2" t="s">
        <v>2051</v>
      </c>
      <c r="K507" s="2" t="s">
        <v>645</v>
      </c>
      <c r="L507" s="2" t="s">
        <v>390</v>
      </c>
      <c r="M507" s="1">
        <v>498</v>
      </c>
      <c r="N507" s="1">
        <v>13218</v>
      </c>
      <c r="O507" s="2" t="s">
        <v>463</v>
      </c>
      <c r="P507" s="2" t="s">
        <v>202</v>
      </c>
      <c r="Q507" s="2" t="s">
        <v>463</v>
      </c>
      <c r="R507" s="2" t="s">
        <v>67</v>
      </c>
      <c r="S507" s="2" t="s">
        <v>50</v>
      </c>
      <c r="T507" s="1">
        <v>6161</v>
      </c>
      <c r="U507" s="2" t="s">
        <v>51</v>
      </c>
      <c r="V507" s="1">
        <v>1265</v>
      </c>
      <c r="W507" s="1">
        <v>1345</v>
      </c>
      <c r="X507" s="2" t="s">
        <v>1570</v>
      </c>
      <c r="Y507" s="2" t="s">
        <v>245</v>
      </c>
      <c r="Z507" s="2" t="s">
        <v>383</v>
      </c>
      <c r="AA507" s="2" t="s">
        <v>640</v>
      </c>
      <c r="AB507" s="1">
        <v>7057</v>
      </c>
      <c r="AC507" s="1">
        <v>3931</v>
      </c>
      <c r="AD507" s="1">
        <v>1647</v>
      </c>
      <c r="AE507" s="1">
        <v>473</v>
      </c>
      <c r="AF507" s="1">
        <v>103</v>
      </c>
      <c r="AG507" s="1">
        <v>7</v>
      </c>
      <c r="AH507" s="1">
        <v>6353</v>
      </c>
      <c r="AI507" s="1">
        <v>209</v>
      </c>
      <c r="AJ507" s="1">
        <v>717</v>
      </c>
      <c r="AK507" s="1">
        <v>1660</v>
      </c>
      <c r="AL507" s="1">
        <v>85</v>
      </c>
      <c r="AM507" s="1">
        <v>99</v>
      </c>
      <c r="AN507" s="2" t="s">
        <v>407</v>
      </c>
    </row>
    <row r="508" spans="1:40" x14ac:dyDescent="0.3">
      <c r="A508" s="1">
        <v>5373</v>
      </c>
      <c r="B508" s="2" t="s">
        <v>2441</v>
      </c>
      <c r="C508" s="2" t="s">
        <v>2442</v>
      </c>
      <c r="D508" s="1">
        <v>29</v>
      </c>
      <c r="E508" s="2" t="s">
        <v>545</v>
      </c>
      <c r="F508" s="50" t="s">
        <v>2443</v>
      </c>
      <c r="G508" s="2" t="s">
        <v>2444</v>
      </c>
      <c r="H508" s="1">
        <v>7960</v>
      </c>
      <c r="I508" s="1">
        <v>7968</v>
      </c>
      <c r="J508" s="2" t="s">
        <v>2006</v>
      </c>
      <c r="K508" s="2" t="s">
        <v>368</v>
      </c>
      <c r="L508" s="2" t="s">
        <v>782</v>
      </c>
      <c r="M508" s="1">
        <v>438</v>
      </c>
      <c r="N508" s="1">
        <v>11568</v>
      </c>
      <c r="O508" s="2" t="s">
        <v>463</v>
      </c>
      <c r="P508" s="2" t="s">
        <v>166</v>
      </c>
      <c r="Q508" s="2" t="s">
        <v>463</v>
      </c>
      <c r="R508" s="2" t="s">
        <v>66</v>
      </c>
      <c r="S508" s="2" t="s">
        <v>66</v>
      </c>
      <c r="T508" s="1">
        <v>5372</v>
      </c>
      <c r="U508" s="2" t="s">
        <v>51</v>
      </c>
      <c r="V508" s="1">
        <v>1017</v>
      </c>
      <c r="W508" s="1">
        <v>1145</v>
      </c>
      <c r="X508" s="2" t="s">
        <v>1551</v>
      </c>
      <c r="Y508" s="2" t="s">
        <v>1570</v>
      </c>
      <c r="Z508" s="2" t="s">
        <v>533</v>
      </c>
      <c r="AA508" s="2" t="s">
        <v>1171</v>
      </c>
      <c r="AB508" s="1">
        <v>6196</v>
      </c>
      <c r="AC508" s="1">
        <v>3398</v>
      </c>
      <c r="AD508" s="1">
        <v>1469</v>
      </c>
      <c r="AE508" s="1">
        <v>415</v>
      </c>
      <c r="AF508" s="1">
        <v>86</v>
      </c>
      <c r="AG508" s="1">
        <v>4</v>
      </c>
      <c r="AH508" s="1">
        <v>5423</v>
      </c>
      <c r="AI508" s="1">
        <v>226</v>
      </c>
      <c r="AJ508" s="1">
        <v>538</v>
      </c>
      <c r="AK508" s="1">
        <v>1531</v>
      </c>
      <c r="AL508" s="1">
        <v>170</v>
      </c>
      <c r="AM508" s="1">
        <v>77</v>
      </c>
      <c r="AN508" s="2" t="s">
        <v>285</v>
      </c>
    </row>
    <row r="509" spans="1:40" x14ac:dyDescent="0.3">
      <c r="A509" s="1">
        <v>9103</v>
      </c>
      <c r="B509" s="2" t="s">
        <v>2445</v>
      </c>
      <c r="C509" s="2" t="s">
        <v>2446</v>
      </c>
      <c r="D509" s="1">
        <v>28</v>
      </c>
      <c r="E509" s="2" t="s">
        <v>299</v>
      </c>
      <c r="F509" s="50" t="s">
        <v>3514</v>
      </c>
      <c r="G509" s="2" t="s">
        <v>2447</v>
      </c>
      <c r="H509" s="1">
        <v>11278</v>
      </c>
      <c r="I509" s="1">
        <v>11140</v>
      </c>
      <c r="J509" s="2" t="s">
        <v>954</v>
      </c>
      <c r="K509" s="2" t="s">
        <v>999</v>
      </c>
      <c r="L509" s="2" t="s">
        <v>201</v>
      </c>
      <c r="M509" s="1">
        <v>647</v>
      </c>
      <c r="N509" s="1">
        <v>16903</v>
      </c>
      <c r="O509" s="2" t="s">
        <v>225</v>
      </c>
      <c r="P509" s="2" t="s">
        <v>202</v>
      </c>
      <c r="Q509" s="2" t="s">
        <v>322</v>
      </c>
      <c r="R509" s="2" t="s">
        <v>96</v>
      </c>
      <c r="S509" s="2" t="s">
        <v>50</v>
      </c>
      <c r="T509" s="1">
        <v>7721</v>
      </c>
      <c r="U509" s="2" t="s">
        <v>51</v>
      </c>
      <c r="V509" s="1">
        <v>1242</v>
      </c>
      <c r="W509" s="1">
        <v>1270</v>
      </c>
      <c r="X509" s="2" t="s">
        <v>245</v>
      </c>
      <c r="Y509" s="2" t="s">
        <v>1749</v>
      </c>
      <c r="Z509" s="2" t="s">
        <v>2448</v>
      </c>
      <c r="AA509" s="2" t="s">
        <v>2364</v>
      </c>
      <c r="AB509" s="1">
        <v>9182</v>
      </c>
      <c r="AC509" s="1">
        <v>5016</v>
      </c>
      <c r="AD509" s="1">
        <v>1999</v>
      </c>
      <c r="AE509" s="1">
        <v>571</v>
      </c>
      <c r="AF509" s="1">
        <v>124</v>
      </c>
      <c r="AG509" s="1">
        <v>11</v>
      </c>
      <c r="AH509" s="1">
        <v>8085</v>
      </c>
      <c r="AI509" s="1">
        <v>166</v>
      </c>
      <c r="AJ509" s="1">
        <v>895</v>
      </c>
      <c r="AK509" s="1">
        <v>1966</v>
      </c>
      <c r="AL509" s="1">
        <v>170</v>
      </c>
      <c r="AM509" s="1">
        <v>24</v>
      </c>
      <c r="AN509" s="2" t="s">
        <v>285</v>
      </c>
    </row>
    <row r="510" spans="1:40" ht="28.2" x14ac:dyDescent="0.3">
      <c r="A510" s="1">
        <v>8396</v>
      </c>
      <c r="B510" s="2" t="s">
        <v>2449</v>
      </c>
      <c r="C510" s="2" t="s">
        <v>2450</v>
      </c>
      <c r="D510" s="1">
        <v>26</v>
      </c>
      <c r="E510" s="2" t="s">
        <v>545</v>
      </c>
      <c r="F510" s="50" t="s">
        <v>2451</v>
      </c>
      <c r="G510" s="2" t="s">
        <v>2452</v>
      </c>
      <c r="H510" s="1">
        <v>16055</v>
      </c>
      <c r="I510" s="1">
        <v>15918</v>
      </c>
      <c r="J510" s="2" t="s">
        <v>616</v>
      </c>
      <c r="K510" s="2" t="s">
        <v>1062</v>
      </c>
      <c r="L510" s="2" t="s">
        <v>1352</v>
      </c>
      <c r="M510" s="1">
        <v>878</v>
      </c>
      <c r="N510" s="1">
        <v>23318</v>
      </c>
      <c r="O510" s="2" t="s">
        <v>463</v>
      </c>
      <c r="P510" s="2" t="s">
        <v>235</v>
      </c>
      <c r="Q510" s="2" t="s">
        <v>167</v>
      </c>
      <c r="R510" s="2" t="s">
        <v>50</v>
      </c>
      <c r="S510" s="2" t="s">
        <v>50</v>
      </c>
      <c r="T510" s="1">
        <v>10999</v>
      </c>
      <c r="U510" s="2" t="s">
        <v>51</v>
      </c>
      <c r="V510" s="1">
        <v>2352</v>
      </c>
      <c r="W510" s="1">
        <v>2005</v>
      </c>
      <c r="X510" s="2" t="s">
        <v>172</v>
      </c>
      <c r="Y510" s="2" t="s">
        <v>412</v>
      </c>
      <c r="Z510" s="2" t="s">
        <v>728</v>
      </c>
      <c r="AA510" s="2" t="s">
        <v>602</v>
      </c>
      <c r="AB510" s="1">
        <v>12319</v>
      </c>
      <c r="AC510" s="1">
        <v>7080</v>
      </c>
      <c r="AD510" s="1">
        <v>2953</v>
      </c>
      <c r="AE510" s="1">
        <v>811</v>
      </c>
      <c r="AF510" s="1">
        <v>144</v>
      </c>
      <c r="AG510" s="1">
        <v>11</v>
      </c>
      <c r="AH510" s="1">
        <v>6621</v>
      </c>
      <c r="AI510" s="1">
        <v>5144</v>
      </c>
      <c r="AJ510" s="1">
        <v>729</v>
      </c>
      <c r="AK510" s="1">
        <v>3233</v>
      </c>
      <c r="AL510" s="1">
        <v>340</v>
      </c>
      <c r="AM510" s="1">
        <v>10</v>
      </c>
      <c r="AN510" s="2" t="s">
        <v>285</v>
      </c>
    </row>
    <row r="511" spans="1:40" ht="28.2" x14ac:dyDescent="0.3">
      <c r="A511" s="1">
        <v>19823</v>
      </c>
      <c r="B511" s="2" t="s">
        <v>2453</v>
      </c>
      <c r="C511" s="2" t="s">
        <v>2454</v>
      </c>
      <c r="D511" s="1">
        <v>26</v>
      </c>
      <c r="E511" s="2" t="s">
        <v>1144</v>
      </c>
      <c r="F511" s="50" t="s">
        <v>1819</v>
      </c>
      <c r="G511" s="2" t="s">
        <v>2455</v>
      </c>
      <c r="H511" s="1">
        <v>7230</v>
      </c>
      <c r="I511" s="1">
        <v>7347</v>
      </c>
      <c r="J511" s="2" t="s">
        <v>1187</v>
      </c>
      <c r="K511" s="2" t="s">
        <v>960</v>
      </c>
      <c r="L511" s="2" t="s">
        <v>80</v>
      </c>
      <c r="M511" s="1">
        <v>381</v>
      </c>
      <c r="N511" s="1">
        <v>10223</v>
      </c>
      <c r="O511" s="2" t="s">
        <v>646</v>
      </c>
      <c r="P511" s="2" t="s">
        <v>48</v>
      </c>
      <c r="Q511" s="2" t="s">
        <v>311</v>
      </c>
      <c r="R511" s="2" t="s">
        <v>67</v>
      </c>
      <c r="S511" s="2" t="s">
        <v>50</v>
      </c>
      <c r="T511" s="1">
        <v>4851</v>
      </c>
      <c r="U511" s="2" t="s">
        <v>51</v>
      </c>
      <c r="V511" s="1">
        <v>1282</v>
      </c>
      <c r="W511" s="1">
        <v>1468</v>
      </c>
      <c r="X511" s="2" t="s">
        <v>2324</v>
      </c>
      <c r="Y511" s="2" t="s">
        <v>304</v>
      </c>
      <c r="Z511" s="2" t="s">
        <v>2245</v>
      </c>
      <c r="AA511" s="2" t="s">
        <v>354</v>
      </c>
      <c r="AB511" s="1">
        <v>5372</v>
      </c>
      <c r="AC511" s="1">
        <v>3027</v>
      </c>
      <c r="AD511" s="1">
        <v>1356</v>
      </c>
      <c r="AE511" s="1">
        <v>389</v>
      </c>
      <c r="AF511" s="1">
        <v>71</v>
      </c>
      <c r="AG511" s="1">
        <v>8</v>
      </c>
      <c r="AH511" s="1">
        <v>5458</v>
      </c>
      <c r="AI511" s="1">
        <v>138</v>
      </c>
      <c r="AJ511" s="1">
        <v>383</v>
      </c>
      <c r="AK511" s="1">
        <v>1191</v>
      </c>
      <c r="AL511" s="1">
        <v>59</v>
      </c>
      <c r="AM511" s="1">
        <v>21</v>
      </c>
      <c r="AN511" s="2" t="s">
        <v>304</v>
      </c>
    </row>
    <row r="512" spans="1:40" ht="28.2" x14ac:dyDescent="0.3">
      <c r="A512" s="1">
        <v>9221</v>
      </c>
      <c r="B512" s="2" t="s">
        <v>2456</v>
      </c>
      <c r="C512" s="2" t="s">
        <v>2457</v>
      </c>
      <c r="D512" s="1">
        <v>30</v>
      </c>
      <c r="E512" s="2" t="s">
        <v>1012</v>
      </c>
      <c r="F512" s="50" t="s">
        <v>1013</v>
      </c>
      <c r="G512" s="2" t="s">
        <v>2098</v>
      </c>
      <c r="H512" s="1">
        <v>10944</v>
      </c>
      <c r="I512" s="1">
        <v>10827</v>
      </c>
      <c r="J512" s="2" t="s">
        <v>2458</v>
      </c>
      <c r="K512" s="2" t="s">
        <v>1042</v>
      </c>
      <c r="L512" s="2" t="s">
        <v>1170</v>
      </c>
      <c r="M512" s="1">
        <v>619</v>
      </c>
      <c r="N512" s="1">
        <v>16203</v>
      </c>
      <c r="O512" s="2" t="s">
        <v>167</v>
      </c>
      <c r="P512" s="2" t="s">
        <v>235</v>
      </c>
      <c r="Q512" s="2" t="s">
        <v>225</v>
      </c>
      <c r="R512" s="2" t="s">
        <v>50</v>
      </c>
      <c r="S512" s="2" t="s">
        <v>50</v>
      </c>
      <c r="T512" s="1">
        <v>7500</v>
      </c>
      <c r="U512" s="2" t="s">
        <v>51</v>
      </c>
      <c r="V512" s="1">
        <v>1539</v>
      </c>
      <c r="W512" s="1">
        <v>1502</v>
      </c>
      <c r="X512" s="2" t="s">
        <v>449</v>
      </c>
      <c r="Y512" s="2" t="s">
        <v>285</v>
      </c>
      <c r="Z512" s="2" t="s">
        <v>809</v>
      </c>
      <c r="AA512" s="2" t="s">
        <v>640</v>
      </c>
      <c r="AB512" s="1">
        <v>8703</v>
      </c>
      <c r="AC512" s="1">
        <v>4870</v>
      </c>
      <c r="AD512" s="1">
        <v>1938</v>
      </c>
      <c r="AE512" s="1">
        <v>579</v>
      </c>
      <c r="AF512" s="1">
        <v>104</v>
      </c>
      <c r="AG512" s="1">
        <v>9</v>
      </c>
      <c r="AH512" s="1">
        <v>7428</v>
      </c>
      <c r="AI512" s="1">
        <v>556</v>
      </c>
      <c r="AJ512" s="1">
        <v>923</v>
      </c>
      <c r="AK512" s="1">
        <v>1903</v>
      </c>
      <c r="AL512" s="1">
        <v>143</v>
      </c>
      <c r="AM512" s="1">
        <v>17</v>
      </c>
      <c r="AN512" s="2" t="s">
        <v>285</v>
      </c>
    </row>
    <row r="513" spans="1:40" ht="28.2" x14ac:dyDescent="0.3">
      <c r="A513" s="1">
        <v>4726</v>
      </c>
      <c r="B513" s="2" t="s">
        <v>2459</v>
      </c>
      <c r="C513" s="2" t="s">
        <v>2460</v>
      </c>
      <c r="D513" s="1">
        <v>28</v>
      </c>
      <c r="E513" s="2" t="s">
        <v>318</v>
      </c>
      <c r="F513" s="50" t="s">
        <v>3514</v>
      </c>
      <c r="G513" s="2" t="s">
        <v>320</v>
      </c>
      <c r="H513" s="1">
        <v>8103</v>
      </c>
      <c r="I513" s="1">
        <v>7920</v>
      </c>
      <c r="J513" s="2" t="s">
        <v>2461</v>
      </c>
      <c r="K513" s="2" t="s">
        <v>788</v>
      </c>
      <c r="L513" s="2" t="s">
        <v>122</v>
      </c>
      <c r="M513" s="1">
        <v>472</v>
      </c>
      <c r="N513" s="1">
        <v>12125</v>
      </c>
      <c r="O513" s="2" t="s">
        <v>225</v>
      </c>
      <c r="P513" s="2" t="s">
        <v>235</v>
      </c>
      <c r="Q513" s="2" t="s">
        <v>276</v>
      </c>
      <c r="R513" s="2" t="s">
        <v>96</v>
      </c>
      <c r="S513" s="2" t="s">
        <v>67</v>
      </c>
      <c r="T513" s="1">
        <v>5590</v>
      </c>
      <c r="U513" s="2" t="s">
        <v>51</v>
      </c>
      <c r="V513" s="1">
        <v>1133</v>
      </c>
      <c r="W513" s="1">
        <v>1043</v>
      </c>
      <c r="X513" s="2" t="s">
        <v>295</v>
      </c>
      <c r="Y513" s="2" t="s">
        <v>285</v>
      </c>
      <c r="Z513" s="2" t="s">
        <v>170</v>
      </c>
      <c r="AA513" s="2" t="s">
        <v>1101</v>
      </c>
      <c r="AB513" s="1">
        <v>6535</v>
      </c>
      <c r="AC513" s="1">
        <v>3622</v>
      </c>
      <c r="AD513" s="1">
        <v>1505</v>
      </c>
      <c r="AE513" s="1">
        <v>383</v>
      </c>
      <c r="AF513" s="1">
        <v>78</v>
      </c>
      <c r="AG513" s="1">
        <v>2</v>
      </c>
      <c r="AH513" s="1">
        <v>4508</v>
      </c>
      <c r="AI513" s="1">
        <v>1494</v>
      </c>
      <c r="AJ513" s="1">
        <v>451</v>
      </c>
      <c r="AK513" s="1">
        <v>1551</v>
      </c>
      <c r="AL513" s="1">
        <v>103</v>
      </c>
      <c r="AM513" s="1">
        <v>14</v>
      </c>
      <c r="AN513" s="2" t="s">
        <v>285</v>
      </c>
    </row>
    <row r="514" spans="1:40" ht="28.2" x14ac:dyDescent="0.3">
      <c r="A514" s="1">
        <v>44</v>
      </c>
      <c r="B514" s="2" t="s">
        <v>2462</v>
      </c>
      <c r="C514" s="2" t="s">
        <v>2463</v>
      </c>
      <c r="D514" s="1">
        <v>32</v>
      </c>
      <c r="E514" s="2" t="s">
        <v>545</v>
      </c>
      <c r="F514" s="50" t="s">
        <v>3514</v>
      </c>
      <c r="G514" s="2" t="s">
        <v>2464</v>
      </c>
      <c r="H514" s="1">
        <v>15776</v>
      </c>
      <c r="I514" s="1">
        <v>15796</v>
      </c>
      <c r="J514" s="2" t="s">
        <v>2465</v>
      </c>
      <c r="K514" s="2" t="s">
        <v>645</v>
      </c>
      <c r="L514" s="2" t="s">
        <v>80</v>
      </c>
      <c r="M514" s="1">
        <v>876</v>
      </c>
      <c r="N514" s="1">
        <v>23180</v>
      </c>
      <c r="O514" s="2" t="s">
        <v>167</v>
      </c>
      <c r="P514" s="2" t="s">
        <v>202</v>
      </c>
      <c r="Q514" s="2" t="s">
        <v>167</v>
      </c>
      <c r="R514" s="2" t="s">
        <v>96</v>
      </c>
      <c r="S514" s="2" t="s">
        <v>96</v>
      </c>
      <c r="T514" s="1">
        <v>10702</v>
      </c>
      <c r="U514" s="2" t="s">
        <v>51</v>
      </c>
      <c r="V514" s="1">
        <v>2510</v>
      </c>
      <c r="W514" s="1">
        <v>2507</v>
      </c>
      <c r="X514" s="2">
        <v>1</v>
      </c>
      <c r="Y514" s="2" t="s">
        <v>412</v>
      </c>
      <c r="Z514" s="2" t="s">
        <v>932</v>
      </c>
      <c r="AA514" s="2" t="s">
        <v>568</v>
      </c>
      <c r="AB514" s="1">
        <v>12478</v>
      </c>
      <c r="AC514" s="1">
        <v>6854</v>
      </c>
      <c r="AD514" s="1">
        <v>2826</v>
      </c>
      <c r="AE514" s="1">
        <v>840</v>
      </c>
      <c r="AF514" s="1">
        <v>165</v>
      </c>
      <c r="AG514" s="1">
        <v>17</v>
      </c>
      <c r="AH514" s="1">
        <v>8303</v>
      </c>
      <c r="AI514" s="1">
        <v>2784</v>
      </c>
      <c r="AJ514" s="1">
        <v>1510</v>
      </c>
      <c r="AK514" s="1">
        <v>2938</v>
      </c>
      <c r="AL514" s="1">
        <v>198</v>
      </c>
      <c r="AM514" s="1">
        <v>66</v>
      </c>
      <c r="AN514" s="2" t="s">
        <v>285</v>
      </c>
    </row>
    <row r="515" spans="1:40" ht="28.2" x14ac:dyDescent="0.3">
      <c r="A515" s="1">
        <v>12822</v>
      </c>
      <c r="B515" s="2" t="s">
        <v>2466</v>
      </c>
      <c r="C515" s="2" t="s">
        <v>2467</v>
      </c>
      <c r="D515" s="1">
        <v>23</v>
      </c>
      <c r="E515" s="2" t="s">
        <v>104</v>
      </c>
      <c r="F515" s="50" t="s">
        <v>855</v>
      </c>
      <c r="G515" s="2" t="s">
        <v>105</v>
      </c>
      <c r="H515" s="1">
        <v>17335</v>
      </c>
      <c r="I515" s="1">
        <v>17355</v>
      </c>
      <c r="J515" s="2" t="s">
        <v>657</v>
      </c>
      <c r="K515" s="2" t="s">
        <v>920</v>
      </c>
      <c r="L515" s="2" t="s">
        <v>294</v>
      </c>
      <c r="M515" s="1">
        <v>1000</v>
      </c>
      <c r="N515" s="1">
        <v>26088</v>
      </c>
      <c r="O515" s="2" t="s">
        <v>322</v>
      </c>
      <c r="P515" s="2" t="s">
        <v>202</v>
      </c>
      <c r="Q515" s="2" t="s">
        <v>225</v>
      </c>
      <c r="R515" s="2" t="s">
        <v>50</v>
      </c>
      <c r="S515" s="2" t="s">
        <v>96</v>
      </c>
      <c r="T515" s="1">
        <v>11683</v>
      </c>
      <c r="U515" s="2" t="s">
        <v>51</v>
      </c>
      <c r="V515" s="1">
        <v>2426</v>
      </c>
      <c r="W515" s="1">
        <v>2608</v>
      </c>
      <c r="X515" s="2" t="s">
        <v>950</v>
      </c>
      <c r="Y515" s="2" t="s">
        <v>503</v>
      </c>
      <c r="Z515" s="2" t="s">
        <v>347</v>
      </c>
      <c r="AA515" s="2" t="s">
        <v>852</v>
      </c>
      <c r="AB515" s="1">
        <v>14405</v>
      </c>
      <c r="AC515" s="1">
        <v>7448</v>
      </c>
      <c r="AD515" s="1">
        <v>3044</v>
      </c>
      <c r="AE515" s="1">
        <v>982</v>
      </c>
      <c r="AF515" s="1">
        <v>192</v>
      </c>
      <c r="AG515" s="1">
        <v>17</v>
      </c>
      <c r="AH515" s="1">
        <v>13254</v>
      </c>
      <c r="AI515" s="1">
        <v>248</v>
      </c>
      <c r="AJ515" s="1">
        <v>810</v>
      </c>
      <c r="AK515" s="1">
        <v>2726</v>
      </c>
      <c r="AL515" s="1">
        <v>211</v>
      </c>
      <c r="AM515" s="1">
        <v>145</v>
      </c>
      <c r="AN515" s="2" t="s">
        <v>407</v>
      </c>
    </row>
    <row r="516" spans="1:40" ht="28.2" x14ac:dyDescent="0.3">
      <c r="A516" s="1">
        <v>19190</v>
      </c>
      <c r="B516" s="2" t="s">
        <v>2468</v>
      </c>
      <c r="C516" s="2" t="s">
        <v>2469</v>
      </c>
      <c r="D516" s="1">
        <v>23</v>
      </c>
      <c r="E516" s="2" t="s">
        <v>299</v>
      </c>
      <c r="F516" s="50" t="s">
        <v>3514</v>
      </c>
      <c r="G516" s="2" t="s">
        <v>2470</v>
      </c>
      <c r="H516" s="1">
        <v>6567</v>
      </c>
      <c r="I516" s="1">
        <v>6403</v>
      </c>
      <c r="J516" s="2" t="s">
        <v>2198</v>
      </c>
      <c r="K516" s="2" t="s">
        <v>800</v>
      </c>
      <c r="L516" s="2" t="s">
        <v>1846</v>
      </c>
      <c r="M516" s="1">
        <v>395</v>
      </c>
      <c r="N516" s="1">
        <v>9991</v>
      </c>
      <c r="O516" s="2" t="s">
        <v>322</v>
      </c>
      <c r="P516" s="2" t="s">
        <v>166</v>
      </c>
      <c r="Q516" s="2" t="s">
        <v>65</v>
      </c>
      <c r="R516" s="2" t="s">
        <v>48</v>
      </c>
      <c r="S516" s="2" t="s">
        <v>50</v>
      </c>
      <c r="T516" s="1">
        <v>4549</v>
      </c>
      <c r="U516" s="2" t="s">
        <v>51</v>
      </c>
      <c r="V516" s="1">
        <v>923</v>
      </c>
      <c r="W516" s="1">
        <v>930</v>
      </c>
      <c r="X516" s="2" t="s">
        <v>285</v>
      </c>
      <c r="Y516" s="2" t="s">
        <v>503</v>
      </c>
      <c r="Z516" s="2" t="s">
        <v>821</v>
      </c>
      <c r="AA516" s="2" t="s">
        <v>852</v>
      </c>
      <c r="AB516" s="1">
        <v>5442</v>
      </c>
      <c r="AC516" s="1">
        <v>2990</v>
      </c>
      <c r="AD516" s="1">
        <v>1175</v>
      </c>
      <c r="AE516" s="1">
        <v>316</v>
      </c>
      <c r="AF516" s="1">
        <v>61</v>
      </c>
      <c r="AG516" s="1">
        <v>7</v>
      </c>
      <c r="AH516" s="1">
        <v>4708</v>
      </c>
      <c r="AI516" s="1">
        <v>240</v>
      </c>
      <c r="AJ516" s="1">
        <v>516</v>
      </c>
      <c r="AK516" s="1">
        <v>953</v>
      </c>
      <c r="AL516" s="1">
        <v>148</v>
      </c>
      <c r="AM516" s="1">
        <v>33</v>
      </c>
      <c r="AN516" s="2" t="s">
        <v>464</v>
      </c>
    </row>
    <row r="517" spans="1:40" x14ac:dyDescent="0.3">
      <c r="A517" s="1">
        <v>8324</v>
      </c>
      <c r="B517" s="2" t="s">
        <v>2471</v>
      </c>
      <c r="C517" s="2" t="s">
        <v>2472</v>
      </c>
      <c r="D517" s="1">
        <v>28</v>
      </c>
      <c r="E517" s="2" t="s">
        <v>327</v>
      </c>
      <c r="F517" s="50" t="s">
        <v>2473</v>
      </c>
      <c r="G517" s="2" t="s">
        <v>2474</v>
      </c>
      <c r="H517" s="1">
        <v>20053</v>
      </c>
      <c r="I517" s="1">
        <v>20255</v>
      </c>
      <c r="J517" s="2" t="s">
        <v>292</v>
      </c>
      <c r="K517" s="2">
        <v>77</v>
      </c>
      <c r="L517" s="2" t="s">
        <v>541</v>
      </c>
      <c r="M517" s="1">
        <v>1087</v>
      </c>
      <c r="N517" s="1">
        <v>28887</v>
      </c>
      <c r="O517" s="2" t="s">
        <v>463</v>
      </c>
      <c r="P517" s="2" t="s">
        <v>202</v>
      </c>
      <c r="Q517" s="2" t="s">
        <v>905</v>
      </c>
      <c r="R517" s="2" t="s">
        <v>96</v>
      </c>
      <c r="S517" s="2" t="s">
        <v>96</v>
      </c>
      <c r="T517" s="1">
        <v>13583</v>
      </c>
      <c r="U517" s="2" t="s">
        <v>51</v>
      </c>
      <c r="V517" s="1">
        <v>3044</v>
      </c>
      <c r="W517" s="1">
        <v>3255</v>
      </c>
      <c r="X517" s="2" t="s">
        <v>1570</v>
      </c>
      <c r="Y517" s="2" t="s">
        <v>255</v>
      </c>
      <c r="Z517" s="2" t="s">
        <v>1020</v>
      </c>
      <c r="AA517" s="2" t="s">
        <v>602</v>
      </c>
      <c r="AB517" s="1">
        <v>15304</v>
      </c>
      <c r="AC517" s="1">
        <v>8679</v>
      </c>
      <c r="AD517" s="1">
        <v>3586</v>
      </c>
      <c r="AE517" s="1">
        <v>1089</v>
      </c>
      <c r="AF517" s="1">
        <v>210</v>
      </c>
      <c r="AG517" s="1">
        <v>19</v>
      </c>
      <c r="AH517" s="1">
        <v>14370</v>
      </c>
      <c r="AI517" s="1">
        <v>521</v>
      </c>
      <c r="AJ517" s="1">
        <v>1144</v>
      </c>
      <c r="AK517" s="1">
        <v>3680</v>
      </c>
      <c r="AL517" s="1">
        <v>270</v>
      </c>
      <c r="AM517" s="1">
        <v>88</v>
      </c>
      <c r="AN517" s="2" t="s">
        <v>285</v>
      </c>
    </row>
    <row r="518" spans="1:40" ht="28.2" x14ac:dyDescent="0.3">
      <c r="A518" s="1">
        <v>12781</v>
      </c>
      <c r="B518" s="2" t="s">
        <v>2475</v>
      </c>
      <c r="C518" s="2" t="s">
        <v>2476</v>
      </c>
      <c r="D518" s="1">
        <v>23</v>
      </c>
      <c r="E518" s="2" t="s">
        <v>708</v>
      </c>
      <c r="F518" s="50" t="s">
        <v>2477</v>
      </c>
      <c r="G518" s="2" t="s">
        <v>710</v>
      </c>
      <c r="H518" s="1">
        <v>23197</v>
      </c>
      <c r="I518" s="1">
        <v>23538</v>
      </c>
      <c r="J518" s="2" t="s">
        <v>2328</v>
      </c>
      <c r="K518" s="2" t="s">
        <v>692</v>
      </c>
      <c r="L518" s="2" t="s">
        <v>164</v>
      </c>
      <c r="M518" s="1">
        <v>1275</v>
      </c>
      <c r="N518" s="1">
        <v>33907</v>
      </c>
      <c r="O518" s="2" t="s">
        <v>167</v>
      </c>
      <c r="P518" s="2" t="s">
        <v>48</v>
      </c>
      <c r="Q518" s="2" t="s">
        <v>463</v>
      </c>
      <c r="R518" s="2" t="s">
        <v>50</v>
      </c>
      <c r="S518" s="2" t="s">
        <v>96</v>
      </c>
      <c r="T518" s="1">
        <v>15639</v>
      </c>
      <c r="U518" s="2" t="s">
        <v>51</v>
      </c>
      <c r="V518" s="1">
        <v>3624</v>
      </c>
      <c r="W518" s="1">
        <v>4031</v>
      </c>
      <c r="X518" s="2" t="s">
        <v>1906</v>
      </c>
      <c r="Y518" s="2">
        <v>1</v>
      </c>
      <c r="Z518" s="2" t="s">
        <v>237</v>
      </c>
      <c r="AA518" s="2" t="s">
        <v>602</v>
      </c>
      <c r="AB518" s="1">
        <v>18268</v>
      </c>
      <c r="AC518" s="1">
        <v>10036</v>
      </c>
      <c r="AD518" s="1">
        <v>4001</v>
      </c>
      <c r="AE518" s="1">
        <v>1278</v>
      </c>
      <c r="AF518" s="1">
        <v>295</v>
      </c>
      <c r="AG518" s="1">
        <v>29</v>
      </c>
      <c r="AH518" s="1">
        <v>16115</v>
      </c>
      <c r="AI518" s="1">
        <v>1385</v>
      </c>
      <c r="AJ518" s="1">
        <v>1033</v>
      </c>
      <c r="AK518" s="1">
        <v>4327</v>
      </c>
      <c r="AL518" s="1">
        <v>273</v>
      </c>
      <c r="AM518" s="1">
        <v>117</v>
      </c>
      <c r="AN518" s="2" t="s">
        <v>407</v>
      </c>
    </row>
    <row r="519" spans="1:40" ht="28.2" x14ac:dyDescent="0.3">
      <c r="A519" s="1">
        <v>9903</v>
      </c>
      <c r="B519" s="2" t="s">
        <v>2478</v>
      </c>
      <c r="C519" s="2" t="s">
        <v>2479</v>
      </c>
      <c r="D519" s="1">
        <v>22</v>
      </c>
      <c r="E519" s="2" t="s">
        <v>196</v>
      </c>
      <c r="F519" s="50" t="s">
        <v>2221</v>
      </c>
      <c r="G519" s="2" t="s">
        <v>2480</v>
      </c>
      <c r="H519" s="1">
        <v>8207</v>
      </c>
      <c r="I519" s="1">
        <v>8167</v>
      </c>
      <c r="J519" s="2" t="s">
        <v>360</v>
      </c>
      <c r="K519" s="2">
        <v>74</v>
      </c>
      <c r="L519" s="2">
        <v>5</v>
      </c>
      <c r="M519" s="1">
        <v>462</v>
      </c>
      <c r="N519" s="1">
        <v>12321</v>
      </c>
      <c r="O519" s="2" t="s">
        <v>225</v>
      </c>
      <c r="P519" s="2" t="s">
        <v>235</v>
      </c>
      <c r="Q519" s="2" t="s">
        <v>322</v>
      </c>
      <c r="R519" s="2" t="s">
        <v>67</v>
      </c>
      <c r="S519" s="2" t="s">
        <v>67</v>
      </c>
      <c r="T519" s="1">
        <v>5585</v>
      </c>
      <c r="U519" s="2" t="s">
        <v>51</v>
      </c>
      <c r="V519" s="1">
        <v>1037</v>
      </c>
      <c r="W519" s="1">
        <v>1152</v>
      </c>
      <c r="X519" s="2" t="s">
        <v>1906</v>
      </c>
      <c r="Y519" s="2" t="s">
        <v>950</v>
      </c>
      <c r="Z519" s="2" t="s">
        <v>2481</v>
      </c>
      <c r="AA519" s="2" t="s">
        <v>1985</v>
      </c>
      <c r="AB519" s="1">
        <v>6736</v>
      </c>
      <c r="AC519" s="1">
        <v>3605</v>
      </c>
      <c r="AD519" s="1">
        <v>1439</v>
      </c>
      <c r="AE519" s="1">
        <v>446</v>
      </c>
      <c r="AF519" s="1">
        <v>89</v>
      </c>
      <c r="AG519" s="1">
        <v>6</v>
      </c>
      <c r="AH519" s="1">
        <v>5683</v>
      </c>
      <c r="AI519" s="1">
        <v>136</v>
      </c>
      <c r="AJ519" s="1">
        <v>795</v>
      </c>
      <c r="AK519" s="1">
        <v>1484</v>
      </c>
      <c r="AL519" s="1">
        <v>96</v>
      </c>
      <c r="AM519" s="1">
        <v>33</v>
      </c>
      <c r="AN519" s="2" t="s">
        <v>285</v>
      </c>
    </row>
    <row r="520" spans="1:40" ht="28.2" x14ac:dyDescent="0.3">
      <c r="A520" s="1">
        <v>17553</v>
      </c>
      <c r="B520" s="2" t="s">
        <v>2482</v>
      </c>
      <c r="C520" s="2" t="s">
        <v>2483</v>
      </c>
      <c r="D520" s="1">
        <v>22</v>
      </c>
      <c r="E520" s="2" t="s">
        <v>104</v>
      </c>
      <c r="F520" s="50" t="s">
        <v>1125</v>
      </c>
      <c r="G520" s="2" t="s">
        <v>2484</v>
      </c>
      <c r="H520" s="1">
        <v>11119</v>
      </c>
      <c r="I520" s="1">
        <v>11328</v>
      </c>
      <c r="J520" s="2" t="s">
        <v>1930</v>
      </c>
      <c r="K520" s="2" t="s">
        <v>480</v>
      </c>
      <c r="L520" s="2" t="s">
        <v>975</v>
      </c>
      <c r="M520" s="1">
        <v>616</v>
      </c>
      <c r="N520" s="1">
        <v>16090</v>
      </c>
      <c r="O520" s="2" t="s">
        <v>463</v>
      </c>
      <c r="P520" s="2" t="s">
        <v>235</v>
      </c>
      <c r="Q520" s="2" t="s">
        <v>905</v>
      </c>
      <c r="R520" s="2" t="s">
        <v>50</v>
      </c>
      <c r="S520" s="2" t="s">
        <v>96</v>
      </c>
      <c r="T520" s="1">
        <v>7452</v>
      </c>
      <c r="U520" s="2" t="s">
        <v>51</v>
      </c>
      <c r="V520" s="1">
        <v>1566</v>
      </c>
      <c r="W520" s="1">
        <v>1717</v>
      </c>
      <c r="X520" s="2" t="s">
        <v>1749</v>
      </c>
      <c r="Y520" s="2" t="s">
        <v>245</v>
      </c>
      <c r="Z520" s="2" t="s">
        <v>653</v>
      </c>
      <c r="AA520" s="2" t="s">
        <v>724</v>
      </c>
      <c r="AB520" s="1">
        <v>8638</v>
      </c>
      <c r="AC520" s="1">
        <v>4698</v>
      </c>
      <c r="AD520" s="1">
        <v>1994</v>
      </c>
      <c r="AE520" s="1">
        <v>620</v>
      </c>
      <c r="AF520" s="1">
        <v>127</v>
      </c>
      <c r="AG520" s="1">
        <v>13</v>
      </c>
      <c r="AH520" s="1">
        <v>8235</v>
      </c>
      <c r="AI520" s="1">
        <v>267</v>
      </c>
      <c r="AJ520" s="1">
        <v>505</v>
      </c>
      <c r="AK520" s="1">
        <v>1901</v>
      </c>
      <c r="AL520" s="1">
        <v>196</v>
      </c>
      <c r="AM520" s="1">
        <v>40</v>
      </c>
      <c r="AN520" s="2" t="s">
        <v>407</v>
      </c>
    </row>
    <row r="521" spans="1:40" ht="28.2" x14ac:dyDescent="0.3">
      <c r="A521" s="1">
        <v>16495</v>
      </c>
      <c r="B521" s="2" t="s">
        <v>2485</v>
      </c>
      <c r="C521" s="2" t="s">
        <v>2486</v>
      </c>
      <c r="D521" s="1">
        <v>24</v>
      </c>
      <c r="E521" s="2" t="s">
        <v>187</v>
      </c>
      <c r="F521" s="50" t="s">
        <v>2487</v>
      </c>
      <c r="G521" s="2" t="s">
        <v>2488</v>
      </c>
      <c r="H521" s="1">
        <v>9068</v>
      </c>
      <c r="I521" s="1">
        <v>9143</v>
      </c>
      <c r="J521" s="2" t="s">
        <v>1773</v>
      </c>
      <c r="K521" s="2" t="s">
        <v>989</v>
      </c>
      <c r="L521" s="2" t="s">
        <v>224</v>
      </c>
      <c r="M521" s="1">
        <v>489</v>
      </c>
      <c r="N521" s="1">
        <v>13011</v>
      </c>
      <c r="O521" s="2" t="s">
        <v>905</v>
      </c>
      <c r="P521" s="2" t="s">
        <v>235</v>
      </c>
      <c r="Q521" s="2" t="s">
        <v>905</v>
      </c>
      <c r="R521" s="2" t="s">
        <v>67</v>
      </c>
      <c r="S521" s="2" t="s">
        <v>48</v>
      </c>
      <c r="T521" s="1">
        <v>6166</v>
      </c>
      <c r="U521" s="2" t="s">
        <v>51</v>
      </c>
      <c r="V521" s="1">
        <v>1594</v>
      </c>
      <c r="W521" s="1">
        <v>1607</v>
      </c>
      <c r="X521" s="2" t="s">
        <v>285</v>
      </c>
      <c r="Y521" s="2" t="s">
        <v>464</v>
      </c>
      <c r="Z521" s="2" t="s">
        <v>2489</v>
      </c>
      <c r="AA521" s="2" t="s">
        <v>126</v>
      </c>
      <c r="AB521" s="1">
        <v>6845</v>
      </c>
      <c r="AC521" s="1">
        <v>3940</v>
      </c>
      <c r="AD521" s="1">
        <v>1664</v>
      </c>
      <c r="AE521" s="1">
        <v>459</v>
      </c>
      <c r="AF521" s="1">
        <v>92</v>
      </c>
      <c r="AG521" s="1">
        <v>11</v>
      </c>
      <c r="AH521" s="1">
        <v>6517</v>
      </c>
      <c r="AI521" s="1">
        <v>435</v>
      </c>
      <c r="AJ521" s="1">
        <v>385</v>
      </c>
      <c r="AK521" s="1">
        <v>1628</v>
      </c>
      <c r="AL521" s="1">
        <v>108</v>
      </c>
      <c r="AM521" s="1">
        <v>30</v>
      </c>
      <c r="AN521" s="2" t="s">
        <v>590</v>
      </c>
    </row>
    <row r="522" spans="1:40" ht="28.2" x14ac:dyDescent="0.3">
      <c r="A522" s="1">
        <v>19232</v>
      </c>
      <c r="B522" s="2" t="s">
        <v>2490</v>
      </c>
      <c r="C522" s="2" t="s">
        <v>2491</v>
      </c>
      <c r="D522" s="1">
        <v>23</v>
      </c>
      <c r="E522" s="2" t="s">
        <v>75</v>
      </c>
      <c r="F522" s="50" t="s">
        <v>3514</v>
      </c>
      <c r="G522" s="2" t="s">
        <v>2492</v>
      </c>
      <c r="H522" s="1">
        <v>10080</v>
      </c>
      <c r="I522" s="1">
        <v>10371</v>
      </c>
      <c r="J522" s="2" t="s">
        <v>1150</v>
      </c>
      <c r="K522" s="2" t="s">
        <v>253</v>
      </c>
      <c r="L522" s="2" t="s">
        <v>224</v>
      </c>
      <c r="M522" s="1">
        <v>523</v>
      </c>
      <c r="N522" s="1">
        <v>14183</v>
      </c>
      <c r="O522" s="2" t="s">
        <v>646</v>
      </c>
      <c r="P522" s="2" t="s">
        <v>235</v>
      </c>
      <c r="Q522" s="2" t="s">
        <v>495</v>
      </c>
      <c r="R522" s="2" t="s">
        <v>50</v>
      </c>
      <c r="S522" s="2" t="s">
        <v>50</v>
      </c>
      <c r="T522" s="1">
        <v>6731</v>
      </c>
      <c r="U522" s="2" t="s">
        <v>51</v>
      </c>
      <c r="V522" s="1">
        <v>1765</v>
      </c>
      <c r="W522" s="1">
        <v>1889</v>
      </c>
      <c r="X522" s="2" t="s">
        <v>950</v>
      </c>
      <c r="Y522" s="2" t="s">
        <v>464</v>
      </c>
      <c r="Z522" s="2" t="s">
        <v>1358</v>
      </c>
      <c r="AA522" s="2" t="s">
        <v>542</v>
      </c>
      <c r="AB522" s="1">
        <v>7452</v>
      </c>
      <c r="AC522" s="1">
        <v>4219</v>
      </c>
      <c r="AD522" s="1">
        <v>1802</v>
      </c>
      <c r="AE522" s="1">
        <v>590</v>
      </c>
      <c r="AF522" s="1">
        <v>113</v>
      </c>
      <c r="AG522" s="1">
        <v>7</v>
      </c>
      <c r="AH522" s="1">
        <v>7797</v>
      </c>
      <c r="AI522" s="1">
        <v>93</v>
      </c>
      <c r="AJ522" s="1">
        <v>343</v>
      </c>
      <c r="AK522" s="1">
        <v>1735</v>
      </c>
      <c r="AL522" s="1">
        <v>112</v>
      </c>
      <c r="AM522" s="1">
        <v>33</v>
      </c>
      <c r="AN522" s="2" t="s">
        <v>304</v>
      </c>
    </row>
    <row r="523" spans="1:40" x14ac:dyDescent="0.3">
      <c r="A523" s="1">
        <v>339</v>
      </c>
      <c r="B523" s="2" t="s">
        <v>2493</v>
      </c>
      <c r="C523" s="2" t="s">
        <v>2494</v>
      </c>
      <c r="D523" s="1">
        <v>32</v>
      </c>
      <c r="E523" s="2" t="s">
        <v>59</v>
      </c>
      <c r="F523" s="50" t="s">
        <v>3514</v>
      </c>
      <c r="G523" s="2" t="s">
        <v>421</v>
      </c>
      <c r="H523" s="1">
        <v>31392</v>
      </c>
      <c r="I523" s="1">
        <v>32077</v>
      </c>
      <c r="J523" s="2" t="s">
        <v>565</v>
      </c>
      <c r="K523" s="2" t="s">
        <v>121</v>
      </c>
      <c r="L523" s="2">
        <v>5</v>
      </c>
      <c r="M523" s="1">
        <v>1728</v>
      </c>
      <c r="N523" s="1">
        <v>45027</v>
      </c>
      <c r="O523" s="2" t="s">
        <v>905</v>
      </c>
      <c r="P523" s="2" t="s">
        <v>434</v>
      </c>
      <c r="Q523" s="2" t="s">
        <v>646</v>
      </c>
      <c r="R523" s="2" t="s">
        <v>50</v>
      </c>
      <c r="S523" s="2" t="s">
        <v>135</v>
      </c>
      <c r="T523" s="1">
        <v>20977</v>
      </c>
      <c r="U523" s="2" t="s">
        <v>51</v>
      </c>
      <c r="V523" s="1">
        <v>6016</v>
      </c>
      <c r="W523" s="1">
        <v>6382</v>
      </c>
      <c r="X523" s="2" t="s">
        <v>1570</v>
      </c>
      <c r="Y523" s="2" t="s">
        <v>561</v>
      </c>
      <c r="Z523" s="2" t="s">
        <v>932</v>
      </c>
      <c r="AA523" s="2" t="s">
        <v>428</v>
      </c>
      <c r="AB523" s="1">
        <v>24050</v>
      </c>
      <c r="AC523" s="1">
        <v>13183</v>
      </c>
      <c r="AD523" s="1">
        <v>5668</v>
      </c>
      <c r="AE523" s="1">
        <v>1738</v>
      </c>
      <c r="AF523" s="1">
        <v>336</v>
      </c>
      <c r="AG523" s="1">
        <v>52</v>
      </c>
      <c r="AH523" s="1">
        <v>23022</v>
      </c>
      <c r="AI523" s="1">
        <v>702</v>
      </c>
      <c r="AJ523" s="1">
        <v>1724</v>
      </c>
      <c r="AK523" s="1">
        <v>5467</v>
      </c>
      <c r="AL523" s="1">
        <v>437</v>
      </c>
      <c r="AM523" s="1">
        <v>62</v>
      </c>
      <c r="AN523" s="2" t="s">
        <v>285</v>
      </c>
    </row>
    <row r="524" spans="1:40" x14ac:dyDescent="0.3">
      <c r="A524" s="1">
        <v>10372</v>
      </c>
      <c r="B524" s="2" t="s">
        <v>2495</v>
      </c>
      <c r="C524" s="2" t="s">
        <v>2496</v>
      </c>
      <c r="D524" s="1">
        <v>22</v>
      </c>
      <c r="E524" s="2" t="s">
        <v>459</v>
      </c>
      <c r="F524" s="50" t="s">
        <v>3514</v>
      </c>
      <c r="G524" s="2" t="s">
        <v>2497</v>
      </c>
      <c r="H524" s="1">
        <v>10006</v>
      </c>
      <c r="I524" s="1">
        <v>10311</v>
      </c>
      <c r="J524" s="2" t="s">
        <v>2498</v>
      </c>
      <c r="K524" s="2" t="s">
        <v>178</v>
      </c>
      <c r="L524" s="2" t="s">
        <v>63</v>
      </c>
      <c r="M524" s="1">
        <v>549</v>
      </c>
      <c r="N524" s="1">
        <v>14235</v>
      </c>
      <c r="O524" s="2" t="s">
        <v>905</v>
      </c>
      <c r="P524" s="2" t="s">
        <v>48</v>
      </c>
      <c r="Q524" s="2" t="s">
        <v>311</v>
      </c>
      <c r="R524" s="2" t="s">
        <v>67</v>
      </c>
      <c r="S524" s="2" t="s">
        <v>67</v>
      </c>
      <c r="T524" s="1">
        <v>6668</v>
      </c>
      <c r="U524" s="2" t="s">
        <v>51</v>
      </c>
      <c r="V524" s="1">
        <v>1561</v>
      </c>
      <c r="W524" s="1">
        <v>1756</v>
      </c>
      <c r="X524" s="2" t="s">
        <v>1551</v>
      </c>
      <c r="Y524" s="2" t="s">
        <v>255</v>
      </c>
      <c r="Z524" s="2" t="s">
        <v>399</v>
      </c>
      <c r="AA524" s="2" t="s">
        <v>267</v>
      </c>
      <c r="AB524" s="1">
        <v>7567</v>
      </c>
      <c r="AC524" s="1">
        <v>4184</v>
      </c>
      <c r="AD524" s="1">
        <v>1777</v>
      </c>
      <c r="AE524" s="1">
        <v>575</v>
      </c>
      <c r="AF524" s="1">
        <v>117</v>
      </c>
      <c r="AG524" s="1">
        <v>15</v>
      </c>
      <c r="AH524" s="1">
        <v>7189</v>
      </c>
      <c r="AI524" s="1">
        <v>271</v>
      </c>
      <c r="AJ524" s="1">
        <v>625</v>
      </c>
      <c r="AK524" s="1">
        <v>1836</v>
      </c>
      <c r="AL524" s="1">
        <v>74</v>
      </c>
      <c r="AM524" s="1">
        <v>31</v>
      </c>
      <c r="AN524" s="2" t="s">
        <v>285</v>
      </c>
    </row>
    <row r="525" spans="1:40" ht="28.2" x14ac:dyDescent="0.3">
      <c r="A525" s="1">
        <v>8726</v>
      </c>
      <c r="B525" s="2" t="s">
        <v>2499</v>
      </c>
      <c r="C525" s="2" t="s">
        <v>2500</v>
      </c>
      <c r="D525" s="1">
        <v>28</v>
      </c>
      <c r="E525" s="2" t="s">
        <v>75</v>
      </c>
      <c r="F525" s="50" t="s">
        <v>2501</v>
      </c>
      <c r="G525" s="2" t="s">
        <v>2502</v>
      </c>
      <c r="H525" s="1">
        <v>31491</v>
      </c>
      <c r="I525" s="1">
        <v>32214</v>
      </c>
      <c r="J525" s="2" t="s">
        <v>1390</v>
      </c>
      <c r="K525" s="2" t="s">
        <v>639</v>
      </c>
      <c r="L525" s="2" t="s">
        <v>471</v>
      </c>
      <c r="M525" s="1">
        <v>1693</v>
      </c>
      <c r="N525" s="1">
        <v>45193</v>
      </c>
      <c r="O525" s="2" t="s">
        <v>905</v>
      </c>
      <c r="P525" s="2" t="s">
        <v>235</v>
      </c>
      <c r="Q525" s="2" t="s">
        <v>646</v>
      </c>
      <c r="R525" s="2" t="s">
        <v>50</v>
      </c>
      <c r="S525" s="2" t="s">
        <v>96</v>
      </c>
      <c r="T525" s="1">
        <v>21030</v>
      </c>
      <c r="U525" s="2" t="s">
        <v>51</v>
      </c>
      <c r="V525" s="1">
        <v>5106</v>
      </c>
      <c r="W525" s="1">
        <v>5822</v>
      </c>
      <c r="X525" s="2" t="s">
        <v>2315</v>
      </c>
      <c r="Y525" s="2" t="s">
        <v>449</v>
      </c>
      <c r="Z525" s="2" t="s">
        <v>932</v>
      </c>
      <c r="AA525" s="2" t="s">
        <v>734</v>
      </c>
      <c r="AB525" s="1">
        <v>24163</v>
      </c>
      <c r="AC525" s="1">
        <v>13156</v>
      </c>
      <c r="AD525" s="1">
        <v>5718</v>
      </c>
      <c r="AE525" s="1">
        <v>1763</v>
      </c>
      <c r="AF525" s="1">
        <v>363</v>
      </c>
      <c r="AG525" s="1">
        <v>30</v>
      </c>
      <c r="AH525" s="1">
        <v>22076</v>
      </c>
      <c r="AI525" s="1">
        <v>288</v>
      </c>
      <c r="AJ525" s="1">
        <v>3176</v>
      </c>
      <c r="AK525" s="1">
        <v>5370</v>
      </c>
      <c r="AL525" s="1">
        <v>319</v>
      </c>
      <c r="AM525" s="1">
        <v>339</v>
      </c>
      <c r="AN525" s="2" t="s">
        <v>285</v>
      </c>
    </row>
    <row r="526" spans="1:40" ht="28.2" x14ac:dyDescent="0.3">
      <c r="A526" s="1">
        <v>8125</v>
      </c>
      <c r="B526" s="2" t="s">
        <v>2503</v>
      </c>
      <c r="C526" s="2" t="s">
        <v>2504</v>
      </c>
      <c r="D526" s="1">
        <v>27</v>
      </c>
      <c r="E526" s="2" t="s">
        <v>75</v>
      </c>
      <c r="F526" s="50" t="s">
        <v>3514</v>
      </c>
      <c r="G526" s="2" t="s">
        <v>2505</v>
      </c>
      <c r="H526" s="1">
        <v>23864</v>
      </c>
      <c r="I526" s="1">
        <v>24414</v>
      </c>
      <c r="J526" s="2" t="s">
        <v>1150</v>
      </c>
      <c r="K526" s="2" t="s">
        <v>989</v>
      </c>
      <c r="L526" s="2">
        <v>4</v>
      </c>
      <c r="M526" s="1">
        <v>1315</v>
      </c>
      <c r="N526" s="1">
        <v>34605</v>
      </c>
      <c r="O526" s="2" t="s">
        <v>463</v>
      </c>
      <c r="P526" s="2" t="s">
        <v>235</v>
      </c>
      <c r="Q526" s="2" t="s">
        <v>646</v>
      </c>
      <c r="R526" s="2" t="s">
        <v>67</v>
      </c>
      <c r="S526" s="2" t="s">
        <v>50</v>
      </c>
      <c r="T526" s="1">
        <v>15984</v>
      </c>
      <c r="U526" s="2" t="s">
        <v>51</v>
      </c>
      <c r="V526" s="1">
        <v>4185</v>
      </c>
      <c r="W526" s="1">
        <v>4566</v>
      </c>
      <c r="X526" s="2" t="s">
        <v>1314</v>
      </c>
      <c r="Y526" s="2" t="s">
        <v>304</v>
      </c>
      <c r="Z526" s="2" t="s">
        <v>653</v>
      </c>
      <c r="AA526" s="2" t="s">
        <v>305</v>
      </c>
      <c r="AB526" s="1">
        <v>18621</v>
      </c>
      <c r="AC526" s="1">
        <v>10133</v>
      </c>
      <c r="AD526" s="1">
        <v>4180</v>
      </c>
      <c r="AE526" s="1">
        <v>1343</v>
      </c>
      <c r="AF526" s="1">
        <v>298</v>
      </c>
      <c r="AG526" s="1">
        <v>30</v>
      </c>
      <c r="AH526" s="1">
        <v>18597</v>
      </c>
      <c r="AI526" s="1">
        <v>225</v>
      </c>
      <c r="AJ526" s="1">
        <v>776</v>
      </c>
      <c r="AK526" s="1">
        <v>3982</v>
      </c>
      <c r="AL526" s="1">
        <v>269</v>
      </c>
      <c r="AM526" s="1">
        <v>54</v>
      </c>
      <c r="AN526" s="2" t="s">
        <v>285</v>
      </c>
    </row>
    <row r="527" spans="1:40" x14ac:dyDescent="0.3">
      <c r="A527" s="1">
        <v>9130</v>
      </c>
      <c r="B527" s="2" t="s">
        <v>2506</v>
      </c>
      <c r="C527" s="2" t="s">
        <v>2507</v>
      </c>
      <c r="D527" s="1">
        <v>24</v>
      </c>
      <c r="E527" s="2" t="s">
        <v>459</v>
      </c>
      <c r="F527" s="50" t="s">
        <v>3514</v>
      </c>
      <c r="G527" s="2" t="s">
        <v>2508</v>
      </c>
      <c r="H527" s="1">
        <v>8164</v>
      </c>
      <c r="I527" s="1">
        <v>8332</v>
      </c>
      <c r="J527" s="2" t="s">
        <v>2304</v>
      </c>
      <c r="K527" s="2" t="s">
        <v>776</v>
      </c>
      <c r="L527" s="2" t="s">
        <v>80</v>
      </c>
      <c r="M527" s="1">
        <v>454</v>
      </c>
      <c r="N527" s="1">
        <v>11841</v>
      </c>
      <c r="O527" s="2" t="s">
        <v>463</v>
      </c>
      <c r="P527" s="2" t="s">
        <v>202</v>
      </c>
      <c r="Q527" s="2" t="s">
        <v>905</v>
      </c>
      <c r="R527" s="2" t="s">
        <v>48</v>
      </c>
      <c r="S527" s="2" t="s">
        <v>67</v>
      </c>
      <c r="T527" s="1">
        <v>5472</v>
      </c>
      <c r="U527" s="2" t="s">
        <v>51</v>
      </c>
      <c r="V527" s="1">
        <v>1188</v>
      </c>
      <c r="W527" s="1">
        <v>1484</v>
      </c>
      <c r="X527" s="2" t="s">
        <v>94</v>
      </c>
      <c r="Y527" s="2" t="s">
        <v>472</v>
      </c>
      <c r="Z527" s="2" t="s">
        <v>1765</v>
      </c>
      <c r="AA527" s="2" t="s">
        <v>1030</v>
      </c>
      <c r="AB527" s="1">
        <v>6369</v>
      </c>
      <c r="AC527" s="1">
        <v>3454</v>
      </c>
      <c r="AD527" s="1">
        <v>1458</v>
      </c>
      <c r="AE527" s="1">
        <v>461</v>
      </c>
      <c r="AF527" s="1">
        <v>84</v>
      </c>
      <c r="AG527" s="1">
        <v>15</v>
      </c>
      <c r="AH527" s="1">
        <v>6059</v>
      </c>
      <c r="AI527" s="1">
        <v>84</v>
      </c>
      <c r="AJ527" s="1">
        <v>346</v>
      </c>
      <c r="AK527" s="1">
        <v>1573</v>
      </c>
      <c r="AL527" s="1">
        <v>80</v>
      </c>
      <c r="AM527" s="1">
        <v>32</v>
      </c>
      <c r="AN527" s="2" t="s">
        <v>285</v>
      </c>
    </row>
    <row r="528" spans="1:40" ht="28.2" x14ac:dyDescent="0.3">
      <c r="A528" s="1">
        <v>19733</v>
      </c>
      <c r="B528" s="2" t="s">
        <v>2509</v>
      </c>
      <c r="C528" s="2" t="s">
        <v>2510</v>
      </c>
      <c r="D528" s="1">
        <v>21</v>
      </c>
      <c r="E528" s="2" t="s">
        <v>59</v>
      </c>
      <c r="F528" s="50" t="s">
        <v>2511</v>
      </c>
      <c r="G528" s="2" t="s">
        <v>2512</v>
      </c>
      <c r="H528" s="1">
        <v>7138</v>
      </c>
      <c r="I528" s="1">
        <v>7124</v>
      </c>
      <c r="J528" s="2" t="s">
        <v>2513</v>
      </c>
      <c r="K528" s="2" t="s">
        <v>480</v>
      </c>
      <c r="L528" s="2" t="s">
        <v>1146</v>
      </c>
      <c r="M528" s="1">
        <v>400</v>
      </c>
      <c r="N528" s="1">
        <v>10507</v>
      </c>
      <c r="O528" s="2" t="s">
        <v>167</v>
      </c>
      <c r="P528" s="2" t="s">
        <v>235</v>
      </c>
      <c r="Q528" s="2" t="s">
        <v>167</v>
      </c>
      <c r="R528" s="2" t="s">
        <v>50</v>
      </c>
      <c r="S528" s="2" t="s">
        <v>96</v>
      </c>
      <c r="T528" s="1">
        <v>4894</v>
      </c>
      <c r="U528" s="2" t="s">
        <v>51</v>
      </c>
      <c r="V528" s="1">
        <v>1262</v>
      </c>
      <c r="W528" s="1">
        <v>1230</v>
      </c>
      <c r="X528" s="2" t="s">
        <v>412</v>
      </c>
      <c r="Y528" s="2" t="s">
        <v>464</v>
      </c>
      <c r="Z528" s="2" t="s">
        <v>1165</v>
      </c>
      <c r="AA528" s="2" t="s">
        <v>1385</v>
      </c>
      <c r="AB528" s="1">
        <v>5613</v>
      </c>
      <c r="AC528" s="1">
        <v>3179</v>
      </c>
      <c r="AD528" s="1">
        <v>1269</v>
      </c>
      <c r="AE528" s="1">
        <v>370</v>
      </c>
      <c r="AF528" s="1">
        <v>69</v>
      </c>
      <c r="AG528" s="1">
        <v>7</v>
      </c>
      <c r="AH528" s="1">
        <v>5104</v>
      </c>
      <c r="AI528" s="1">
        <v>479</v>
      </c>
      <c r="AJ528" s="1">
        <v>300</v>
      </c>
      <c r="AK528" s="1">
        <v>1144</v>
      </c>
      <c r="AL528" s="1">
        <v>99</v>
      </c>
      <c r="AM528" s="1">
        <v>54</v>
      </c>
      <c r="AN528" s="2" t="s">
        <v>464</v>
      </c>
    </row>
    <row r="529" spans="1:40" x14ac:dyDescent="0.3">
      <c r="A529" s="1">
        <v>2241</v>
      </c>
      <c r="B529" s="2" t="s">
        <v>2514</v>
      </c>
      <c r="C529" s="2" t="s">
        <v>2515</v>
      </c>
      <c r="D529" s="1">
        <v>30</v>
      </c>
      <c r="E529" s="2" t="s">
        <v>1643</v>
      </c>
      <c r="F529" s="50" t="s">
        <v>1644</v>
      </c>
      <c r="G529" s="2" t="s">
        <v>2387</v>
      </c>
      <c r="H529" s="1">
        <v>20149</v>
      </c>
      <c r="I529" s="1">
        <v>20180</v>
      </c>
      <c r="J529" s="2" t="s">
        <v>848</v>
      </c>
      <c r="K529" s="2" t="s">
        <v>494</v>
      </c>
      <c r="L529" s="2" t="s">
        <v>46</v>
      </c>
      <c r="M529" s="1">
        <v>1129</v>
      </c>
      <c r="N529" s="1">
        <v>29540</v>
      </c>
      <c r="O529" s="2" t="s">
        <v>167</v>
      </c>
      <c r="P529" s="2" t="s">
        <v>202</v>
      </c>
      <c r="Q529" s="2" t="s">
        <v>167</v>
      </c>
      <c r="R529" s="2" t="s">
        <v>50</v>
      </c>
      <c r="S529" s="2" t="s">
        <v>67</v>
      </c>
      <c r="T529" s="1">
        <v>13745</v>
      </c>
      <c r="U529" s="2" t="s">
        <v>51</v>
      </c>
      <c r="V529" s="1">
        <v>2813</v>
      </c>
      <c r="W529" s="1">
        <v>2563</v>
      </c>
      <c r="X529" s="2" t="s">
        <v>561</v>
      </c>
      <c r="Y529" s="2">
        <v>1</v>
      </c>
      <c r="Z529" s="2" t="s">
        <v>635</v>
      </c>
      <c r="AA529" s="2" t="s">
        <v>933</v>
      </c>
      <c r="AB529" s="1">
        <v>15795</v>
      </c>
      <c r="AC529" s="1">
        <v>8857</v>
      </c>
      <c r="AD529" s="1">
        <v>3619</v>
      </c>
      <c r="AE529" s="1">
        <v>1055</v>
      </c>
      <c r="AF529" s="1">
        <v>194</v>
      </c>
      <c r="AG529" s="1">
        <v>20</v>
      </c>
      <c r="AH529" s="1">
        <v>15379</v>
      </c>
      <c r="AI529" s="1">
        <v>435</v>
      </c>
      <c r="AJ529" s="1">
        <v>878</v>
      </c>
      <c r="AK529" s="1">
        <v>3245</v>
      </c>
      <c r="AL529" s="1">
        <v>181</v>
      </c>
      <c r="AM529" s="1">
        <v>79</v>
      </c>
      <c r="AN529" s="2" t="s">
        <v>285</v>
      </c>
    </row>
    <row r="530" spans="1:40" x14ac:dyDescent="0.3">
      <c r="A530" s="1">
        <v>735</v>
      </c>
      <c r="B530" s="2" t="s">
        <v>2516</v>
      </c>
      <c r="C530" s="2" t="s">
        <v>2517</v>
      </c>
      <c r="D530" s="1">
        <v>34</v>
      </c>
      <c r="E530" s="2" t="s">
        <v>75</v>
      </c>
      <c r="F530" s="50" t="s">
        <v>3514</v>
      </c>
      <c r="G530" s="2" t="s">
        <v>2518</v>
      </c>
      <c r="H530" s="1">
        <v>25227</v>
      </c>
      <c r="I530" s="1">
        <v>24934</v>
      </c>
      <c r="J530" s="2" t="s">
        <v>1455</v>
      </c>
      <c r="K530" s="2" t="s">
        <v>800</v>
      </c>
      <c r="L530" s="2" t="s">
        <v>375</v>
      </c>
      <c r="M530" s="1">
        <v>1431</v>
      </c>
      <c r="N530" s="1">
        <v>37517</v>
      </c>
      <c r="O530" s="2" t="s">
        <v>225</v>
      </c>
      <c r="P530" s="2" t="s">
        <v>166</v>
      </c>
      <c r="Q530" s="2" t="s">
        <v>322</v>
      </c>
      <c r="R530" s="2" t="s">
        <v>66</v>
      </c>
      <c r="S530" s="2" t="s">
        <v>66</v>
      </c>
      <c r="T530" s="1">
        <v>17280</v>
      </c>
      <c r="U530" s="2" t="s">
        <v>51</v>
      </c>
      <c r="V530" s="1">
        <v>3038</v>
      </c>
      <c r="W530" s="1">
        <v>3334</v>
      </c>
      <c r="X530" s="2" t="s">
        <v>1749</v>
      </c>
      <c r="Y530" s="2" t="s">
        <v>1314</v>
      </c>
      <c r="Z530" s="2" t="s">
        <v>887</v>
      </c>
      <c r="AA530" s="2" t="s">
        <v>1985</v>
      </c>
      <c r="AB530" s="1">
        <v>20237</v>
      </c>
      <c r="AC530" s="1">
        <v>11221</v>
      </c>
      <c r="AD530" s="1">
        <v>4513</v>
      </c>
      <c r="AE530" s="1">
        <v>1310</v>
      </c>
      <c r="AF530" s="1">
        <v>219</v>
      </c>
      <c r="AG530" s="1">
        <v>17</v>
      </c>
      <c r="AH530" s="1">
        <v>17977</v>
      </c>
      <c r="AI530" s="1">
        <v>646</v>
      </c>
      <c r="AJ530" s="1">
        <v>1717</v>
      </c>
      <c r="AK530" s="1">
        <v>4404</v>
      </c>
      <c r="AL530" s="1">
        <v>406</v>
      </c>
      <c r="AM530" s="1">
        <v>102</v>
      </c>
      <c r="AN530" s="2" t="s">
        <v>285</v>
      </c>
    </row>
    <row r="531" spans="1:40" ht="28.2" x14ac:dyDescent="0.3">
      <c r="A531" s="1">
        <v>12089</v>
      </c>
      <c r="B531" s="2" t="s">
        <v>2519</v>
      </c>
      <c r="C531" s="2" t="s">
        <v>2520</v>
      </c>
      <c r="D531" s="1">
        <v>23</v>
      </c>
      <c r="E531" s="2" t="s">
        <v>459</v>
      </c>
      <c r="F531" s="50" t="s">
        <v>3514</v>
      </c>
      <c r="G531" s="2" t="s">
        <v>2521</v>
      </c>
      <c r="H531" s="1">
        <v>10461</v>
      </c>
      <c r="I531" s="1">
        <v>10381</v>
      </c>
      <c r="J531" s="2" t="s">
        <v>781</v>
      </c>
      <c r="K531" s="2">
        <v>74</v>
      </c>
      <c r="L531" s="2" t="s">
        <v>164</v>
      </c>
      <c r="M531" s="1">
        <v>609</v>
      </c>
      <c r="N531" s="1">
        <v>15688</v>
      </c>
      <c r="O531" s="2" t="s">
        <v>225</v>
      </c>
      <c r="P531" s="2" t="s">
        <v>202</v>
      </c>
      <c r="Q531" s="2" t="s">
        <v>322</v>
      </c>
      <c r="R531" s="2" t="s">
        <v>50</v>
      </c>
      <c r="S531" s="2" t="s">
        <v>96</v>
      </c>
      <c r="T531" s="1">
        <v>7175</v>
      </c>
      <c r="U531" s="2" t="s">
        <v>51</v>
      </c>
      <c r="V531" s="1">
        <v>1741</v>
      </c>
      <c r="W531" s="1">
        <v>1661</v>
      </c>
      <c r="X531" s="2" t="s">
        <v>304</v>
      </c>
      <c r="Y531" s="2" t="s">
        <v>304</v>
      </c>
      <c r="Z531" s="2" t="s">
        <v>256</v>
      </c>
      <c r="AA531" s="2" t="s">
        <v>568</v>
      </c>
      <c r="AB531" s="1">
        <v>8513</v>
      </c>
      <c r="AC531" s="1">
        <v>4662</v>
      </c>
      <c r="AD531" s="1">
        <v>1865</v>
      </c>
      <c r="AE531" s="1">
        <v>532</v>
      </c>
      <c r="AF531" s="1">
        <v>107</v>
      </c>
      <c r="AG531" s="1">
        <v>9</v>
      </c>
      <c r="AH531" s="1">
        <v>5631</v>
      </c>
      <c r="AI531" s="1">
        <v>1891</v>
      </c>
      <c r="AJ531" s="1">
        <v>811</v>
      </c>
      <c r="AK531" s="1">
        <v>1902</v>
      </c>
      <c r="AL531" s="1">
        <v>168</v>
      </c>
      <c r="AM531" s="1">
        <v>84</v>
      </c>
      <c r="AN531" s="2" t="s">
        <v>590</v>
      </c>
    </row>
    <row r="532" spans="1:40" x14ac:dyDescent="0.3">
      <c r="A532" s="1">
        <v>9291</v>
      </c>
      <c r="B532" s="2" t="s">
        <v>2522</v>
      </c>
      <c r="C532" s="2" t="s">
        <v>2523</v>
      </c>
      <c r="D532" s="1">
        <v>24</v>
      </c>
      <c r="E532" s="2" t="s">
        <v>1033</v>
      </c>
      <c r="F532" s="50" t="s">
        <v>2524</v>
      </c>
      <c r="G532" s="2" t="s">
        <v>2525</v>
      </c>
      <c r="H532" s="1">
        <v>7065</v>
      </c>
      <c r="I532" s="1">
        <v>7067</v>
      </c>
      <c r="J532" s="2" t="s">
        <v>360</v>
      </c>
      <c r="K532" s="2" t="s">
        <v>624</v>
      </c>
      <c r="L532" s="2" t="s">
        <v>471</v>
      </c>
      <c r="M532" s="1">
        <v>399</v>
      </c>
      <c r="N532" s="1">
        <v>10544</v>
      </c>
      <c r="O532" s="2" t="s">
        <v>225</v>
      </c>
      <c r="P532" s="2" t="s">
        <v>235</v>
      </c>
      <c r="Q532" s="2" t="s">
        <v>225</v>
      </c>
      <c r="R532" s="2" t="s">
        <v>50</v>
      </c>
      <c r="S532" s="2" t="s">
        <v>48</v>
      </c>
      <c r="T532" s="1">
        <v>4819</v>
      </c>
      <c r="U532" s="2" t="s">
        <v>51</v>
      </c>
      <c r="V532" s="1">
        <v>799</v>
      </c>
      <c r="W532" s="1">
        <v>811</v>
      </c>
      <c r="X532" s="2" t="s">
        <v>285</v>
      </c>
      <c r="Y532" s="2" t="s">
        <v>1314</v>
      </c>
      <c r="Z532" s="2" t="s">
        <v>583</v>
      </c>
      <c r="AA532" s="2" t="s">
        <v>1572</v>
      </c>
      <c r="AB532" s="1">
        <v>5725</v>
      </c>
      <c r="AC532" s="1">
        <v>3131</v>
      </c>
      <c r="AD532" s="1">
        <v>1214</v>
      </c>
      <c r="AE532" s="1">
        <v>396</v>
      </c>
      <c r="AF532" s="1">
        <v>72</v>
      </c>
      <c r="AG532" s="1">
        <v>6</v>
      </c>
      <c r="AH532" s="1">
        <v>5342</v>
      </c>
      <c r="AI532" s="1">
        <v>80</v>
      </c>
      <c r="AJ532" s="1">
        <v>314</v>
      </c>
      <c r="AK532" s="1">
        <v>1274</v>
      </c>
      <c r="AL532" s="1">
        <v>61</v>
      </c>
      <c r="AM532" s="1">
        <v>13</v>
      </c>
      <c r="AN532" s="2" t="s">
        <v>285</v>
      </c>
    </row>
    <row r="533" spans="1:40" x14ac:dyDescent="0.3">
      <c r="A533" s="1">
        <v>10052</v>
      </c>
      <c r="B533" s="2" t="s">
        <v>2526</v>
      </c>
      <c r="C533" s="2" t="s">
        <v>2527</v>
      </c>
      <c r="D533" s="1">
        <v>30</v>
      </c>
      <c r="E533" s="2" t="s">
        <v>1144</v>
      </c>
      <c r="F533" s="50" t="s">
        <v>1361</v>
      </c>
      <c r="G533" s="2" t="s">
        <v>2528</v>
      </c>
      <c r="H533" s="1">
        <v>10410</v>
      </c>
      <c r="I533" s="1">
        <v>10620</v>
      </c>
      <c r="J533" s="2" t="s">
        <v>1973</v>
      </c>
      <c r="K533" s="2" t="s">
        <v>1195</v>
      </c>
      <c r="L533" s="2" t="s">
        <v>575</v>
      </c>
      <c r="M533" s="1">
        <v>574</v>
      </c>
      <c r="N533" s="1">
        <v>15207</v>
      </c>
      <c r="O533" s="2" t="s">
        <v>167</v>
      </c>
      <c r="P533" s="2" t="s">
        <v>166</v>
      </c>
      <c r="Q533" s="2" t="s">
        <v>905</v>
      </c>
      <c r="R533" s="2" t="s">
        <v>96</v>
      </c>
      <c r="S533" s="2" t="s">
        <v>66</v>
      </c>
      <c r="T533" s="1">
        <v>6993</v>
      </c>
      <c r="U533" s="2" t="s">
        <v>51</v>
      </c>
      <c r="V533" s="1">
        <v>1682</v>
      </c>
      <c r="W533" s="1">
        <v>1764</v>
      </c>
      <c r="X533" s="2" t="s">
        <v>820</v>
      </c>
      <c r="Y533" s="2" t="s">
        <v>412</v>
      </c>
      <c r="Z533" s="2" t="s">
        <v>237</v>
      </c>
      <c r="AA533" s="2" t="s">
        <v>789</v>
      </c>
      <c r="AB533" s="1">
        <v>8214</v>
      </c>
      <c r="AC533" s="1">
        <v>4443</v>
      </c>
      <c r="AD533" s="1">
        <v>1835</v>
      </c>
      <c r="AE533" s="1">
        <v>575</v>
      </c>
      <c r="AF533" s="1">
        <v>128</v>
      </c>
      <c r="AG533" s="1">
        <v>12</v>
      </c>
      <c r="AH533" s="1">
        <v>7718</v>
      </c>
      <c r="AI533" s="1">
        <v>90</v>
      </c>
      <c r="AJ533" s="1">
        <v>660</v>
      </c>
      <c r="AK533" s="1">
        <v>1804</v>
      </c>
      <c r="AL533" s="1">
        <v>119</v>
      </c>
      <c r="AM533" s="1">
        <v>37</v>
      </c>
      <c r="AN533" s="2" t="s">
        <v>285</v>
      </c>
    </row>
    <row r="534" spans="1:40" ht="28.2" x14ac:dyDescent="0.3">
      <c r="A534" s="1">
        <v>13093</v>
      </c>
      <c r="B534" s="2" t="s">
        <v>2529</v>
      </c>
      <c r="C534" s="2" t="s">
        <v>2530</v>
      </c>
      <c r="D534" s="1">
        <v>26</v>
      </c>
      <c r="E534" s="2" t="s">
        <v>683</v>
      </c>
      <c r="F534" s="50" t="s">
        <v>1674</v>
      </c>
      <c r="G534" s="2" t="s">
        <v>1674</v>
      </c>
      <c r="H534" s="1">
        <v>9366</v>
      </c>
      <c r="I534" s="1">
        <v>9282</v>
      </c>
      <c r="J534" s="2" t="s">
        <v>722</v>
      </c>
      <c r="K534" s="2" t="s">
        <v>800</v>
      </c>
      <c r="L534" s="2" t="s">
        <v>46</v>
      </c>
      <c r="M534" s="1">
        <v>533</v>
      </c>
      <c r="N534" s="1">
        <v>14222</v>
      </c>
      <c r="O534" s="2" t="s">
        <v>322</v>
      </c>
      <c r="P534" s="2" t="s">
        <v>202</v>
      </c>
      <c r="Q534" s="2" t="s">
        <v>276</v>
      </c>
      <c r="R534" s="2" t="s">
        <v>96</v>
      </c>
      <c r="S534" s="2" t="s">
        <v>50</v>
      </c>
      <c r="T534" s="1">
        <v>6423</v>
      </c>
      <c r="U534" s="2" t="s">
        <v>51</v>
      </c>
      <c r="V534" s="1">
        <v>1027</v>
      </c>
      <c r="W534" s="1">
        <v>1068</v>
      </c>
      <c r="X534" s="2" t="s">
        <v>472</v>
      </c>
      <c r="Y534" s="2" t="s">
        <v>1906</v>
      </c>
      <c r="Z534" s="2" t="s">
        <v>2167</v>
      </c>
      <c r="AA534" s="2" t="s">
        <v>951</v>
      </c>
      <c r="AB534" s="1">
        <v>7799</v>
      </c>
      <c r="AC534" s="1">
        <v>4181</v>
      </c>
      <c r="AD534" s="1">
        <v>1659</v>
      </c>
      <c r="AE534" s="1">
        <v>477</v>
      </c>
      <c r="AF534" s="1">
        <v>94</v>
      </c>
      <c r="AG534" s="1">
        <v>12</v>
      </c>
      <c r="AH534" s="1">
        <v>6986</v>
      </c>
      <c r="AI534" s="1">
        <v>127</v>
      </c>
      <c r="AJ534" s="1">
        <v>557</v>
      </c>
      <c r="AK534" s="1">
        <v>1605</v>
      </c>
      <c r="AL534" s="1">
        <v>92</v>
      </c>
      <c r="AM534" s="1">
        <v>32</v>
      </c>
      <c r="AN534" s="2" t="s">
        <v>412</v>
      </c>
    </row>
    <row r="535" spans="1:40" ht="28.2" x14ac:dyDescent="0.3">
      <c r="A535" s="1">
        <v>8875</v>
      </c>
      <c r="B535" s="2" t="s">
        <v>2531</v>
      </c>
      <c r="C535" s="2" t="s">
        <v>2532</v>
      </c>
      <c r="D535" s="1">
        <v>27</v>
      </c>
      <c r="E535" s="2" t="s">
        <v>196</v>
      </c>
      <c r="F535" s="50" t="s">
        <v>709</v>
      </c>
      <c r="G535" s="2" t="s">
        <v>2533</v>
      </c>
      <c r="H535" s="1">
        <v>16756</v>
      </c>
      <c r="I535" s="1">
        <v>16884</v>
      </c>
      <c r="J535" s="2" t="s">
        <v>1164</v>
      </c>
      <c r="K535" s="2" t="s">
        <v>1529</v>
      </c>
      <c r="L535" s="2" t="s">
        <v>46</v>
      </c>
      <c r="M535" s="1">
        <v>964</v>
      </c>
      <c r="N535" s="1">
        <v>25326</v>
      </c>
      <c r="O535" s="2" t="s">
        <v>322</v>
      </c>
      <c r="P535" s="2" t="s">
        <v>48</v>
      </c>
      <c r="Q535" s="2" t="s">
        <v>225</v>
      </c>
      <c r="R535" s="2" t="s">
        <v>50</v>
      </c>
      <c r="S535" s="2" t="s">
        <v>50</v>
      </c>
      <c r="T535" s="1">
        <v>11274</v>
      </c>
      <c r="U535" s="2" t="s">
        <v>51</v>
      </c>
      <c r="V535" s="1">
        <v>2370</v>
      </c>
      <c r="W535" s="1">
        <v>2666</v>
      </c>
      <c r="X535" s="2" t="s">
        <v>1551</v>
      </c>
      <c r="Y535" s="2" t="s">
        <v>472</v>
      </c>
      <c r="Z535" s="2" t="s">
        <v>391</v>
      </c>
      <c r="AA535" s="2" t="s">
        <v>363</v>
      </c>
      <c r="AB535" s="1">
        <v>14052</v>
      </c>
      <c r="AC535" s="1">
        <v>7151</v>
      </c>
      <c r="AD535" s="1">
        <v>2994</v>
      </c>
      <c r="AE535" s="1">
        <v>922</v>
      </c>
      <c r="AF535" s="1">
        <v>185</v>
      </c>
      <c r="AG535" s="1">
        <v>22</v>
      </c>
      <c r="AH535" s="1">
        <v>12899</v>
      </c>
      <c r="AI535" s="1">
        <v>96</v>
      </c>
      <c r="AJ535" s="1">
        <v>888</v>
      </c>
      <c r="AK535" s="1">
        <v>2648</v>
      </c>
      <c r="AL535" s="1">
        <v>193</v>
      </c>
      <c r="AM535" s="1">
        <v>63</v>
      </c>
      <c r="AN535" s="2" t="s">
        <v>285</v>
      </c>
    </row>
    <row r="536" spans="1:40" ht="28.2" x14ac:dyDescent="0.3">
      <c r="A536" s="1">
        <v>12102</v>
      </c>
      <c r="B536" s="2" t="s">
        <v>2534</v>
      </c>
      <c r="C536" s="2" t="s">
        <v>2535</v>
      </c>
      <c r="D536" s="1">
        <v>29</v>
      </c>
      <c r="E536" s="2" t="s">
        <v>500</v>
      </c>
      <c r="F536" s="51" t="s">
        <v>715</v>
      </c>
      <c r="G536" s="2" t="s">
        <v>2536</v>
      </c>
      <c r="H536" s="1">
        <v>14838</v>
      </c>
      <c r="I536" s="1">
        <v>14900</v>
      </c>
      <c r="J536" s="2" t="s">
        <v>1586</v>
      </c>
      <c r="K536" s="2" t="s">
        <v>353</v>
      </c>
      <c r="L536" s="2">
        <v>4</v>
      </c>
      <c r="M536" s="1">
        <v>844</v>
      </c>
      <c r="N536" s="1">
        <v>21818</v>
      </c>
      <c r="O536" s="2" t="s">
        <v>167</v>
      </c>
      <c r="P536" s="2" t="s">
        <v>235</v>
      </c>
      <c r="Q536" s="2" t="s">
        <v>167</v>
      </c>
      <c r="R536" s="2" t="s">
        <v>67</v>
      </c>
      <c r="S536" s="2" t="s">
        <v>67</v>
      </c>
      <c r="T536" s="1">
        <v>10153</v>
      </c>
      <c r="U536" s="2" t="s">
        <v>51</v>
      </c>
      <c r="V536" s="1">
        <v>1916</v>
      </c>
      <c r="W536" s="1">
        <v>1934</v>
      </c>
      <c r="X536" s="2" t="s">
        <v>285</v>
      </c>
      <c r="Y536" s="2" t="s">
        <v>472</v>
      </c>
      <c r="Z536" s="2" t="s">
        <v>391</v>
      </c>
      <c r="AA536" s="2" t="s">
        <v>518</v>
      </c>
      <c r="AB536" s="1">
        <v>11665</v>
      </c>
      <c r="AC536" s="1">
        <v>6606</v>
      </c>
      <c r="AD536" s="1">
        <v>2593</v>
      </c>
      <c r="AE536" s="1">
        <v>788</v>
      </c>
      <c r="AF536" s="1">
        <v>148</v>
      </c>
      <c r="AG536" s="1">
        <v>18</v>
      </c>
      <c r="AH536" s="1">
        <v>10815</v>
      </c>
      <c r="AI536" s="1">
        <v>260</v>
      </c>
      <c r="AJ536" s="1">
        <v>865</v>
      </c>
      <c r="AK536" s="1">
        <v>2643</v>
      </c>
      <c r="AL536" s="1">
        <v>177</v>
      </c>
      <c r="AM536" s="1">
        <v>139</v>
      </c>
      <c r="AN536" s="2" t="s">
        <v>407</v>
      </c>
    </row>
    <row r="537" spans="1:40" x14ac:dyDescent="0.3">
      <c r="A537" s="1">
        <v>7529</v>
      </c>
      <c r="B537" s="2" t="s">
        <v>2537</v>
      </c>
      <c r="C537" s="2" t="s">
        <v>2538</v>
      </c>
      <c r="D537" s="1">
        <v>26</v>
      </c>
      <c r="E537" s="2" t="s">
        <v>452</v>
      </c>
      <c r="F537" s="50" t="s">
        <v>3514</v>
      </c>
      <c r="G537" s="2" t="s">
        <v>2539</v>
      </c>
      <c r="H537" s="1">
        <v>9723</v>
      </c>
      <c r="I537" s="1">
        <v>9954</v>
      </c>
      <c r="J537" s="2" t="s">
        <v>2540</v>
      </c>
      <c r="K537" s="2" t="s">
        <v>1062</v>
      </c>
      <c r="L537" s="2" t="s">
        <v>164</v>
      </c>
      <c r="M537" s="1">
        <v>540</v>
      </c>
      <c r="N537" s="1">
        <v>14097</v>
      </c>
      <c r="O537" s="2" t="s">
        <v>463</v>
      </c>
      <c r="P537" s="2" t="s">
        <v>166</v>
      </c>
      <c r="Q537" s="2" t="s">
        <v>646</v>
      </c>
      <c r="R537" s="2" t="s">
        <v>67</v>
      </c>
      <c r="S537" s="2" t="s">
        <v>50</v>
      </c>
      <c r="T537" s="1">
        <v>6493</v>
      </c>
      <c r="U537" s="2" t="s">
        <v>51</v>
      </c>
      <c r="V537" s="1">
        <v>1492</v>
      </c>
      <c r="W537" s="1">
        <v>1586</v>
      </c>
      <c r="X537" s="2" t="s">
        <v>1570</v>
      </c>
      <c r="Y537" s="2" t="s">
        <v>255</v>
      </c>
      <c r="Z537" s="2" t="s">
        <v>170</v>
      </c>
      <c r="AA537" s="2" t="s">
        <v>568</v>
      </c>
      <c r="AB537" s="1">
        <v>7604</v>
      </c>
      <c r="AC537" s="1">
        <v>4065</v>
      </c>
      <c r="AD537" s="1">
        <v>1749</v>
      </c>
      <c r="AE537" s="1">
        <v>573</v>
      </c>
      <c r="AF537" s="1">
        <v>94</v>
      </c>
      <c r="AG537" s="1">
        <v>12</v>
      </c>
      <c r="AH537" s="1">
        <v>7165</v>
      </c>
      <c r="AI537" s="1">
        <v>121</v>
      </c>
      <c r="AJ537" s="1">
        <v>418</v>
      </c>
      <c r="AK537" s="1">
        <v>1840</v>
      </c>
      <c r="AL537" s="1">
        <v>140</v>
      </c>
      <c r="AM537" s="1">
        <v>47</v>
      </c>
      <c r="AN537" s="2" t="s">
        <v>285</v>
      </c>
    </row>
    <row r="538" spans="1:40" ht="28.2" x14ac:dyDescent="0.3">
      <c r="A538" s="1">
        <v>7965</v>
      </c>
      <c r="B538" s="2" t="s">
        <v>2541</v>
      </c>
      <c r="C538" s="2" t="s">
        <v>2542</v>
      </c>
      <c r="D538" s="1">
        <v>25</v>
      </c>
      <c r="E538" s="2" t="s">
        <v>196</v>
      </c>
      <c r="F538" s="50" t="s">
        <v>1488</v>
      </c>
      <c r="G538" s="2" t="s">
        <v>2543</v>
      </c>
      <c r="H538" s="1">
        <v>10597</v>
      </c>
      <c r="I538" s="1">
        <v>10456</v>
      </c>
      <c r="J538" s="2" t="s">
        <v>2544</v>
      </c>
      <c r="K538" s="2">
        <v>70</v>
      </c>
      <c r="L538" s="2" t="s">
        <v>294</v>
      </c>
      <c r="M538" s="1">
        <v>607</v>
      </c>
      <c r="N538" s="1">
        <v>16049</v>
      </c>
      <c r="O538" s="2" t="s">
        <v>322</v>
      </c>
      <c r="P538" s="2" t="s">
        <v>50</v>
      </c>
      <c r="Q538" s="2" t="s">
        <v>276</v>
      </c>
      <c r="R538" s="2" t="s">
        <v>96</v>
      </c>
      <c r="S538" s="2" t="s">
        <v>135</v>
      </c>
      <c r="T538" s="1">
        <v>7364</v>
      </c>
      <c r="U538" s="2" t="s">
        <v>51</v>
      </c>
      <c r="V538" s="1">
        <v>1905</v>
      </c>
      <c r="W538" s="1">
        <v>1487</v>
      </c>
      <c r="X538" s="2" t="s">
        <v>53</v>
      </c>
      <c r="Y538" s="2" t="s">
        <v>362</v>
      </c>
      <c r="Z538" s="2" t="s">
        <v>653</v>
      </c>
      <c r="AA538" s="2" t="s">
        <v>354</v>
      </c>
      <c r="AB538" s="1">
        <v>8685</v>
      </c>
      <c r="AC538" s="1">
        <v>4903</v>
      </c>
      <c r="AD538" s="1">
        <v>1836</v>
      </c>
      <c r="AE538" s="1">
        <v>494</v>
      </c>
      <c r="AF538" s="1">
        <v>115</v>
      </c>
      <c r="AG538" s="1">
        <v>16</v>
      </c>
      <c r="AH538" s="1">
        <v>2537</v>
      </c>
      <c r="AI538" s="1">
        <v>5796</v>
      </c>
      <c r="AJ538" s="1">
        <v>328</v>
      </c>
      <c r="AK538" s="1">
        <v>1785</v>
      </c>
      <c r="AL538" s="1">
        <v>143</v>
      </c>
      <c r="AM538" s="1">
        <v>34</v>
      </c>
      <c r="AN538" s="2" t="s">
        <v>285</v>
      </c>
    </row>
    <row r="539" spans="1:40" ht="28.2" x14ac:dyDescent="0.3">
      <c r="A539" s="1">
        <v>2799</v>
      </c>
      <c r="B539" s="2" t="s">
        <v>2545</v>
      </c>
      <c r="C539" s="2" t="s">
        <v>2546</v>
      </c>
      <c r="D539" s="1">
        <v>30</v>
      </c>
      <c r="E539" s="2" t="s">
        <v>467</v>
      </c>
      <c r="F539" s="50" t="s">
        <v>468</v>
      </c>
      <c r="G539" s="2" t="s">
        <v>1889</v>
      </c>
      <c r="H539" s="1">
        <v>38738</v>
      </c>
      <c r="I539" s="1">
        <v>38199</v>
      </c>
      <c r="J539" s="2" t="s">
        <v>1711</v>
      </c>
      <c r="K539" s="2" t="s">
        <v>582</v>
      </c>
      <c r="L539" s="2" t="s">
        <v>244</v>
      </c>
      <c r="M539" s="1">
        <v>2219</v>
      </c>
      <c r="N539" s="1">
        <v>58263</v>
      </c>
      <c r="O539" s="2" t="s">
        <v>322</v>
      </c>
      <c r="P539" s="2" t="s">
        <v>166</v>
      </c>
      <c r="Q539" s="2" t="s">
        <v>322</v>
      </c>
      <c r="R539" s="2" t="s">
        <v>50</v>
      </c>
      <c r="S539" s="2" t="s">
        <v>50</v>
      </c>
      <c r="T539" s="1">
        <v>26821</v>
      </c>
      <c r="U539" s="2" t="s">
        <v>51</v>
      </c>
      <c r="V539" s="1">
        <v>5839</v>
      </c>
      <c r="W539" s="1">
        <v>5883</v>
      </c>
      <c r="X539" s="2" t="s">
        <v>285</v>
      </c>
      <c r="Y539" s="2">
        <v>1</v>
      </c>
      <c r="Z539" s="2" t="s">
        <v>70</v>
      </c>
      <c r="AA539" s="2" t="s">
        <v>724</v>
      </c>
      <c r="AB539" s="1">
        <v>31442</v>
      </c>
      <c r="AC539" s="1">
        <v>17614</v>
      </c>
      <c r="AD539" s="1">
        <v>6930</v>
      </c>
      <c r="AE539" s="1">
        <v>1901</v>
      </c>
      <c r="AF539" s="1">
        <v>334</v>
      </c>
      <c r="AG539" s="1">
        <v>42</v>
      </c>
      <c r="AH539" s="1">
        <v>23031</v>
      </c>
      <c r="AI539" s="1">
        <v>6762</v>
      </c>
      <c r="AJ539" s="1">
        <v>1758</v>
      </c>
      <c r="AK539" s="1">
        <v>6438</v>
      </c>
      <c r="AL539" s="1">
        <v>673</v>
      </c>
      <c r="AM539" s="1">
        <v>170</v>
      </c>
      <c r="AN539" s="2" t="s">
        <v>285</v>
      </c>
    </row>
    <row r="540" spans="1:40" x14ac:dyDescent="0.3">
      <c r="A540" s="1">
        <v>8871</v>
      </c>
      <c r="B540" s="2" t="s">
        <v>2547</v>
      </c>
      <c r="C540" s="2" t="s">
        <v>2548</v>
      </c>
      <c r="D540" s="1">
        <v>22</v>
      </c>
      <c r="E540" s="2" t="s">
        <v>196</v>
      </c>
      <c r="F540" s="50" t="s">
        <v>3514</v>
      </c>
      <c r="G540" s="2" t="s">
        <v>2549</v>
      </c>
      <c r="H540" s="1">
        <v>15622</v>
      </c>
      <c r="I540" s="1">
        <v>15631</v>
      </c>
      <c r="J540" s="2" t="s">
        <v>737</v>
      </c>
      <c r="K540" s="2" t="s">
        <v>486</v>
      </c>
      <c r="L540" s="2">
        <v>3</v>
      </c>
      <c r="M540" s="1">
        <v>893</v>
      </c>
      <c r="N540" s="1">
        <v>23437</v>
      </c>
      <c r="O540" s="2" t="s">
        <v>225</v>
      </c>
      <c r="P540" s="2" t="s">
        <v>202</v>
      </c>
      <c r="Q540" s="2" t="s">
        <v>225</v>
      </c>
      <c r="R540" s="2" t="s">
        <v>48</v>
      </c>
      <c r="S540" s="2" t="s">
        <v>48</v>
      </c>
      <c r="T540" s="1">
        <v>10697</v>
      </c>
      <c r="U540" s="2" t="s">
        <v>51</v>
      </c>
      <c r="V540" s="1">
        <v>2058</v>
      </c>
      <c r="W540" s="1">
        <v>2119</v>
      </c>
      <c r="X540" s="2" t="s">
        <v>503</v>
      </c>
      <c r="Y540" s="2" t="s">
        <v>472</v>
      </c>
      <c r="Z540" s="2" t="s">
        <v>795</v>
      </c>
      <c r="AA540" s="2" t="s">
        <v>518</v>
      </c>
      <c r="AB540" s="1">
        <v>12740</v>
      </c>
      <c r="AC540" s="1">
        <v>6969</v>
      </c>
      <c r="AD540" s="1">
        <v>2740</v>
      </c>
      <c r="AE540" s="1">
        <v>808</v>
      </c>
      <c r="AF540" s="1">
        <v>152</v>
      </c>
      <c r="AG540" s="1">
        <v>28</v>
      </c>
      <c r="AH540" s="1">
        <v>11597</v>
      </c>
      <c r="AI540" s="1">
        <v>84</v>
      </c>
      <c r="AJ540" s="1">
        <v>903</v>
      </c>
      <c r="AK540" s="1">
        <v>2814</v>
      </c>
      <c r="AL540" s="1">
        <v>155</v>
      </c>
      <c r="AM540" s="1">
        <v>117</v>
      </c>
      <c r="AN540" s="2" t="s">
        <v>285</v>
      </c>
    </row>
    <row r="541" spans="1:40" ht="28.2" x14ac:dyDescent="0.3">
      <c r="A541" s="1">
        <v>17956</v>
      </c>
      <c r="B541" s="2" t="s">
        <v>2550</v>
      </c>
      <c r="C541" s="2" t="s">
        <v>2551</v>
      </c>
      <c r="D541" s="1">
        <v>19</v>
      </c>
      <c r="E541" s="2" t="s">
        <v>196</v>
      </c>
      <c r="F541" s="50" t="s">
        <v>1396</v>
      </c>
      <c r="G541" s="2" t="s">
        <v>2552</v>
      </c>
      <c r="H541" s="1">
        <v>13844</v>
      </c>
      <c r="I541" s="1">
        <v>13776</v>
      </c>
      <c r="J541" s="2" t="s">
        <v>2553</v>
      </c>
      <c r="K541" s="2" t="s">
        <v>1435</v>
      </c>
      <c r="L541" s="2" t="s">
        <v>224</v>
      </c>
      <c r="M541" s="1">
        <v>775</v>
      </c>
      <c r="N541" s="1">
        <v>20783</v>
      </c>
      <c r="O541" s="2" t="s">
        <v>225</v>
      </c>
      <c r="P541" s="2" t="s">
        <v>67</v>
      </c>
      <c r="Q541" s="2" t="s">
        <v>322</v>
      </c>
      <c r="R541" s="2" t="s">
        <v>50</v>
      </c>
      <c r="S541" s="2" t="s">
        <v>50</v>
      </c>
      <c r="T541" s="1">
        <v>9497</v>
      </c>
      <c r="U541" s="2" t="s">
        <v>51</v>
      </c>
      <c r="V541" s="1">
        <v>1933</v>
      </c>
      <c r="W541" s="1">
        <v>2004</v>
      </c>
      <c r="X541" s="2" t="s">
        <v>472</v>
      </c>
      <c r="Y541" s="2" t="s">
        <v>503</v>
      </c>
      <c r="Z541" s="2" t="s">
        <v>217</v>
      </c>
      <c r="AA541" s="2" t="s">
        <v>1379</v>
      </c>
      <c r="AB541" s="1">
        <v>11286</v>
      </c>
      <c r="AC541" s="1">
        <v>6161</v>
      </c>
      <c r="AD541" s="1">
        <v>2480</v>
      </c>
      <c r="AE541" s="1">
        <v>714</v>
      </c>
      <c r="AF541" s="1">
        <v>129</v>
      </c>
      <c r="AG541" s="1">
        <v>13</v>
      </c>
      <c r="AH541" s="1">
        <v>10378</v>
      </c>
      <c r="AI541" s="1">
        <v>287</v>
      </c>
      <c r="AJ541" s="1">
        <v>708</v>
      </c>
      <c r="AK541" s="1">
        <v>2304</v>
      </c>
      <c r="AL541" s="1">
        <v>162</v>
      </c>
      <c r="AM541" s="1">
        <v>53</v>
      </c>
      <c r="AN541" s="2" t="s">
        <v>412</v>
      </c>
    </row>
    <row r="542" spans="1:40" ht="28.2" x14ac:dyDescent="0.3">
      <c r="A542" s="1">
        <v>8082</v>
      </c>
      <c r="B542" s="2" t="s">
        <v>2554</v>
      </c>
      <c r="C542" s="2" t="s">
        <v>2555</v>
      </c>
      <c r="D542" s="1">
        <v>29</v>
      </c>
      <c r="E542" s="2" t="s">
        <v>299</v>
      </c>
      <c r="F542" s="50" t="s">
        <v>3514</v>
      </c>
      <c r="G542" s="2" t="s">
        <v>2556</v>
      </c>
      <c r="H542" s="1">
        <v>19524</v>
      </c>
      <c r="I542" s="1">
        <v>19699</v>
      </c>
      <c r="J542" s="2" t="s">
        <v>818</v>
      </c>
      <c r="K542" s="2" t="s">
        <v>2250</v>
      </c>
      <c r="L542" s="2" t="s">
        <v>80</v>
      </c>
      <c r="M542" s="1">
        <v>1093</v>
      </c>
      <c r="N542" s="1">
        <v>28528</v>
      </c>
      <c r="O542" s="2" t="s">
        <v>167</v>
      </c>
      <c r="P542" s="2" t="s">
        <v>235</v>
      </c>
      <c r="Q542" s="2" t="s">
        <v>463</v>
      </c>
      <c r="R542" s="2" t="s">
        <v>67</v>
      </c>
      <c r="S542" s="2" t="s">
        <v>67</v>
      </c>
      <c r="T542" s="1">
        <v>13330</v>
      </c>
      <c r="U542" s="2" t="s">
        <v>51</v>
      </c>
      <c r="V542" s="1">
        <v>2571</v>
      </c>
      <c r="W542" s="1">
        <v>2508</v>
      </c>
      <c r="X542" s="2" t="s">
        <v>412</v>
      </c>
      <c r="Y542" s="2" t="s">
        <v>503</v>
      </c>
      <c r="Z542" s="2" t="s">
        <v>1020</v>
      </c>
      <c r="AA542" s="2" t="s">
        <v>257</v>
      </c>
      <c r="AB542" s="1">
        <v>15198</v>
      </c>
      <c r="AC542" s="1">
        <v>8637</v>
      </c>
      <c r="AD542" s="1">
        <v>3423</v>
      </c>
      <c r="AE542" s="1">
        <v>1054</v>
      </c>
      <c r="AF542" s="1">
        <v>201</v>
      </c>
      <c r="AG542" s="1">
        <v>15</v>
      </c>
      <c r="AH542" s="1">
        <v>14216</v>
      </c>
      <c r="AI542" s="1">
        <v>230</v>
      </c>
      <c r="AJ542" s="1">
        <v>1736</v>
      </c>
      <c r="AK542" s="1">
        <v>3132</v>
      </c>
      <c r="AL542" s="1">
        <v>196</v>
      </c>
      <c r="AM542" s="1">
        <v>43</v>
      </c>
      <c r="AN542" s="2" t="s">
        <v>285</v>
      </c>
    </row>
    <row r="543" spans="1:40" x14ac:dyDescent="0.3">
      <c r="A543" s="1">
        <v>12593</v>
      </c>
      <c r="B543" s="2" t="s">
        <v>2557</v>
      </c>
      <c r="C543" s="2" t="s">
        <v>2558</v>
      </c>
      <c r="D543" s="1">
        <v>22</v>
      </c>
      <c r="E543" s="2" t="s">
        <v>299</v>
      </c>
      <c r="F543" s="50" t="s">
        <v>3514</v>
      </c>
      <c r="G543" s="2" t="s">
        <v>2559</v>
      </c>
      <c r="H543" s="1">
        <v>13525</v>
      </c>
      <c r="I543" s="1">
        <v>13541</v>
      </c>
      <c r="J543" s="2" t="s">
        <v>2560</v>
      </c>
      <c r="K543" s="2" t="s">
        <v>2052</v>
      </c>
      <c r="L543" s="2" t="s">
        <v>164</v>
      </c>
      <c r="M543" s="1">
        <v>785</v>
      </c>
      <c r="N543" s="1">
        <v>20383</v>
      </c>
      <c r="O543" s="2" t="s">
        <v>322</v>
      </c>
      <c r="P543" s="2" t="s">
        <v>202</v>
      </c>
      <c r="Q543" s="2" t="s">
        <v>322</v>
      </c>
      <c r="R543" s="2" t="s">
        <v>50</v>
      </c>
      <c r="S543" s="2" t="s">
        <v>66</v>
      </c>
      <c r="T543" s="1">
        <v>9221</v>
      </c>
      <c r="U543" s="2" t="s">
        <v>51</v>
      </c>
      <c r="V543" s="1">
        <v>2052</v>
      </c>
      <c r="W543" s="1">
        <v>2261</v>
      </c>
      <c r="X543" s="2" t="s">
        <v>1749</v>
      </c>
      <c r="Y543" s="2" t="s">
        <v>285</v>
      </c>
      <c r="Z543" s="2" t="s">
        <v>314</v>
      </c>
      <c r="AA543" s="2" t="s">
        <v>408</v>
      </c>
      <c r="AB543" s="1">
        <v>11162</v>
      </c>
      <c r="AC543" s="1">
        <v>5957</v>
      </c>
      <c r="AD543" s="1">
        <v>2388</v>
      </c>
      <c r="AE543" s="1">
        <v>731</v>
      </c>
      <c r="AF543" s="1">
        <v>126</v>
      </c>
      <c r="AG543" s="1">
        <v>19</v>
      </c>
      <c r="AH543" s="1">
        <v>9485</v>
      </c>
      <c r="AI543" s="1">
        <v>1002</v>
      </c>
      <c r="AJ543" s="1">
        <v>786</v>
      </c>
      <c r="AK543" s="1">
        <v>2026</v>
      </c>
      <c r="AL543" s="1">
        <v>177</v>
      </c>
      <c r="AM543" s="1">
        <v>89</v>
      </c>
      <c r="AN543" s="2" t="s">
        <v>407</v>
      </c>
    </row>
    <row r="544" spans="1:40" x14ac:dyDescent="0.3">
      <c r="A544" s="1">
        <v>13989</v>
      </c>
      <c r="B544" s="2" t="s">
        <v>2561</v>
      </c>
      <c r="C544" s="2" t="s">
        <v>2562</v>
      </c>
      <c r="D544" s="1">
        <v>28</v>
      </c>
      <c r="E544" s="2" t="s">
        <v>104</v>
      </c>
      <c r="F544" s="50" t="s">
        <v>3514</v>
      </c>
      <c r="G544" s="2" t="s">
        <v>2563</v>
      </c>
      <c r="H544" s="1">
        <v>7922</v>
      </c>
      <c r="I544" s="1">
        <v>8076</v>
      </c>
      <c r="J544" s="2" t="s">
        <v>2564</v>
      </c>
      <c r="K544" s="2" t="s">
        <v>92</v>
      </c>
      <c r="L544" s="2" t="s">
        <v>1846</v>
      </c>
      <c r="M544" s="1">
        <v>447</v>
      </c>
      <c r="N544" s="1">
        <v>11613</v>
      </c>
      <c r="O544" s="2" t="s">
        <v>167</v>
      </c>
      <c r="P544" s="2" t="s">
        <v>303</v>
      </c>
      <c r="Q544" s="2" t="s">
        <v>905</v>
      </c>
      <c r="R544" s="2" t="s">
        <v>50</v>
      </c>
      <c r="S544" s="2" t="s">
        <v>96</v>
      </c>
      <c r="T544" s="1">
        <v>5354</v>
      </c>
      <c r="U544" s="2" t="s">
        <v>51</v>
      </c>
      <c r="V544" s="1">
        <v>1209</v>
      </c>
      <c r="W544" s="1">
        <v>1371</v>
      </c>
      <c r="X544" s="2" t="s">
        <v>2315</v>
      </c>
      <c r="Y544" s="2" t="s">
        <v>285</v>
      </c>
      <c r="Z544" s="2" t="s">
        <v>333</v>
      </c>
      <c r="AA544" s="2" t="s">
        <v>568</v>
      </c>
      <c r="AB544" s="1">
        <v>6259</v>
      </c>
      <c r="AC544" s="1">
        <v>3448</v>
      </c>
      <c r="AD544" s="1">
        <v>1351</v>
      </c>
      <c r="AE544" s="1">
        <v>455</v>
      </c>
      <c r="AF544" s="1">
        <v>93</v>
      </c>
      <c r="AG544" s="1">
        <v>7</v>
      </c>
      <c r="AH544" s="1">
        <v>5520</v>
      </c>
      <c r="AI544" s="1">
        <v>211</v>
      </c>
      <c r="AJ544" s="1">
        <v>686</v>
      </c>
      <c r="AK544" s="1">
        <v>1368</v>
      </c>
      <c r="AL544" s="1">
        <v>143</v>
      </c>
      <c r="AM544" s="1">
        <v>18</v>
      </c>
      <c r="AN544" s="2" t="s">
        <v>277</v>
      </c>
    </row>
    <row r="545" spans="1:40" ht="28.2" x14ac:dyDescent="0.3">
      <c r="A545" s="1">
        <v>8374</v>
      </c>
      <c r="B545" s="2" t="s">
        <v>2565</v>
      </c>
      <c r="C545" s="2" t="s">
        <v>2566</v>
      </c>
      <c r="D545" s="1">
        <v>25</v>
      </c>
      <c r="E545" s="2" t="s">
        <v>42</v>
      </c>
      <c r="F545" s="50" t="s">
        <v>1348</v>
      </c>
      <c r="G545" s="2" t="s">
        <v>2567</v>
      </c>
      <c r="H545" s="1">
        <v>23955</v>
      </c>
      <c r="I545" s="1">
        <v>24183</v>
      </c>
      <c r="J545" s="2" t="s">
        <v>703</v>
      </c>
      <c r="K545" s="2" t="s">
        <v>540</v>
      </c>
      <c r="L545" s="2" t="s">
        <v>164</v>
      </c>
      <c r="M545" s="1">
        <v>1341</v>
      </c>
      <c r="N545" s="1">
        <v>35573</v>
      </c>
      <c r="O545" s="2" t="s">
        <v>225</v>
      </c>
      <c r="P545" s="2" t="s">
        <v>166</v>
      </c>
      <c r="Q545" s="2" t="s">
        <v>167</v>
      </c>
      <c r="R545" s="2" t="s">
        <v>67</v>
      </c>
      <c r="S545" s="2" t="s">
        <v>96</v>
      </c>
      <c r="T545" s="1">
        <v>16249</v>
      </c>
      <c r="U545" s="2" t="s">
        <v>51</v>
      </c>
      <c r="V545" s="1">
        <v>3878</v>
      </c>
      <c r="W545" s="1">
        <v>4011</v>
      </c>
      <c r="X545" s="2" t="s">
        <v>503</v>
      </c>
      <c r="Y545" s="2" t="s">
        <v>449</v>
      </c>
      <c r="Z545" s="2" t="s">
        <v>217</v>
      </c>
      <c r="AA545" s="2" t="s">
        <v>659</v>
      </c>
      <c r="AB545" s="1">
        <v>19324</v>
      </c>
      <c r="AC545" s="1">
        <v>10425</v>
      </c>
      <c r="AD545" s="1">
        <v>4265</v>
      </c>
      <c r="AE545" s="1">
        <v>1271</v>
      </c>
      <c r="AF545" s="1">
        <v>262</v>
      </c>
      <c r="AG545" s="1">
        <v>26</v>
      </c>
      <c r="AH545" s="1">
        <v>17736</v>
      </c>
      <c r="AI545" s="1">
        <v>578</v>
      </c>
      <c r="AJ545" s="1">
        <v>1285</v>
      </c>
      <c r="AK545" s="1">
        <v>4032</v>
      </c>
      <c r="AL545" s="1">
        <v>296</v>
      </c>
      <c r="AM545" s="1">
        <v>101</v>
      </c>
      <c r="AN545" s="2" t="s">
        <v>285</v>
      </c>
    </row>
    <row r="546" spans="1:40" ht="28.2" x14ac:dyDescent="0.3">
      <c r="A546" s="1">
        <v>9482</v>
      </c>
      <c r="B546" s="2" t="s">
        <v>2568</v>
      </c>
      <c r="C546" s="2" t="s">
        <v>2569</v>
      </c>
      <c r="D546" s="1">
        <v>26</v>
      </c>
      <c r="E546" s="2" t="s">
        <v>104</v>
      </c>
      <c r="F546" s="50" t="s">
        <v>662</v>
      </c>
      <c r="G546" s="2" t="s">
        <v>2570</v>
      </c>
      <c r="H546" s="1">
        <v>17653</v>
      </c>
      <c r="I546" s="1">
        <v>17794</v>
      </c>
      <c r="J546" s="2" t="s">
        <v>1951</v>
      </c>
      <c r="K546" s="2" t="s">
        <v>692</v>
      </c>
      <c r="L546" s="2" t="s">
        <v>80</v>
      </c>
      <c r="M546" s="1">
        <v>993</v>
      </c>
      <c r="N546" s="1">
        <v>26075</v>
      </c>
      <c r="O546" s="2" t="s">
        <v>167</v>
      </c>
      <c r="P546" s="2" t="s">
        <v>202</v>
      </c>
      <c r="Q546" s="2" t="s">
        <v>167</v>
      </c>
      <c r="R546" s="2" t="s">
        <v>50</v>
      </c>
      <c r="S546" s="2" t="s">
        <v>50</v>
      </c>
      <c r="T546" s="1">
        <v>12078</v>
      </c>
      <c r="U546" s="2" t="s">
        <v>51</v>
      </c>
      <c r="V546" s="1">
        <v>2961</v>
      </c>
      <c r="W546" s="1">
        <v>2998</v>
      </c>
      <c r="X546" s="2" t="s">
        <v>285</v>
      </c>
      <c r="Y546" s="2" t="s">
        <v>407</v>
      </c>
      <c r="Z546" s="2" t="s">
        <v>383</v>
      </c>
      <c r="AA546" s="2" t="s">
        <v>267</v>
      </c>
      <c r="AB546" s="1">
        <v>13997</v>
      </c>
      <c r="AC546" s="1">
        <v>7872</v>
      </c>
      <c r="AD546" s="1">
        <v>3069</v>
      </c>
      <c r="AE546" s="1">
        <v>929</v>
      </c>
      <c r="AF546" s="1">
        <v>184</v>
      </c>
      <c r="AG546" s="1">
        <v>24</v>
      </c>
      <c r="AH546" s="1">
        <v>12889</v>
      </c>
      <c r="AI546" s="1">
        <v>353</v>
      </c>
      <c r="AJ546" s="1">
        <v>1246</v>
      </c>
      <c r="AK546" s="1">
        <v>2956</v>
      </c>
      <c r="AL546" s="1">
        <v>217</v>
      </c>
      <c r="AM546" s="1">
        <v>49</v>
      </c>
      <c r="AN546" s="2" t="s">
        <v>245</v>
      </c>
    </row>
    <row r="547" spans="1:40" x14ac:dyDescent="0.3">
      <c r="A547" s="1">
        <v>10436</v>
      </c>
      <c r="B547" s="2" t="s">
        <v>2571</v>
      </c>
      <c r="C547" s="2" t="s">
        <v>2572</v>
      </c>
      <c r="D547" s="1">
        <v>24</v>
      </c>
      <c r="E547" s="2" t="s">
        <v>318</v>
      </c>
      <c r="F547" s="50" t="s">
        <v>1617</v>
      </c>
      <c r="G547" s="2" t="s">
        <v>2573</v>
      </c>
      <c r="H547" s="1">
        <v>10081</v>
      </c>
      <c r="I547" s="1">
        <v>10170</v>
      </c>
      <c r="J547" s="2" t="s">
        <v>1398</v>
      </c>
      <c r="K547" s="2" t="s">
        <v>2250</v>
      </c>
      <c r="L547" s="2" t="s">
        <v>390</v>
      </c>
      <c r="M547" s="1">
        <v>577</v>
      </c>
      <c r="N547" s="1">
        <v>14992</v>
      </c>
      <c r="O547" s="2" t="s">
        <v>225</v>
      </c>
      <c r="P547" s="2" t="s">
        <v>235</v>
      </c>
      <c r="Q547" s="2" t="s">
        <v>167</v>
      </c>
      <c r="R547" s="2" t="s">
        <v>50</v>
      </c>
      <c r="S547" s="2" t="s">
        <v>50</v>
      </c>
      <c r="T547" s="1">
        <v>6855</v>
      </c>
      <c r="U547" s="2" t="s">
        <v>51</v>
      </c>
      <c r="V547" s="1">
        <v>1197</v>
      </c>
      <c r="W547" s="1">
        <v>1431</v>
      </c>
      <c r="X547" s="2" t="s">
        <v>47</v>
      </c>
      <c r="Y547" s="2" t="s">
        <v>1749</v>
      </c>
      <c r="Z547" s="2" t="s">
        <v>324</v>
      </c>
      <c r="AA547" s="2" t="s">
        <v>1572</v>
      </c>
      <c r="AB547" s="1">
        <v>8137</v>
      </c>
      <c r="AC547" s="1">
        <v>4421</v>
      </c>
      <c r="AD547" s="1">
        <v>1769</v>
      </c>
      <c r="AE547" s="1">
        <v>545</v>
      </c>
      <c r="AF547" s="1">
        <v>113</v>
      </c>
      <c r="AG547" s="1">
        <v>7</v>
      </c>
      <c r="AH547" s="1">
        <v>7001</v>
      </c>
      <c r="AI547" s="1">
        <v>198</v>
      </c>
      <c r="AJ547" s="1">
        <v>901</v>
      </c>
      <c r="AK547" s="1">
        <v>1878</v>
      </c>
      <c r="AL547" s="1">
        <v>110</v>
      </c>
      <c r="AM547" s="1">
        <v>18</v>
      </c>
      <c r="AN547" s="2" t="s">
        <v>245</v>
      </c>
    </row>
    <row r="548" spans="1:40" x14ac:dyDescent="0.3">
      <c r="A548" s="1">
        <v>19705</v>
      </c>
      <c r="B548" s="2" t="s">
        <v>2574</v>
      </c>
      <c r="C548" s="2" t="s">
        <v>2575</v>
      </c>
      <c r="D548" s="1">
        <v>20</v>
      </c>
      <c r="E548" s="2" t="s">
        <v>459</v>
      </c>
      <c r="F548" s="51" t="s">
        <v>1892</v>
      </c>
      <c r="G548" s="2" t="s">
        <v>2576</v>
      </c>
      <c r="H548" s="1">
        <v>8082</v>
      </c>
      <c r="I548" s="1">
        <v>8123</v>
      </c>
      <c r="J548" s="2" t="s">
        <v>1150</v>
      </c>
      <c r="K548" s="2" t="s">
        <v>1288</v>
      </c>
      <c r="L548" s="2">
        <v>5</v>
      </c>
      <c r="M548" s="1">
        <v>454</v>
      </c>
      <c r="N548" s="1">
        <v>12086</v>
      </c>
      <c r="O548" s="2" t="s">
        <v>225</v>
      </c>
      <c r="P548" s="2" t="s">
        <v>202</v>
      </c>
      <c r="Q548" s="2" t="s">
        <v>225</v>
      </c>
      <c r="R548" s="2" t="s">
        <v>50</v>
      </c>
      <c r="S548" s="2" t="s">
        <v>67</v>
      </c>
      <c r="T548" s="1">
        <v>5488</v>
      </c>
      <c r="U548" s="2" t="s">
        <v>51</v>
      </c>
      <c r="V548" s="1">
        <v>1007</v>
      </c>
      <c r="W548" s="1">
        <v>1069</v>
      </c>
      <c r="X548" s="2" t="s">
        <v>1570</v>
      </c>
      <c r="Y548" s="2" t="s">
        <v>1570</v>
      </c>
      <c r="Z548" s="2" t="s">
        <v>2481</v>
      </c>
      <c r="AA548" s="2" t="s">
        <v>1276</v>
      </c>
      <c r="AB548" s="1">
        <v>6598</v>
      </c>
      <c r="AC548" s="1">
        <v>3498</v>
      </c>
      <c r="AD548" s="1">
        <v>1484</v>
      </c>
      <c r="AE548" s="1">
        <v>416</v>
      </c>
      <c r="AF548" s="1">
        <v>82</v>
      </c>
      <c r="AG548" s="1">
        <v>8</v>
      </c>
      <c r="AH548" s="1">
        <v>6099</v>
      </c>
      <c r="AI548" s="1">
        <v>62</v>
      </c>
      <c r="AJ548" s="1">
        <v>464</v>
      </c>
      <c r="AK548" s="1">
        <v>1344</v>
      </c>
      <c r="AL548" s="1">
        <v>118</v>
      </c>
      <c r="AM548" s="1">
        <v>26</v>
      </c>
      <c r="AN548" s="2" t="s">
        <v>449</v>
      </c>
    </row>
    <row r="549" spans="1:40" ht="28.2" x14ac:dyDescent="0.3">
      <c r="A549" s="1">
        <v>284</v>
      </c>
      <c r="B549" s="2" t="s">
        <v>2577</v>
      </c>
      <c r="C549" s="2" t="s">
        <v>2578</v>
      </c>
      <c r="D549" s="1">
        <v>30</v>
      </c>
      <c r="E549" s="2" t="s">
        <v>42</v>
      </c>
      <c r="F549" s="50" t="s">
        <v>221</v>
      </c>
      <c r="G549" s="2" t="s">
        <v>2579</v>
      </c>
      <c r="H549" s="1">
        <v>19495</v>
      </c>
      <c r="I549" s="1">
        <v>19674</v>
      </c>
      <c r="J549" s="2" t="s">
        <v>2580</v>
      </c>
      <c r="K549" s="2" t="s">
        <v>1499</v>
      </c>
      <c r="L549" s="2" t="s">
        <v>541</v>
      </c>
      <c r="M549" s="1">
        <v>1096</v>
      </c>
      <c r="N549" s="1">
        <v>29144</v>
      </c>
      <c r="O549" s="2" t="s">
        <v>225</v>
      </c>
      <c r="P549" s="2" t="s">
        <v>202</v>
      </c>
      <c r="Q549" s="2" t="s">
        <v>167</v>
      </c>
      <c r="R549" s="2" t="s">
        <v>50</v>
      </c>
      <c r="S549" s="2" t="s">
        <v>50</v>
      </c>
      <c r="T549" s="1">
        <v>13213</v>
      </c>
      <c r="U549" s="2" t="s">
        <v>51</v>
      </c>
      <c r="V549" s="1">
        <v>3142</v>
      </c>
      <c r="W549" s="1">
        <v>3362</v>
      </c>
      <c r="X549" s="2" t="s">
        <v>950</v>
      </c>
      <c r="Y549" s="2" t="s">
        <v>255</v>
      </c>
      <c r="Z549" s="2" t="s">
        <v>554</v>
      </c>
      <c r="AA549" s="2" t="s">
        <v>384</v>
      </c>
      <c r="AB549" s="1">
        <v>15931</v>
      </c>
      <c r="AC549" s="1">
        <v>8461</v>
      </c>
      <c r="AD549" s="1">
        <v>3466</v>
      </c>
      <c r="AE549" s="1">
        <v>1063</v>
      </c>
      <c r="AF549" s="1">
        <v>202</v>
      </c>
      <c r="AG549" s="1">
        <v>21</v>
      </c>
      <c r="AH549" s="1">
        <v>14367</v>
      </c>
      <c r="AI549" s="1">
        <v>256</v>
      </c>
      <c r="AJ549" s="1">
        <v>1305</v>
      </c>
      <c r="AK549" s="1">
        <v>3349</v>
      </c>
      <c r="AL549" s="1">
        <v>186</v>
      </c>
      <c r="AM549" s="1">
        <v>91</v>
      </c>
      <c r="AN549" s="2" t="s">
        <v>245</v>
      </c>
    </row>
    <row r="550" spans="1:40" x14ac:dyDescent="0.3">
      <c r="A550" s="1">
        <v>8508</v>
      </c>
      <c r="B550" s="2" t="s">
        <v>2581</v>
      </c>
      <c r="C550" s="2" t="s">
        <v>2582</v>
      </c>
      <c r="D550" s="1">
        <v>26</v>
      </c>
      <c r="E550" s="2" t="s">
        <v>500</v>
      </c>
      <c r="F550" s="50" t="s">
        <v>3514</v>
      </c>
      <c r="G550" s="2" t="s">
        <v>2583</v>
      </c>
      <c r="H550" s="1">
        <v>14132</v>
      </c>
      <c r="I550" s="1">
        <v>14426</v>
      </c>
      <c r="J550" s="2" t="s">
        <v>61</v>
      </c>
      <c r="K550" s="2" t="s">
        <v>368</v>
      </c>
      <c r="L550" s="2" t="s">
        <v>275</v>
      </c>
      <c r="M550" s="1">
        <v>801</v>
      </c>
      <c r="N550" s="1">
        <v>20713</v>
      </c>
      <c r="O550" s="2" t="s">
        <v>167</v>
      </c>
      <c r="P550" s="2" t="s">
        <v>235</v>
      </c>
      <c r="Q550" s="2" t="s">
        <v>905</v>
      </c>
      <c r="R550" s="2" t="s">
        <v>66</v>
      </c>
      <c r="S550" s="2" t="s">
        <v>66</v>
      </c>
      <c r="T550" s="1">
        <v>9545</v>
      </c>
      <c r="U550" s="2" t="s">
        <v>51</v>
      </c>
      <c r="V550" s="1">
        <v>1962</v>
      </c>
      <c r="W550" s="1">
        <v>2163</v>
      </c>
      <c r="X550" s="2" t="s">
        <v>1749</v>
      </c>
      <c r="Y550" s="2" t="s">
        <v>503</v>
      </c>
      <c r="Z550" s="2" t="s">
        <v>745</v>
      </c>
      <c r="AA550" s="2" t="s">
        <v>2029</v>
      </c>
      <c r="AB550" s="1">
        <v>11168</v>
      </c>
      <c r="AC550" s="1">
        <v>6118</v>
      </c>
      <c r="AD550" s="1">
        <v>2493</v>
      </c>
      <c r="AE550" s="1">
        <v>742</v>
      </c>
      <c r="AF550" s="1">
        <v>169</v>
      </c>
      <c r="AG550" s="1">
        <v>23</v>
      </c>
      <c r="AH550" s="1">
        <v>8903</v>
      </c>
      <c r="AI550" s="1">
        <v>919</v>
      </c>
      <c r="AJ550" s="1">
        <v>1382</v>
      </c>
      <c r="AK550" s="1">
        <v>2508</v>
      </c>
      <c r="AL550" s="1">
        <v>129</v>
      </c>
      <c r="AM550" s="1">
        <v>314</v>
      </c>
      <c r="AN550" s="2" t="s">
        <v>245</v>
      </c>
    </row>
    <row r="551" spans="1:40" ht="28.2" x14ac:dyDescent="0.3">
      <c r="A551" s="1">
        <v>8327</v>
      </c>
      <c r="B551" s="2" t="s">
        <v>2584</v>
      </c>
      <c r="C551" s="2" t="s">
        <v>2585</v>
      </c>
      <c r="D551" s="1">
        <v>27</v>
      </c>
      <c r="E551" s="2" t="s">
        <v>327</v>
      </c>
      <c r="F551" s="50" t="s">
        <v>1740</v>
      </c>
      <c r="G551" s="2" t="s">
        <v>1740</v>
      </c>
      <c r="H551" s="1">
        <v>37890</v>
      </c>
      <c r="I551" s="1">
        <v>38534</v>
      </c>
      <c r="J551" s="2" t="s">
        <v>1208</v>
      </c>
      <c r="K551" s="2" t="s">
        <v>540</v>
      </c>
      <c r="L551" s="2" t="s">
        <v>658</v>
      </c>
      <c r="M551" s="1">
        <v>2101</v>
      </c>
      <c r="N551" s="1">
        <v>55976</v>
      </c>
      <c r="O551" s="2" t="s">
        <v>167</v>
      </c>
      <c r="P551" s="2" t="s">
        <v>235</v>
      </c>
      <c r="Q551" s="2" t="s">
        <v>463</v>
      </c>
      <c r="R551" s="2" t="s">
        <v>50</v>
      </c>
      <c r="S551" s="2" t="s">
        <v>96</v>
      </c>
      <c r="T551" s="1">
        <v>25598</v>
      </c>
      <c r="U551" s="2" t="s">
        <v>51</v>
      </c>
      <c r="V551" s="1">
        <v>6157</v>
      </c>
      <c r="W551" s="1">
        <v>6666</v>
      </c>
      <c r="X551" s="2" t="s">
        <v>1314</v>
      </c>
      <c r="Y551" s="2" t="s">
        <v>449</v>
      </c>
      <c r="Z551" s="2" t="s">
        <v>324</v>
      </c>
      <c r="AA551" s="2" t="s">
        <v>279</v>
      </c>
      <c r="AB551" s="1">
        <v>30378</v>
      </c>
      <c r="AC551" s="1">
        <v>16343</v>
      </c>
      <c r="AD551" s="1">
        <v>6712</v>
      </c>
      <c r="AE551" s="1">
        <v>2086</v>
      </c>
      <c r="AF551" s="1">
        <v>421</v>
      </c>
      <c r="AG551" s="1">
        <v>36</v>
      </c>
      <c r="AH551" s="1">
        <v>25905</v>
      </c>
      <c r="AI551" s="1">
        <v>2937</v>
      </c>
      <c r="AJ551" s="1">
        <v>2130</v>
      </c>
      <c r="AK551" s="1">
        <v>6304</v>
      </c>
      <c r="AL551" s="1">
        <v>611</v>
      </c>
      <c r="AM551" s="1">
        <v>97</v>
      </c>
      <c r="AN551" s="2" t="s">
        <v>245</v>
      </c>
    </row>
    <row r="552" spans="1:40" ht="28.2" x14ac:dyDescent="0.3">
      <c r="A552" s="1">
        <v>13177</v>
      </c>
      <c r="B552" s="2" t="s">
        <v>2586</v>
      </c>
      <c r="C552" s="2" t="s">
        <v>2587</v>
      </c>
      <c r="D552" s="1">
        <v>26</v>
      </c>
      <c r="E552" s="2" t="s">
        <v>459</v>
      </c>
      <c r="F552" s="50" t="s">
        <v>3514</v>
      </c>
      <c r="G552" s="2" t="s">
        <v>2588</v>
      </c>
      <c r="H552" s="1">
        <v>7396</v>
      </c>
      <c r="I552" s="1">
        <v>7370</v>
      </c>
      <c r="J552" s="2" t="s">
        <v>1675</v>
      </c>
      <c r="K552" s="2" t="s">
        <v>540</v>
      </c>
      <c r="L552" s="2" t="s">
        <v>201</v>
      </c>
      <c r="M552" s="1">
        <v>427</v>
      </c>
      <c r="N552" s="1">
        <v>10968</v>
      </c>
      <c r="O552" s="2" t="s">
        <v>225</v>
      </c>
      <c r="P552" s="2" t="s">
        <v>202</v>
      </c>
      <c r="Q552" s="2" t="s">
        <v>225</v>
      </c>
      <c r="R552" s="2" t="s">
        <v>50</v>
      </c>
      <c r="S552" s="2" t="s">
        <v>50</v>
      </c>
      <c r="T552" s="1">
        <v>5095</v>
      </c>
      <c r="U552" s="2" t="s">
        <v>51</v>
      </c>
      <c r="V552" s="1">
        <v>906</v>
      </c>
      <c r="W552" s="1">
        <v>901</v>
      </c>
      <c r="X552" s="2" t="s">
        <v>255</v>
      </c>
      <c r="Y552" s="2" t="s">
        <v>1570</v>
      </c>
      <c r="Z552" s="2" t="s">
        <v>2045</v>
      </c>
      <c r="AA552" s="2" t="s">
        <v>287</v>
      </c>
      <c r="AB552" s="1">
        <v>5873</v>
      </c>
      <c r="AC552" s="1">
        <v>3300</v>
      </c>
      <c r="AD552" s="1">
        <v>1367</v>
      </c>
      <c r="AE552" s="1">
        <v>358</v>
      </c>
      <c r="AF552" s="1">
        <v>62</v>
      </c>
      <c r="AG552" s="1">
        <v>8</v>
      </c>
      <c r="AH552" s="1">
        <v>5076</v>
      </c>
      <c r="AI552" s="1">
        <v>353</v>
      </c>
      <c r="AJ552" s="1">
        <v>498</v>
      </c>
      <c r="AK552" s="1">
        <v>1394</v>
      </c>
      <c r="AL552" s="1">
        <v>82</v>
      </c>
      <c r="AM552" s="1">
        <v>6</v>
      </c>
      <c r="AN552" s="2" t="s">
        <v>304</v>
      </c>
    </row>
    <row r="553" spans="1:40" ht="28.2" x14ac:dyDescent="0.3">
      <c r="A553" s="1">
        <v>884</v>
      </c>
      <c r="B553" s="2" t="s">
        <v>2589</v>
      </c>
      <c r="C553" s="2" t="s">
        <v>2590</v>
      </c>
      <c r="D553" s="1">
        <v>31</v>
      </c>
      <c r="E553" s="2" t="s">
        <v>545</v>
      </c>
      <c r="F553" s="50" t="s">
        <v>1396</v>
      </c>
      <c r="G553" s="2" t="s">
        <v>2591</v>
      </c>
      <c r="H553" s="1">
        <v>28491</v>
      </c>
      <c r="I553" s="1">
        <v>27984</v>
      </c>
      <c r="J553" s="2" t="s">
        <v>832</v>
      </c>
      <c r="K553" s="2" t="s">
        <v>1764</v>
      </c>
      <c r="L553" s="2">
        <v>5</v>
      </c>
      <c r="M553" s="1">
        <v>1665</v>
      </c>
      <c r="N553" s="1">
        <v>42830</v>
      </c>
      <c r="O553" s="2" t="s">
        <v>225</v>
      </c>
      <c r="P553" s="2" t="s">
        <v>434</v>
      </c>
      <c r="Q553" s="2" t="s">
        <v>276</v>
      </c>
      <c r="R553" s="2" t="s">
        <v>50</v>
      </c>
      <c r="S553" s="2" t="s">
        <v>50</v>
      </c>
      <c r="T553" s="1">
        <v>19825</v>
      </c>
      <c r="U553" s="2" t="s">
        <v>51</v>
      </c>
      <c r="V553" s="1">
        <v>3698</v>
      </c>
      <c r="W553" s="1">
        <v>3347</v>
      </c>
      <c r="X553" s="2" t="s">
        <v>561</v>
      </c>
      <c r="Y553" s="2" t="s">
        <v>503</v>
      </c>
      <c r="Z553" s="2" t="s">
        <v>1538</v>
      </c>
      <c r="AA553" s="2" t="s">
        <v>828</v>
      </c>
      <c r="AB553" s="1">
        <v>23005</v>
      </c>
      <c r="AC553" s="1">
        <v>13114</v>
      </c>
      <c r="AD553" s="1">
        <v>5095</v>
      </c>
      <c r="AE553" s="1">
        <v>1369</v>
      </c>
      <c r="AF553" s="1">
        <v>225</v>
      </c>
      <c r="AG553" s="1">
        <v>22</v>
      </c>
      <c r="AH553" s="1">
        <v>21772</v>
      </c>
      <c r="AI553" s="1">
        <v>703</v>
      </c>
      <c r="AJ553" s="1">
        <v>920</v>
      </c>
      <c r="AK553" s="1">
        <v>4686</v>
      </c>
      <c r="AL553" s="1">
        <v>365</v>
      </c>
      <c r="AM553" s="1">
        <v>61</v>
      </c>
      <c r="AN553" s="2" t="s">
        <v>245</v>
      </c>
    </row>
    <row r="554" spans="1:40" ht="28.2" x14ac:dyDescent="0.3">
      <c r="A554" s="1">
        <v>12113</v>
      </c>
      <c r="B554" s="2" t="s">
        <v>2592</v>
      </c>
      <c r="C554" s="2" t="s">
        <v>2593</v>
      </c>
      <c r="D554" s="1">
        <v>22</v>
      </c>
      <c r="E554" s="2" t="s">
        <v>500</v>
      </c>
      <c r="F554" s="51" t="s">
        <v>715</v>
      </c>
      <c r="G554" s="2" t="s">
        <v>2594</v>
      </c>
      <c r="H554" s="1">
        <v>19280</v>
      </c>
      <c r="I554" s="1">
        <v>19771</v>
      </c>
      <c r="J554" s="2" t="s">
        <v>2026</v>
      </c>
      <c r="K554" s="2" t="s">
        <v>361</v>
      </c>
      <c r="L554" s="2" t="s">
        <v>2595</v>
      </c>
      <c r="M554" s="1">
        <v>1078</v>
      </c>
      <c r="N554" s="1">
        <v>27630</v>
      </c>
      <c r="O554" s="2" t="s">
        <v>905</v>
      </c>
      <c r="P554" s="2" t="s">
        <v>434</v>
      </c>
      <c r="Q554" s="2" t="s">
        <v>311</v>
      </c>
      <c r="R554" s="2" t="s">
        <v>67</v>
      </c>
      <c r="S554" s="2" t="s">
        <v>66</v>
      </c>
      <c r="T554" s="1">
        <v>13051</v>
      </c>
      <c r="U554" s="2" t="s">
        <v>51</v>
      </c>
      <c r="V554" s="1">
        <v>3784</v>
      </c>
      <c r="W554" s="1">
        <v>4016</v>
      </c>
      <c r="X554" s="2" t="s">
        <v>1570</v>
      </c>
      <c r="Y554" s="2" t="s">
        <v>362</v>
      </c>
      <c r="Z554" s="2" t="s">
        <v>54</v>
      </c>
      <c r="AA554" s="2" t="s">
        <v>906</v>
      </c>
      <c r="AB554" s="1">
        <v>14579</v>
      </c>
      <c r="AC554" s="1">
        <v>8349</v>
      </c>
      <c r="AD554" s="1">
        <v>3424</v>
      </c>
      <c r="AE554" s="1">
        <v>1047</v>
      </c>
      <c r="AF554" s="1">
        <v>213</v>
      </c>
      <c r="AG554" s="1">
        <v>18</v>
      </c>
      <c r="AH554" s="1">
        <v>12995</v>
      </c>
      <c r="AI554" s="1">
        <v>909</v>
      </c>
      <c r="AJ554" s="1">
        <v>1666</v>
      </c>
      <c r="AK554" s="1">
        <v>3301</v>
      </c>
      <c r="AL554" s="1">
        <v>310</v>
      </c>
      <c r="AM554" s="1">
        <v>154</v>
      </c>
      <c r="AN554" s="2" t="s">
        <v>295</v>
      </c>
    </row>
    <row r="555" spans="1:40" x14ac:dyDescent="0.3">
      <c r="A555" s="1">
        <v>1485</v>
      </c>
      <c r="B555" s="2" t="s">
        <v>2596</v>
      </c>
      <c r="C555" s="2" t="s">
        <v>2597</v>
      </c>
      <c r="D555" s="1">
        <v>28</v>
      </c>
      <c r="E555" s="2" t="s">
        <v>1070</v>
      </c>
      <c r="F555" s="50" t="s">
        <v>3514</v>
      </c>
      <c r="G555" s="2" t="s">
        <v>2598</v>
      </c>
      <c r="H555" s="1">
        <v>17632</v>
      </c>
      <c r="I555" s="1">
        <v>17802</v>
      </c>
      <c r="J555" s="2" t="s">
        <v>1150</v>
      </c>
      <c r="K555" s="2" t="s">
        <v>862</v>
      </c>
      <c r="L555" s="2" t="s">
        <v>214</v>
      </c>
      <c r="M555" s="1">
        <v>998</v>
      </c>
      <c r="N555" s="1">
        <v>26140</v>
      </c>
      <c r="O555" s="2" t="s">
        <v>225</v>
      </c>
      <c r="P555" s="2" t="s">
        <v>202</v>
      </c>
      <c r="Q555" s="2" t="s">
        <v>167</v>
      </c>
      <c r="R555" s="2" t="s">
        <v>50</v>
      </c>
      <c r="S555" s="2" t="s">
        <v>96</v>
      </c>
      <c r="T555" s="1">
        <v>12006</v>
      </c>
      <c r="U555" s="2" t="s">
        <v>51</v>
      </c>
      <c r="V555" s="1">
        <v>2289</v>
      </c>
      <c r="W555" s="1">
        <v>2494</v>
      </c>
      <c r="X555" s="2" t="s">
        <v>1314</v>
      </c>
      <c r="Y555" s="2" t="s">
        <v>820</v>
      </c>
      <c r="Z555" s="2" t="s">
        <v>1268</v>
      </c>
      <c r="AA555" s="2" t="s">
        <v>828</v>
      </c>
      <c r="AB555" s="1">
        <v>14134</v>
      </c>
      <c r="AC555" s="1">
        <v>7734</v>
      </c>
      <c r="AD555" s="1">
        <v>3164</v>
      </c>
      <c r="AE555" s="1">
        <v>906</v>
      </c>
      <c r="AF555" s="1">
        <v>175</v>
      </c>
      <c r="AG555" s="1">
        <v>27</v>
      </c>
      <c r="AH555" s="1">
        <v>12187</v>
      </c>
      <c r="AI555" s="1">
        <v>846</v>
      </c>
      <c r="AJ555" s="1">
        <v>1070</v>
      </c>
      <c r="AK555" s="1">
        <v>3357</v>
      </c>
      <c r="AL555" s="1">
        <v>140</v>
      </c>
      <c r="AM555" s="1">
        <v>45</v>
      </c>
      <c r="AN555" s="2" t="s">
        <v>245</v>
      </c>
    </row>
    <row r="556" spans="1:40" ht="28.2" x14ac:dyDescent="0.3">
      <c r="A556" s="1">
        <v>334</v>
      </c>
      <c r="B556" s="2" t="s">
        <v>2599</v>
      </c>
      <c r="C556" s="2" t="s">
        <v>2600</v>
      </c>
      <c r="D556" s="1">
        <v>32</v>
      </c>
      <c r="E556" s="2" t="s">
        <v>1144</v>
      </c>
      <c r="F556" s="50" t="s">
        <v>3514</v>
      </c>
      <c r="G556" s="2" t="s">
        <v>2601</v>
      </c>
      <c r="H556" s="1">
        <v>31357</v>
      </c>
      <c r="I556" s="1">
        <v>31574</v>
      </c>
      <c r="J556" s="2" t="s">
        <v>808</v>
      </c>
      <c r="K556" s="2" t="s">
        <v>1363</v>
      </c>
      <c r="L556" s="2" t="s">
        <v>1352</v>
      </c>
      <c r="M556" s="1">
        <v>1767</v>
      </c>
      <c r="N556" s="1">
        <v>46454</v>
      </c>
      <c r="O556" s="2" t="s">
        <v>167</v>
      </c>
      <c r="P556" s="2" t="s">
        <v>166</v>
      </c>
      <c r="Q556" s="2" t="s">
        <v>167</v>
      </c>
      <c r="R556" s="2" t="s">
        <v>66</v>
      </c>
      <c r="S556" s="2" t="s">
        <v>135</v>
      </c>
      <c r="T556" s="1">
        <v>21379</v>
      </c>
      <c r="U556" s="2" t="s">
        <v>51</v>
      </c>
      <c r="V556" s="1">
        <v>4756</v>
      </c>
      <c r="W556" s="1">
        <v>5119</v>
      </c>
      <c r="X556" s="2" t="s">
        <v>950</v>
      </c>
      <c r="Y556" s="2" t="s">
        <v>285</v>
      </c>
      <c r="Z556" s="2" t="s">
        <v>635</v>
      </c>
      <c r="AA556" s="2" t="s">
        <v>844</v>
      </c>
      <c r="AB556" s="1">
        <v>25075</v>
      </c>
      <c r="AC556" s="1">
        <v>13782</v>
      </c>
      <c r="AD556" s="1">
        <v>5611</v>
      </c>
      <c r="AE556" s="1">
        <v>1657</v>
      </c>
      <c r="AF556" s="1">
        <v>303</v>
      </c>
      <c r="AG556" s="1">
        <v>26</v>
      </c>
      <c r="AH556" s="1">
        <v>22645</v>
      </c>
      <c r="AI556" s="1">
        <v>731</v>
      </c>
      <c r="AJ556" s="1">
        <v>1822</v>
      </c>
      <c r="AK556" s="1">
        <v>5434</v>
      </c>
      <c r="AL556" s="1">
        <v>526</v>
      </c>
      <c r="AM556" s="1">
        <v>251</v>
      </c>
      <c r="AN556" s="2" t="s">
        <v>245</v>
      </c>
    </row>
    <row r="557" spans="1:40" ht="28.2" x14ac:dyDescent="0.3">
      <c r="A557" s="1">
        <v>12088</v>
      </c>
      <c r="B557" s="2" t="s">
        <v>2602</v>
      </c>
      <c r="C557" s="2" t="s">
        <v>2603</v>
      </c>
      <c r="D557" s="1">
        <v>21</v>
      </c>
      <c r="E557" s="2" t="s">
        <v>459</v>
      </c>
      <c r="F557" s="50" t="s">
        <v>3514</v>
      </c>
      <c r="G557" s="2" t="s">
        <v>2604</v>
      </c>
      <c r="H557" s="1">
        <v>12192</v>
      </c>
      <c r="I557" s="1">
        <v>12461</v>
      </c>
      <c r="J557" s="2" t="s">
        <v>1243</v>
      </c>
      <c r="K557" s="2" t="s">
        <v>800</v>
      </c>
      <c r="L557" s="2">
        <v>3</v>
      </c>
      <c r="M557" s="1">
        <v>697</v>
      </c>
      <c r="N557" s="1">
        <v>17857</v>
      </c>
      <c r="O557" s="2" t="s">
        <v>167</v>
      </c>
      <c r="P557" s="2" t="s">
        <v>48</v>
      </c>
      <c r="Q557" s="2" t="s">
        <v>905</v>
      </c>
      <c r="R557" s="2" t="s">
        <v>48</v>
      </c>
      <c r="S557" s="2" t="s">
        <v>50</v>
      </c>
      <c r="T557" s="1">
        <v>8231</v>
      </c>
      <c r="U557" s="2" t="s">
        <v>51</v>
      </c>
      <c r="V557" s="1">
        <v>1971</v>
      </c>
      <c r="W557" s="1">
        <v>2037</v>
      </c>
      <c r="X557" s="2" t="s">
        <v>503</v>
      </c>
      <c r="Y557" s="2" t="s">
        <v>412</v>
      </c>
      <c r="Z557" s="2" t="s">
        <v>54</v>
      </c>
      <c r="AA557" s="2" t="s">
        <v>279</v>
      </c>
      <c r="AB557" s="1">
        <v>9626</v>
      </c>
      <c r="AC557" s="1">
        <v>5228</v>
      </c>
      <c r="AD557" s="1">
        <v>2207</v>
      </c>
      <c r="AE557" s="1">
        <v>652</v>
      </c>
      <c r="AF557" s="1">
        <v>126</v>
      </c>
      <c r="AG557" s="1">
        <v>18</v>
      </c>
      <c r="AH557" s="1">
        <v>8776</v>
      </c>
      <c r="AI557" s="1">
        <v>305</v>
      </c>
      <c r="AJ557" s="1">
        <v>830</v>
      </c>
      <c r="AK557" s="1">
        <v>2126</v>
      </c>
      <c r="AL557" s="1">
        <v>103</v>
      </c>
      <c r="AM557" s="1">
        <v>78</v>
      </c>
      <c r="AN557" s="2" t="s">
        <v>407</v>
      </c>
    </row>
    <row r="558" spans="1:40" ht="28.2" x14ac:dyDescent="0.3">
      <c r="A558" s="1">
        <v>7412</v>
      </c>
      <c r="B558" s="2" t="s">
        <v>2605</v>
      </c>
      <c r="C558" s="2" t="s">
        <v>2606</v>
      </c>
      <c r="D558" s="1">
        <v>27</v>
      </c>
      <c r="E558" s="2" t="s">
        <v>196</v>
      </c>
      <c r="F558" s="50" t="s">
        <v>229</v>
      </c>
      <c r="G558" s="2" t="s">
        <v>2607</v>
      </c>
      <c r="H558" s="1">
        <v>29339</v>
      </c>
      <c r="I558" s="1">
        <v>29265</v>
      </c>
      <c r="J558" s="2" t="s">
        <v>1238</v>
      </c>
      <c r="K558" s="2" t="s">
        <v>645</v>
      </c>
      <c r="L558" s="2" t="s">
        <v>1943</v>
      </c>
      <c r="M558" s="1">
        <v>1690</v>
      </c>
      <c r="N558" s="1">
        <v>44425</v>
      </c>
      <c r="O558" s="2" t="s">
        <v>322</v>
      </c>
      <c r="P558" s="2" t="s">
        <v>553</v>
      </c>
      <c r="Q558" s="2" t="s">
        <v>322</v>
      </c>
      <c r="R558" s="2" t="s">
        <v>50</v>
      </c>
      <c r="S558" s="2" t="s">
        <v>66</v>
      </c>
      <c r="T558" s="1">
        <v>20111</v>
      </c>
      <c r="U558" s="2" t="s">
        <v>51</v>
      </c>
      <c r="V558" s="1">
        <v>4617</v>
      </c>
      <c r="W558" s="1">
        <v>4728</v>
      </c>
      <c r="X558" s="2" t="s">
        <v>245</v>
      </c>
      <c r="Y558" s="2" t="s">
        <v>255</v>
      </c>
      <c r="Z558" s="2" t="s">
        <v>1214</v>
      </c>
      <c r="AA558" s="2" t="s">
        <v>560</v>
      </c>
      <c r="AB558" s="1">
        <v>24314</v>
      </c>
      <c r="AC558" s="1">
        <v>13038</v>
      </c>
      <c r="AD558" s="1">
        <v>5236</v>
      </c>
      <c r="AE558" s="1">
        <v>1561</v>
      </c>
      <c r="AF558" s="1">
        <v>254</v>
      </c>
      <c r="AG558" s="1">
        <v>22</v>
      </c>
      <c r="AH558" s="1">
        <v>20712</v>
      </c>
      <c r="AI558" s="1">
        <v>1079</v>
      </c>
      <c r="AJ558" s="1">
        <v>2320</v>
      </c>
      <c r="AK558" s="1">
        <v>4670</v>
      </c>
      <c r="AL558" s="1">
        <v>565</v>
      </c>
      <c r="AM558" s="1">
        <v>53</v>
      </c>
      <c r="AN558" s="2" t="s">
        <v>245</v>
      </c>
    </row>
    <row r="559" spans="1:40" x14ac:dyDescent="0.3">
      <c r="A559" s="1">
        <v>13992</v>
      </c>
      <c r="B559" s="2" t="s">
        <v>2608</v>
      </c>
      <c r="C559" s="2" t="s">
        <v>2609</v>
      </c>
      <c r="D559" s="1">
        <v>23</v>
      </c>
      <c r="E559" s="2" t="s">
        <v>467</v>
      </c>
      <c r="F559" s="50" t="s">
        <v>3514</v>
      </c>
      <c r="G559" s="2" t="s">
        <v>2610</v>
      </c>
      <c r="H559" s="1">
        <v>7076</v>
      </c>
      <c r="I559" s="1">
        <v>7242</v>
      </c>
      <c r="J559" s="2" t="s">
        <v>1773</v>
      </c>
      <c r="K559" s="2">
        <v>75</v>
      </c>
      <c r="L559" s="2" t="s">
        <v>224</v>
      </c>
      <c r="M559" s="1">
        <v>400</v>
      </c>
      <c r="N559" s="1">
        <v>10329</v>
      </c>
      <c r="O559" s="2" t="s">
        <v>463</v>
      </c>
      <c r="P559" s="2" t="s">
        <v>235</v>
      </c>
      <c r="Q559" s="2" t="s">
        <v>905</v>
      </c>
      <c r="R559" s="2" t="s">
        <v>48</v>
      </c>
      <c r="S559" s="2" t="s">
        <v>67</v>
      </c>
      <c r="T559" s="1">
        <v>4763</v>
      </c>
      <c r="U559" s="2" t="s">
        <v>51</v>
      </c>
      <c r="V559" s="1">
        <v>1001</v>
      </c>
      <c r="W559" s="1">
        <v>1083</v>
      </c>
      <c r="X559" s="2" t="s">
        <v>1314</v>
      </c>
      <c r="Y559" s="2" t="s">
        <v>245</v>
      </c>
      <c r="Z559" s="2" t="s">
        <v>838</v>
      </c>
      <c r="AA559" s="2" t="s">
        <v>746</v>
      </c>
      <c r="AB559" s="1">
        <v>5566</v>
      </c>
      <c r="AC559" s="1">
        <v>3000</v>
      </c>
      <c r="AD559" s="1">
        <v>1304</v>
      </c>
      <c r="AE559" s="1">
        <v>373</v>
      </c>
      <c r="AF559" s="1">
        <v>81</v>
      </c>
      <c r="AG559" s="1">
        <v>5</v>
      </c>
      <c r="AH559" s="1">
        <v>5327</v>
      </c>
      <c r="AI559" s="1">
        <v>29</v>
      </c>
      <c r="AJ559" s="1">
        <v>425</v>
      </c>
      <c r="AK559" s="1">
        <v>1238</v>
      </c>
      <c r="AL559" s="1">
        <v>66</v>
      </c>
      <c r="AM559" s="1">
        <v>5</v>
      </c>
      <c r="AN559" s="2" t="s">
        <v>407</v>
      </c>
    </row>
    <row r="560" spans="1:40" x14ac:dyDescent="0.3">
      <c r="A560" s="1">
        <v>16947</v>
      </c>
      <c r="B560" s="2" t="s">
        <v>2611</v>
      </c>
      <c r="C560" s="2" t="s">
        <v>2612</v>
      </c>
      <c r="D560" s="1">
        <v>22</v>
      </c>
      <c r="E560" s="2" t="s">
        <v>75</v>
      </c>
      <c r="F560" s="50" t="s">
        <v>60</v>
      </c>
      <c r="G560" s="2" t="s">
        <v>2613</v>
      </c>
      <c r="H560" s="1">
        <v>11892</v>
      </c>
      <c r="I560" s="1">
        <v>11476</v>
      </c>
      <c r="J560" s="2" t="s">
        <v>886</v>
      </c>
      <c r="K560" s="2" t="s">
        <v>2614</v>
      </c>
      <c r="L560" s="2" t="s">
        <v>1170</v>
      </c>
      <c r="M560" s="1">
        <v>722</v>
      </c>
      <c r="N560" s="1">
        <v>19078</v>
      </c>
      <c r="O560" s="2" t="s">
        <v>144</v>
      </c>
      <c r="P560" s="2" t="s">
        <v>202</v>
      </c>
      <c r="Q560" s="2" t="s">
        <v>134</v>
      </c>
      <c r="R560" s="2" t="s">
        <v>96</v>
      </c>
      <c r="S560" s="2" t="s">
        <v>96</v>
      </c>
      <c r="T560" s="1">
        <v>8350</v>
      </c>
      <c r="U560" s="2" t="s">
        <v>51</v>
      </c>
      <c r="V560" s="1">
        <v>1218</v>
      </c>
      <c r="W560" s="1">
        <v>1159</v>
      </c>
      <c r="X560" s="2" t="s">
        <v>304</v>
      </c>
      <c r="Y560" s="2" t="s">
        <v>2315</v>
      </c>
      <c r="Z560" s="2" t="s">
        <v>391</v>
      </c>
      <c r="AA560" s="2" t="s">
        <v>2615</v>
      </c>
      <c r="AB560" s="1">
        <v>10728</v>
      </c>
      <c r="AC560" s="1">
        <v>5604</v>
      </c>
      <c r="AD560" s="1">
        <v>2077</v>
      </c>
      <c r="AE560" s="1">
        <v>555</v>
      </c>
      <c r="AF560" s="1">
        <v>101</v>
      </c>
      <c r="AG560" s="1">
        <v>13</v>
      </c>
      <c r="AH560" s="1">
        <v>8644</v>
      </c>
      <c r="AI560" s="1">
        <v>218</v>
      </c>
      <c r="AJ560" s="1">
        <v>838</v>
      </c>
      <c r="AK560" s="1">
        <v>1999</v>
      </c>
      <c r="AL560" s="1">
        <v>193</v>
      </c>
      <c r="AM560" s="1">
        <v>44</v>
      </c>
      <c r="AN560" s="2" t="s">
        <v>407</v>
      </c>
    </row>
    <row r="561" spans="1:40" x14ac:dyDescent="0.3">
      <c r="A561" s="1">
        <v>17937</v>
      </c>
      <c r="B561" s="2" t="s">
        <v>2616</v>
      </c>
      <c r="C561" s="2" t="s">
        <v>2617</v>
      </c>
      <c r="D561" s="1">
        <v>20</v>
      </c>
      <c r="E561" s="2" t="s">
        <v>545</v>
      </c>
      <c r="F561" s="50" t="s">
        <v>1355</v>
      </c>
      <c r="G561" s="2" t="s">
        <v>2618</v>
      </c>
      <c r="H561" s="1">
        <v>10437</v>
      </c>
      <c r="I561" s="1">
        <v>10462</v>
      </c>
      <c r="J561" s="2" t="s">
        <v>405</v>
      </c>
      <c r="K561" s="2" t="s">
        <v>999</v>
      </c>
      <c r="L561" s="2" t="s">
        <v>244</v>
      </c>
      <c r="M561" s="1">
        <v>587</v>
      </c>
      <c r="N561" s="1">
        <v>15870</v>
      </c>
      <c r="O561" s="2" t="s">
        <v>322</v>
      </c>
      <c r="P561" s="2" t="s">
        <v>202</v>
      </c>
      <c r="Q561" s="2" t="s">
        <v>322</v>
      </c>
      <c r="R561" s="2" t="s">
        <v>96</v>
      </c>
      <c r="S561" s="2" t="s">
        <v>96</v>
      </c>
      <c r="T561" s="1">
        <v>7136</v>
      </c>
      <c r="U561" s="2" t="s">
        <v>51</v>
      </c>
      <c r="V561" s="1">
        <v>1311</v>
      </c>
      <c r="W561" s="1">
        <v>1381</v>
      </c>
      <c r="X561" s="2" t="s">
        <v>820</v>
      </c>
      <c r="Y561" s="2" t="s">
        <v>950</v>
      </c>
      <c r="Z561" s="2" t="s">
        <v>1467</v>
      </c>
      <c r="AA561" s="2" t="s">
        <v>1805</v>
      </c>
      <c r="AB561" s="1">
        <v>8734</v>
      </c>
      <c r="AC561" s="1">
        <v>4621</v>
      </c>
      <c r="AD561" s="1">
        <v>1853</v>
      </c>
      <c r="AE561" s="1">
        <v>547</v>
      </c>
      <c r="AF561" s="1">
        <v>106</v>
      </c>
      <c r="AG561" s="1">
        <v>9</v>
      </c>
      <c r="AH561" s="1">
        <v>7641</v>
      </c>
      <c r="AI561" s="1">
        <v>280</v>
      </c>
      <c r="AJ561" s="1">
        <v>396</v>
      </c>
      <c r="AK561" s="1">
        <v>1909</v>
      </c>
      <c r="AL561" s="1">
        <v>205</v>
      </c>
      <c r="AM561" s="1">
        <v>37</v>
      </c>
      <c r="AN561" s="2" t="s">
        <v>412</v>
      </c>
    </row>
    <row r="562" spans="1:40" x14ac:dyDescent="0.3">
      <c r="A562" s="1">
        <v>8716</v>
      </c>
      <c r="B562" s="2" t="s">
        <v>2619</v>
      </c>
      <c r="C562" s="2" t="s">
        <v>2620</v>
      </c>
      <c r="D562" s="1">
        <v>27</v>
      </c>
      <c r="E562" s="2" t="s">
        <v>187</v>
      </c>
      <c r="F562" s="50" t="s">
        <v>3514</v>
      </c>
      <c r="G562" s="2" t="s">
        <v>421</v>
      </c>
      <c r="H562" s="1">
        <v>13856</v>
      </c>
      <c r="I562" s="1">
        <v>13910</v>
      </c>
      <c r="J562" s="2" t="s">
        <v>507</v>
      </c>
      <c r="K562" s="2" t="s">
        <v>2233</v>
      </c>
      <c r="L562" s="2" t="s">
        <v>462</v>
      </c>
      <c r="M562" s="1">
        <v>807</v>
      </c>
      <c r="N562" s="1">
        <v>21060</v>
      </c>
      <c r="O562" s="2" t="s">
        <v>322</v>
      </c>
      <c r="P562" s="2" t="s">
        <v>202</v>
      </c>
      <c r="Q562" s="2" t="s">
        <v>322</v>
      </c>
      <c r="R562" s="2" t="s">
        <v>50</v>
      </c>
      <c r="S562" s="2" t="s">
        <v>67</v>
      </c>
      <c r="T562" s="1">
        <v>9453</v>
      </c>
      <c r="U562" s="2" t="s">
        <v>51</v>
      </c>
      <c r="V562" s="1">
        <v>2154</v>
      </c>
      <c r="W562" s="1">
        <v>2095</v>
      </c>
      <c r="X562" s="2" t="s">
        <v>412</v>
      </c>
      <c r="Y562" s="2" t="s">
        <v>255</v>
      </c>
      <c r="Z562" s="2" t="s">
        <v>391</v>
      </c>
      <c r="AA562" s="2" t="s">
        <v>577</v>
      </c>
      <c r="AB562" s="1">
        <v>11607</v>
      </c>
      <c r="AC562" s="1">
        <v>6098</v>
      </c>
      <c r="AD562" s="1">
        <v>2476</v>
      </c>
      <c r="AE562" s="1">
        <v>727</v>
      </c>
      <c r="AF562" s="1">
        <v>138</v>
      </c>
      <c r="AG562" s="1">
        <v>14</v>
      </c>
      <c r="AH562" s="1">
        <v>7021</v>
      </c>
      <c r="AI562" s="1">
        <v>3405</v>
      </c>
      <c r="AJ562" s="1">
        <v>864</v>
      </c>
      <c r="AK562" s="1">
        <v>2387</v>
      </c>
      <c r="AL562" s="1">
        <v>173</v>
      </c>
      <c r="AM562" s="1">
        <v>22</v>
      </c>
      <c r="AN562" s="2" t="s">
        <v>245</v>
      </c>
    </row>
    <row r="563" spans="1:40" x14ac:dyDescent="0.3">
      <c r="A563" s="1">
        <v>17930</v>
      </c>
      <c r="B563" s="2" t="s">
        <v>2621</v>
      </c>
      <c r="C563" s="2" t="s">
        <v>2622</v>
      </c>
      <c r="D563" s="1">
        <v>21</v>
      </c>
      <c r="E563" s="2" t="s">
        <v>459</v>
      </c>
      <c r="F563" s="51" t="s">
        <v>1892</v>
      </c>
      <c r="G563" s="2" t="s">
        <v>1893</v>
      </c>
      <c r="H563" s="1">
        <v>8682</v>
      </c>
      <c r="I563" s="1">
        <v>8582</v>
      </c>
      <c r="J563" s="2" t="s">
        <v>2623</v>
      </c>
      <c r="K563" s="2" t="s">
        <v>2624</v>
      </c>
      <c r="L563" s="2" t="s">
        <v>201</v>
      </c>
      <c r="M563" s="1">
        <v>501</v>
      </c>
      <c r="N563" s="1">
        <v>13291</v>
      </c>
      <c r="O563" s="2" t="s">
        <v>276</v>
      </c>
      <c r="P563" s="2" t="s">
        <v>50</v>
      </c>
      <c r="Q563" s="2" t="s">
        <v>276</v>
      </c>
      <c r="R563" s="2" t="s">
        <v>96</v>
      </c>
      <c r="S563" s="2" t="s">
        <v>96</v>
      </c>
      <c r="T563" s="1">
        <v>6034</v>
      </c>
      <c r="U563" s="2" t="s">
        <v>51</v>
      </c>
      <c r="V563" s="1">
        <v>1323</v>
      </c>
      <c r="W563" s="1">
        <v>1080</v>
      </c>
      <c r="X563" s="2" t="s">
        <v>101</v>
      </c>
      <c r="Y563" s="2" t="s">
        <v>412</v>
      </c>
      <c r="Z563" s="2" t="s">
        <v>508</v>
      </c>
      <c r="AA563" s="2" t="s">
        <v>577</v>
      </c>
      <c r="AB563" s="1">
        <v>7257</v>
      </c>
      <c r="AC563" s="1">
        <v>3982</v>
      </c>
      <c r="AD563" s="1">
        <v>1557</v>
      </c>
      <c r="AE563" s="1">
        <v>405</v>
      </c>
      <c r="AF563" s="1">
        <v>79</v>
      </c>
      <c r="AG563" s="1">
        <v>11</v>
      </c>
      <c r="AH563" s="1">
        <v>2235</v>
      </c>
      <c r="AI563" s="1">
        <v>4685</v>
      </c>
      <c r="AJ563" s="1">
        <v>217</v>
      </c>
      <c r="AK563" s="1">
        <v>1434</v>
      </c>
      <c r="AL563" s="1">
        <v>110</v>
      </c>
      <c r="AM563" s="1">
        <v>37</v>
      </c>
      <c r="AN563" s="2" t="s">
        <v>449</v>
      </c>
    </row>
    <row r="564" spans="1:40" x14ac:dyDescent="0.3">
      <c r="A564" s="1">
        <v>5045</v>
      </c>
      <c r="B564" s="2" t="s">
        <v>2625</v>
      </c>
      <c r="C564" s="2" t="s">
        <v>2626</v>
      </c>
      <c r="D564" s="1">
        <v>27</v>
      </c>
      <c r="E564" s="2" t="s">
        <v>545</v>
      </c>
      <c r="F564" s="50" t="s">
        <v>3514</v>
      </c>
      <c r="G564" s="2" t="s">
        <v>2627</v>
      </c>
      <c r="H564" s="1">
        <v>7064</v>
      </c>
      <c r="I564" s="1">
        <v>7065</v>
      </c>
      <c r="J564" s="2" t="s">
        <v>1882</v>
      </c>
      <c r="K564" s="2" t="s">
        <v>624</v>
      </c>
      <c r="L564" s="2" t="s">
        <v>93</v>
      </c>
      <c r="M564" s="1">
        <v>397</v>
      </c>
      <c r="N564" s="1">
        <v>10444</v>
      </c>
      <c r="O564" s="2" t="s">
        <v>167</v>
      </c>
      <c r="P564" s="2" t="s">
        <v>202</v>
      </c>
      <c r="Q564" s="2" t="s">
        <v>167</v>
      </c>
      <c r="R564" s="2" t="s">
        <v>96</v>
      </c>
      <c r="S564" s="2" t="s">
        <v>67</v>
      </c>
      <c r="T564" s="1">
        <v>4880</v>
      </c>
      <c r="U564" s="2" t="s">
        <v>51</v>
      </c>
      <c r="V564" s="1">
        <v>914</v>
      </c>
      <c r="W564" s="1">
        <v>876</v>
      </c>
      <c r="X564" s="2" t="s">
        <v>407</v>
      </c>
      <c r="Y564" s="2" t="s">
        <v>472</v>
      </c>
      <c r="Z564" s="2" t="s">
        <v>932</v>
      </c>
      <c r="AA564" s="2" t="s">
        <v>783</v>
      </c>
      <c r="AB564" s="1">
        <v>5564</v>
      </c>
      <c r="AC564" s="1">
        <v>3201</v>
      </c>
      <c r="AD564" s="1">
        <v>1265</v>
      </c>
      <c r="AE564" s="1">
        <v>344</v>
      </c>
      <c r="AF564" s="1">
        <v>63</v>
      </c>
      <c r="AG564" s="1">
        <v>7</v>
      </c>
      <c r="AH564" s="1">
        <v>5497</v>
      </c>
      <c r="AI564" s="1">
        <v>74</v>
      </c>
      <c r="AJ564" s="1">
        <v>203</v>
      </c>
      <c r="AK564" s="1">
        <v>1214</v>
      </c>
      <c r="AL564" s="1">
        <v>66</v>
      </c>
      <c r="AM564" s="1">
        <v>15</v>
      </c>
      <c r="AN564" s="2" t="s">
        <v>245</v>
      </c>
    </row>
    <row r="565" spans="1:40" ht="28.2" x14ac:dyDescent="0.3">
      <c r="A565" s="1">
        <v>11996</v>
      </c>
      <c r="B565" s="2" t="s">
        <v>2628</v>
      </c>
      <c r="C565" s="2" t="s">
        <v>2629</v>
      </c>
      <c r="D565" s="1">
        <v>24</v>
      </c>
      <c r="E565" s="2" t="s">
        <v>196</v>
      </c>
      <c r="F565" s="50" t="s">
        <v>319</v>
      </c>
      <c r="G565" s="2" t="s">
        <v>2630</v>
      </c>
      <c r="H565" s="1">
        <v>12656</v>
      </c>
      <c r="I565" s="1">
        <v>12553</v>
      </c>
      <c r="J565" s="2" t="s">
        <v>565</v>
      </c>
      <c r="K565" s="2" t="s">
        <v>1288</v>
      </c>
      <c r="L565" s="2" t="s">
        <v>164</v>
      </c>
      <c r="M565" s="1">
        <v>717</v>
      </c>
      <c r="N565" s="1">
        <v>19219</v>
      </c>
      <c r="O565" s="2" t="s">
        <v>322</v>
      </c>
      <c r="P565" s="2" t="s">
        <v>202</v>
      </c>
      <c r="Q565" s="2" t="s">
        <v>276</v>
      </c>
      <c r="R565" s="2" t="s">
        <v>48</v>
      </c>
      <c r="S565" s="2" t="s">
        <v>202</v>
      </c>
      <c r="T565" s="1">
        <v>8756</v>
      </c>
      <c r="U565" s="2" t="s">
        <v>51</v>
      </c>
      <c r="V565" s="1">
        <v>1559</v>
      </c>
      <c r="W565" s="1">
        <v>1531</v>
      </c>
      <c r="X565" s="2" t="s">
        <v>449</v>
      </c>
      <c r="Y565" s="2" t="s">
        <v>1570</v>
      </c>
      <c r="Z565" s="2" t="s">
        <v>1358</v>
      </c>
      <c r="AA565" s="2" t="s">
        <v>2631</v>
      </c>
      <c r="AB565" s="1">
        <v>10463</v>
      </c>
      <c r="AC565" s="1">
        <v>5734</v>
      </c>
      <c r="AD565" s="1">
        <v>2255</v>
      </c>
      <c r="AE565" s="1">
        <v>665</v>
      </c>
      <c r="AF565" s="1">
        <v>93</v>
      </c>
      <c r="AG565" s="1">
        <v>9</v>
      </c>
      <c r="AH565" s="1">
        <v>9719</v>
      </c>
      <c r="AI565" s="1">
        <v>97</v>
      </c>
      <c r="AJ565" s="1">
        <v>671</v>
      </c>
      <c r="AK565" s="1">
        <v>1989</v>
      </c>
      <c r="AL565" s="1">
        <v>179</v>
      </c>
      <c r="AM565" s="1">
        <v>46</v>
      </c>
      <c r="AN565" s="2" t="s">
        <v>407</v>
      </c>
    </row>
    <row r="566" spans="1:40" x14ac:dyDescent="0.3">
      <c r="A566" s="1">
        <v>7499</v>
      </c>
      <c r="B566" s="2" t="s">
        <v>2632</v>
      </c>
      <c r="C566" s="2" t="s">
        <v>2633</v>
      </c>
      <c r="D566" s="1">
        <v>26</v>
      </c>
      <c r="E566" s="2" t="s">
        <v>708</v>
      </c>
      <c r="F566" s="50" t="s">
        <v>1086</v>
      </c>
      <c r="G566" s="2" t="s">
        <v>2634</v>
      </c>
      <c r="H566" s="1">
        <v>36428</v>
      </c>
      <c r="I566" s="1">
        <v>36257</v>
      </c>
      <c r="J566" s="2" t="s">
        <v>2461</v>
      </c>
      <c r="K566" s="2" t="s">
        <v>788</v>
      </c>
      <c r="L566" s="2">
        <v>5</v>
      </c>
      <c r="M566" s="1">
        <v>2104</v>
      </c>
      <c r="N566" s="1">
        <v>55937</v>
      </c>
      <c r="O566" s="2" t="s">
        <v>276</v>
      </c>
      <c r="P566" s="2" t="s">
        <v>166</v>
      </c>
      <c r="Q566" s="2" t="s">
        <v>276</v>
      </c>
      <c r="R566" s="2" t="s">
        <v>96</v>
      </c>
      <c r="S566" s="2" t="s">
        <v>96</v>
      </c>
      <c r="T566" s="1">
        <v>25044</v>
      </c>
      <c r="U566" s="2" t="s">
        <v>51</v>
      </c>
      <c r="V566" s="1">
        <v>4208</v>
      </c>
      <c r="W566" s="1">
        <v>4759</v>
      </c>
      <c r="X566" s="2" t="s">
        <v>2315</v>
      </c>
      <c r="Y566" s="2" t="s">
        <v>1906</v>
      </c>
      <c r="Z566" s="2" t="s">
        <v>1121</v>
      </c>
      <c r="AA566" s="2" t="s">
        <v>1315</v>
      </c>
      <c r="AB566" s="1">
        <v>30893</v>
      </c>
      <c r="AC566" s="1">
        <v>16370</v>
      </c>
      <c r="AD566" s="1">
        <v>6407</v>
      </c>
      <c r="AE566" s="1">
        <v>1893</v>
      </c>
      <c r="AF566" s="1">
        <v>345</v>
      </c>
      <c r="AG566" s="1">
        <v>29</v>
      </c>
      <c r="AH566" s="1">
        <v>26981</v>
      </c>
      <c r="AI566" s="1">
        <v>988</v>
      </c>
      <c r="AJ566" s="1">
        <v>1760</v>
      </c>
      <c r="AK566" s="1">
        <v>6101</v>
      </c>
      <c r="AL566" s="1">
        <v>451</v>
      </c>
      <c r="AM566" s="1">
        <v>231</v>
      </c>
      <c r="AN566" s="2" t="s">
        <v>245</v>
      </c>
    </row>
    <row r="567" spans="1:40" x14ac:dyDescent="0.3">
      <c r="A567" s="1">
        <v>17936</v>
      </c>
      <c r="B567" s="2" t="s">
        <v>2635</v>
      </c>
      <c r="C567" s="2" t="s">
        <v>2636</v>
      </c>
      <c r="D567" s="1">
        <v>20</v>
      </c>
      <c r="E567" s="2" t="s">
        <v>545</v>
      </c>
      <c r="F567" s="50" t="s">
        <v>2637</v>
      </c>
      <c r="G567" s="2" t="s">
        <v>2638</v>
      </c>
      <c r="H567" s="1">
        <v>7342</v>
      </c>
      <c r="I567" s="1">
        <v>7546</v>
      </c>
      <c r="J567" s="2" t="s">
        <v>1481</v>
      </c>
      <c r="K567" s="2" t="s">
        <v>916</v>
      </c>
      <c r="L567" s="2" t="s">
        <v>541</v>
      </c>
      <c r="M567" s="1">
        <v>398</v>
      </c>
      <c r="N567" s="1">
        <v>10734</v>
      </c>
      <c r="O567" s="2" t="s">
        <v>167</v>
      </c>
      <c r="P567" s="2" t="s">
        <v>202</v>
      </c>
      <c r="Q567" s="2" t="s">
        <v>905</v>
      </c>
      <c r="R567" s="2" t="s">
        <v>66</v>
      </c>
      <c r="S567" s="2" t="s">
        <v>66</v>
      </c>
      <c r="T567" s="1">
        <v>4946</v>
      </c>
      <c r="U567" s="2" t="s">
        <v>51</v>
      </c>
      <c r="V567" s="1">
        <v>1062</v>
      </c>
      <c r="W567" s="1">
        <v>1196</v>
      </c>
      <c r="X567" s="2" t="s">
        <v>1551</v>
      </c>
      <c r="Y567" s="2" t="s">
        <v>245</v>
      </c>
      <c r="Z567" s="2" t="s">
        <v>1571</v>
      </c>
      <c r="AA567" s="2" t="s">
        <v>933</v>
      </c>
      <c r="AB567" s="1">
        <v>5788</v>
      </c>
      <c r="AC567" s="1">
        <v>3142</v>
      </c>
      <c r="AD567" s="1">
        <v>1305</v>
      </c>
      <c r="AE567" s="1">
        <v>414</v>
      </c>
      <c r="AF567" s="1">
        <v>77</v>
      </c>
      <c r="AG567" s="1">
        <v>8</v>
      </c>
      <c r="AH567" s="1">
        <v>5525</v>
      </c>
      <c r="AI567" s="1">
        <v>235</v>
      </c>
      <c r="AJ567" s="1">
        <v>231</v>
      </c>
      <c r="AK567" s="1">
        <v>1260</v>
      </c>
      <c r="AL567" s="1">
        <v>67</v>
      </c>
      <c r="AM567" s="1">
        <v>45</v>
      </c>
      <c r="AN567" s="2" t="s">
        <v>449</v>
      </c>
    </row>
    <row r="568" spans="1:40" x14ac:dyDescent="0.3">
      <c r="A568" s="1">
        <v>12872</v>
      </c>
      <c r="B568" s="2" t="s">
        <v>2639</v>
      </c>
      <c r="C568" s="2" t="s">
        <v>2640</v>
      </c>
      <c r="D568" s="1">
        <v>23</v>
      </c>
      <c r="E568" s="2" t="s">
        <v>299</v>
      </c>
      <c r="F568" s="50" t="s">
        <v>3514</v>
      </c>
      <c r="G568" s="2" t="s">
        <v>2641</v>
      </c>
      <c r="H568" s="1">
        <v>12832</v>
      </c>
      <c r="I568" s="1">
        <v>12941</v>
      </c>
      <c r="J568" s="2" t="s">
        <v>595</v>
      </c>
      <c r="K568" s="2" t="s">
        <v>692</v>
      </c>
      <c r="L568" s="2" t="s">
        <v>375</v>
      </c>
      <c r="M568" s="1">
        <v>735</v>
      </c>
      <c r="N568" s="1">
        <v>19035</v>
      </c>
      <c r="O568" s="2" t="s">
        <v>225</v>
      </c>
      <c r="P568" s="2" t="s">
        <v>235</v>
      </c>
      <c r="Q568" s="2" t="s">
        <v>167</v>
      </c>
      <c r="R568" s="2" t="s">
        <v>67</v>
      </c>
      <c r="S568" s="2" t="s">
        <v>50</v>
      </c>
      <c r="T568" s="1">
        <v>8818</v>
      </c>
      <c r="U568" s="2" t="s">
        <v>51</v>
      </c>
      <c r="V568" s="1">
        <v>2147</v>
      </c>
      <c r="W568" s="1">
        <v>2017</v>
      </c>
      <c r="X568" s="2" t="s">
        <v>590</v>
      </c>
      <c r="Y568" s="2" t="s">
        <v>304</v>
      </c>
      <c r="Z568" s="2" t="s">
        <v>99</v>
      </c>
      <c r="AA568" s="2" t="s">
        <v>315</v>
      </c>
      <c r="AB568" s="1">
        <v>10217</v>
      </c>
      <c r="AC568" s="1">
        <v>5749</v>
      </c>
      <c r="AD568" s="1">
        <v>2274</v>
      </c>
      <c r="AE568" s="1">
        <v>657</v>
      </c>
      <c r="AF568" s="1">
        <v>126</v>
      </c>
      <c r="AG568" s="1">
        <v>12</v>
      </c>
      <c r="AH568" s="1">
        <v>6377</v>
      </c>
      <c r="AI568" s="1">
        <v>3366</v>
      </c>
      <c r="AJ568" s="1">
        <v>721</v>
      </c>
      <c r="AK568" s="1">
        <v>2127</v>
      </c>
      <c r="AL568" s="1">
        <v>248</v>
      </c>
      <c r="AM568" s="1">
        <v>33</v>
      </c>
      <c r="AN568" s="2" t="s">
        <v>304</v>
      </c>
    </row>
    <row r="569" spans="1:40" ht="28.2" x14ac:dyDescent="0.3">
      <c r="A569" s="1">
        <v>7438</v>
      </c>
      <c r="B569" s="2" t="s">
        <v>2642</v>
      </c>
      <c r="C569" s="2" t="s">
        <v>2643</v>
      </c>
      <c r="D569" s="1">
        <v>34</v>
      </c>
      <c r="E569" s="2" t="s">
        <v>459</v>
      </c>
      <c r="F569" s="50" t="s">
        <v>3514</v>
      </c>
      <c r="G569" s="2" t="s">
        <v>2644</v>
      </c>
      <c r="H569" s="1">
        <v>12065</v>
      </c>
      <c r="I569" s="1">
        <v>12294</v>
      </c>
      <c r="J569" s="2" t="s">
        <v>959</v>
      </c>
      <c r="K569" s="2" t="s">
        <v>582</v>
      </c>
      <c r="L569" s="2" t="s">
        <v>462</v>
      </c>
      <c r="M569" s="1">
        <v>682</v>
      </c>
      <c r="N569" s="1">
        <v>17700</v>
      </c>
      <c r="O569" s="2" t="s">
        <v>167</v>
      </c>
      <c r="P569" s="2" t="s">
        <v>235</v>
      </c>
      <c r="Q569" s="2" t="s">
        <v>463</v>
      </c>
      <c r="R569" s="2" t="s">
        <v>50</v>
      </c>
      <c r="S569" s="2" t="s">
        <v>50</v>
      </c>
      <c r="T569" s="1">
        <v>8175</v>
      </c>
      <c r="U569" s="2" t="s">
        <v>51</v>
      </c>
      <c r="V569" s="1">
        <v>1551</v>
      </c>
      <c r="W569" s="1">
        <v>1655</v>
      </c>
      <c r="X569" s="2" t="s">
        <v>1570</v>
      </c>
      <c r="Y569" s="2" t="s">
        <v>820</v>
      </c>
      <c r="Z569" s="2" t="s">
        <v>1121</v>
      </c>
      <c r="AA569" s="2" t="s">
        <v>783</v>
      </c>
      <c r="AB569" s="1">
        <v>9525</v>
      </c>
      <c r="AC569" s="1">
        <v>5219</v>
      </c>
      <c r="AD569" s="1">
        <v>2188</v>
      </c>
      <c r="AE569" s="1">
        <v>639</v>
      </c>
      <c r="AF569" s="1">
        <v>112</v>
      </c>
      <c r="AG569" s="1">
        <v>17</v>
      </c>
      <c r="AH569" s="1">
        <v>9051</v>
      </c>
      <c r="AI569" s="1">
        <v>37</v>
      </c>
      <c r="AJ569" s="1">
        <v>448</v>
      </c>
      <c r="AK569" s="1">
        <v>2397</v>
      </c>
      <c r="AL569" s="1">
        <v>120</v>
      </c>
      <c r="AM569" s="1">
        <v>22</v>
      </c>
      <c r="AN569" s="2" t="s">
        <v>245</v>
      </c>
    </row>
    <row r="570" spans="1:40" x14ac:dyDescent="0.3">
      <c r="A570" s="1">
        <v>11498</v>
      </c>
      <c r="B570" s="2" t="s">
        <v>2645</v>
      </c>
      <c r="C570" s="2" t="s">
        <v>2646</v>
      </c>
      <c r="D570" s="1">
        <v>25</v>
      </c>
      <c r="E570" s="2" t="s">
        <v>75</v>
      </c>
      <c r="F570" s="50" t="s">
        <v>344</v>
      </c>
      <c r="G570" s="2" t="s">
        <v>2647</v>
      </c>
      <c r="H570" s="1">
        <v>24785</v>
      </c>
      <c r="I570" s="1">
        <v>24853</v>
      </c>
      <c r="J570" s="2" t="s">
        <v>212</v>
      </c>
      <c r="K570" s="2" t="s">
        <v>1042</v>
      </c>
      <c r="L570" s="2" t="s">
        <v>1004</v>
      </c>
      <c r="M570" s="1">
        <v>1407</v>
      </c>
      <c r="N570" s="1">
        <v>37420</v>
      </c>
      <c r="O570" s="2" t="s">
        <v>322</v>
      </c>
      <c r="P570" s="2" t="s">
        <v>553</v>
      </c>
      <c r="Q570" s="2" t="s">
        <v>322</v>
      </c>
      <c r="R570" s="2" t="s">
        <v>67</v>
      </c>
      <c r="S570" s="2" t="s">
        <v>50</v>
      </c>
      <c r="T570" s="1">
        <v>17096</v>
      </c>
      <c r="U570" s="2" t="s">
        <v>51</v>
      </c>
      <c r="V570" s="1">
        <v>3263</v>
      </c>
      <c r="W570" s="1">
        <v>3391</v>
      </c>
      <c r="X570" s="2" t="s">
        <v>472</v>
      </c>
      <c r="Y570" s="2" t="s">
        <v>820</v>
      </c>
      <c r="Z570" s="2" t="s">
        <v>455</v>
      </c>
      <c r="AA570" s="2" t="s">
        <v>247</v>
      </c>
      <c r="AB570" s="1">
        <v>20324</v>
      </c>
      <c r="AC570" s="1">
        <v>11254</v>
      </c>
      <c r="AD570" s="1">
        <v>4308</v>
      </c>
      <c r="AE570" s="1">
        <v>1246</v>
      </c>
      <c r="AF570" s="1">
        <v>263</v>
      </c>
      <c r="AG570" s="1">
        <v>25</v>
      </c>
      <c r="AH570" s="1">
        <v>17403</v>
      </c>
      <c r="AI570" s="1">
        <v>1015</v>
      </c>
      <c r="AJ570" s="1">
        <v>1871</v>
      </c>
      <c r="AK570" s="1">
        <v>3905</v>
      </c>
      <c r="AL570" s="1">
        <v>588</v>
      </c>
      <c r="AM570" s="1">
        <v>55</v>
      </c>
      <c r="AN570" s="2" t="s">
        <v>304</v>
      </c>
    </row>
    <row r="571" spans="1:40" x14ac:dyDescent="0.3">
      <c r="A571" s="1">
        <v>14390</v>
      </c>
      <c r="B571" s="2" t="s">
        <v>2648</v>
      </c>
      <c r="C571" s="2" t="s">
        <v>2649</v>
      </c>
      <c r="D571" s="1">
        <v>27</v>
      </c>
      <c r="E571" s="2" t="s">
        <v>104</v>
      </c>
      <c r="F571" s="50" t="s">
        <v>3514</v>
      </c>
      <c r="G571" s="2" t="s">
        <v>2650</v>
      </c>
      <c r="H571" s="1">
        <v>9283</v>
      </c>
      <c r="I571" s="1">
        <v>9009</v>
      </c>
      <c r="J571" s="2" t="s">
        <v>340</v>
      </c>
      <c r="K571" s="2" t="s">
        <v>1905</v>
      </c>
      <c r="L571" s="2" t="s">
        <v>1846</v>
      </c>
      <c r="M571" s="1">
        <v>547</v>
      </c>
      <c r="N571" s="1">
        <v>14292</v>
      </c>
      <c r="O571" s="2" t="s">
        <v>276</v>
      </c>
      <c r="P571" s="2" t="s">
        <v>48</v>
      </c>
      <c r="Q571" s="2" t="s">
        <v>215</v>
      </c>
      <c r="R571" s="2" t="s">
        <v>66</v>
      </c>
      <c r="S571" s="2" t="s">
        <v>66</v>
      </c>
      <c r="T571" s="1">
        <v>6560</v>
      </c>
      <c r="U571" s="2" t="s">
        <v>51</v>
      </c>
      <c r="V571" s="1">
        <v>1380</v>
      </c>
      <c r="W571" s="1">
        <v>1236</v>
      </c>
      <c r="X571" s="2" t="s">
        <v>370</v>
      </c>
      <c r="Y571" s="2" t="s">
        <v>255</v>
      </c>
      <c r="Z571" s="2" t="s">
        <v>728</v>
      </c>
      <c r="AA571" s="2" t="s">
        <v>724</v>
      </c>
      <c r="AB571" s="1">
        <v>7732</v>
      </c>
      <c r="AC571" s="1">
        <v>4389</v>
      </c>
      <c r="AD571" s="1">
        <v>1690</v>
      </c>
      <c r="AE571" s="1">
        <v>419</v>
      </c>
      <c r="AF571" s="1">
        <v>53</v>
      </c>
      <c r="AG571" s="1">
        <v>9</v>
      </c>
      <c r="AH571" s="1">
        <v>3869</v>
      </c>
      <c r="AI571" s="1">
        <v>2792</v>
      </c>
      <c r="AJ571" s="1">
        <v>1034</v>
      </c>
      <c r="AK571" s="1">
        <v>1439</v>
      </c>
      <c r="AL571" s="1">
        <v>150</v>
      </c>
      <c r="AM571" s="1">
        <v>29</v>
      </c>
      <c r="AN571" s="2" t="s">
        <v>407</v>
      </c>
    </row>
    <row r="572" spans="1:40" x14ac:dyDescent="0.3">
      <c r="A572" s="1">
        <v>9819</v>
      </c>
      <c r="B572" s="2" t="s">
        <v>2651</v>
      </c>
      <c r="C572" s="2" t="s">
        <v>2652</v>
      </c>
      <c r="D572" s="1">
        <v>26</v>
      </c>
      <c r="E572" s="2" t="s">
        <v>452</v>
      </c>
      <c r="F572" s="50" t="s">
        <v>537</v>
      </c>
      <c r="G572" s="2" t="s">
        <v>1438</v>
      </c>
      <c r="H572" s="1">
        <v>11512</v>
      </c>
      <c r="I572" s="1">
        <v>11696</v>
      </c>
      <c r="J572" s="2" t="s">
        <v>2082</v>
      </c>
      <c r="K572" s="2" t="s">
        <v>916</v>
      </c>
      <c r="L572" s="2" t="s">
        <v>1170</v>
      </c>
      <c r="M572" s="1">
        <v>648</v>
      </c>
      <c r="N572" s="1">
        <v>17287</v>
      </c>
      <c r="O572" s="2" t="s">
        <v>225</v>
      </c>
      <c r="P572" s="2" t="s">
        <v>235</v>
      </c>
      <c r="Q572" s="2" t="s">
        <v>167</v>
      </c>
      <c r="R572" s="2" t="s">
        <v>96</v>
      </c>
      <c r="S572" s="2" t="s">
        <v>96</v>
      </c>
      <c r="T572" s="1">
        <v>7772</v>
      </c>
      <c r="U572" s="2" t="s">
        <v>51</v>
      </c>
      <c r="V572" s="1">
        <v>1718</v>
      </c>
      <c r="W572" s="1">
        <v>1991</v>
      </c>
      <c r="X572" s="2" t="s">
        <v>64</v>
      </c>
      <c r="Y572" s="2" t="s">
        <v>503</v>
      </c>
      <c r="Z572" s="2" t="s">
        <v>391</v>
      </c>
      <c r="AA572" s="2" t="s">
        <v>724</v>
      </c>
      <c r="AB572" s="1">
        <v>9515</v>
      </c>
      <c r="AC572" s="1">
        <v>4902</v>
      </c>
      <c r="AD572" s="1">
        <v>2139</v>
      </c>
      <c r="AE572" s="1">
        <v>606</v>
      </c>
      <c r="AF572" s="1">
        <v>111</v>
      </c>
      <c r="AG572" s="1">
        <v>14</v>
      </c>
      <c r="AH572" s="1">
        <v>8061</v>
      </c>
      <c r="AI572" s="1">
        <v>715</v>
      </c>
      <c r="AJ572" s="1">
        <v>579</v>
      </c>
      <c r="AK572" s="1">
        <v>2001</v>
      </c>
      <c r="AL572" s="1">
        <v>124</v>
      </c>
      <c r="AM572" s="1">
        <v>75</v>
      </c>
      <c r="AN572" s="2" t="s">
        <v>245</v>
      </c>
    </row>
    <row r="573" spans="1:40" x14ac:dyDescent="0.3">
      <c r="A573" s="1">
        <v>9480</v>
      </c>
      <c r="B573" s="2" t="s">
        <v>2653</v>
      </c>
      <c r="C573" s="2" t="s">
        <v>2654</v>
      </c>
      <c r="D573" s="1">
        <v>26</v>
      </c>
      <c r="E573" s="2" t="s">
        <v>104</v>
      </c>
      <c r="F573" s="50" t="s">
        <v>3514</v>
      </c>
      <c r="G573" s="2" t="s">
        <v>2655</v>
      </c>
      <c r="H573" s="1">
        <v>7090</v>
      </c>
      <c r="I573" s="1">
        <v>7199</v>
      </c>
      <c r="J573" s="2" t="s">
        <v>1675</v>
      </c>
      <c r="K573" s="2" t="s">
        <v>494</v>
      </c>
      <c r="L573" s="2" t="s">
        <v>46</v>
      </c>
      <c r="M573" s="1">
        <v>407</v>
      </c>
      <c r="N573" s="1">
        <v>10476</v>
      </c>
      <c r="O573" s="2" t="s">
        <v>167</v>
      </c>
      <c r="P573" s="2" t="s">
        <v>235</v>
      </c>
      <c r="Q573" s="2" t="s">
        <v>463</v>
      </c>
      <c r="R573" s="2" t="s">
        <v>96</v>
      </c>
      <c r="S573" s="2" t="s">
        <v>50</v>
      </c>
      <c r="T573" s="1">
        <v>4836</v>
      </c>
      <c r="U573" s="2" t="s">
        <v>51</v>
      </c>
      <c r="V573" s="1">
        <v>997</v>
      </c>
      <c r="W573" s="1">
        <v>1106</v>
      </c>
      <c r="X573" s="2" t="s">
        <v>1906</v>
      </c>
      <c r="Y573" s="2" t="s">
        <v>503</v>
      </c>
      <c r="Z573" s="2" t="s">
        <v>1020</v>
      </c>
      <c r="AA573" s="2" t="s">
        <v>363</v>
      </c>
      <c r="AB573" s="1">
        <v>5640</v>
      </c>
      <c r="AC573" s="1">
        <v>3109</v>
      </c>
      <c r="AD573" s="1">
        <v>1285</v>
      </c>
      <c r="AE573" s="1">
        <v>363</v>
      </c>
      <c r="AF573" s="1">
        <v>73</v>
      </c>
      <c r="AG573" s="1">
        <v>6</v>
      </c>
      <c r="AH573" s="1">
        <v>5182</v>
      </c>
      <c r="AI573" s="1">
        <v>73</v>
      </c>
      <c r="AJ573" s="1">
        <v>442</v>
      </c>
      <c r="AK573" s="1">
        <v>1329</v>
      </c>
      <c r="AL573" s="1">
        <v>62</v>
      </c>
      <c r="AM573" s="1">
        <v>16</v>
      </c>
      <c r="AN573" s="2" t="s">
        <v>245</v>
      </c>
    </row>
    <row r="574" spans="1:40" x14ac:dyDescent="0.3">
      <c r="A574" s="1">
        <v>10611</v>
      </c>
      <c r="B574" s="2" t="s">
        <v>2656</v>
      </c>
      <c r="C574" s="2" t="s">
        <v>2657</v>
      </c>
      <c r="D574" s="1">
        <v>24</v>
      </c>
      <c r="E574" s="2" t="s">
        <v>758</v>
      </c>
      <c r="F574" s="50" t="s">
        <v>1544</v>
      </c>
      <c r="G574" s="2" t="s">
        <v>2658</v>
      </c>
      <c r="H574" s="1">
        <v>12715</v>
      </c>
      <c r="I574" s="1">
        <v>13196</v>
      </c>
      <c r="J574" s="2" t="s">
        <v>381</v>
      </c>
      <c r="K574" s="2">
        <v>76</v>
      </c>
      <c r="L574" s="2" t="s">
        <v>589</v>
      </c>
      <c r="M574" s="1">
        <v>712</v>
      </c>
      <c r="N574" s="1">
        <v>18356</v>
      </c>
      <c r="O574" s="2" t="s">
        <v>463</v>
      </c>
      <c r="P574" s="2" t="s">
        <v>202</v>
      </c>
      <c r="Q574" s="2" t="s">
        <v>311</v>
      </c>
      <c r="R574" s="2" t="s">
        <v>67</v>
      </c>
      <c r="S574" s="2" t="s">
        <v>50</v>
      </c>
      <c r="T574" s="1">
        <v>8505</v>
      </c>
      <c r="U574" s="2" t="s">
        <v>51</v>
      </c>
      <c r="V574" s="1">
        <v>2197</v>
      </c>
      <c r="W574" s="1">
        <v>2549</v>
      </c>
      <c r="X574" s="2" t="s">
        <v>64</v>
      </c>
      <c r="Y574" s="2" t="s">
        <v>412</v>
      </c>
      <c r="Z574" s="2" t="s">
        <v>217</v>
      </c>
      <c r="AA574" s="2" t="s">
        <v>994</v>
      </c>
      <c r="AB574" s="1">
        <v>9851</v>
      </c>
      <c r="AC574" s="1">
        <v>5324</v>
      </c>
      <c r="AD574" s="1">
        <v>2324</v>
      </c>
      <c r="AE574" s="1">
        <v>698</v>
      </c>
      <c r="AF574" s="1">
        <v>146</v>
      </c>
      <c r="AG574" s="1">
        <v>13</v>
      </c>
      <c r="AH574" s="1">
        <v>9887</v>
      </c>
      <c r="AI574" s="1">
        <v>286</v>
      </c>
      <c r="AJ574" s="1">
        <v>346</v>
      </c>
      <c r="AK574" s="1">
        <v>2072</v>
      </c>
      <c r="AL574" s="1">
        <v>118</v>
      </c>
      <c r="AM574" s="1">
        <v>30</v>
      </c>
      <c r="AN574" s="2" t="s">
        <v>245</v>
      </c>
    </row>
    <row r="575" spans="1:40" x14ac:dyDescent="0.3">
      <c r="A575" s="1">
        <v>19882</v>
      </c>
      <c r="B575" s="2" t="s">
        <v>2659</v>
      </c>
      <c r="C575" s="2" t="s">
        <v>2660</v>
      </c>
      <c r="D575" s="1">
        <v>21</v>
      </c>
      <c r="E575" s="2" t="s">
        <v>75</v>
      </c>
      <c r="F575" s="50" t="s">
        <v>491</v>
      </c>
      <c r="G575" s="2" t="s">
        <v>2661</v>
      </c>
      <c r="H575" s="1">
        <v>7141</v>
      </c>
      <c r="I575" s="1">
        <v>7176</v>
      </c>
      <c r="J575" s="2" t="s">
        <v>551</v>
      </c>
      <c r="K575" s="2" t="s">
        <v>2662</v>
      </c>
      <c r="L575" s="2" t="s">
        <v>224</v>
      </c>
      <c r="M575" s="1">
        <v>411</v>
      </c>
      <c r="N575" s="1">
        <v>10991</v>
      </c>
      <c r="O575" s="2" t="s">
        <v>276</v>
      </c>
      <c r="P575" s="2" t="s">
        <v>67</v>
      </c>
      <c r="Q575" s="2" t="s">
        <v>276</v>
      </c>
      <c r="R575" s="2" t="s">
        <v>50</v>
      </c>
      <c r="S575" s="2" t="s">
        <v>50</v>
      </c>
      <c r="T575" s="1">
        <v>4912</v>
      </c>
      <c r="U575" s="2" t="s">
        <v>51</v>
      </c>
      <c r="V575" s="1">
        <v>957</v>
      </c>
      <c r="W575" s="1">
        <v>1104</v>
      </c>
      <c r="X575" s="2" t="s">
        <v>2324</v>
      </c>
      <c r="Y575" s="2" t="s">
        <v>950</v>
      </c>
      <c r="Z575" s="2" t="s">
        <v>2167</v>
      </c>
      <c r="AA575" s="2" t="s">
        <v>1985</v>
      </c>
      <c r="AB575" s="1">
        <v>6079</v>
      </c>
      <c r="AC575" s="1">
        <v>3242</v>
      </c>
      <c r="AD575" s="1">
        <v>1212</v>
      </c>
      <c r="AE575" s="1">
        <v>367</v>
      </c>
      <c r="AF575" s="1">
        <v>81</v>
      </c>
      <c r="AG575" s="1">
        <v>10</v>
      </c>
      <c r="AH575" s="1">
        <v>5492</v>
      </c>
      <c r="AI575" s="1">
        <v>89</v>
      </c>
      <c r="AJ575" s="1">
        <v>302</v>
      </c>
      <c r="AK575" s="1">
        <v>1139</v>
      </c>
      <c r="AL575" s="1">
        <v>117</v>
      </c>
      <c r="AM575" s="1">
        <v>42</v>
      </c>
      <c r="AN575" s="2" t="s">
        <v>449</v>
      </c>
    </row>
    <row r="576" spans="1:40" ht="28.2" x14ac:dyDescent="0.3">
      <c r="A576" s="1">
        <v>16529</v>
      </c>
      <c r="B576" s="2" t="s">
        <v>2663</v>
      </c>
      <c r="C576" s="2" t="s">
        <v>2664</v>
      </c>
      <c r="D576" s="1">
        <v>22</v>
      </c>
      <c r="E576" s="2" t="s">
        <v>299</v>
      </c>
      <c r="F576" s="50" t="s">
        <v>2665</v>
      </c>
      <c r="G576" s="2" t="s">
        <v>2666</v>
      </c>
      <c r="H576" s="1">
        <v>7735</v>
      </c>
      <c r="I576" s="1">
        <v>7770</v>
      </c>
      <c r="J576" s="2" t="s">
        <v>722</v>
      </c>
      <c r="K576" s="2" t="s">
        <v>1018</v>
      </c>
      <c r="L576" s="2" t="s">
        <v>541</v>
      </c>
      <c r="M576" s="1">
        <v>459</v>
      </c>
      <c r="N576" s="1">
        <v>11767</v>
      </c>
      <c r="O576" s="2" t="s">
        <v>322</v>
      </c>
      <c r="P576" s="2" t="s">
        <v>48</v>
      </c>
      <c r="Q576" s="2" t="s">
        <v>322</v>
      </c>
      <c r="R576" s="2" t="s">
        <v>50</v>
      </c>
      <c r="S576" s="2" t="s">
        <v>67</v>
      </c>
      <c r="T576" s="1">
        <v>5318</v>
      </c>
      <c r="U576" s="2" t="s">
        <v>51</v>
      </c>
      <c r="V576" s="1">
        <v>747</v>
      </c>
      <c r="W576" s="1">
        <v>874</v>
      </c>
      <c r="X576" s="2" t="s">
        <v>2667</v>
      </c>
      <c r="Y576" s="2" t="s">
        <v>64</v>
      </c>
      <c r="Z576" s="2" t="s">
        <v>1268</v>
      </c>
      <c r="AA576" s="2" t="s">
        <v>2668</v>
      </c>
      <c r="AB576" s="1">
        <v>6449</v>
      </c>
      <c r="AC576" s="1">
        <v>3449</v>
      </c>
      <c r="AD576" s="1">
        <v>1419</v>
      </c>
      <c r="AE576" s="1">
        <v>368</v>
      </c>
      <c r="AF576" s="1">
        <v>66</v>
      </c>
      <c r="AG576" s="1">
        <v>16</v>
      </c>
      <c r="AH576" s="1">
        <v>5916</v>
      </c>
      <c r="AI576" s="1">
        <v>85</v>
      </c>
      <c r="AJ576" s="1">
        <v>342</v>
      </c>
      <c r="AK576" s="1">
        <v>1310</v>
      </c>
      <c r="AL576" s="1">
        <v>94</v>
      </c>
      <c r="AM576" s="1">
        <v>12</v>
      </c>
      <c r="AN576" s="2" t="s">
        <v>255</v>
      </c>
    </row>
    <row r="577" spans="1:40" ht="28.2" x14ac:dyDescent="0.3">
      <c r="A577" s="1">
        <v>13170</v>
      </c>
      <c r="B577" s="2" t="s">
        <v>2669</v>
      </c>
      <c r="C577" s="2" t="s">
        <v>2670</v>
      </c>
      <c r="D577" s="1">
        <v>22</v>
      </c>
      <c r="E577" s="2" t="s">
        <v>196</v>
      </c>
      <c r="F577" s="50" t="s">
        <v>1488</v>
      </c>
      <c r="G577" s="2" t="s">
        <v>1488</v>
      </c>
      <c r="H577" s="1">
        <v>10991</v>
      </c>
      <c r="I577" s="1">
        <v>11114</v>
      </c>
      <c r="J577" s="2" t="s">
        <v>2051</v>
      </c>
      <c r="K577" s="2" t="s">
        <v>486</v>
      </c>
      <c r="L577" s="2" t="s">
        <v>164</v>
      </c>
      <c r="M577" s="1">
        <v>627</v>
      </c>
      <c r="N577" s="1">
        <v>16838</v>
      </c>
      <c r="O577" s="2" t="s">
        <v>276</v>
      </c>
      <c r="P577" s="2" t="s">
        <v>67</v>
      </c>
      <c r="Q577" s="2" t="s">
        <v>322</v>
      </c>
      <c r="R577" s="2" t="s">
        <v>96</v>
      </c>
      <c r="S577" s="2" t="s">
        <v>96</v>
      </c>
      <c r="T577" s="1">
        <v>7483</v>
      </c>
      <c r="U577" s="2" t="s">
        <v>51</v>
      </c>
      <c r="V577" s="1">
        <v>1231</v>
      </c>
      <c r="W577" s="1">
        <v>1325</v>
      </c>
      <c r="X577" s="2" t="s">
        <v>950</v>
      </c>
      <c r="Y577" s="2" t="s">
        <v>1906</v>
      </c>
      <c r="Z577" s="2" t="s">
        <v>427</v>
      </c>
      <c r="AA577" s="2" t="s">
        <v>1636</v>
      </c>
      <c r="AB577" s="1">
        <v>9355</v>
      </c>
      <c r="AC577" s="1">
        <v>4814</v>
      </c>
      <c r="AD577" s="1">
        <v>1975</v>
      </c>
      <c r="AE577" s="1">
        <v>563</v>
      </c>
      <c r="AF577" s="1">
        <v>117</v>
      </c>
      <c r="AG577" s="1">
        <v>14</v>
      </c>
      <c r="AH577" s="1">
        <v>7979</v>
      </c>
      <c r="AI577" s="1">
        <v>266</v>
      </c>
      <c r="AJ577" s="1">
        <v>684</v>
      </c>
      <c r="AK577" s="1">
        <v>1886</v>
      </c>
      <c r="AL577" s="1">
        <v>177</v>
      </c>
      <c r="AM577" s="1">
        <v>41</v>
      </c>
      <c r="AN577" s="2" t="s">
        <v>255</v>
      </c>
    </row>
    <row r="578" spans="1:40" ht="28.2" x14ac:dyDescent="0.3">
      <c r="A578" s="1">
        <v>9220</v>
      </c>
      <c r="B578" s="2" t="s">
        <v>2671</v>
      </c>
      <c r="C578" s="2" t="s">
        <v>2672</v>
      </c>
      <c r="D578" s="1">
        <v>25</v>
      </c>
      <c r="E578" s="2" t="s">
        <v>104</v>
      </c>
      <c r="F578" s="50" t="s">
        <v>2021</v>
      </c>
      <c r="G578" s="2" t="s">
        <v>2673</v>
      </c>
      <c r="H578" s="1">
        <v>17479</v>
      </c>
      <c r="I578" s="1">
        <v>17781</v>
      </c>
      <c r="J578" s="2" t="s">
        <v>947</v>
      </c>
      <c r="K578" s="2" t="s">
        <v>2354</v>
      </c>
      <c r="L578" s="2" t="s">
        <v>201</v>
      </c>
      <c r="M578" s="1">
        <v>997</v>
      </c>
      <c r="N578" s="1">
        <v>25816</v>
      </c>
      <c r="O578" s="2" t="s">
        <v>167</v>
      </c>
      <c r="P578" s="2" t="s">
        <v>202</v>
      </c>
      <c r="Q578" s="2" t="s">
        <v>463</v>
      </c>
      <c r="R578" s="2" t="s">
        <v>50</v>
      </c>
      <c r="S578" s="2" t="s">
        <v>50</v>
      </c>
      <c r="T578" s="1">
        <v>11932</v>
      </c>
      <c r="U578" s="2" t="s">
        <v>51</v>
      </c>
      <c r="V578" s="1">
        <v>2768</v>
      </c>
      <c r="W578" s="1">
        <v>2692</v>
      </c>
      <c r="X578" s="2" t="s">
        <v>412</v>
      </c>
      <c r="Y578" s="2" t="s">
        <v>412</v>
      </c>
      <c r="Z578" s="2" t="s">
        <v>576</v>
      </c>
      <c r="AA578" s="2" t="s">
        <v>602</v>
      </c>
      <c r="AB578" s="1">
        <v>13884</v>
      </c>
      <c r="AC578" s="1">
        <v>7672</v>
      </c>
      <c r="AD578" s="1">
        <v>3165</v>
      </c>
      <c r="AE578" s="1">
        <v>918</v>
      </c>
      <c r="AF578" s="1">
        <v>163</v>
      </c>
      <c r="AG578" s="1">
        <v>14</v>
      </c>
      <c r="AH578" s="1">
        <v>12098</v>
      </c>
      <c r="AI578" s="1">
        <v>1355</v>
      </c>
      <c r="AJ578" s="1">
        <v>955</v>
      </c>
      <c r="AK578" s="1">
        <v>2816</v>
      </c>
      <c r="AL578" s="1">
        <v>235</v>
      </c>
      <c r="AM578" s="1">
        <v>53</v>
      </c>
      <c r="AN578" s="2" t="s">
        <v>245</v>
      </c>
    </row>
    <row r="579" spans="1:40" x14ac:dyDescent="0.3">
      <c r="A579" s="1">
        <v>8000</v>
      </c>
      <c r="B579" s="2" t="s">
        <v>2674</v>
      </c>
      <c r="C579" s="2" t="s">
        <v>2675</v>
      </c>
      <c r="D579" s="1">
        <v>26</v>
      </c>
      <c r="E579" s="2" t="s">
        <v>708</v>
      </c>
      <c r="F579" s="50" t="s">
        <v>3514</v>
      </c>
      <c r="G579" s="2" t="s">
        <v>2676</v>
      </c>
      <c r="H579" s="1">
        <v>7450</v>
      </c>
      <c r="I579" s="1">
        <v>7698</v>
      </c>
      <c r="J579" s="2" t="s">
        <v>2018</v>
      </c>
      <c r="K579" s="2" t="s">
        <v>624</v>
      </c>
      <c r="L579" s="2" t="s">
        <v>541</v>
      </c>
      <c r="M579" s="1">
        <v>413</v>
      </c>
      <c r="N579" s="1">
        <v>10832</v>
      </c>
      <c r="O579" s="2" t="s">
        <v>463</v>
      </c>
      <c r="P579" s="2" t="s">
        <v>48</v>
      </c>
      <c r="Q579" s="2" t="s">
        <v>646</v>
      </c>
      <c r="R579" s="2" t="s">
        <v>67</v>
      </c>
      <c r="S579" s="2" t="s">
        <v>67</v>
      </c>
      <c r="T579" s="1">
        <v>5013</v>
      </c>
      <c r="U579" s="2" t="s">
        <v>51</v>
      </c>
      <c r="V579" s="1">
        <v>1004</v>
      </c>
      <c r="W579" s="1">
        <v>1132</v>
      </c>
      <c r="X579" s="2" t="s">
        <v>1551</v>
      </c>
      <c r="Y579" s="2" t="s">
        <v>472</v>
      </c>
      <c r="Z579" s="2" t="s">
        <v>983</v>
      </c>
      <c r="AA579" s="2" t="s">
        <v>1379</v>
      </c>
      <c r="AB579" s="1">
        <v>5819</v>
      </c>
      <c r="AC579" s="1">
        <v>3176</v>
      </c>
      <c r="AD579" s="1">
        <v>1323</v>
      </c>
      <c r="AE579" s="1">
        <v>433</v>
      </c>
      <c r="AF579" s="1">
        <v>78</v>
      </c>
      <c r="AG579" s="1">
        <v>3</v>
      </c>
      <c r="AH579" s="1">
        <v>5299</v>
      </c>
      <c r="AI579" s="1">
        <v>257</v>
      </c>
      <c r="AJ579" s="1">
        <v>369</v>
      </c>
      <c r="AK579" s="1">
        <v>1446</v>
      </c>
      <c r="AL579" s="1">
        <v>68</v>
      </c>
      <c r="AM579" s="1">
        <v>15</v>
      </c>
      <c r="AN579" s="2" t="s">
        <v>245</v>
      </c>
    </row>
    <row r="580" spans="1:40" ht="28.2" x14ac:dyDescent="0.3">
      <c r="A580" s="1">
        <v>8488</v>
      </c>
      <c r="B580" s="2" t="s">
        <v>2677</v>
      </c>
      <c r="C580" s="2" t="s">
        <v>2678</v>
      </c>
      <c r="D580" s="1">
        <v>24</v>
      </c>
      <c r="E580" s="2" t="s">
        <v>337</v>
      </c>
      <c r="F580" s="50" t="s">
        <v>550</v>
      </c>
      <c r="G580" s="2" t="s">
        <v>2679</v>
      </c>
      <c r="H580" s="1">
        <v>20408</v>
      </c>
      <c r="I580" s="1">
        <v>20563</v>
      </c>
      <c r="J580" s="2" t="s">
        <v>1973</v>
      </c>
      <c r="K580" s="2">
        <v>73</v>
      </c>
      <c r="L580" s="2" t="s">
        <v>201</v>
      </c>
      <c r="M580" s="1">
        <v>1162</v>
      </c>
      <c r="N580" s="1">
        <v>30813</v>
      </c>
      <c r="O580" s="2" t="s">
        <v>322</v>
      </c>
      <c r="P580" s="2" t="s">
        <v>48</v>
      </c>
      <c r="Q580" s="2" t="s">
        <v>225</v>
      </c>
      <c r="R580" s="2" t="s">
        <v>50</v>
      </c>
      <c r="S580" s="2" t="s">
        <v>96</v>
      </c>
      <c r="T580" s="1">
        <v>14064</v>
      </c>
      <c r="U580" s="2" t="s">
        <v>51</v>
      </c>
      <c r="V580" s="1">
        <v>3157</v>
      </c>
      <c r="W580" s="1">
        <v>3102</v>
      </c>
      <c r="X580" s="2" t="s">
        <v>449</v>
      </c>
      <c r="Y580" s="2" t="s">
        <v>255</v>
      </c>
      <c r="Z580" s="2" t="s">
        <v>383</v>
      </c>
      <c r="AA580" s="2" t="s">
        <v>560</v>
      </c>
      <c r="AB580" s="1">
        <v>16749</v>
      </c>
      <c r="AC580" s="1">
        <v>9236</v>
      </c>
      <c r="AD580" s="1">
        <v>3554</v>
      </c>
      <c r="AE580" s="1">
        <v>1054</v>
      </c>
      <c r="AF580" s="1">
        <v>199</v>
      </c>
      <c r="AG580" s="1">
        <v>21</v>
      </c>
      <c r="AH580" s="1">
        <v>14484</v>
      </c>
      <c r="AI580" s="1">
        <v>822</v>
      </c>
      <c r="AJ580" s="1">
        <v>1060</v>
      </c>
      <c r="AK580" s="1">
        <v>3747</v>
      </c>
      <c r="AL580" s="1">
        <v>255</v>
      </c>
      <c r="AM580" s="1">
        <v>108</v>
      </c>
      <c r="AN580" s="2" t="s">
        <v>245</v>
      </c>
    </row>
    <row r="581" spans="1:40" x14ac:dyDescent="0.3">
      <c r="A581" s="1">
        <v>11747</v>
      </c>
      <c r="B581" s="2" t="s">
        <v>2680</v>
      </c>
      <c r="C581" s="2" t="s">
        <v>2681</v>
      </c>
      <c r="D581" s="1">
        <v>28</v>
      </c>
      <c r="E581" s="2" t="s">
        <v>104</v>
      </c>
      <c r="F581" s="50" t="s">
        <v>1604</v>
      </c>
      <c r="G581" s="2" t="s">
        <v>1604</v>
      </c>
      <c r="H581" s="1">
        <v>10397</v>
      </c>
      <c r="I581" s="1">
        <v>10260</v>
      </c>
      <c r="J581" s="2" t="s">
        <v>2682</v>
      </c>
      <c r="K581" s="2" t="s">
        <v>2624</v>
      </c>
      <c r="L581" s="2" t="s">
        <v>398</v>
      </c>
      <c r="M581" s="1">
        <v>628</v>
      </c>
      <c r="N581" s="1">
        <v>16249</v>
      </c>
      <c r="O581" s="2" t="s">
        <v>65</v>
      </c>
      <c r="P581" s="2" t="s">
        <v>67</v>
      </c>
      <c r="Q581" s="2" t="s">
        <v>215</v>
      </c>
      <c r="R581" s="2" t="s">
        <v>96</v>
      </c>
      <c r="S581" s="2" t="s">
        <v>96</v>
      </c>
      <c r="T581" s="1">
        <v>7221</v>
      </c>
      <c r="U581" s="2" t="s">
        <v>51</v>
      </c>
      <c r="V581" s="1">
        <v>1570</v>
      </c>
      <c r="W581" s="1">
        <v>1340</v>
      </c>
      <c r="X581" s="2" t="s">
        <v>172</v>
      </c>
      <c r="Y581" s="2" t="s">
        <v>255</v>
      </c>
      <c r="Z581" s="2" t="s">
        <v>718</v>
      </c>
      <c r="AA581" s="2" t="s">
        <v>746</v>
      </c>
      <c r="AB581" s="1">
        <v>9028</v>
      </c>
      <c r="AC581" s="1">
        <v>4737</v>
      </c>
      <c r="AD581" s="1">
        <v>1898</v>
      </c>
      <c r="AE581" s="1">
        <v>484</v>
      </c>
      <c r="AF581" s="1">
        <v>98</v>
      </c>
      <c r="AG581" s="1">
        <v>4</v>
      </c>
      <c r="AH581" s="1">
        <v>4871</v>
      </c>
      <c r="AI581" s="1">
        <v>3246</v>
      </c>
      <c r="AJ581" s="1">
        <v>499</v>
      </c>
      <c r="AK581" s="1">
        <v>1626</v>
      </c>
      <c r="AL581" s="1">
        <v>149</v>
      </c>
      <c r="AM581" s="1">
        <v>36</v>
      </c>
      <c r="AN581" s="2" t="s">
        <v>412</v>
      </c>
    </row>
    <row r="582" spans="1:40" ht="28.2" x14ac:dyDescent="0.3">
      <c r="A582" s="1">
        <v>10827</v>
      </c>
      <c r="B582" s="2" t="s">
        <v>2683</v>
      </c>
      <c r="C582" s="2" t="s">
        <v>2684</v>
      </c>
      <c r="D582" s="1">
        <v>24</v>
      </c>
      <c r="E582" s="2" t="s">
        <v>104</v>
      </c>
      <c r="F582" s="50" t="s">
        <v>1125</v>
      </c>
      <c r="G582" s="2" t="s">
        <v>2685</v>
      </c>
      <c r="H582" s="1">
        <v>12697</v>
      </c>
      <c r="I582" s="1">
        <v>12807</v>
      </c>
      <c r="J582" s="2" t="s">
        <v>162</v>
      </c>
      <c r="K582" s="2" t="s">
        <v>2686</v>
      </c>
      <c r="L582" s="2">
        <v>3</v>
      </c>
      <c r="M582" s="1">
        <v>732</v>
      </c>
      <c r="N582" s="1">
        <v>18994</v>
      </c>
      <c r="O582" s="2" t="s">
        <v>225</v>
      </c>
      <c r="P582" s="2" t="s">
        <v>202</v>
      </c>
      <c r="Q582" s="2" t="s">
        <v>225</v>
      </c>
      <c r="R582" s="2" t="s">
        <v>67</v>
      </c>
      <c r="S582" s="2" t="s">
        <v>67</v>
      </c>
      <c r="T582" s="1">
        <v>8756</v>
      </c>
      <c r="U582" s="2" t="s">
        <v>51</v>
      </c>
      <c r="V582" s="1">
        <v>1729</v>
      </c>
      <c r="W582" s="1">
        <v>1778</v>
      </c>
      <c r="X582" s="2" t="s">
        <v>503</v>
      </c>
      <c r="Y582" s="2" t="s">
        <v>503</v>
      </c>
      <c r="Z582" s="2" t="s">
        <v>1165</v>
      </c>
      <c r="AA582" s="2" t="s">
        <v>783</v>
      </c>
      <c r="AB582" s="1">
        <v>10238</v>
      </c>
      <c r="AC582" s="1">
        <v>5726</v>
      </c>
      <c r="AD582" s="1">
        <v>2267</v>
      </c>
      <c r="AE582" s="1">
        <v>624</v>
      </c>
      <c r="AF582" s="1">
        <v>130</v>
      </c>
      <c r="AG582" s="1">
        <v>9</v>
      </c>
      <c r="AH582" s="1">
        <v>8676</v>
      </c>
      <c r="AI582" s="1">
        <v>590</v>
      </c>
      <c r="AJ582" s="1">
        <v>987</v>
      </c>
      <c r="AK582" s="1">
        <v>2311</v>
      </c>
      <c r="AL582" s="1">
        <v>140</v>
      </c>
      <c r="AM582" s="1">
        <v>33</v>
      </c>
      <c r="AN582" s="2" t="s">
        <v>449</v>
      </c>
    </row>
    <row r="583" spans="1:40" x14ac:dyDescent="0.3">
      <c r="A583" s="1">
        <v>17305</v>
      </c>
      <c r="B583" s="2" t="s">
        <v>2687</v>
      </c>
      <c r="C583" s="2" t="s">
        <v>2688</v>
      </c>
      <c r="D583" s="1">
        <v>23</v>
      </c>
      <c r="E583" s="2" t="s">
        <v>75</v>
      </c>
      <c r="F583" s="50" t="s">
        <v>3514</v>
      </c>
      <c r="G583" s="2" t="s">
        <v>2689</v>
      </c>
      <c r="H583" s="1">
        <v>8708</v>
      </c>
      <c r="I583" s="1">
        <v>8580</v>
      </c>
      <c r="J583" s="2" t="s">
        <v>223</v>
      </c>
      <c r="K583" s="2" t="s">
        <v>2205</v>
      </c>
      <c r="L583" s="2" t="s">
        <v>164</v>
      </c>
      <c r="M583" s="1">
        <v>503</v>
      </c>
      <c r="N583" s="1">
        <v>13560</v>
      </c>
      <c r="O583" s="2" t="s">
        <v>65</v>
      </c>
      <c r="P583" s="2" t="s">
        <v>48</v>
      </c>
      <c r="Q583" s="2" t="s">
        <v>215</v>
      </c>
      <c r="R583" s="2" t="s">
        <v>50</v>
      </c>
      <c r="S583" s="2" t="s">
        <v>50</v>
      </c>
      <c r="T583" s="1">
        <v>6087</v>
      </c>
      <c r="U583" s="2" t="s">
        <v>51</v>
      </c>
      <c r="V583" s="1">
        <v>1123</v>
      </c>
      <c r="W583" s="1">
        <v>1050</v>
      </c>
      <c r="X583" s="2" t="s">
        <v>464</v>
      </c>
      <c r="Y583" s="2" t="s">
        <v>820</v>
      </c>
      <c r="Z583" s="2" t="s">
        <v>54</v>
      </c>
      <c r="AA583" s="2" t="s">
        <v>1805</v>
      </c>
      <c r="AB583" s="1">
        <v>7473</v>
      </c>
      <c r="AC583" s="1">
        <v>4059</v>
      </c>
      <c r="AD583" s="1">
        <v>1512</v>
      </c>
      <c r="AE583" s="1">
        <v>443</v>
      </c>
      <c r="AF583" s="1">
        <v>69</v>
      </c>
      <c r="AG583" s="1">
        <v>4</v>
      </c>
      <c r="AH583" s="1">
        <v>6618</v>
      </c>
      <c r="AI583" s="1">
        <v>272</v>
      </c>
      <c r="AJ583" s="1">
        <v>383</v>
      </c>
      <c r="AK583" s="1">
        <v>1290</v>
      </c>
      <c r="AL583" s="1">
        <v>159</v>
      </c>
      <c r="AM583" s="1">
        <v>26</v>
      </c>
      <c r="AN583" s="2" t="s">
        <v>412</v>
      </c>
    </row>
    <row r="584" spans="1:40" ht="28.2" x14ac:dyDescent="0.3">
      <c r="A584" s="1">
        <v>8917</v>
      </c>
      <c r="B584" s="2" t="s">
        <v>2690</v>
      </c>
      <c r="C584" s="2" t="s">
        <v>2691</v>
      </c>
      <c r="D584" s="1">
        <v>31</v>
      </c>
      <c r="E584" s="2" t="s">
        <v>467</v>
      </c>
      <c r="F584" s="50" t="s">
        <v>2692</v>
      </c>
      <c r="G584" s="2" t="s">
        <v>2693</v>
      </c>
      <c r="H584" s="1">
        <v>17850</v>
      </c>
      <c r="I584" s="1">
        <v>18170</v>
      </c>
      <c r="J584" s="2" t="s">
        <v>808</v>
      </c>
      <c r="K584" s="2" t="s">
        <v>948</v>
      </c>
      <c r="L584" s="2" t="s">
        <v>2595</v>
      </c>
      <c r="M584" s="1">
        <v>1020</v>
      </c>
      <c r="N584" s="1">
        <v>26614</v>
      </c>
      <c r="O584" s="2" t="s">
        <v>225</v>
      </c>
      <c r="P584" s="2" t="s">
        <v>553</v>
      </c>
      <c r="Q584" s="2" t="s">
        <v>167</v>
      </c>
      <c r="R584" s="2" t="s">
        <v>50</v>
      </c>
      <c r="S584" s="2" t="s">
        <v>96</v>
      </c>
      <c r="T584" s="1">
        <v>12204</v>
      </c>
      <c r="U584" s="2" t="s">
        <v>51</v>
      </c>
      <c r="V584" s="1">
        <v>2818</v>
      </c>
      <c r="W584" s="1">
        <v>3102</v>
      </c>
      <c r="X584" s="2" t="s">
        <v>1749</v>
      </c>
      <c r="Y584" s="2">
        <v>1</v>
      </c>
      <c r="Z584" s="2" t="s">
        <v>554</v>
      </c>
      <c r="AA584" s="2" t="s">
        <v>676</v>
      </c>
      <c r="AB584" s="1">
        <v>14410</v>
      </c>
      <c r="AC584" s="1">
        <v>7932</v>
      </c>
      <c r="AD584" s="1">
        <v>3114</v>
      </c>
      <c r="AE584" s="1">
        <v>961</v>
      </c>
      <c r="AF584" s="1">
        <v>180</v>
      </c>
      <c r="AG584" s="1">
        <v>17</v>
      </c>
      <c r="AH584" s="1">
        <v>12104</v>
      </c>
      <c r="AI584" s="1">
        <v>654</v>
      </c>
      <c r="AJ584" s="1">
        <v>1440</v>
      </c>
      <c r="AK584" s="1">
        <v>3206</v>
      </c>
      <c r="AL584" s="1">
        <v>415</v>
      </c>
      <c r="AM584" s="1">
        <v>86</v>
      </c>
      <c r="AN584" s="2" t="s">
        <v>245</v>
      </c>
    </row>
    <row r="585" spans="1:40" ht="28.2" x14ac:dyDescent="0.3">
      <c r="A585" s="1">
        <v>9636</v>
      </c>
      <c r="B585" s="2" t="s">
        <v>2694</v>
      </c>
      <c r="C585" s="2" t="s">
        <v>2695</v>
      </c>
      <c r="D585" s="1">
        <v>26</v>
      </c>
      <c r="E585" s="2" t="s">
        <v>299</v>
      </c>
      <c r="F585" s="50" t="s">
        <v>3514</v>
      </c>
      <c r="G585" s="2" t="s">
        <v>2696</v>
      </c>
      <c r="H585" s="1">
        <v>15228</v>
      </c>
      <c r="I585" s="1">
        <v>15746</v>
      </c>
      <c r="J585" s="2" t="s">
        <v>968</v>
      </c>
      <c r="K585" s="2" t="s">
        <v>480</v>
      </c>
      <c r="L585" s="2" t="s">
        <v>589</v>
      </c>
      <c r="M585" s="1">
        <v>860</v>
      </c>
      <c r="N585" s="1">
        <v>22168</v>
      </c>
      <c r="O585" s="2" t="s">
        <v>463</v>
      </c>
      <c r="P585" s="2" t="s">
        <v>235</v>
      </c>
      <c r="Q585" s="2" t="s">
        <v>646</v>
      </c>
      <c r="R585" s="2" t="s">
        <v>96</v>
      </c>
      <c r="S585" s="2" t="s">
        <v>66</v>
      </c>
      <c r="T585" s="1">
        <v>10250</v>
      </c>
      <c r="U585" s="2" t="s">
        <v>51</v>
      </c>
      <c r="V585" s="1">
        <v>2694</v>
      </c>
      <c r="W585" s="1">
        <v>2820</v>
      </c>
      <c r="X585" s="2" t="s">
        <v>472</v>
      </c>
      <c r="Y585" s="2" t="s">
        <v>590</v>
      </c>
      <c r="Z585" s="2" t="s">
        <v>533</v>
      </c>
      <c r="AA585" s="2" t="s">
        <v>238</v>
      </c>
      <c r="AB585" s="1">
        <v>11918</v>
      </c>
      <c r="AC585" s="1">
        <v>6467</v>
      </c>
      <c r="AD585" s="1">
        <v>2775</v>
      </c>
      <c r="AE585" s="1">
        <v>838</v>
      </c>
      <c r="AF585" s="1">
        <v>153</v>
      </c>
      <c r="AG585" s="1">
        <v>17</v>
      </c>
      <c r="AH585" s="1">
        <v>10561</v>
      </c>
      <c r="AI585" s="1">
        <v>836</v>
      </c>
      <c r="AJ585" s="1">
        <v>947</v>
      </c>
      <c r="AK585" s="1">
        <v>2763</v>
      </c>
      <c r="AL585" s="1">
        <v>143</v>
      </c>
      <c r="AM585" s="1">
        <v>10</v>
      </c>
      <c r="AN585" s="2" t="s">
        <v>245</v>
      </c>
    </row>
    <row r="586" spans="1:40" ht="28.2" x14ac:dyDescent="0.3">
      <c r="A586" s="1">
        <v>13148</v>
      </c>
      <c r="B586" s="2" t="s">
        <v>2697</v>
      </c>
      <c r="C586" s="2" t="s">
        <v>2698</v>
      </c>
      <c r="D586" s="1">
        <v>23</v>
      </c>
      <c r="E586" s="2" t="s">
        <v>1070</v>
      </c>
      <c r="F586" s="50" t="s">
        <v>1372</v>
      </c>
      <c r="G586" s="2" t="s">
        <v>2699</v>
      </c>
      <c r="H586" s="1">
        <v>9177</v>
      </c>
      <c r="I586" s="1">
        <v>9339</v>
      </c>
      <c r="J586" s="2" t="s">
        <v>1613</v>
      </c>
      <c r="K586" s="2" t="s">
        <v>2354</v>
      </c>
      <c r="L586" s="2" t="s">
        <v>93</v>
      </c>
      <c r="M586" s="1">
        <v>509</v>
      </c>
      <c r="N586" s="1">
        <v>13632</v>
      </c>
      <c r="O586" s="2" t="s">
        <v>225</v>
      </c>
      <c r="P586" s="2" t="s">
        <v>202</v>
      </c>
      <c r="Q586" s="2" t="s">
        <v>463</v>
      </c>
      <c r="R586" s="2" t="s">
        <v>96</v>
      </c>
      <c r="S586" s="2" t="s">
        <v>96</v>
      </c>
      <c r="T586" s="1">
        <v>6245</v>
      </c>
      <c r="U586" s="2" t="s">
        <v>51</v>
      </c>
      <c r="V586" s="1">
        <v>1370</v>
      </c>
      <c r="W586" s="1">
        <v>1445</v>
      </c>
      <c r="X586" s="2" t="s">
        <v>820</v>
      </c>
      <c r="Y586" s="2" t="s">
        <v>285</v>
      </c>
      <c r="Z586" s="2" t="s">
        <v>838</v>
      </c>
      <c r="AA586" s="2" t="s">
        <v>577</v>
      </c>
      <c r="AB586" s="1">
        <v>7387</v>
      </c>
      <c r="AC586" s="1">
        <v>3983</v>
      </c>
      <c r="AD586" s="1">
        <v>1688</v>
      </c>
      <c r="AE586" s="1">
        <v>486</v>
      </c>
      <c r="AF586" s="1">
        <v>80</v>
      </c>
      <c r="AG586" s="1">
        <v>8</v>
      </c>
      <c r="AH586" s="1">
        <v>6730</v>
      </c>
      <c r="AI586" s="1">
        <v>251</v>
      </c>
      <c r="AJ586" s="1">
        <v>496</v>
      </c>
      <c r="AK586" s="1">
        <v>1611</v>
      </c>
      <c r="AL586" s="1">
        <v>83</v>
      </c>
      <c r="AM586" s="1">
        <v>25</v>
      </c>
      <c r="AN586" s="2" t="s">
        <v>412</v>
      </c>
    </row>
    <row r="587" spans="1:40" ht="28.2" x14ac:dyDescent="0.3">
      <c r="A587" s="1">
        <v>555</v>
      </c>
      <c r="B587" s="2" t="s">
        <v>2700</v>
      </c>
      <c r="C587" s="2" t="s">
        <v>2701</v>
      </c>
      <c r="D587" s="1">
        <v>32</v>
      </c>
      <c r="E587" s="2" t="s">
        <v>104</v>
      </c>
      <c r="F587" s="50" t="s">
        <v>866</v>
      </c>
      <c r="G587" s="2" t="s">
        <v>2702</v>
      </c>
      <c r="H587" s="1">
        <v>12432</v>
      </c>
      <c r="I587" s="1">
        <v>12385</v>
      </c>
      <c r="J587" s="2" t="s">
        <v>931</v>
      </c>
      <c r="K587" s="2" t="s">
        <v>494</v>
      </c>
      <c r="L587" s="2" t="s">
        <v>1146</v>
      </c>
      <c r="M587" s="1">
        <v>735</v>
      </c>
      <c r="N587" s="1">
        <v>19001</v>
      </c>
      <c r="O587" s="2" t="s">
        <v>276</v>
      </c>
      <c r="P587" s="2" t="s">
        <v>166</v>
      </c>
      <c r="Q587" s="2" t="s">
        <v>276</v>
      </c>
      <c r="R587" s="2" t="s">
        <v>67</v>
      </c>
      <c r="S587" s="2" t="s">
        <v>96</v>
      </c>
      <c r="T587" s="1">
        <v>8669</v>
      </c>
      <c r="U587" s="2" t="s">
        <v>51</v>
      </c>
      <c r="V587" s="1">
        <v>1916</v>
      </c>
      <c r="W587" s="1">
        <v>1894</v>
      </c>
      <c r="X587" s="2" t="s">
        <v>255</v>
      </c>
      <c r="Y587" s="2">
        <v>1</v>
      </c>
      <c r="Z587" s="2" t="s">
        <v>583</v>
      </c>
      <c r="AA587" s="2" t="s">
        <v>746</v>
      </c>
      <c r="AB587" s="1">
        <v>10332</v>
      </c>
      <c r="AC587" s="1">
        <v>5783</v>
      </c>
      <c r="AD587" s="1">
        <v>2146</v>
      </c>
      <c r="AE587" s="1">
        <v>616</v>
      </c>
      <c r="AF587" s="1">
        <v>111</v>
      </c>
      <c r="AG587" s="1">
        <v>13</v>
      </c>
      <c r="AH587" s="1">
        <v>8885</v>
      </c>
      <c r="AI587" s="1">
        <v>354</v>
      </c>
      <c r="AJ587" s="1">
        <v>1034</v>
      </c>
      <c r="AK587" s="1">
        <v>1938</v>
      </c>
      <c r="AL587" s="1">
        <v>205</v>
      </c>
      <c r="AM587" s="1">
        <v>61</v>
      </c>
      <c r="AN587" s="2" t="s">
        <v>245</v>
      </c>
    </row>
    <row r="588" spans="1:40" ht="28.2" x14ac:dyDescent="0.3">
      <c r="A588" s="1">
        <v>11840</v>
      </c>
      <c r="B588" s="2" t="s">
        <v>2703</v>
      </c>
      <c r="C588" s="2" t="s">
        <v>2704</v>
      </c>
      <c r="D588" s="1">
        <v>23</v>
      </c>
      <c r="E588" s="2" t="s">
        <v>75</v>
      </c>
      <c r="F588" s="50" t="s">
        <v>60</v>
      </c>
      <c r="G588" s="2" t="s">
        <v>2705</v>
      </c>
      <c r="H588" s="1">
        <v>19172</v>
      </c>
      <c r="I588" s="1">
        <v>19592</v>
      </c>
      <c r="J588" s="2" t="s">
        <v>611</v>
      </c>
      <c r="K588" s="2" t="s">
        <v>1363</v>
      </c>
      <c r="L588" s="2" t="s">
        <v>164</v>
      </c>
      <c r="M588" s="1">
        <v>1085</v>
      </c>
      <c r="N588" s="1">
        <v>28745</v>
      </c>
      <c r="O588" s="2" t="s">
        <v>225</v>
      </c>
      <c r="P588" s="2" t="s">
        <v>235</v>
      </c>
      <c r="Q588" s="2" t="s">
        <v>167</v>
      </c>
      <c r="R588" s="2" t="s">
        <v>96</v>
      </c>
      <c r="S588" s="2" t="s">
        <v>66</v>
      </c>
      <c r="T588" s="1">
        <v>13011</v>
      </c>
      <c r="U588" s="2" t="s">
        <v>51</v>
      </c>
      <c r="V588" s="1">
        <v>3374</v>
      </c>
      <c r="W588" s="1">
        <v>3772</v>
      </c>
      <c r="X588" s="2" t="s">
        <v>1551</v>
      </c>
      <c r="Y588" s="2" t="s">
        <v>412</v>
      </c>
      <c r="Z588" s="2" t="s">
        <v>1020</v>
      </c>
      <c r="AA588" s="2" t="s">
        <v>882</v>
      </c>
      <c r="AB588" s="1">
        <v>15734</v>
      </c>
      <c r="AC588" s="1">
        <v>8347</v>
      </c>
      <c r="AD588" s="1">
        <v>3402</v>
      </c>
      <c r="AE588" s="1">
        <v>1051</v>
      </c>
      <c r="AF588" s="1">
        <v>187</v>
      </c>
      <c r="AG588" s="1">
        <v>24</v>
      </c>
      <c r="AH588" s="1">
        <v>12736</v>
      </c>
      <c r="AI588" s="1">
        <v>443</v>
      </c>
      <c r="AJ588" s="1">
        <v>2210</v>
      </c>
      <c r="AK588" s="1">
        <v>3386</v>
      </c>
      <c r="AL588" s="1">
        <v>260</v>
      </c>
      <c r="AM588" s="1">
        <v>191</v>
      </c>
      <c r="AN588" s="2" t="s">
        <v>407</v>
      </c>
    </row>
    <row r="589" spans="1:40" ht="28.2" x14ac:dyDescent="0.3">
      <c r="A589" s="1">
        <v>12244</v>
      </c>
      <c r="B589" s="2" t="s">
        <v>2706</v>
      </c>
      <c r="C589" s="2" t="s">
        <v>2707</v>
      </c>
      <c r="D589" s="1">
        <v>21</v>
      </c>
      <c r="E589" s="2" t="s">
        <v>59</v>
      </c>
      <c r="F589" s="50" t="s">
        <v>2708</v>
      </c>
      <c r="G589" s="2" t="s">
        <v>2709</v>
      </c>
      <c r="H589" s="1">
        <v>7947</v>
      </c>
      <c r="I589" s="1">
        <v>7849</v>
      </c>
      <c r="J589" s="2" t="s">
        <v>587</v>
      </c>
      <c r="K589" s="2" t="s">
        <v>1089</v>
      </c>
      <c r="L589" s="2" t="s">
        <v>244</v>
      </c>
      <c r="M589" s="1">
        <v>465</v>
      </c>
      <c r="N589" s="1">
        <v>12322</v>
      </c>
      <c r="O589" s="2" t="s">
        <v>65</v>
      </c>
      <c r="P589" s="2" t="s">
        <v>202</v>
      </c>
      <c r="Q589" s="2" t="s">
        <v>65</v>
      </c>
      <c r="R589" s="2" t="s">
        <v>66</v>
      </c>
      <c r="S589" s="2" t="s">
        <v>96</v>
      </c>
      <c r="T589" s="1">
        <v>5571</v>
      </c>
      <c r="U589" s="2" t="s">
        <v>51</v>
      </c>
      <c r="V589" s="1">
        <v>1051</v>
      </c>
      <c r="W589" s="1">
        <v>1091</v>
      </c>
      <c r="X589" s="2" t="s">
        <v>472</v>
      </c>
      <c r="Y589" s="2" t="s">
        <v>820</v>
      </c>
      <c r="Z589" s="2" t="s">
        <v>1765</v>
      </c>
      <c r="AA589" s="2" t="s">
        <v>247</v>
      </c>
      <c r="AB589" s="1">
        <v>6751</v>
      </c>
      <c r="AC589" s="1">
        <v>3739</v>
      </c>
      <c r="AD589" s="1">
        <v>1364</v>
      </c>
      <c r="AE589" s="1">
        <v>398</v>
      </c>
      <c r="AF589" s="1">
        <v>64</v>
      </c>
      <c r="AG589" s="1">
        <v>6</v>
      </c>
      <c r="AH589" s="1">
        <v>5962</v>
      </c>
      <c r="AI589" s="1">
        <v>191</v>
      </c>
      <c r="AJ589" s="1">
        <v>382</v>
      </c>
      <c r="AK589" s="1">
        <v>1302</v>
      </c>
      <c r="AL589" s="1">
        <v>100</v>
      </c>
      <c r="AM589" s="1">
        <v>41</v>
      </c>
      <c r="AN589" s="2" t="s">
        <v>412</v>
      </c>
    </row>
    <row r="590" spans="1:40" x14ac:dyDescent="0.3">
      <c r="A590" s="1">
        <v>5061</v>
      </c>
      <c r="B590" s="2" t="s">
        <v>2710</v>
      </c>
      <c r="C590" s="2" t="s">
        <v>2711</v>
      </c>
      <c r="D590" s="1">
        <v>28</v>
      </c>
      <c r="E590" s="2" t="s">
        <v>196</v>
      </c>
      <c r="F590" s="50" t="s">
        <v>3514</v>
      </c>
      <c r="G590" s="2" t="s">
        <v>2712</v>
      </c>
      <c r="H590" s="1">
        <v>18369</v>
      </c>
      <c r="I590" s="1">
        <v>18769</v>
      </c>
      <c r="J590" s="2" t="s">
        <v>2713</v>
      </c>
      <c r="K590" s="2" t="s">
        <v>601</v>
      </c>
      <c r="L590" s="2" t="s">
        <v>294</v>
      </c>
      <c r="M590" s="1">
        <v>1030</v>
      </c>
      <c r="N590" s="1">
        <v>27376</v>
      </c>
      <c r="O590" s="2" t="s">
        <v>225</v>
      </c>
      <c r="P590" s="2" t="s">
        <v>48</v>
      </c>
      <c r="Q590" s="2" t="s">
        <v>463</v>
      </c>
      <c r="R590" s="2" t="s">
        <v>96</v>
      </c>
      <c r="S590" s="2" t="s">
        <v>96</v>
      </c>
      <c r="T590" s="1">
        <v>12530</v>
      </c>
      <c r="U590" s="2" t="s">
        <v>51</v>
      </c>
      <c r="V590" s="1">
        <v>2768</v>
      </c>
      <c r="W590" s="1">
        <v>3040</v>
      </c>
      <c r="X590" s="2" t="s">
        <v>1749</v>
      </c>
      <c r="Y590" s="2" t="s">
        <v>285</v>
      </c>
      <c r="Z590" s="2" t="s">
        <v>932</v>
      </c>
      <c r="AA590" s="2" t="s">
        <v>577</v>
      </c>
      <c r="AB590" s="1">
        <v>14846</v>
      </c>
      <c r="AC590" s="1">
        <v>8096</v>
      </c>
      <c r="AD590" s="1">
        <v>3252</v>
      </c>
      <c r="AE590" s="1">
        <v>978</v>
      </c>
      <c r="AF590" s="1">
        <v>187</v>
      </c>
      <c r="AG590" s="1">
        <v>17</v>
      </c>
      <c r="AH590" s="1">
        <v>13450</v>
      </c>
      <c r="AI590" s="1">
        <v>462</v>
      </c>
      <c r="AJ590" s="1">
        <v>928</v>
      </c>
      <c r="AK590" s="1">
        <v>3241</v>
      </c>
      <c r="AL590" s="1">
        <v>241</v>
      </c>
      <c r="AM590" s="1">
        <v>101</v>
      </c>
      <c r="AN590" s="2" t="s">
        <v>245</v>
      </c>
    </row>
    <row r="591" spans="1:40" x14ac:dyDescent="0.3">
      <c r="A591" s="1">
        <v>10697</v>
      </c>
      <c r="B591" s="2" t="s">
        <v>2714</v>
      </c>
      <c r="C591" s="2" t="s">
        <v>2715</v>
      </c>
      <c r="D591" s="1">
        <v>25</v>
      </c>
      <c r="E591" s="2" t="s">
        <v>467</v>
      </c>
      <c r="F591" s="50" t="s">
        <v>2692</v>
      </c>
      <c r="G591" s="2" t="s">
        <v>2716</v>
      </c>
      <c r="H591" s="1">
        <v>15729</v>
      </c>
      <c r="I591" s="1">
        <v>16240</v>
      </c>
      <c r="J591" s="2" t="s">
        <v>722</v>
      </c>
      <c r="K591" s="2">
        <v>77</v>
      </c>
      <c r="L591" s="2" t="s">
        <v>575</v>
      </c>
      <c r="M591" s="1">
        <v>864</v>
      </c>
      <c r="N591" s="1">
        <v>22973</v>
      </c>
      <c r="O591" s="2" t="s">
        <v>167</v>
      </c>
      <c r="P591" s="2" t="s">
        <v>166</v>
      </c>
      <c r="Q591" s="2" t="s">
        <v>646</v>
      </c>
      <c r="R591" s="2" t="s">
        <v>67</v>
      </c>
      <c r="S591" s="2" t="s">
        <v>48</v>
      </c>
      <c r="T591" s="1">
        <v>10675</v>
      </c>
      <c r="U591" s="2" t="s">
        <v>51</v>
      </c>
      <c r="V591" s="1">
        <v>2295</v>
      </c>
      <c r="W591" s="1">
        <v>2509</v>
      </c>
      <c r="X591" s="2" t="s">
        <v>1749</v>
      </c>
      <c r="Y591" s="2" t="s">
        <v>245</v>
      </c>
      <c r="Z591" s="2" t="s">
        <v>508</v>
      </c>
      <c r="AA591" s="2" t="s">
        <v>408</v>
      </c>
      <c r="AB591" s="1">
        <v>12298</v>
      </c>
      <c r="AC591" s="1">
        <v>6838</v>
      </c>
      <c r="AD591" s="1">
        <v>2819</v>
      </c>
      <c r="AE591" s="1">
        <v>835</v>
      </c>
      <c r="AF591" s="1">
        <v>167</v>
      </c>
      <c r="AG591" s="1">
        <v>16</v>
      </c>
      <c r="AH591" s="1">
        <v>12157</v>
      </c>
      <c r="AI591" s="1">
        <v>247</v>
      </c>
      <c r="AJ591" s="1">
        <v>911</v>
      </c>
      <c r="AK591" s="1">
        <v>2168</v>
      </c>
      <c r="AL591" s="1">
        <v>257</v>
      </c>
      <c r="AM591" s="1">
        <v>34</v>
      </c>
      <c r="AN591" s="2" t="s">
        <v>304</v>
      </c>
    </row>
    <row r="592" spans="1:40" x14ac:dyDescent="0.3">
      <c r="A592" s="1">
        <v>8539</v>
      </c>
      <c r="B592" s="2" t="s">
        <v>2717</v>
      </c>
      <c r="C592" s="2" t="s">
        <v>2718</v>
      </c>
      <c r="D592" s="1">
        <v>25</v>
      </c>
      <c r="E592" s="2" t="s">
        <v>327</v>
      </c>
      <c r="F592" s="50" t="s">
        <v>1740</v>
      </c>
      <c r="G592" s="2" t="s">
        <v>1740</v>
      </c>
      <c r="H592" s="1">
        <v>9069</v>
      </c>
      <c r="I592" s="1">
        <v>9194</v>
      </c>
      <c r="J592" s="2" t="s">
        <v>1995</v>
      </c>
      <c r="K592" s="2" t="s">
        <v>486</v>
      </c>
      <c r="L592" s="2">
        <v>4</v>
      </c>
      <c r="M592" s="1">
        <v>509</v>
      </c>
      <c r="N592" s="1">
        <v>13762</v>
      </c>
      <c r="O592" s="2" t="s">
        <v>322</v>
      </c>
      <c r="P592" s="2" t="s">
        <v>202</v>
      </c>
      <c r="Q592" s="2" t="s">
        <v>225</v>
      </c>
      <c r="R592" s="2" t="s">
        <v>50</v>
      </c>
      <c r="S592" s="2" t="s">
        <v>48</v>
      </c>
      <c r="T592" s="1">
        <v>6244</v>
      </c>
      <c r="U592" s="2" t="s">
        <v>51</v>
      </c>
      <c r="V592" s="1">
        <v>1195</v>
      </c>
      <c r="W592" s="1">
        <v>1326</v>
      </c>
      <c r="X592" s="2" t="s">
        <v>1906</v>
      </c>
      <c r="Y592" s="2" t="s">
        <v>1570</v>
      </c>
      <c r="Z592" s="2" t="s">
        <v>1020</v>
      </c>
      <c r="AA592" s="2" t="s">
        <v>518</v>
      </c>
      <c r="AB592" s="1">
        <v>7518</v>
      </c>
      <c r="AC592" s="1">
        <v>4097</v>
      </c>
      <c r="AD592" s="1">
        <v>1591</v>
      </c>
      <c r="AE592" s="1">
        <v>446</v>
      </c>
      <c r="AF592" s="1">
        <v>98</v>
      </c>
      <c r="AG592" s="1">
        <v>12</v>
      </c>
      <c r="AH592" s="1">
        <v>7212</v>
      </c>
      <c r="AI592" s="1">
        <v>35</v>
      </c>
      <c r="AJ592" s="1">
        <v>210</v>
      </c>
      <c r="AK592" s="1">
        <v>1502</v>
      </c>
      <c r="AL592" s="1">
        <v>128</v>
      </c>
      <c r="AM592" s="1">
        <v>18</v>
      </c>
      <c r="AN592" s="2" t="s">
        <v>503</v>
      </c>
    </row>
    <row r="593" spans="1:40" x14ac:dyDescent="0.3">
      <c r="A593" s="1">
        <v>15569</v>
      </c>
      <c r="B593" s="2" t="s">
        <v>2719</v>
      </c>
      <c r="C593" s="2" t="s">
        <v>2720</v>
      </c>
      <c r="D593" s="1">
        <v>19</v>
      </c>
      <c r="E593" s="2" t="s">
        <v>545</v>
      </c>
      <c r="F593" s="50" t="s">
        <v>1340</v>
      </c>
      <c r="G593" s="2" t="s">
        <v>1600</v>
      </c>
      <c r="H593" s="1">
        <v>8232</v>
      </c>
      <c r="I593" s="1">
        <v>8537</v>
      </c>
      <c r="J593" s="2" t="s">
        <v>1973</v>
      </c>
      <c r="K593" s="2" t="s">
        <v>989</v>
      </c>
      <c r="L593" s="2" t="s">
        <v>1146</v>
      </c>
      <c r="M593" s="1">
        <v>451</v>
      </c>
      <c r="N593" s="1">
        <v>12082</v>
      </c>
      <c r="O593" s="2" t="s">
        <v>167</v>
      </c>
      <c r="P593" s="2" t="s">
        <v>235</v>
      </c>
      <c r="Q593" s="2" t="s">
        <v>646</v>
      </c>
      <c r="R593" s="2" t="s">
        <v>50</v>
      </c>
      <c r="S593" s="2" t="s">
        <v>96</v>
      </c>
      <c r="T593" s="1">
        <v>5554</v>
      </c>
      <c r="U593" s="2" t="s">
        <v>51</v>
      </c>
      <c r="V593" s="1">
        <v>1469</v>
      </c>
      <c r="W593" s="1">
        <v>1640</v>
      </c>
      <c r="X593" s="2" t="s">
        <v>1906</v>
      </c>
      <c r="Y593" s="2" t="s">
        <v>304</v>
      </c>
      <c r="Z593" s="2" t="s">
        <v>2167</v>
      </c>
      <c r="AA593" s="2" t="s">
        <v>1385</v>
      </c>
      <c r="AB593" s="1">
        <v>6528</v>
      </c>
      <c r="AC593" s="1">
        <v>3543</v>
      </c>
      <c r="AD593" s="1">
        <v>1446</v>
      </c>
      <c r="AE593" s="1">
        <v>473</v>
      </c>
      <c r="AF593" s="1">
        <v>82</v>
      </c>
      <c r="AG593" s="1">
        <v>10</v>
      </c>
      <c r="AH593" s="1">
        <v>6394</v>
      </c>
      <c r="AI593" s="1">
        <v>28</v>
      </c>
      <c r="AJ593" s="1">
        <v>345</v>
      </c>
      <c r="AK593" s="1">
        <v>1340</v>
      </c>
      <c r="AL593" s="1">
        <v>120</v>
      </c>
      <c r="AM593" s="1">
        <v>31</v>
      </c>
      <c r="AN593" s="2" t="s">
        <v>304</v>
      </c>
    </row>
    <row r="594" spans="1:40" x14ac:dyDescent="0.3">
      <c r="A594" s="1">
        <v>7805</v>
      </c>
      <c r="B594" s="2" t="s">
        <v>2721</v>
      </c>
      <c r="C594" s="2" t="s">
        <v>2722</v>
      </c>
      <c r="D594" s="1">
        <v>28</v>
      </c>
      <c r="E594" s="2" t="s">
        <v>459</v>
      </c>
      <c r="F594" s="50" t="s">
        <v>557</v>
      </c>
      <c r="G594" s="2" t="s">
        <v>2723</v>
      </c>
      <c r="H594" s="1">
        <v>24435</v>
      </c>
      <c r="I594" s="1">
        <v>24806</v>
      </c>
      <c r="J594" s="2" t="s">
        <v>2424</v>
      </c>
      <c r="K594" s="2" t="s">
        <v>1009</v>
      </c>
      <c r="L594" s="2" t="s">
        <v>80</v>
      </c>
      <c r="M594" s="1">
        <v>1413</v>
      </c>
      <c r="N594" s="1">
        <v>36954</v>
      </c>
      <c r="O594" s="2" t="s">
        <v>322</v>
      </c>
      <c r="P594" s="2" t="s">
        <v>166</v>
      </c>
      <c r="Q594" s="2" t="s">
        <v>225</v>
      </c>
      <c r="R594" s="2" t="s">
        <v>67</v>
      </c>
      <c r="S594" s="2" t="s">
        <v>50</v>
      </c>
      <c r="T594" s="1">
        <v>16746</v>
      </c>
      <c r="U594" s="2" t="s">
        <v>51</v>
      </c>
      <c r="V594" s="1">
        <v>3264</v>
      </c>
      <c r="W594" s="1">
        <v>3574</v>
      </c>
      <c r="X594" s="2" t="s">
        <v>1749</v>
      </c>
      <c r="Y594" s="2" t="s">
        <v>820</v>
      </c>
      <c r="Z594" s="2" t="s">
        <v>1020</v>
      </c>
      <c r="AA594" s="2" t="s">
        <v>247</v>
      </c>
      <c r="AB594" s="1">
        <v>20208</v>
      </c>
      <c r="AC594" s="1">
        <v>10899</v>
      </c>
      <c r="AD594" s="1">
        <v>4308</v>
      </c>
      <c r="AE594" s="1">
        <v>1266</v>
      </c>
      <c r="AF594" s="1">
        <v>256</v>
      </c>
      <c r="AG594" s="1">
        <v>17</v>
      </c>
      <c r="AH594" s="1">
        <v>18454</v>
      </c>
      <c r="AI594" s="1">
        <v>148</v>
      </c>
      <c r="AJ594" s="1">
        <v>1128</v>
      </c>
      <c r="AK594" s="1">
        <v>4376</v>
      </c>
      <c r="AL594" s="1">
        <v>323</v>
      </c>
      <c r="AM594" s="1">
        <v>72</v>
      </c>
      <c r="AN594" s="2" t="s">
        <v>503</v>
      </c>
    </row>
    <row r="595" spans="1:40" ht="28.2" x14ac:dyDescent="0.3">
      <c r="A595" s="1">
        <v>7169</v>
      </c>
      <c r="B595" s="2" t="s">
        <v>2724</v>
      </c>
      <c r="C595" s="2" t="s">
        <v>2725</v>
      </c>
      <c r="D595" s="1">
        <v>32</v>
      </c>
      <c r="E595" s="2" t="s">
        <v>42</v>
      </c>
      <c r="F595" s="50" t="s">
        <v>3514</v>
      </c>
      <c r="G595" s="2" t="s">
        <v>2726</v>
      </c>
      <c r="H595" s="1">
        <v>26056</v>
      </c>
      <c r="I595" s="1">
        <v>26673</v>
      </c>
      <c r="J595" s="2" t="s">
        <v>968</v>
      </c>
      <c r="K595" s="2" t="s">
        <v>2727</v>
      </c>
      <c r="L595" s="2" t="s">
        <v>122</v>
      </c>
      <c r="M595" s="1">
        <v>1499</v>
      </c>
      <c r="N595" s="1">
        <v>39100</v>
      </c>
      <c r="O595" s="2" t="s">
        <v>225</v>
      </c>
      <c r="P595" s="2" t="s">
        <v>202</v>
      </c>
      <c r="Q595" s="2" t="s">
        <v>167</v>
      </c>
      <c r="R595" s="2" t="s">
        <v>67</v>
      </c>
      <c r="S595" s="2" t="s">
        <v>67</v>
      </c>
      <c r="T595" s="1">
        <v>17736</v>
      </c>
      <c r="U595" s="2" t="s">
        <v>51</v>
      </c>
      <c r="V595" s="1">
        <v>3231</v>
      </c>
      <c r="W595" s="1">
        <v>3437</v>
      </c>
      <c r="X595" s="2" t="s">
        <v>1570</v>
      </c>
      <c r="Y595" s="2" t="s">
        <v>950</v>
      </c>
      <c r="Z595" s="2" t="s">
        <v>576</v>
      </c>
      <c r="AA595" s="2" t="s">
        <v>1276</v>
      </c>
      <c r="AB595" s="1">
        <v>21364</v>
      </c>
      <c r="AC595" s="1">
        <v>11448</v>
      </c>
      <c r="AD595" s="1">
        <v>4587</v>
      </c>
      <c r="AE595" s="1">
        <v>1401</v>
      </c>
      <c r="AF595" s="1">
        <v>282</v>
      </c>
      <c r="AG595" s="1">
        <v>18</v>
      </c>
      <c r="AH595" s="1">
        <v>19005</v>
      </c>
      <c r="AI595" s="1">
        <v>71</v>
      </c>
      <c r="AJ595" s="1">
        <v>1716</v>
      </c>
      <c r="AK595" s="1">
        <v>5057</v>
      </c>
      <c r="AL595" s="1">
        <v>202</v>
      </c>
      <c r="AM595" s="1">
        <v>24</v>
      </c>
      <c r="AN595" s="2" t="s">
        <v>503</v>
      </c>
    </row>
    <row r="596" spans="1:40" ht="28.2" x14ac:dyDescent="0.3">
      <c r="A596" s="1">
        <v>18120</v>
      </c>
      <c r="B596" s="2" t="s">
        <v>2728</v>
      </c>
      <c r="C596" s="2" t="s">
        <v>2729</v>
      </c>
      <c r="D596" s="1">
        <v>27</v>
      </c>
      <c r="E596" s="2" t="s">
        <v>1422</v>
      </c>
      <c r="F596" s="50" t="s">
        <v>1251</v>
      </c>
      <c r="G596" s="2" t="s">
        <v>1423</v>
      </c>
      <c r="H596" s="1">
        <v>12017</v>
      </c>
      <c r="I596" s="1">
        <v>12583</v>
      </c>
      <c r="J596" s="2" t="s">
        <v>2730</v>
      </c>
      <c r="K596" s="2" t="s">
        <v>819</v>
      </c>
      <c r="L596" s="2" t="s">
        <v>282</v>
      </c>
      <c r="M596" s="1">
        <v>650</v>
      </c>
      <c r="N596" s="1">
        <v>17449</v>
      </c>
      <c r="O596" s="2" t="s">
        <v>463</v>
      </c>
      <c r="P596" s="2" t="s">
        <v>202</v>
      </c>
      <c r="Q596" s="2" t="s">
        <v>311</v>
      </c>
      <c r="R596" s="2" t="s">
        <v>66</v>
      </c>
      <c r="S596" s="2" t="s">
        <v>135</v>
      </c>
      <c r="T596" s="1">
        <v>8047</v>
      </c>
      <c r="U596" s="2" t="s">
        <v>51</v>
      </c>
      <c r="V596" s="1">
        <v>1963</v>
      </c>
      <c r="W596" s="1">
        <v>2235</v>
      </c>
      <c r="X596" s="2" t="s">
        <v>2315</v>
      </c>
      <c r="Y596" s="2" t="s">
        <v>449</v>
      </c>
      <c r="Z596" s="2" t="s">
        <v>576</v>
      </c>
      <c r="AA596" s="2" t="s">
        <v>86</v>
      </c>
      <c r="AB596" s="1">
        <v>9402</v>
      </c>
      <c r="AC596" s="1">
        <v>5070</v>
      </c>
      <c r="AD596" s="1">
        <v>2153</v>
      </c>
      <c r="AE596" s="1">
        <v>670</v>
      </c>
      <c r="AF596" s="1">
        <v>139</v>
      </c>
      <c r="AG596" s="1">
        <v>15</v>
      </c>
      <c r="AH596" s="1">
        <v>8775</v>
      </c>
      <c r="AI596" s="1">
        <v>300</v>
      </c>
      <c r="AJ596" s="1">
        <v>464</v>
      </c>
      <c r="AK596" s="1">
        <v>2209</v>
      </c>
      <c r="AL596" s="1">
        <v>157</v>
      </c>
      <c r="AM596" s="1">
        <v>135</v>
      </c>
      <c r="AN596" s="2" t="s">
        <v>412</v>
      </c>
    </row>
    <row r="597" spans="1:40" ht="28.2" x14ac:dyDescent="0.3">
      <c r="A597" s="1">
        <v>11217</v>
      </c>
      <c r="B597" s="2" t="s">
        <v>2731</v>
      </c>
      <c r="C597" s="2" t="s">
        <v>2732</v>
      </c>
      <c r="D597" s="1">
        <v>24</v>
      </c>
      <c r="E597" s="2" t="s">
        <v>467</v>
      </c>
      <c r="F597" s="50" t="s">
        <v>1888</v>
      </c>
      <c r="G597" s="2" t="s">
        <v>2733</v>
      </c>
      <c r="H597" s="1">
        <v>24704</v>
      </c>
      <c r="I597" s="1">
        <v>24951</v>
      </c>
      <c r="J597" s="2" t="s">
        <v>1503</v>
      </c>
      <c r="K597" s="2" t="s">
        <v>624</v>
      </c>
      <c r="L597" s="2" t="s">
        <v>282</v>
      </c>
      <c r="M597" s="1">
        <v>1438</v>
      </c>
      <c r="N597" s="1">
        <v>37654</v>
      </c>
      <c r="O597" s="2" t="s">
        <v>322</v>
      </c>
      <c r="P597" s="2" t="s">
        <v>202</v>
      </c>
      <c r="Q597" s="2" t="s">
        <v>322</v>
      </c>
      <c r="R597" s="2" t="s">
        <v>66</v>
      </c>
      <c r="S597" s="2" t="s">
        <v>66</v>
      </c>
      <c r="T597" s="1">
        <v>17050</v>
      </c>
      <c r="U597" s="2" t="s">
        <v>51</v>
      </c>
      <c r="V597" s="1">
        <v>3809</v>
      </c>
      <c r="W597" s="1">
        <v>3839</v>
      </c>
      <c r="X597" s="2" t="s">
        <v>285</v>
      </c>
      <c r="Y597" s="2">
        <v>1</v>
      </c>
      <c r="Z597" s="2" t="s">
        <v>217</v>
      </c>
      <c r="AA597" s="2" t="s">
        <v>2029</v>
      </c>
      <c r="AB597" s="1">
        <v>20604</v>
      </c>
      <c r="AC597" s="1">
        <v>11198</v>
      </c>
      <c r="AD597" s="1">
        <v>4335</v>
      </c>
      <c r="AE597" s="1">
        <v>1259</v>
      </c>
      <c r="AF597" s="1">
        <v>231</v>
      </c>
      <c r="AG597" s="1">
        <v>27</v>
      </c>
      <c r="AH597" s="1">
        <v>14660</v>
      </c>
      <c r="AI597" s="1">
        <v>3489</v>
      </c>
      <c r="AJ597" s="1">
        <v>2456</v>
      </c>
      <c r="AK597" s="1">
        <v>3602</v>
      </c>
      <c r="AL597" s="1">
        <v>434</v>
      </c>
      <c r="AM597" s="1">
        <v>115</v>
      </c>
      <c r="AN597" s="2" t="s">
        <v>412</v>
      </c>
    </row>
    <row r="598" spans="1:40" x14ac:dyDescent="0.3">
      <c r="A598" s="1">
        <v>19015</v>
      </c>
      <c r="B598" s="2" t="s">
        <v>2734</v>
      </c>
      <c r="C598" s="2" t="s">
        <v>2735</v>
      </c>
      <c r="D598" s="1">
        <v>18</v>
      </c>
      <c r="E598" s="2" t="s">
        <v>841</v>
      </c>
      <c r="F598" s="50" t="s">
        <v>188</v>
      </c>
      <c r="G598" s="2" t="s">
        <v>2736</v>
      </c>
      <c r="H598" s="1">
        <v>6546</v>
      </c>
      <c r="I598" s="1">
        <v>6488</v>
      </c>
      <c r="J598" s="2" t="s">
        <v>657</v>
      </c>
      <c r="K598" s="2" t="s">
        <v>1018</v>
      </c>
      <c r="L598" s="2" t="s">
        <v>275</v>
      </c>
      <c r="M598" s="1">
        <v>385</v>
      </c>
      <c r="N598" s="1">
        <v>10318</v>
      </c>
      <c r="O598" s="2" t="s">
        <v>215</v>
      </c>
      <c r="P598" s="2" t="s">
        <v>48</v>
      </c>
      <c r="Q598" s="2" t="s">
        <v>215</v>
      </c>
      <c r="R598" s="2" t="s">
        <v>50</v>
      </c>
      <c r="S598" s="2" t="s">
        <v>50</v>
      </c>
      <c r="T598" s="1">
        <v>4568</v>
      </c>
      <c r="U598" s="2" t="s">
        <v>51</v>
      </c>
      <c r="V598" s="1">
        <v>805</v>
      </c>
      <c r="W598" s="1">
        <v>823</v>
      </c>
      <c r="X598" s="2" t="s">
        <v>245</v>
      </c>
      <c r="Y598" s="2" t="s">
        <v>1314</v>
      </c>
      <c r="Z598" s="2" t="s">
        <v>70</v>
      </c>
      <c r="AA598" s="2" t="s">
        <v>1572</v>
      </c>
      <c r="AB598" s="1">
        <v>5750</v>
      </c>
      <c r="AC598" s="1">
        <v>3050</v>
      </c>
      <c r="AD598" s="1">
        <v>1123</v>
      </c>
      <c r="AE598" s="1">
        <v>333</v>
      </c>
      <c r="AF598" s="1">
        <v>59</v>
      </c>
      <c r="AG598" s="1">
        <v>3</v>
      </c>
      <c r="AH598" s="1">
        <v>5235</v>
      </c>
      <c r="AI598" s="1">
        <v>64</v>
      </c>
      <c r="AJ598" s="1">
        <v>158</v>
      </c>
      <c r="AK598" s="1">
        <v>1059</v>
      </c>
      <c r="AL598" s="1">
        <v>40</v>
      </c>
      <c r="AM598" s="1">
        <v>28</v>
      </c>
      <c r="AN598" s="2" t="s">
        <v>412</v>
      </c>
    </row>
    <row r="599" spans="1:40" ht="28.2" x14ac:dyDescent="0.3">
      <c r="A599" s="1">
        <v>9916</v>
      </c>
      <c r="B599" s="2" t="s">
        <v>2737</v>
      </c>
      <c r="C599" s="2" t="s">
        <v>2738</v>
      </c>
      <c r="D599" s="1">
        <v>26</v>
      </c>
      <c r="E599" s="2" t="s">
        <v>327</v>
      </c>
      <c r="F599" s="50" t="s">
        <v>3514</v>
      </c>
      <c r="G599" s="2" t="s">
        <v>2739</v>
      </c>
      <c r="H599" s="1">
        <v>11640</v>
      </c>
      <c r="I599" s="1">
        <v>11657</v>
      </c>
      <c r="J599" s="2" t="s">
        <v>2023</v>
      </c>
      <c r="K599" s="2" t="s">
        <v>1042</v>
      </c>
      <c r="L599" s="2" t="s">
        <v>687</v>
      </c>
      <c r="M599" s="1">
        <v>662</v>
      </c>
      <c r="N599" s="1">
        <v>17680</v>
      </c>
      <c r="O599" s="2" t="s">
        <v>322</v>
      </c>
      <c r="P599" s="2" t="s">
        <v>202</v>
      </c>
      <c r="Q599" s="2" t="s">
        <v>322</v>
      </c>
      <c r="R599" s="2" t="s">
        <v>135</v>
      </c>
      <c r="S599" s="2" t="s">
        <v>96</v>
      </c>
      <c r="T599" s="1">
        <v>8123</v>
      </c>
      <c r="U599" s="2" t="s">
        <v>51</v>
      </c>
      <c r="V599" s="1">
        <v>1224</v>
      </c>
      <c r="W599" s="1">
        <v>1198</v>
      </c>
      <c r="X599" s="2" t="s">
        <v>449</v>
      </c>
      <c r="Y599" s="2" t="s">
        <v>1906</v>
      </c>
      <c r="Z599" s="2" t="s">
        <v>1358</v>
      </c>
      <c r="AA599" s="2" t="s">
        <v>2068</v>
      </c>
      <c r="AB599" s="1">
        <v>9557</v>
      </c>
      <c r="AC599" s="1">
        <v>5385</v>
      </c>
      <c r="AD599" s="1">
        <v>2079</v>
      </c>
      <c r="AE599" s="1">
        <v>552</v>
      </c>
      <c r="AF599" s="1">
        <v>94</v>
      </c>
      <c r="AG599" s="1">
        <v>13</v>
      </c>
      <c r="AH599" s="1">
        <v>8223</v>
      </c>
      <c r="AI599" s="1">
        <v>329</v>
      </c>
      <c r="AJ599" s="1">
        <v>741</v>
      </c>
      <c r="AK599" s="1">
        <v>2159</v>
      </c>
      <c r="AL599" s="1">
        <v>201</v>
      </c>
      <c r="AM599" s="1">
        <v>28</v>
      </c>
      <c r="AN599" s="2" t="s">
        <v>503</v>
      </c>
    </row>
    <row r="600" spans="1:40" ht="28.2" x14ac:dyDescent="0.3">
      <c r="A600" s="1">
        <v>13749</v>
      </c>
      <c r="B600" s="2" t="s">
        <v>2740</v>
      </c>
      <c r="C600" s="2" t="s">
        <v>2741</v>
      </c>
      <c r="D600" s="1">
        <v>23</v>
      </c>
      <c r="E600" s="2" t="s">
        <v>196</v>
      </c>
      <c r="F600" s="50" t="s">
        <v>2221</v>
      </c>
      <c r="G600" s="2" t="s">
        <v>2742</v>
      </c>
      <c r="H600" s="1">
        <v>8306</v>
      </c>
      <c r="I600" s="1">
        <v>8369</v>
      </c>
      <c r="J600" s="2" t="s">
        <v>1556</v>
      </c>
      <c r="K600" s="2" t="s">
        <v>1435</v>
      </c>
      <c r="L600" s="2" t="s">
        <v>949</v>
      </c>
      <c r="M600" s="1">
        <v>481</v>
      </c>
      <c r="N600" s="1">
        <v>12960</v>
      </c>
      <c r="O600" s="2" t="s">
        <v>65</v>
      </c>
      <c r="P600" s="2" t="s">
        <v>48</v>
      </c>
      <c r="Q600" s="2" t="s">
        <v>276</v>
      </c>
      <c r="R600" s="2" t="s">
        <v>50</v>
      </c>
      <c r="S600" s="2" t="s">
        <v>67</v>
      </c>
      <c r="T600" s="1">
        <v>5733</v>
      </c>
      <c r="U600" s="2" t="s">
        <v>51</v>
      </c>
      <c r="V600" s="1">
        <v>1020</v>
      </c>
      <c r="W600" s="1">
        <v>1051</v>
      </c>
      <c r="X600" s="2" t="s">
        <v>503</v>
      </c>
      <c r="Y600" s="2" t="s">
        <v>950</v>
      </c>
      <c r="Z600" s="2" t="s">
        <v>2167</v>
      </c>
      <c r="AA600" s="2" t="s">
        <v>2084</v>
      </c>
      <c r="AB600" s="1">
        <v>7227</v>
      </c>
      <c r="AC600" s="1">
        <v>3780</v>
      </c>
      <c r="AD600" s="1">
        <v>1452</v>
      </c>
      <c r="AE600" s="1">
        <v>387</v>
      </c>
      <c r="AF600" s="1">
        <v>109</v>
      </c>
      <c r="AG600" s="1">
        <v>5</v>
      </c>
      <c r="AH600" s="1">
        <v>6358</v>
      </c>
      <c r="AI600" s="1">
        <v>81</v>
      </c>
      <c r="AJ600" s="1">
        <v>433</v>
      </c>
      <c r="AK600" s="1">
        <v>1317</v>
      </c>
      <c r="AL600" s="1">
        <v>117</v>
      </c>
      <c r="AM600" s="1">
        <v>22</v>
      </c>
      <c r="AN600" s="2" t="s">
        <v>412</v>
      </c>
    </row>
    <row r="601" spans="1:40" ht="28.2" x14ac:dyDescent="0.3">
      <c r="A601" s="1">
        <v>10784</v>
      </c>
      <c r="B601" s="2" t="s">
        <v>2743</v>
      </c>
      <c r="C601" s="2" t="s">
        <v>2744</v>
      </c>
      <c r="D601" s="1">
        <v>24</v>
      </c>
      <c r="E601" s="2" t="s">
        <v>545</v>
      </c>
      <c r="F601" s="50" t="s">
        <v>914</v>
      </c>
      <c r="G601" s="2" t="s">
        <v>2745</v>
      </c>
      <c r="H601" s="1">
        <v>23216</v>
      </c>
      <c r="I601" s="1">
        <v>23547</v>
      </c>
      <c r="J601" s="2" t="s">
        <v>1208</v>
      </c>
      <c r="K601" s="2" t="s">
        <v>601</v>
      </c>
      <c r="L601" s="2" t="s">
        <v>224</v>
      </c>
      <c r="M601" s="1">
        <v>1298</v>
      </c>
      <c r="N601" s="1">
        <v>35053</v>
      </c>
      <c r="O601" s="2" t="s">
        <v>322</v>
      </c>
      <c r="P601" s="2" t="s">
        <v>202</v>
      </c>
      <c r="Q601" s="2" t="s">
        <v>225</v>
      </c>
      <c r="R601" s="2" t="s">
        <v>50</v>
      </c>
      <c r="S601" s="2" t="s">
        <v>50</v>
      </c>
      <c r="T601" s="1">
        <v>15940</v>
      </c>
      <c r="U601" s="2" t="s">
        <v>51</v>
      </c>
      <c r="V601" s="1">
        <v>3166</v>
      </c>
      <c r="W601" s="1">
        <v>3538</v>
      </c>
      <c r="X601" s="2" t="s">
        <v>1551</v>
      </c>
      <c r="Y601" s="2" t="s">
        <v>820</v>
      </c>
      <c r="Z601" s="2" t="s">
        <v>1462</v>
      </c>
      <c r="AA601" s="2" t="s">
        <v>518</v>
      </c>
      <c r="AB601" s="1">
        <v>19113</v>
      </c>
      <c r="AC601" s="1">
        <v>10287</v>
      </c>
      <c r="AD601" s="1">
        <v>4274</v>
      </c>
      <c r="AE601" s="1">
        <v>1156</v>
      </c>
      <c r="AF601" s="1">
        <v>202</v>
      </c>
      <c r="AG601" s="1">
        <v>21</v>
      </c>
      <c r="AH601" s="1">
        <v>16941</v>
      </c>
      <c r="AI601" s="1">
        <v>323</v>
      </c>
      <c r="AJ601" s="1">
        <v>1431</v>
      </c>
      <c r="AK601" s="1">
        <v>4136</v>
      </c>
      <c r="AL601" s="1">
        <v>393</v>
      </c>
      <c r="AM601" s="1">
        <v>57</v>
      </c>
      <c r="AN601" s="2" t="s">
        <v>412</v>
      </c>
    </row>
    <row r="602" spans="1:40" ht="28.2" x14ac:dyDescent="0.3">
      <c r="A602" s="1">
        <v>2898</v>
      </c>
      <c r="B602" s="2" t="s">
        <v>2746</v>
      </c>
      <c r="C602" s="2" t="s">
        <v>2747</v>
      </c>
      <c r="D602" s="1">
        <v>27</v>
      </c>
      <c r="E602" s="2" t="s">
        <v>196</v>
      </c>
      <c r="F602" s="50" t="s">
        <v>1086</v>
      </c>
      <c r="G602" s="2" t="s">
        <v>2748</v>
      </c>
      <c r="H602" s="1">
        <v>17047</v>
      </c>
      <c r="I602" s="1">
        <v>17443</v>
      </c>
      <c r="J602" s="2" t="s">
        <v>2328</v>
      </c>
      <c r="K602" s="2" t="s">
        <v>1435</v>
      </c>
      <c r="L602" s="2" t="s">
        <v>575</v>
      </c>
      <c r="M602" s="1">
        <v>958</v>
      </c>
      <c r="N602" s="1">
        <v>25914</v>
      </c>
      <c r="O602" s="2" t="s">
        <v>322</v>
      </c>
      <c r="P602" s="2" t="s">
        <v>48</v>
      </c>
      <c r="Q602" s="2" t="s">
        <v>225</v>
      </c>
      <c r="R602" s="2" t="s">
        <v>50</v>
      </c>
      <c r="S602" s="2" t="s">
        <v>67</v>
      </c>
      <c r="T602" s="1">
        <v>11635</v>
      </c>
      <c r="U602" s="2" t="s">
        <v>51</v>
      </c>
      <c r="V602" s="1">
        <v>2465</v>
      </c>
      <c r="W602" s="1">
        <v>2448</v>
      </c>
      <c r="X602" s="2" t="s">
        <v>255</v>
      </c>
      <c r="Y602" s="2" t="s">
        <v>245</v>
      </c>
      <c r="Z602" s="2" t="s">
        <v>1765</v>
      </c>
      <c r="AA602" s="2" t="s">
        <v>363</v>
      </c>
      <c r="AB602" s="1">
        <v>14279</v>
      </c>
      <c r="AC602" s="1">
        <v>7543</v>
      </c>
      <c r="AD602" s="1">
        <v>3017</v>
      </c>
      <c r="AE602" s="1">
        <v>860</v>
      </c>
      <c r="AF602" s="1">
        <v>191</v>
      </c>
      <c r="AG602" s="1">
        <v>24</v>
      </c>
      <c r="AH602" s="1">
        <v>12794</v>
      </c>
      <c r="AI602" s="1">
        <v>112</v>
      </c>
      <c r="AJ602" s="1">
        <v>1055</v>
      </c>
      <c r="AK602" s="1">
        <v>2779</v>
      </c>
      <c r="AL602" s="1">
        <v>319</v>
      </c>
      <c r="AM602" s="1">
        <v>43</v>
      </c>
      <c r="AN602" s="2" t="s">
        <v>503</v>
      </c>
    </row>
    <row r="603" spans="1:40" ht="28.2" x14ac:dyDescent="0.3">
      <c r="A603" s="1">
        <v>8368</v>
      </c>
      <c r="B603" s="2" t="s">
        <v>2749</v>
      </c>
      <c r="C603" s="2" t="s">
        <v>2750</v>
      </c>
      <c r="D603" s="1">
        <v>25</v>
      </c>
      <c r="E603" s="2" t="s">
        <v>75</v>
      </c>
      <c r="F603" s="50" t="s">
        <v>3514</v>
      </c>
      <c r="G603" s="2" t="s">
        <v>2751</v>
      </c>
      <c r="H603" s="1">
        <v>16152</v>
      </c>
      <c r="I603" s="1">
        <v>16425</v>
      </c>
      <c r="J603" s="2" t="s">
        <v>1218</v>
      </c>
      <c r="K603" s="2" t="s">
        <v>1499</v>
      </c>
      <c r="L603" s="2" t="s">
        <v>224</v>
      </c>
      <c r="M603" s="1">
        <v>922</v>
      </c>
      <c r="N603" s="1">
        <v>24189</v>
      </c>
      <c r="O603" s="2" t="s">
        <v>225</v>
      </c>
      <c r="P603" s="2" t="s">
        <v>202</v>
      </c>
      <c r="Q603" s="2" t="s">
        <v>167</v>
      </c>
      <c r="R603" s="2" t="s">
        <v>96</v>
      </c>
      <c r="S603" s="2" t="s">
        <v>66</v>
      </c>
      <c r="T603" s="1">
        <v>11138</v>
      </c>
      <c r="U603" s="2" t="s">
        <v>51</v>
      </c>
      <c r="V603" s="1">
        <v>2181</v>
      </c>
      <c r="W603" s="1">
        <v>2314</v>
      </c>
      <c r="X603" s="2" t="s">
        <v>1570</v>
      </c>
      <c r="Y603" s="2" t="s">
        <v>472</v>
      </c>
      <c r="Z603" s="2" t="s">
        <v>1467</v>
      </c>
      <c r="AA603" s="2" t="s">
        <v>1101</v>
      </c>
      <c r="AB603" s="1">
        <v>13051</v>
      </c>
      <c r="AC603" s="1">
        <v>7276</v>
      </c>
      <c r="AD603" s="1">
        <v>2902</v>
      </c>
      <c r="AE603" s="1">
        <v>789</v>
      </c>
      <c r="AF603" s="1">
        <v>154</v>
      </c>
      <c r="AG603" s="1">
        <v>17</v>
      </c>
      <c r="AH603" s="1">
        <v>10481</v>
      </c>
      <c r="AI603" s="1">
        <v>1414</v>
      </c>
      <c r="AJ603" s="1">
        <v>967</v>
      </c>
      <c r="AK603" s="1">
        <v>2985</v>
      </c>
      <c r="AL603" s="1">
        <v>258</v>
      </c>
      <c r="AM603" s="1">
        <v>79</v>
      </c>
      <c r="AN603" s="2" t="s">
        <v>503</v>
      </c>
    </row>
    <row r="604" spans="1:40" x14ac:dyDescent="0.3">
      <c r="A604" s="1">
        <v>10192</v>
      </c>
      <c r="B604" s="2" t="s">
        <v>2752</v>
      </c>
      <c r="C604" s="2" t="s">
        <v>2753</v>
      </c>
      <c r="D604" s="1">
        <v>28</v>
      </c>
      <c r="E604" s="2" t="s">
        <v>209</v>
      </c>
      <c r="F604" s="50" t="s">
        <v>1259</v>
      </c>
      <c r="G604" s="2" t="s">
        <v>2754</v>
      </c>
      <c r="H604" s="1">
        <v>10691</v>
      </c>
      <c r="I604" s="1">
        <v>10922</v>
      </c>
      <c r="J604" s="2" t="s">
        <v>2755</v>
      </c>
      <c r="K604" s="2" t="s">
        <v>582</v>
      </c>
      <c r="L604" s="2" t="s">
        <v>179</v>
      </c>
      <c r="M604" s="1">
        <v>598</v>
      </c>
      <c r="N604" s="1">
        <v>15794</v>
      </c>
      <c r="O604" s="2" t="s">
        <v>167</v>
      </c>
      <c r="P604" s="2" t="s">
        <v>48</v>
      </c>
      <c r="Q604" s="2" t="s">
        <v>463</v>
      </c>
      <c r="R604" s="2" t="s">
        <v>96</v>
      </c>
      <c r="S604" s="2" t="s">
        <v>96</v>
      </c>
      <c r="T604" s="1">
        <v>7376</v>
      </c>
      <c r="U604" s="2" t="s">
        <v>51</v>
      </c>
      <c r="V604" s="1">
        <v>1647</v>
      </c>
      <c r="W604" s="1">
        <v>1660</v>
      </c>
      <c r="X604" s="2" t="s">
        <v>285</v>
      </c>
      <c r="Y604" s="2" t="s">
        <v>255</v>
      </c>
      <c r="Z604" s="2" t="s">
        <v>1310</v>
      </c>
      <c r="AA604" s="2" t="s">
        <v>676</v>
      </c>
      <c r="AB604" s="1">
        <v>8418</v>
      </c>
      <c r="AC604" s="1">
        <v>4822</v>
      </c>
      <c r="AD604" s="1">
        <v>1913</v>
      </c>
      <c r="AE604" s="1">
        <v>528</v>
      </c>
      <c r="AF604" s="1">
        <v>106</v>
      </c>
      <c r="AG604" s="1">
        <v>7</v>
      </c>
      <c r="AH604" s="1">
        <v>5374</v>
      </c>
      <c r="AI604" s="1">
        <v>2683</v>
      </c>
      <c r="AJ604" s="1">
        <v>637</v>
      </c>
      <c r="AK604" s="1">
        <v>1925</v>
      </c>
      <c r="AL604" s="1">
        <v>65</v>
      </c>
      <c r="AM604" s="1">
        <v>38</v>
      </c>
      <c r="AN604" s="2" t="s">
        <v>503</v>
      </c>
    </row>
    <row r="605" spans="1:40" x14ac:dyDescent="0.3">
      <c r="A605" s="1">
        <v>15117</v>
      </c>
      <c r="B605" s="2" t="s">
        <v>2756</v>
      </c>
      <c r="C605" s="2" t="s">
        <v>2757</v>
      </c>
      <c r="D605" s="1">
        <v>21</v>
      </c>
      <c r="E605" s="2" t="s">
        <v>792</v>
      </c>
      <c r="F605" s="50" t="s">
        <v>981</v>
      </c>
      <c r="G605" s="2" t="s">
        <v>2758</v>
      </c>
      <c r="H605" s="1">
        <v>14980</v>
      </c>
      <c r="I605" s="1">
        <v>15598</v>
      </c>
      <c r="J605" s="2" t="s">
        <v>1737</v>
      </c>
      <c r="K605" s="2" t="s">
        <v>1494</v>
      </c>
      <c r="L605" s="2" t="s">
        <v>575</v>
      </c>
      <c r="M605" s="1">
        <v>832</v>
      </c>
      <c r="N605" s="1">
        <v>22130</v>
      </c>
      <c r="O605" s="2" t="s">
        <v>167</v>
      </c>
      <c r="P605" s="2" t="s">
        <v>202</v>
      </c>
      <c r="Q605" s="2" t="s">
        <v>905</v>
      </c>
      <c r="R605" s="2" t="s">
        <v>67</v>
      </c>
      <c r="S605" s="2" t="s">
        <v>96</v>
      </c>
      <c r="T605" s="1">
        <v>10089</v>
      </c>
      <c r="U605" s="2" t="s">
        <v>51</v>
      </c>
      <c r="V605" s="1">
        <v>2408</v>
      </c>
      <c r="W605" s="1">
        <v>2720</v>
      </c>
      <c r="X605" s="2" t="s">
        <v>1551</v>
      </c>
      <c r="Y605" s="2" t="s">
        <v>255</v>
      </c>
      <c r="Z605" s="2" t="s">
        <v>554</v>
      </c>
      <c r="AA605" s="2" t="s">
        <v>969</v>
      </c>
      <c r="AB605" s="1">
        <v>12041</v>
      </c>
      <c r="AC605" s="1">
        <v>6409</v>
      </c>
      <c r="AD605" s="1">
        <v>2652</v>
      </c>
      <c r="AE605" s="1">
        <v>861</v>
      </c>
      <c r="AF605" s="1">
        <v>151</v>
      </c>
      <c r="AG605" s="1">
        <v>16</v>
      </c>
      <c r="AH605" s="1">
        <v>10575</v>
      </c>
      <c r="AI605" s="1">
        <v>985</v>
      </c>
      <c r="AJ605" s="1">
        <v>704</v>
      </c>
      <c r="AK605" s="1">
        <v>2483</v>
      </c>
      <c r="AL605" s="1">
        <v>218</v>
      </c>
      <c r="AM605" s="1">
        <v>66</v>
      </c>
      <c r="AN605" s="2" t="s">
        <v>412</v>
      </c>
    </row>
    <row r="606" spans="1:40" ht="28.2" x14ac:dyDescent="0.3">
      <c r="A606" s="1">
        <v>3886</v>
      </c>
      <c r="B606" s="2" t="s">
        <v>2759</v>
      </c>
      <c r="C606" s="2" t="s">
        <v>2760</v>
      </c>
      <c r="D606" s="1">
        <v>31</v>
      </c>
      <c r="E606" s="2" t="s">
        <v>459</v>
      </c>
      <c r="F606" s="50" t="s">
        <v>3514</v>
      </c>
      <c r="G606" s="2" t="s">
        <v>2761</v>
      </c>
      <c r="H606" s="1">
        <v>10456</v>
      </c>
      <c r="I606" s="1">
        <v>10680</v>
      </c>
      <c r="J606" s="2" t="s">
        <v>1576</v>
      </c>
      <c r="K606" s="2">
        <v>76</v>
      </c>
      <c r="L606" s="2" t="s">
        <v>398</v>
      </c>
      <c r="M606" s="1">
        <v>603</v>
      </c>
      <c r="N606" s="1">
        <v>15586</v>
      </c>
      <c r="O606" s="2" t="s">
        <v>225</v>
      </c>
      <c r="P606" s="2" t="s">
        <v>166</v>
      </c>
      <c r="Q606" s="2" t="s">
        <v>463</v>
      </c>
      <c r="R606" s="2" t="s">
        <v>67</v>
      </c>
      <c r="S606" s="2" t="s">
        <v>67</v>
      </c>
      <c r="T606" s="1">
        <v>7209</v>
      </c>
      <c r="U606" s="2" t="s">
        <v>51</v>
      </c>
      <c r="V606" s="1">
        <v>1287</v>
      </c>
      <c r="W606" s="1">
        <v>1416</v>
      </c>
      <c r="X606" s="2" t="s">
        <v>1749</v>
      </c>
      <c r="Y606" s="2" t="s">
        <v>950</v>
      </c>
      <c r="Z606" s="2" t="s">
        <v>1490</v>
      </c>
      <c r="AA606" s="2" t="s">
        <v>1276</v>
      </c>
      <c r="AB606" s="1">
        <v>8377</v>
      </c>
      <c r="AC606" s="1">
        <v>4714</v>
      </c>
      <c r="AD606" s="1">
        <v>1876</v>
      </c>
      <c r="AE606" s="1">
        <v>496</v>
      </c>
      <c r="AF606" s="1">
        <v>113</v>
      </c>
      <c r="AG606" s="1">
        <v>10</v>
      </c>
      <c r="AH606" s="1">
        <v>7010</v>
      </c>
      <c r="AI606" s="1">
        <v>86</v>
      </c>
      <c r="AJ606" s="1">
        <v>955</v>
      </c>
      <c r="AK606" s="1">
        <v>2239</v>
      </c>
      <c r="AL606" s="1">
        <v>128</v>
      </c>
      <c r="AM606" s="1">
        <v>60</v>
      </c>
      <c r="AN606" s="2" t="s">
        <v>503</v>
      </c>
    </row>
    <row r="607" spans="1:40" x14ac:dyDescent="0.3">
      <c r="A607" s="1">
        <v>14055</v>
      </c>
      <c r="B607" s="2" t="s">
        <v>2762</v>
      </c>
      <c r="C607" s="2" t="s">
        <v>2763</v>
      </c>
      <c r="D607" s="1">
        <v>25</v>
      </c>
      <c r="E607" s="2" t="s">
        <v>75</v>
      </c>
      <c r="F607" s="50" t="s">
        <v>2300</v>
      </c>
      <c r="G607" s="2" t="s">
        <v>2764</v>
      </c>
      <c r="H607" s="1">
        <v>6962</v>
      </c>
      <c r="I607" s="1">
        <v>7069</v>
      </c>
      <c r="J607" s="2" t="s">
        <v>360</v>
      </c>
      <c r="K607" s="2">
        <v>74</v>
      </c>
      <c r="L607" s="2" t="s">
        <v>294</v>
      </c>
      <c r="M607" s="1">
        <v>395</v>
      </c>
      <c r="N607" s="1">
        <v>10494</v>
      </c>
      <c r="O607" s="2" t="s">
        <v>322</v>
      </c>
      <c r="P607" s="2" t="s">
        <v>235</v>
      </c>
      <c r="Q607" s="2" t="s">
        <v>225</v>
      </c>
      <c r="R607" s="2" t="s">
        <v>50</v>
      </c>
      <c r="S607" s="2" t="s">
        <v>67</v>
      </c>
      <c r="T607" s="1">
        <v>4820</v>
      </c>
      <c r="U607" s="2" t="s">
        <v>51</v>
      </c>
      <c r="V607" s="1">
        <v>933</v>
      </c>
      <c r="W607" s="1">
        <v>1024</v>
      </c>
      <c r="X607" s="2" t="s">
        <v>1749</v>
      </c>
      <c r="Y607" s="2" t="s">
        <v>820</v>
      </c>
      <c r="Z607" s="2" t="s">
        <v>237</v>
      </c>
      <c r="AA607" s="2" t="s">
        <v>1171</v>
      </c>
      <c r="AB607" s="1">
        <v>5674</v>
      </c>
      <c r="AC607" s="1">
        <v>3172</v>
      </c>
      <c r="AD607" s="1">
        <v>1242</v>
      </c>
      <c r="AE607" s="1">
        <v>323</v>
      </c>
      <c r="AF607" s="1">
        <v>78</v>
      </c>
      <c r="AG607" s="1">
        <v>5</v>
      </c>
      <c r="AH607" s="1">
        <v>4951</v>
      </c>
      <c r="AI607" s="1">
        <v>189</v>
      </c>
      <c r="AJ607" s="1">
        <v>496</v>
      </c>
      <c r="AK607" s="1">
        <v>1241</v>
      </c>
      <c r="AL607" s="1">
        <v>89</v>
      </c>
      <c r="AM607" s="1">
        <v>10</v>
      </c>
      <c r="AN607" s="2" t="s">
        <v>412</v>
      </c>
    </row>
    <row r="608" spans="1:40" x14ac:dyDescent="0.3">
      <c r="A608" s="1">
        <v>302</v>
      </c>
      <c r="B608" s="2" t="s">
        <v>2765</v>
      </c>
      <c r="C608" s="2" t="s">
        <v>2766</v>
      </c>
      <c r="D608" s="1">
        <v>33</v>
      </c>
      <c r="E608" s="2" t="s">
        <v>75</v>
      </c>
      <c r="F608" s="50" t="s">
        <v>3514</v>
      </c>
      <c r="G608" s="2" t="s">
        <v>2767</v>
      </c>
      <c r="H608" s="1">
        <v>14944</v>
      </c>
      <c r="I608" s="1">
        <v>15089</v>
      </c>
      <c r="J608" s="2" t="s">
        <v>2000</v>
      </c>
      <c r="K608" s="2" t="s">
        <v>582</v>
      </c>
      <c r="L608" s="2" t="s">
        <v>425</v>
      </c>
      <c r="M608" s="1">
        <v>852</v>
      </c>
      <c r="N608" s="1">
        <v>22314</v>
      </c>
      <c r="O608" s="2" t="s">
        <v>225</v>
      </c>
      <c r="P608" s="2" t="s">
        <v>166</v>
      </c>
      <c r="Q608" s="2" t="s">
        <v>167</v>
      </c>
      <c r="R608" s="2" t="s">
        <v>50</v>
      </c>
      <c r="S608" s="2" t="s">
        <v>50</v>
      </c>
      <c r="T608" s="1">
        <v>10358</v>
      </c>
      <c r="U608" s="2" t="s">
        <v>51</v>
      </c>
      <c r="V608" s="1">
        <v>1930</v>
      </c>
      <c r="W608" s="1">
        <v>1725</v>
      </c>
      <c r="X608" s="2" t="s">
        <v>370</v>
      </c>
      <c r="Y608" s="2" t="s">
        <v>503</v>
      </c>
      <c r="Z608" s="2" t="s">
        <v>473</v>
      </c>
      <c r="AA608" s="2" t="s">
        <v>518</v>
      </c>
      <c r="AB608" s="1">
        <v>11956</v>
      </c>
      <c r="AC608" s="1">
        <v>6807</v>
      </c>
      <c r="AD608" s="1">
        <v>2730</v>
      </c>
      <c r="AE608" s="1">
        <v>683</v>
      </c>
      <c r="AF608" s="1">
        <v>119</v>
      </c>
      <c r="AG608" s="1">
        <v>19</v>
      </c>
      <c r="AH608" s="1">
        <v>10659</v>
      </c>
      <c r="AI608" s="1">
        <v>1101</v>
      </c>
      <c r="AJ608" s="1">
        <v>364</v>
      </c>
      <c r="AK608" s="1">
        <v>2630</v>
      </c>
      <c r="AL608" s="1">
        <v>181</v>
      </c>
      <c r="AM608" s="1">
        <v>16</v>
      </c>
      <c r="AN608" s="2" t="s">
        <v>503</v>
      </c>
    </row>
    <row r="609" spans="1:40" ht="28.2" x14ac:dyDescent="0.3">
      <c r="A609" s="1">
        <v>12129</v>
      </c>
      <c r="B609" s="2" t="s">
        <v>2768</v>
      </c>
      <c r="C609" s="2" t="s">
        <v>2769</v>
      </c>
      <c r="D609" s="1">
        <v>25</v>
      </c>
      <c r="E609" s="2" t="s">
        <v>477</v>
      </c>
      <c r="F609" s="50" t="s">
        <v>593</v>
      </c>
      <c r="G609" s="2" t="s">
        <v>2770</v>
      </c>
      <c r="H609" s="1">
        <v>10034</v>
      </c>
      <c r="I609" s="1">
        <v>10257</v>
      </c>
      <c r="J609" s="2" t="s">
        <v>1516</v>
      </c>
      <c r="K609" s="2" t="s">
        <v>1680</v>
      </c>
      <c r="L609" s="2">
        <v>3</v>
      </c>
      <c r="M609" s="1">
        <v>591</v>
      </c>
      <c r="N609" s="1">
        <v>15136</v>
      </c>
      <c r="O609" s="2" t="s">
        <v>322</v>
      </c>
      <c r="P609" s="2" t="s">
        <v>166</v>
      </c>
      <c r="Q609" s="2" t="s">
        <v>167</v>
      </c>
      <c r="R609" s="2" t="s">
        <v>202</v>
      </c>
      <c r="S609" s="2" t="s">
        <v>67</v>
      </c>
      <c r="T609" s="1">
        <v>6919</v>
      </c>
      <c r="U609" s="2" t="s">
        <v>51</v>
      </c>
      <c r="V609" s="1">
        <v>1377</v>
      </c>
      <c r="W609" s="1">
        <v>1459</v>
      </c>
      <c r="X609" s="2" t="s">
        <v>1570</v>
      </c>
      <c r="Y609" s="2" t="s">
        <v>472</v>
      </c>
      <c r="Z609" s="2" t="s">
        <v>391</v>
      </c>
      <c r="AA609" s="2" t="s">
        <v>1083</v>
      </c>
      <c r="AB609" s="1">
        <v>8217</v>
      </c>
      <c r="AC609" s="1">
        <v>4552</v>
      </c>
      <c r="AD609" s="1">
        <v>1743</v>
      </c>
      <c r="AE609" s="1">
        <v>509</v>
      </c>
      <c r="AF609" s="1">
        <v>106</v>
      </c>
      <c r="AG609" s="1">
        <v>9</v>
      </c>
      <c r="AH609" s="1">
        <v>7220</v>
      </c>
      <c r="AI609" s="1">
        <v>31</v>
      </c>
      <c r="AJ609" s="1">
        <v>1011</v>
      </c>
      <c r="AK609" s="1">
        <v>1656</v>
      </c>
      <c r="AL609" s="1">
        <v>82</v>
      </c>
      <c r="AM609" s="1">
        <v>55</v>
      </c>
      <c r="AN609" s="2" t="s">
        <v>304</v>
      </c>
    </row>
    <row r="610" spans="1:40" x14ac:dyDescent="0.3">
      <c r="A610" s="1">
        <v>8446</v>
      </c>
      <c r="B610" s="2" t="s">
        <v>2771</v>
      </c>
      <c r="C610" s="2" t="s">
        <v>2772</v>
      </c>
      <c r="D610" s="1">
        <v>29</v>
      </c>
      <c r="E610" s="2" t="s">
        <v>758</v>
      </c>
      <c r="F610" s="50" t="s">
        <v>3514</v>
      </c>
      <c r="G610" s="2" t="s">
        <v>900</v>
      </c>
      <c r="H610" s="1">
        <v>6410</v>
      </c>
      <c r="I610" s="1">
        <v>6354</v>
      </c>
      <c r="J610" s="2" t="s">
        <v>925</v>
      </c>
      <c r="K610" s="2" t="s">
        <v>2773</v>
      </c>
      <c r="L610" s="2" t="s">
        <v>46</v>
      </c>
      <c r="M610" s="1">
        <v>397</v>
      </c>
      <c r="N610" s="1">
        <v>10059</v>
      </c>
      <c r="O610" s="2" t="s">
        <v>65</v>
      </c>
      <c r="P610" s="2" t="s">
        <v>235</v>
      </c>
      <c r="Q610" s="2" t="s">
        <v>215</v>
      </c>
      <c r="R610" s="2" t="s">
        <v>50</v>
      </c>
      <c r="S610" s="2" t="s">
        <v>67</v>
      </c>
      <c r="T610" s="1">
        <v>4506</v>
      </c>
      <c r="U610" s="2" t="s">
        <v>51</v>
      </c>
      <c r="V610" s="1">
        <v>733</v>
      </c>
      <c r="W610" s="1">
        <v>707</v>
      </c>
      <c r="X610" s="2" t="s">
        <v>407</v>
      </c>
      <c r="Y610" s="2" t="s">
        <v>1749</v>
      </c>
      <c r="Z610" s="2" t="s">
        <v>2774</v>
      </c>
      <c r="AA610" s="2" t="s">
        <v>2131</v>
      </c>
      <c r="AB610" s="1">
        <v>5553</v>
      </c>
      <c r="AC610" s="1">
        <v>3018</v>
      </c>
      <c r="AD610" s="1">
        <v>1131</v>
      </c>
      <c r="AE610" s="1">
        <v>308</v>
      </c>
      <c r="AF610" s="1">
        <v>43</v>
      </c>
      <c r="AG610" s="1">
        <v>6</v>
      </c>
      <c r="AH610" s="1">
        <v>4707</v>
      </c>
      <c r="AI610" s="1">
        <v>157</v>
      </c>
      <c r="AJ610" s="1">
        <v>413</v>
      </c>
      <c r="AK610" s="1">
        <v>1051</v>
      </c>
      <c r="AL610" s="1">
        <v>78</v>
      </c>
      <c r="AM610" s="1">
        <v>27</v>
      </c>
      <c r="AN610" s="2" t="s">
        <v>503</v>
      </c>
    </row>
    <row r="611" spans="1:40" ht="28.2" x14ac:dyDescent="0.3">
      <c r="A611" s="1">
        <v>8321</v>
      </c>
      <c r="B611" s="2" t="s">
        <v>2775</v>
      </c>
      <c r="C611" s="2" t="s">
        <v>2776</v>
      </c>
      <c r="D611" s="1">
        <v>25</v>
      </c>
      <c r="E611" s="2" t="s">
        <v>327</v>
      </c>
      <c r="F611" s="50" t="s">
        <v>2236</v>
      </c>
      <c r="G611" s="2" t="s">
        <v>2777</v>
      </c>
      <c r="H611" s="1">
        <v>18370</v>
      </c>
      <c r="I611" s="1">
        <v>18741</v>
      </c>
      <c r="J611" s="2" t="s">
        <v>696</v>
      </c>
      <c r="K611" s="2" t="s">
        <v>1018</v>
      </c>
      <c r="L611" s="2" t="s">
        <v>201</v>
      </c>
      <c r="M611" s="1">
        <v>1054</v>
      </c>
      <c r="N611" s="1">
        <v>28144</v>
      </c>
      <c r="O611" s="2" t="s">
        <v>276</v>
      </c>
      <c r="P611" s="2" t="s">
        <v>202</v>
      </c>
      <c r="Q611" s="2" t="s">
        <v>225</v>
      </c>
      <c r="R611" s="2" t="s">
        <v>50</v>
      </c>
      <c r="S611" s="2" t="s">
        <v>50</v>
      </c>
      <c r="T611" s="1">
        <v>12644</v>
      </c>
      <c r="U611" s="2" t="s">
        <v>51</v>
      </c>
      <c r="V611" s="1">
        <v>2577</v>
      </c>
      <c r="W611" s="1">
        <v>2777</v>
      </c>
      <c r="X611" s="2" t="s">
        <v>950</v>
      </c>
      <c r="Y611" s="2" t="s">
        <v>472</v>
      </c>
      <c r="Z611" s="2" t="s">
        <v>1467</v>
      </c>
      <c r="AA611" s="2" t="s">
        <v>1171</v>
      </c>
      <c r="AB611" s="1">
        <v>15500</v>
      </c>
      <c r="AC611" s="1">
        <v>8317</v>
      </c>
      <c r="AD611" s="1">
        <v>3168</v>
      </c>
      <c r="AE611" s="1">
        <v>947</v>
      </c>
      <c r="AF611" s="1">
        <v>191</v>
      </c>
      <c r="AG611" s="1">
        <v>21</v>
      </c>
      <c r="AH611" s="1">
        <v>13072</v>
      </c>
      <c r="AI611" s="1">
        <v>643</v>
      </c>
      <c r="AJ611" s="1">
        <v>984</v>
      </c>
      <c r="AK611" s="1">
        <v>3428</v>
      </c>
      <c r="AL611" s="1">
        <v>240</v>
      </c>
      <c r="AM611" s="1">
        <v>59</v>
      </c>
      <c r="AN611" s="2" t="s">
        <v>503</v>
      </c>
    </row>
    <row r="612" spans="1:40" ht="28.2" x14ac:dyDescent="0.3">
      <c r="A612" s="1">
        <v>7388</v>
      </c>
      <c r="B612" s="2" t="s">
        <v>2778</v>
      </c>
      <c r="C612" s="2" t="s">
        <v>2779</v>
      </c>
      <c r="D612" s="1">
        <v>29</v>
      </c>
      <c r="E612" s="2" t="s">
        <v>683</v>
      </c>
      <c r="F612" s="50" t="s">
        <v>2780</v>
      </c>
      <c r="G612" s="2" t="s">
        <v>2781</v>
      </c>
      <c r="H612" s="1">
        <v>11465</v>
      </c>
      <c r="I612" s="1">
        <v>11889</v>
      </c>
      <c r="J612" s="2" t="s">
        <v>432</v>
      </c>
      <c r="K612" s="2" t="s">
        <v>1119</v>
      </c>
      <c r="L612" s="2" t="s">
        <v>275</v>
      </c>
      <c r="M612" s="1">
        <v>642</v>
      </c>
      <c r="N612" s="1">
        <v>16858</v>
      </c>
      <c r="O612" s="2" t="s">
        <v>167</v>
      </c>
      <c r="P612" s="2" t="s">
        <v>166</v>
      </c>
      <c r="Q612" s="2" t="s">
        <v>646</v>
      </c>
      <c r="R612" s="2" t="s">
        <v>48</v>
      </c>
      <c r="S612" s="2" t="s">
        <v>67</v>
      </c>
      <c r="T612" s="1">
        <v>7823</v>
      </c>
      <c r="U612" s="2" t="s">
        <v>51</v>
      </c>
      <c r="V612" s="1">
        <v>1925</v>
      </c>
      <c r="W612" s="1">
        <v>1980</v>
      </c>
      <c r="X612" s="2" t="s">
        <v>503</v>
      </c>
      <c r="Y612" s="2" t="s">
        <v>407</v>
      </c>
      <c r="Z612" s="2" t="s">
        <v>1765</v>
      </c>
      <c r="AA612" s="2" t="s">
        <v>882</v>
      </c>
      <c r="AB612" s="1">
        <v>9035</v>
      </c>
      <c r="AC612" s="1">
        <v>5047</v>
      </c>
      <c r="AD612" s="1">
        <v>2058</v>
      </c>
      <c r="AE612" s="1">
        <v>587</v>
      </c>
      <c r="AF612" s="1">
        <v>114</v>
      </c>
      <c r="AG612" s="1">
        <v>17</v>
      </c>
      <c r="AH612" s="1">
        <v>7625</v>
      </c>
      <c r="AI612" s="1">
        <v>985</v>
      </c>
      <c r="AJ612" s="1">
        <v>665</v>
      </c>
      <c r="AK612" s="1">
        <v>2089</v>
      </c>
      <c r="AL612" s="1">
        <v>99</v>
      </c>
      <c r="AM612" s="1">
        <v>28</v>
      </c>
      <c r="AN612" s="2" t="s">
        <v>503</v>
      </c>
    </row>
    <row r="613" spans="1:40" ht="28.2" x14ac:dyDescent="0.3">
      <c r="A613" s="1">
        <v>17792</v>
      </c>
      <c r="B613" s="2" t="s">
        <v>2782</v>
      </c>
      <c r="C613" s="2" t="s">
        <v>2783</v>
      </c>
      <c r="D613" s="1">
        <v>21</v>
      </c>
      <c r="E613" s="2" t="s">
        <v>1144</v>
      </c>
      <c r="F613" s="50" t="s">
        <v>2784</v>
      </c>
      <c r="G613" s="2" t="s">
        <v>2785</v>
      </c>
      <c r="H613" s="1">
        <v>7803</v>
      </c>
      <c r="I613" s="1">
        <v>8065</v>
      </c>
      <c r="J613" s="2" t="s">
        <v>2786</v>
      </c>
      <c r="K613" s="2" t="s">
        <v>2787</v>
      </c>
      <c r="L613" s="2" t="s">
        <v>462</v>
      </c>
      <c r="M613" s="1">
        <v>436</v>
      </c>
      <c r="N613" s="1">
        <v>11668</v>
      </c>
      <c r="O613" s="2" t="s">
        <v>225</v>
      </c>
      <c r="P613" s="2" t="s">
        <v>48</v>
      </c>
      <c r="Q613" s="2" t="s">
        <v>463</v>
      </c>
      <c r="R613" s="2" t="s">
        <v>67</v>
      </c>
      <c r="S613" s="2" t="s">
        <v>48</v>
      </c>
      <c r="T613" s="1">
        <v>5317</v>
      </c>
      <c r="U613" s="2" t="s">
        <v>51</v>
      </c>
      <c r="V613" s="1">
        <v>1131</v>
      </c>
      <c r="W613" s="1">
        <v>1222</v>
      </c>
      <c r="X613" s="2" t="s">
        <v>950</v>
      </c>
      <c r="Y613" s="2" t="s">
        <v>245</v>
      </c>
      <c r="Z613" s="2" t="s">
        <v>1462</v>
      </c>
      <c r="AA613" s="2" t="s">
        <v>739</v>
      </c>
      <c r="AB613" s="1">
        <v>6351</v>
      </c>
      <c r="AC613" s="1">
        <v>3435</v>
      </c>
      <c r="AD613" s="1">
        <v>1360</v>
      </c>
      <c r="AE613" s="1">
        <v>447</v>
      </c>
      <c r="AF613" s="1">
        <v>68</v>
      </c>
      <c r="AG613" s="1">
        <v>7</v>
      </c>
      <c r="AH613" s="1">
        <v>5838</v>
      </c>
      <c r="AI613" s="1">
        <v>203</v>
      </c>
      <c r="AJ613" s="1">
        <v>394</v>
      </c>
      <c r="AK613" s="1">
        <v>1301</v>
      </c>
      <c r="AL613" s="1">
        <v>69</v>
      </c>
      <c r="AM613" s="1">
        <v>26</v>
      </c>
      <c r="AN613" s="2" t="s">
        <v>255</v>
      </c>
    </row>
    <row r="614" spans="1:40" x14ac:dyDescent="0.3">
      <c r="A614" s="1">
        <v>6593</v>
      </c>
      <c r="B614" s="2" t="s">
        <v>2788</v>
      </c>
      <c r="C614" s="2" t="s">
        <v>2789</v>
      </c>
      <c r="D614" s="1">
        <v>28</v>
      </c>
      <c r="E614" s="2" t="s">
        <v>104</v>
      </c>
      <c r="F614" s="50" t="s">
        <v>662</v>
      </c>
      <c r="G614" s="2" t="s">
        <v>2790</v>
      </c>
      <c r="H614" s="1">
        <v>19872</v>
      </c>
      <c r="I614" s="1">
        <v>20270</v>
      </c>
      <c r="J614" s="2" t="s">
        <v>2791</v>
      </c>
      <c r="K614" s="2" t="s">
        <v>494</v>
      </c>
      <c r="L614" s="2" t="s">
        <v>398</v>
      </c>
      <c r="M614" s="1">
        <v>1158</v>
      </c>
      <c r="N614" s="1">
        <v>30259</v>
      </c>
      <c r="O614" s="2" t="s">
        <v>322</v>
      </c>
      <c r="P614" s="2" t="s">
        <v>235</v>
      </c>
      <c r="Q614" s="2" t="s">
        <v>225</v>
      </c>
      <c r="R614" s="2" t="s">
        <v>50</v>
      </c>
      <c r="S614" s="2" t="s">
        <v>96</v>
      </c>
      <c r="T614" s="1">
        <v>13677</v>
      </c>
      <c r="U614" s="2" t="s">
        <v>51</v>
      </c>
      <c r="V614" s="1">
        <v>3001</v>
      </c>
      <c r="W614" s="1">
        <v>3167</v>
      </c>
      <c r="X614" s="2" t="s">
        <v>820</v>
      </c>
      <c r="Y614" s="2" t="s">
        <v>285</v>
      </c>
      <c r="Z614" s="2" t="s">
        <v>383</v>
      </c>
      <c r="AA614" s="2" t="s">
        <v>739</v>
      </c>
      <c r="AB614" s="1">
        <v>16582</v>
      </c>
      <c r="AC614" s="1">
        <v>8913</v>
      </c>
      <c r="AD614" s="1">
        <v>3546</v>
      </c>
      <c r="AE614" s="1">
        <v>1021</v>
      </c>
      <c r="AF614" s="1">
        <v>181</v>
      </c>
      <c r="AG614" s="1">
        <v>16</v>
      </c>
      <c r="AH614" s="1">
        <v>14758</v>
      </c>
      <c r="AI614" s="1">
        <v>827</v>
      </c>
      <c r="AJ614" s="1">
        <v>1165</v>
      </c>
      <c r="AK614" s="1">
        <v>2898</v>
      </c>
      <c r="AL614" s="1">
        <v>228</v>
      </c>
      <c r="AM614" s="1">
        <v>42</v>
      </c>
      <c r="AN614" s="2" t="s">
        <v>503</v>
      </c>
    </row>
    <row r="615" spans="1:40" ht="28.2" x14ac:dyDescent="0.3">
      <c r="A615" s="1">
        <v>8569</v>
      </c>
      <c r="B615" s="2" t="s">
        <v>2792</v>
      </c>
      <c r="C615" s="2" t="s">
        <v>2793</v>
      </c>
      <c r="D615" s="1">
        <v>27</v>
      </c>
      <c r="E615" s="2" t="s">
        <v>42</v>
      </c>
      <c r="F615" s="50" t="s">
        <v>2794</v>
      </c>
      <c r="G615" s="2" t="s">
        <v>2795</v>
      </c>
      <c r="H615" s="1">
        <v>11006</v>
      </c>
      <c r="I615" s="1">
        <v>11297</v>
      </c>
      <c r="J615" s="2" t="s">
        <v>931</v>
      </c>
      <c r="K615" s="2" t="s">
        <v>999</v>
      </c>
      <c r="L615" s="2" t="s">
        <v>589</v>
      </c>
      <c r="M615" s="1">
        <v>636</v>
      </c>
      <c r="N615" s="1">
        <v>16582</v>
      </c>
      <c r="O615" s="2" t="s">
        <v>322</v>
      </c>
      <c r="P615" s="2" t="s">
        <v>202</v>
      </c>
      <c r="Q615" s="2" t="s">
        <v>167</v>
      </c>
      <c r="R615" s="2" t="s">
        <v>50</v>
      </c>
      <c r="S615" s="2" t="s">
        <v>96</v>
      </c>
      <c r="T615" s="1">
        <v>7544</v>
      </c>
      <c r="U615" s="2" t="s">
        <v>51</v>
      </c>
      <c r="V615" s="1">
        <v>1544</v>
      </c>
      <c r="W615" s="1">
        <v>1636</v>
      </c>
      <c r="X615" s="2" t="s">
        <v>1570</v>
      </c>
      <c r="Y615" s="2" t="s">
        <v>503</v>
      </c>
      <c r="Z615" s="2" t="s">
        <v>983</v>
      </c>
      <c r="AA615" s="2" t="s">
        <v>1101</v>
      </c>
      <c r="AB615" s="1">
        <v>9038</v>
      </c>
      <c r="AC615" s="1">
        <v>4888</v>
      </c>
      <c r="AD615" s="1">
        <v>1978</v>
      </c>
      <c r="AE615" s="1">
        <v>566</v>
      </c>
      <c r="AF615" s="1">
        <v>104</v>
      </c>
      <c r="AG615" s="1">
        <v>8</v>
      </c>
      <c r="AH615" s="1">
        <v>7264</v>
      </c>
      <c r="AI615" s="1">
        <v>287</v>
      </c>
      <c r="AJ615" s="1">
        <v>1065</v>
      </c>
      <c r="AK615" s="1">
        <v>2228</v>
      </c>
      <c r="AL615" s="1">
        <v>120</v>
      </c>
      <c r="AM615" s="1">
        <v>62</v>
      </c>
      <c r="AN615" s="2" t="s">
        <v>503</v>
      </c>
    </row>
    <row r="616" spans="1:40" x14ac:dyDescent="0.3">
      <c r="A616" s="1">
        <v>3347</v>
      </c>
      <c r="B616" s="2" t="s">
        <v>2796</v>
      </c>
      <c r="C616" s="2" t="s">
        <v>2797</v>
      </c>
      <c r="D616" s="1">
        <v>27</v>
      </c>
      <c r="E616" s="2" t="s">
        <v>75</v>
      </c>
      <c r="F616" s="50" t="s">
        <v>2798</v>
      </c>
      <c r="G616" s="2" t="s">
        <v>60</v>
      </c>
      <c r="H616" s="1">
        <v>26348</v>
      </c>
      <c r="I616" s="1">
        <v>26940</v>
      </c>
      <c r="J616" s="2" t="s">
        <v>1129</v>
      </c>
      <c r="K616" s="2" t="s">
        <v>1288</v>
      </c>
      <c r="L616" s="2" t="s">
        <v>282</v>
      </c>
      <c r="M616" s="1">
        <v>1507</v>
      </c>
      <c r="N616" s="1">
        <v>39658</v>
      </c>
      <c r="O616" s="2" t="s">
        <v>322</v>
      </c>
      <c r="P616" s="2" t="s">
        <v>166</v>
      </c>
      <c r="Q616" s="2" t="s">
        <v>167</v>
      </c>
      <c r="R616" s="2" t="s">
        <v>66</v>
      </c>
      <c r="S616" s="2" t="s">
        <v>135</v>
      </c>
      <c r="T616" s="1">
        <v>18157</v>
      </c>
      <c r="U616" s="2" t="s">
        <v>51</v>
      </c>
      <c r="V616" s="1">
        <v>3935</v>
      </c>
      <c r="W616" s="1">
        <v>4229</v>
      </c>
      <c r="X616" s="2" t="s">
        <v>950</v>
      </c>
      <c r="Y616" s="2" t="s">
        <v>285</v>
      </c>
      <c r="Z616" s="2" t="s">
        <v>137</v>
      </c>
      <c r="AA616" s="2" t="s">
        <v>408</v>
      </c>
      <c r="AB616" s="1">
        <v>21501</v>
      </c>
      <c r="AC616" s="1">
        <v>11915</v>
      </c>
      <c r="AD616" s="1">
        <v>4642</v>
      </c>
      <c r="AE616" s="1">
        <v>1330</v>
      </c>
      <c r="AF616" s="1">
        <v>247</v>
      </c>
      <c r="AG616" s="1">
        <v>23</v>
      </c>
      <c r="AH616" s="1">
        <v>18815</v>
      </c>
      <c r="AI616" s="1">
        <v>1313</v>
      </c>
      <c r="AJ616" s="1">
        <v>1434</v>
      </c>
      <c r="AK616" s="1">
        <v>4193</v>
      </c>
      <c r="AL616" s="1">
        <v>411</v>
      </c>
      <c r="AM616" s="1">
        <v>218</v>
      </c>
      <c r="AN616" s="2" t="s">
        <v>503</v>
      </c>
    </row>
    <row r="617" spans="1:40" x14ac:dyDescent="0.3">
      <c r="A617" s="1">
        <v>10666</v>
      </c>
      <c r="B617" s="2" t="s">
        <v>2799</v>
      </c>
      <c r="C617" s="2" t="s">
        <v>2800</v>
      </c>
      <c r="D617" s="1">
        <v>24</v>
      </c>
      <c r="E617" s="2" t="s">
        <v>477</v>
      </c>
      <c r="F617" s="50" t="s">
        <v>593</v>
      </c>
      <c r="G617" s="2" t="s">
        <v>2801</v>
      </c>
      <c r="H617" s="1">
        <v>8516</v>
      </c>
      <c r="I617" s="1">
        <v>8729</v>
      </c>
      <c r="J617" s="2" t="s">
        <v>360</v>
      </c>
      <c r="K617" s="2" t="s">
        <v>1234</v>
      </c>
      <c r="L617" s="2" t="s">
        <v>462</v>
      </c>
      <c r="M617" s="1">
        <v>495</v>
      </c>
      <c r="N617" s="1">
        <v>12791</v>
      </c>
      <c r="O617" s="2" t="s">
        <v>225</v>
      </c>
      <c r="P617" s="2" t="s">
        <v>202</v>
      </c>
      <c r="Q617" s="2" t="s">
        <v>167</v>
      </c>
      <c r="R617" s="2" t="s">
        <v>50</v>
      </c>
      <c r="S617" s="2" t="s">
        <v>50</v>
      </c>
      <c r="T617" s="1">
        <v>5886</v>
      </c>
      <c r="U617" s="2" t="s">
        <v>51</v>
      </c>
      <c r="V617" s="1">
        <v>1143</v>
      </c>
      <c r="W617" s="1">
        <v>1262</v>
      </c>
      <c r="X617" s="2" t="s">
        <v>1749</v>
      </c>
      <c r="Y617" s="2" t="s">
        <v>820</v>
      </c>
      <c r="Z617" s="2" t="s">
        <v>809</v>
      </c>
      <c r="AA617" s="2" t="s">
        <v>1244</v>
      </c>
      <c r="AB617" s="1">
        <v>6905</v>
      </c>
      <c r="AC617" s="1">
        <v>3884</v>
      </c>
      <c r="AD617" s="1">
        <v>1466</v>
      </c>
      <c r="AE617" s="1">
        <v>450</v>
      </c>
      <c r="AF617" s="1">
        <v>80</v>
      </c>
      <c r="AG617" s="1">
        <v>6</v>
      </c>
      <c r="AH617" s="1">
        <v>6228</v>
      </c>
      <c r="AI617" s="1">
        <v>254</v>
      </c>
      <c r="AJ617" s="1">
        <v>512</v>
      </c>
      <c r="AK617" s="1">
        <v>1409</v>
      </c>
      <c r="AL617" s="1">
        <v>100</v>
      </c>
      <c r="AM617" s="1">
        <v>44</v>
      </c>
      <c r="AN617" s="2" t="s">
        <v>449</v>
      </c>
    </row>
    <row r="618" spans="1:40" ht="28.2" x14ac:dyDescent="0.3">
      <c r="A618" s="1">
        <v>7925</v>
      </c>
      <c r="B618" s="2" t="s">
        <v>2802</v>
      </c>
      <c r="C618" s="2" t="s">
        <v>2803</v>
      </c>
      <c r="D618" s="1">
        <v>32</v>
      </c>
      <c r="E618" s="2" t="s">
        <v>187</v>
      </c>
      <c r="F618" s="50" t="s">
        <v>3514</v>
      </c>
      <c r="G618" s="2" t="s">
        <v>2804</v>
      </c>
      <c r="H618" s="1">
        <v>7943</v>
      </c>
      <c r="I618" s="1">
        <v>8207</v>
      </c>
      <c r="J618" s="2" t="s">
        <v>2755</v>
      </c>
      <c r="K618" s="2">
        <v>76</v>
      </c>
      <c r="L618" s="2" t="s">
        <v>164</v>
      </c>
      <c r="M618" s="1">
        <v>441</v>
      </c>
      <c r="N618" s="1">
        <v>11654</v>
      </c>
      <c r="O618" s="2" t="s">
        <v>167</v>
      </c>
      <c r="P618" s="2" t="s">
        <v>553</v>
      </c>
      <c r="Q618" s="2" t="s">
        <v>905</v>
      </c>
      <c r="R618" s="2" t="s">
        <v>67</v>
      </c>
      <c r="S618" s="2" t="s">
        <v>67</v>
      </c>
      <c r="T618" s="1">
        <v>5470</v>
      </c>
      <c r="U618" s="2" t="s">
        <v>51</v>
      </c>
      <c r="V618" s="1">
        <v>1142</v>
      </c>
      <c r="W618" s="1">
        <v>1096</v>
      </c>
      <c r="X618" s="2" t="s">
        <v>407</v>
      </c>
      <c r="Y618" s="2">
        <v>1</v>
      </c>
      <c r="Z618" s="2" t="s">
        <v>653</v>
      </c>
      <c r="AA618" s="2" t="s">
        <v>844</v>
      </c>
      <c r="AB618" s="1">
        <v>6184</v>
      </c>
      <c r="AC618" s="1">
        <v>3575</v>
      </c>
      <c r="AD618" s="1">
        <v>1428</v>
      </c>
      <c r="AE618" s="1">
        <v>369</v>
      </c>
      <c r="AF618" s="1">
        <v>93</v>
      </c>
      <c r="AG618" s="1">
        <v>5</v>
      </c>
      <c r="AH618" s="1">
        <v>4880</v>
      </c>
      <c r="AI618" s="1">
        <v>1030</v>
      </c>
      <c r="AJ618" s="1">
        <v>288</v>
      </c>
      <c r="AK618" s="1">
        <v>1628</v>
      </c>
      <c r="AL618" s="1">
        <v>92</v>
      </c>
      <c r="AM618" s="1">
        <v>46</v>
      </c>
      <c r="AN618" s="2" t="s">
        <v>503</v>
      </c>
    </row>
    <row r="619" spans="1:40" x14ac:dyDescent="0.3">
      <c r="A619" s="1">
        <v>14957</v>
      </c>
      <c r="B619" s="2" t="s">
        <v>2805</v>
      </c>
      <c r="C619" s="2" t="s">
        <v>2806</v>
      </c>
      <c r="D619" s="1">
        <v>23</v>
      </c>
      <c r="E619" s="2" t="s">
        <v>299</v>
      </c>
      <c r="F619" s="50" t="s">
        <v>3514</v>
      </c>
      <c r="G619" s="2" t="s">
        <v>2807</v>
      </c>
      <c r="H619" s="1">
        <v>7380</v>
      </c>
      <c r="I619" s="1">
        <v>7600</v>
      </c>
      <c r="J619" s="2" t="s">
        <v>360</v>
      </c>
      <c r="K619" s="2" t="s">
        <v>2052</v>
      </c>
      <c r="L619" s="2" t="s">
        <v>164</v>
      </c>
      <c r="M619" s="1">
        <v>433</v>
      </c>
      <c r="N619" s="1">
        <v>11216</v>
      </c>
      <c r="O619" s="2" t="s">
        <v>322</v>
      </c>
      <c r="P619" s="2" t="s">
        <v>202</v>
      </c>
      <c r="Q619" s="2" t="s">
        <v>167</v>
      </c>
      <c r="R619" s="2" t="s">
        <v>50</v>
      </c>
      <c r="S619" s="2" t="s">
        <v>50</v>
      </c>
      <c r="T619" s="1">
        <v>5083</v>
      </c>
      <c r="U619" s="2" t="s">
        <v>51</v>
      </c>
      <c r="V619" s="1">
        <v>867</v>
      </c>
      <c r="W619" s="1">
        <v>968</v>
      </c>
      <c r="X619" s="2" t="s">
        <v>1906</v>
      </c>
      <c r="Y619" s="2" t="s">
        <v>1749</v>
      </c>
      <c r="Z619" s="2" t="s">
        <v>183</v>
      </c>
      <c r="AA619" s="2" t="s">
        <v>2429</v>
      </c>
      <c r="AB619" s="1">
        <v>6133</v>
      </c>
      <c r="AC619" s="1">
        <v>3351</v>
      </c>
      <c r="AD619" s="1">
        <v>1268</v>
      </c>
      <c r="AE619" s="1">
        <v>373</v>
      </c>
      <c r="AF619" s="1">
        <v>81</v>
      </c>
      <c r="AG619" s="1">
        <v>10</v>
      </c>
      <c r="AH619" s="1">
        <v>5233</v>
      </c>
      <c r="AI619" s="1">
        <v>395</v>
      </c>
      <c r="AJ619" s="1">
        <v>346</v>
      </c>
      <c r="AK619" s="1">
        <v>1320</v>
      </c>
      <c r="AL619" s="1">
        <v>99</v>
      </c>
      <c r="AM619" s="1">
        <v>13</v>
      </c>
      <c r="AN619" s="2" t="s">
        <v>255</v>
      </c>
    </row>
    <row r="620" spans="1:40" x14ac:dyDescent="0.3">
      <c r="A620" s="1">
        <v>971</v>
      </c>
      <c r="B620" s="2" t="s">
        <v>2808</v>
      </c>
      <c r="C620" s="2" t="s">
        <v>2809</v>
      </c>
      <c r="D620" s="1">
        <v>32</v>
      </c>
      <c r="E620" s="2" t="s">
        <v>452</v>
      </c>
      <c r="F620" s="50" t="s">
        <v>3514</v>
      </c>
      <c r="G620" s="2" t="s">
        <v>2810</v>
      </c>
      <c r="H620" s="1">
        <v>15822</v>
      </c>
      <c r="I620" s="1">
        <v>16067</v>
      </c>
      <c r="J620" s="2" t="s">
        <v>1951</v>
      </c>
      <c r="K620" s="2">
        <v>71</v>
      </c>
      <c r="L620" s="2" t="s">
        <v>612</v>
      </c>
      <c r="M620" s="1">
        <v>935</v>
      </c>
      <c r="N620" s="1">
        <v>24443</v>
      </c>
      <c r="O620" s="2" t="s">
        <v>276</v>
      </c>
      <c r="P620" s="2" t="s">
        <v>235</v>
      </c>
      <c r="Q620" s="2" t="s">
        <v>322</v>
      </c>
      <c r="R620" s="2" t="s">
        <v>50</v>
      </c>
      <c r="S620" s="2" t="s">
        <v>50</v>
      </c>
      <c r="T620" s="1">
        <v>10923</v>
      </c>
      <c r="U620" s="2" t="s">
        <v>51</v>
      </c>
      <c r="V620" s="1">
        <v>1927</v>
      </c>
      <c r="W620" s="1">
        <v>2121</v>
      </c>
      <c r="X620" s="2" t="s">
        <v>1749</v>
      </c>
      <c r="Y620" s="2" t="s">
        <v>1314</v>
      </c>
      <c r="Z620" s="2" t="s">
        <v>1121</v>
      </c>
      <c r="AA620" s="2" t="s">
        <v>474</v>
      </c>
      <c r="AB620" s="1">
        <v>13520</v>
      </c>
      <c r="AC620" s="1">
        <v>7141</v>
      </c>
      <c r="AD620" s="1">
        <v>2825</v>
      </c>
      <c r="AE620" s="1">
        <v>817</v>
      </c>
      <c r="AF620" s="1">
        <v>132</v>
      </c>
      <c r="AG620" s="1">
        <v>8</v>
      </c>
      <c r="AH620" s="1">
        <v>12016</v>
      </c>
      <c r="AI620" s="1">
        <v>111</v>
      </c>
      <c r="AJ620" s="1">
        <v>710</v>
      </c>
      <c r="AK620" s="1">
        <v>2704</v>
      </c>
      <c r="AL620" s="1">
        <v>224</v>
      </c>
      <c r="AM620" s="1">
        <v>78</v>
      </c>
      <c r="AN620" s="2" t="s">
        <v>503</v>
      </c>
    </row>
    <row r="621" spans="1:40" ht="28.2" x14ac:dyDescent="0.3">
      <c r="A621" s="1">
        <v>11248</v>
      </c>
      <c r="B621" s="2" t="s">
        <v>2811</v>
      </c>
      <c r="C621" s="2" t="s">
        <v>2812</v>
      </c>
      <c r="D621" s="1">
        <v>28</v>
      </c>
      <c r="E621" s="2" t="s">
        <v>477</v>
      </c>
      <c r="F621" s="50" t="s">
        <v>3514</v>
      </c>
      <c r="G621" s="2" t="s">
        <v>2813</v>
      </c>
      <c r="H621" s="1">
        <v>6618</v>
      </c>
      <c r="I621" s="1">
        <v>6689</v>
      </c>
      <c r="J621" s="2" t="s">
        <v>2308</v>
      </c>
      <c r="K621" s="2" t="s">
        <v>2727</v>
      </c>
      <c r="L621" s="2" t="s">
        <v>462</v>
      </c>
      <c r="M621" s="1">
        <v>398</v>
      </c>
      <c r="N621" s="1">
        <v>10120</v>
      </c>
      <c r="O621" s="2" t="s">
        <v>276</v>
      </c>
      <c r="P621" s="2" t="s">
        <v>202</v>
      </c>
      <c r="Q621" s="2" t="s">
        <v>322</v>
      </c>
      <c r="R621" s="2" t="s">
        <v>96</v>
      </c>
      <c r="S621" s="2" t="s">
        <v>66</v>
      </c>
      <c r="T621" s="1">
        <v>4618</v>
      </c>
      <c r="U621" s="2" t="s">
        <v>51</v>
      </c>
      <c r="V621" s="1">
        <v>882</v>
      </c>
      <c r="W621" s="1">
        <v>809</v>
      </c>
      <c r="X621" s="2" t="s">
        <v>295</v>
      </c>
      <c r="Y621" s="2" t="s">
        <v>503</v>
      </c>
      <c r="Z621" s="2" t="s">
        <v>705</v>
      </c>
      <c r="AA621" s="2" t="s">
        <v>828</v>
      </c>
      <c r="AB621" s="1">
        <v>5502</v>
      </c>
      <c r="AC621" s="1">
        <v>3054</v>
      </c>
      <c r="AD621" s="1">
        <v>1179</v>
      </c>
      <c r="AE621" s="1">
        <v>338</v>
      </c>
      <c r="AF621" s="1">
        <v>43</v>
      </c>
      <c r="AG621" s="1">
        <v>4</v>
      </c>
      <c r="AH621" s="1">
        <v>3794</v>
      </c>
      <c r="AI621" s="1">
        <v>708</v>
      </c>
      <c r="AJ621" s="1">
        <v>833</v>
      </c>
      <c r="AK621" s="1">
        <v>1216</v>
      </c>
      <c r="AL621" s="1">
        <v>59</v>
      </c>
      <c r="AM621" s="1">
        <v>15</v>
      </c>
      <c r="AN621" s="2" t="s">
        <v>449</v>
      </c>
    </row>
    <row r="622" spans="1:40" x14ac:dyDescent="0.3">
      <c r="A622" s="1">
        <v>11891</v>
      </c>
      <c r="B622" s="2" t="s">
        <v>2814</v>
      </c>
      <c r="C622" s="2" t="s">
        <v>2815</v>
      </c>
      <c r="D622" s="1">
        <v>25</v>
      </c>
      <c r="E622" s="2" t="s">
        <v>327</v>
      </c>
      <c r="F622" s="50" t="s">
        <v>2473</v>
      </c>
      <c r="G622" s="2" t="s">
        <v>2816</v>
      </c>
      <c r="H622" s="1">
        <v>22976</v>
      </c>
      <c r="I622" s="1">
        <v>23369</v>
      </c>
      <c r="J622" s="2" t="s">
        <v>162</v>
      </c>
      <c r="K622" s="2" t="s">
        <v>1234</v>
      </c>
      <c r="L622" s="2" t="s">
        <v>782</v>
      </c>
      <c r="M622" s="1">
        <v>1312</v>
      </c>
      <c r="N622" s="1">
        <v>35125</v>
      </c>
      <c r="O622" s="2" t="s">
        <v>276</v>
      </c>
      <c r="P622" s="2" t="s">
        <v>202</v>
      </c>
      <c r="Q622" s="2" t="s">
        <v>225</v>
      </c>
      <c r="R622" s="2" t="s">
        <v>96</v>
      </c>
      <c r="S622" s="2" t="s">
        <v>96</v>
      </c>
      <c r="T622" s="1">
        <v>15974</v>
      </c>
      <c r="U622" s="2" t="s">
        <v>51</v>
      </c>
      <c r="V622" s="1">
        <v>2796</v>
      </c>
      <c r="W622" s="1">
        <v>2915</v>
      </c>
      <c r="X622" s="2" t="s">
        <v>472</v>
      </c>
      <c r="Y622" s="2" t="s">
        <v>950</v>
      </c>
      <c r="Z622" s="2" t="s">
        <v>795</v>
      </c>
      <c r="AA622" s="2" t="s">
        <v>1572</v>
      </c>
      <c r="AB622" s="1">
        <v>19151</v>
      </c>
      <c r="AC622" s="1">
        <v>10531</v>
      </c>
      <c r="AD622" s="1">
        <v>4139</v>
      </c>
      <c r="AE622" s="1">
        <v>1066</v>
      </c>
      <c r="AF622" s="1">
        <v>221</v>
      </c>
      <c r="AG622" s="1">
        <v>17</v>
      </c>
      <c r="AH622" s="1">
        <v>17039</v>
      </c>
      <c r="AI622" s="1">
        <v>679</v>
      </c>
      <c r="AJ622" s="1">
        <v>1177</v>
      </c>
      <c r="AK622" s="1">
        <v>3651</v>
      </c>
      <c r="AL622" s="1">
        <v>399</v>
      </c>
      <c r="AM622" s="1">
        <v>54</v>
      </c>
      <c r="AN622" s="2" t="s">
        <v>449</v>
      </c>
    </row>
    <row r="623" spans="1:40" x14ac:dyDescent="0.3">
      <c r="A623" s="1">
        <v>8137</v>
      </c>
      <c r="B623" s="2" t="s">
        <v>2817</v>
      </c>
      <c r="C623" s="2" t="s">
        <v>2818</v>
      </c>
      <c r="D623" s="1">
        <v>33</v>
      </c>
      <c r="E623" s="2" t="s">
        <v>459</v>
      </c>
      <c r="F623" s="50" t="s">
        <v>3514</v>
      </c>
      <c r="G623" s="2" t="s">
        <v>2819</v>
      </c>
      <c r="H623" s="1">
        <v>14788</v>
      </c>
      <c r="I623" s="1">
        <v>14862</v>
      </c>
      <c r="J623" s="2" t="s">
        <v>2461</v>
      </c>
      <c r="K623" s="2" t="s">
        <v>999</v>
      </c>
      <c r="L623" s="2" t="s">
        <v>589</v>
      </c>
      <c r="M623" s="1">
        <v>865</v>
      </c>
      <c r="N623" s="1">
        <v>22664</v>
      </c>
      <c r="O623" s="2" t="s">
        <v>276</v>
      </c>
      <c r="P623" s="2" t="s">
        <v>166</v>
      </c>
      <c r="Q623" s="2" t="s">
        <v>322</v>
      </c>
      <c r="R623" s="2" t="s">
        <v>96</v>
      </c>
      <c r="S623" s="2" t="s">
        <v>50</v>
      </c>
      <c r="T623" s="1">
        <v>10411</v>
      </c>
      <c r="U623" s="2" t="s">
        <v>51</v>
      </c>
      <c r="V623" s="1">
        <v>1888</v>
      </c>
      <c r="W623" s="1">
        <v>1855</v>
      </c>
      <c r="X623" s="2" t="s">
        <v>449</v>
      </c>
      <c r="Y623" s="2" t="s">
        <v>820</v>
      </c>
      <c r="Z623" s="2" t="s">
        <v>809</v>
      </c>
      <c r="AA623" s="2" t="s">
        <v>2053</v>
      </c>
      <c r="AB623" s="1">
        <v>12253</v>
      </c>
      <c r="AC623" s="1">
        <v>6991</v>
      </c>
      <c r="AD623" s="1">
        <v>2630</v>
      </c>
      <c r="AE623" s="1">
        <v>656</v>
      </c>
      <c r="AF623" s="1">
        <v>122</v>
      </c>
      <c r="AG623" s="1">
        <v>12</v>
      </c>
      <c r="AH623" s="1">
        <v>10174</v>
      </c>
      <c r="AI623" s="1">
        <v>805</v>
      </c>
      <c r="AJ623" s="1">
        <v>760</v>
      </c>
      <c r="AK623" s="1">
        <v>2803</v>
      </c>
      <c r="AL623" s="1">
        <v>215</v>
      </c>
      <c r="AM623" s="1">
        <v>50</v>
      </c>
      <c r="AN623" s="2" t="s">
        <v>503</v>
      </c>
    </row>
    <row r="624" spans="1:40" ht="28.2" x14ac:dyDescent="0.3">
      <c r="A624" s="1">
        <v>7716</v>
      </c>
      <c r="B624" s="2" t="s">
        <v>2820</v>
      </c>
      <c r="C624" s="2" t="s">
        <v>2821</v>
      </c>
      <c r="D624" s="1">
        <v>25</v>
      </c>
      <c r="E624" s="2" t="s">
        <v>75</v>
      </c>
      <c r="F624" s="50" t="s">
        <v>1242</v>
      </c>
      <c r="G624" s="2" t="s">
        <v>2822</v>
      </c>
      <c r="H624" s="1">
        <v>19066</v>
      </c>
      <c r="I624" s="1">
        <v>19479</v>
      </c>
      <c r="J624" s="2" t="s">
        <v>2823</v>
      </c>
      <c r="K624" s="2" t="s">
        <v>2727</v>
      </c>
      <c r="L624" s="2" t="s">
        <v>224</v>
      </c>
      <c r="M624" s="1">
        <v>1103</v>
      </c>
      <c r="N624" s="1">
        <v>29250</v>
      </c>
      <c r="O624" s="2" t="s">
        <v>276</v>
      </c>
      <c r="P624" s="2" t="s">
        <v>202</v>
      </c>
      <c r="Q624" s="2" t="s">
        <v>225</v>
      </c>
      <c r="R624" s="2" t="s">
        <v>50</v>
      </c>
      <c r="S624" s="2" t="s">
        <v>96</v>
      </c>
      <c r="T624" s="1">
        <v>13161</v>
      </c>
      <c r="U624" s="2" t="s">
        <v>51</v>
      </c>
      <c r="V624" s="1">
        <v>2856</v>
      </c>
      <c r="W624" s="1">
        <v>3120</v>
      </c>
      <c r="X624" s="2" t="s">
        <v>1314</v>
      </c>
      <c r="Y624" s="2" t="s">
        <v>245</v>
      </c>
      <c r="Z624" s="2" t="s">
        <v>2167</v>
      </c>
      <c r="AA624" s="2" t="s">
        <v>888</v>
      </c>
      <c r="AB624" s="1">
        <v>16089</v>
      </c>
      <c r="AC624" s="1">
        <v>8598</v>
      </c>
      <c r="AD624" s="1">
        <v>3421</v>
      </c>
      <c r="AE624" s="1">
        <v>957</v>
      </c>
      <c r="AF624" s="1">
        <v>171</v>
      </c>
      <c r="AG624" s="1">
        <v>14</v>
      </c>
      <c r="AH624" s="1">
        <v>13854</v>
      </c>
      <c r="AI624" s="1">
        <v>178</v>
      </c>
      <c r="AJ624" s="1">
        <v>1583</v>
      </c>
      <c r="AK624" s="1">
        <v>3172</v>
      </c>
      <c r="AL624" s="1">
        <v>270</v>
      </c>
      <c r="AM624" s="1">
        <v>72</v>
      </c>
      <c r="AN624" s="2" t="s">
        <v>503</v>
      </c>
    </row>
    <row r="625" spans="1:40" x14ac:dyDescent="0.3">
      <c r="A625" s="1">
        <v>11161</v>
      </c>
      <c r="B625" s="2" t="s">
        <v>2824</v>
      </c>
      <c r="C625" s="2" t="s">
        <v>2825</v>
      </c>
      <c r="D625" s="1">
        <v>27</v>
      </c>
      <c r="E625" s="2" t="s">
        <v>209</v>
      </c>
      <c r="F625" s="50" t="s">
        <v>2826</v>
      </c>
      <c r="G625" s="2" t="s">
        <v>2827</v>
      </c>
      <c r="H625" s="1">
        <v>7210</v>
      </c>
      <c r="I625" s="1">
        <v>7560</v>
      </c>
      <c r="J625" s="2" t="s">
        <v>1784</v>
      </c>
      <c r="K625" s="2" t="s">
        <v>1499</v>
      </c>
      <c r="L625" s="2" t="s">
        <v>179</v>
      </c>
      <c r="M625" s="1">
        <v>415</v>
      </c>
      <c r="N625" s="1">
        <v>10684</v>
      </c>
      <c r="O625" s="2" t="s">
        <v>225</v>
      </c>
      <c r="P625" s="2" t="s">
        <v>202</v>
      </c>
      <c r="Q625" s="2" t="s">
        <v>646</v>
      </c>
      <c r="R625" s="2" t="s">
        <v>96</v>
      </c>
      <c r="S625" s="2" t="s">
        <v>50</v>
      </c>
      <c r="T625" s="1">
        <v>4894</v>
      </c>
      <c r="U625" s="2" t="s">
        <v>51</v>
      </c>
      <c r="V625" s="1">
        <v>996</v>
      </c>
      <c r="W625" s="1">
        <v>1044</v>
      </c>
      <c r="X625" s="2" t="s">
        <v>820</v>
      </c>
      <c r="Y625" s="2" t="s">
        <v>503</v>
      </c>
      <c r="Z625" s="2" t="s">
        <v>745</v>
      </c>
      <c r="AA625" s="2" t="s">
        <v>739</v>
      </c>
      <c r="AB625" s="1">
        <v>5790</v>
      </c>
      <c r="AC625" s="1">
        <v>3143</v>
      </c>
      <c r="AD625" s="1">
        <v>1286</v>
      </c>
      <c r="AE625" s="1">
        <v>375</v>
      </c>
      <c r="AF625" s="1">
        <v>80</v>
      </c>
      <c r="AG625" s="1">
        <v>10</v>
      </c>
      <c r="AH625" s="1">
        <v>4743</v>
      </c>
      <c r="AI625" s="1">
        <v>568</v>
      </c>
      <c r="AJ625" s="1">
        <v>534</v>
      </c>
      <c r="AK625" s="1">
        <v>1305</v>
      </c>
      <c r="AL625" s="1">
        <v>53</v>
      </c>
      <c r="AM625" s="1">
        <v>29</v>
      </c>
      <c r="AN625" s="2" t="s">
        <v>255</v>
      </c>
    </row>
    <row r="626" spans="1:40" ht="28.2" x14ac:dyDescent="0.3">
      <c r="A626" s="1">
        <v>7368</v>
      </c>
      <c r="B626" s="2" t="s">
        <v>2828</v>
      </c>
      <c r="C626" s="2" t="s">
        <v>2829</v>
      </c>
      <c r="D626" s="1">
        <v>32</v>
      </c>
      <c r="E626" s="2" t="s">
        <v>327</v>
      </c>
      <c r="F626" s="50" t="s">
        <v>3514</v>
      </c>
      <c r="G626" s="2" t="s">
        <v>2830</v>
      </c>
      <c r="H626" s="1">
        <v>11144</v>
      </c>
      <c r="I626" s="1">
        <v>11311</v>
      </c>
      <c r="J626" s="2" t="s">
        <v>781</v>
      </c>
      <c r="K626" s="2" t="s">
        <v>2067</v>
      </c>
      <c r="L626" s="2" t="s">
        <v>275</v>
      </c>
      <c r="M626" s="1">
        <v>646</v>
      </c>
      <c r="N626" s="1">
        <v>16949</v>
      </c>
      <c r="O626" s="2" t="s">
        <v>322</v>
      </c>
      <c r="P626" s="2" t="s">
        <v>48</v>
      </c>
      <c r="Q626" s="2" t="s">
        <v>225</v>
      </c>
      <c r="R626" s="2" t="s">
        <v>66</v>
      </c>
      <c r="S626" s="2" t="s">
        <v>66</v>
      </c>
      <c r="T626" s="1">
        <v>7776</v>
      </c>
      <c r="U626" s="2" t="s">
        <v>51</v>
      </c>
      <c r="V626" s="1">
        <v>1364</v>
      </c>
      <c r="W626" s="1">
        <v>1556</v>
      </c>
      <c r="X626" s="2" t="s">
        <v>2315</v>
      </c>
      <c r="Y626" s="2" t="s">
        <v>1314</v>
      </c>
      <c r="Z626" s="2" t="s">
        <v>745</v>
      </c>
      <c r="AA626" s="2" t="s">
        <v>2429</v>
      </c>
      <c r="AB626" s="1">
        <v>9173</v>
      </c>
      <c r="AC626" s="1">
        <v>5154</v>
      </c>
      <c r="AD626" s="1">
        <v>2004</v>
      </c>
      <c r="AE626" s="1">
        <v>516</v>
      </c>
      <c r="AF626" s="1">
        <v>90</v>
      </c>
      <c r="AG626" s="1">
        <v>12</v>
      </c>
      <c r="AH626" s="1">
        <v>7734</v>
      </c>
      <c r="AI626" s="1">
        <v>640</v>
      </c>
      <c r="AJ626" s="1">
        <v>792</v>
      </c>
      <c r="AK626" s="1">
        <v>1832</v>
      </c>
      <c r="AL626" s="1">
        <v>128</v>
      </c>
      <c r="AM626" s="1">
        <v>29</v>
      </c>
      <c r="AN626" s="2" t="s">
        <v>472</v>
      </c>
    </row>
    <row r="627" spans="1:40" ht="28.2" x14ac:dyDescent="0.3">
      <c r="A627" s="1">
        <v>9019</v>
      </c>
      <c r="B627" s="2" t="s">
        <v>2831</v>
      </c>
      <c r="C627" s="2" t="s">
        <v>2832</v>
      </c>
      <c r="D627" s="1">
        <v>26</v>
      </c>
      <c r="E627" s="2" t="s">
        <v>141</v>
      </c>
      <c r="F627" s="50" t="s">
        <v>1093</v>
      </c>
      <c r="G627" s="2" t="s">
        <v>2833</v>
      </c>
      <c r="H627" s="1">
        <v>26062</v>
      </c>
      <c r="I627" s="1">
        <v>26818</v>
      </c>
      <c r="J627" s="2" t="s">
        <v>2458</v>
      </c>
      <c r="K627" s="2" t="s">
        <v>1351</v>
      </c>
      <c r="L627" s="2" t="s">
        <v>541</v>
      </c>
      <c r="M627" s="1">
        <v>1518</v>
      </c>
      <c r="N627" s="1">
        <v>39795</v>
      </c>
      <c r="O627" s="2" t="s">
        <v>276</v>
      </c>
      <c r="P627" s="2" t="s">
        <v>202</v>
      </c>
      <c r="Q627" s="2" t="s">
        <v>225</v>
      </c>
      <c r="R627" s="2" t="s">
        <v>50</v>
      </c>
      <c r="S627" s="2" t="s">
        <v>96</v>
      </c>
      <c r="T627" s="1">
        <v>17945</v>
      </c>
      <c r="U627" s="2" t="s">
        <v>51</v>
      </c>
      <c r="V627" s="1">
        <v>4108</v>
      </c>
      <c r="W627" s="1">
        <v>4290</v>
      </c>
      <c r="X627" s="2" t="s">
        <v>472</v>
      </c>
      <c r="Y627" s="2">
        <v>1</v>
      </c>
      <c r="Z627" s="2" t="s">
        <v>1765</v>
      </c>
      <c r="AA627" s="2" t="s">
        <v>1030</v>
      </c>
      <c r="AB627" s="1">
        <v>21850</v>
      </c>
      <c r="AC627" s="1">
        <v>11747</v>
      </c>
      <c r="AD627" s="1">
        <v>4581</v>
      </c>
      <c r="AE627" s="1">
        <v>1342</v>
      </c>
      <c r="AF627" s="1">
        <v>248</v>
      </c>
      <c r="AG627" s="1">
        <v>27</v>
      </c>
      <c r="AH627" s="1">
        <v>17259</v>
      </c>
      <c r="AI627" s="1">
        <v>2721</v>
      </c>
      <c r="AJ627" s="1">
        <v>1319</v>
      </c>
      <c r="AK627" s="1">
        <v>4470</v>
      </c>
      <c r="AL627" s="1">
        <v>314</v>
      </c>
      <c r="AM627" s="1">
        <v>58</v>
      </c>
      <c r="AN627" s="2" t="s">
        <v>472</v>
      </c>
    </row>
    <row r="628" spans="1:40" ht="28.2" x14ac:dyDescent="0.3">
      <c r="A628" s="1">
        <v>11995</v>
      </c>
      <c r="B628" s="2" t="s">
        <v>2834</v>
      </c>
      <c r="C628" s="2" t="s">
        <v>2835</v>
      </c>
      <c r="D628" s="1">
        <v>20</v>
      </c>
      <c r="E628" s="2" t="s">
        <v>196</v>
      </c>
      <c r="F628" s="50" t="s">
        <v>1401</v>
      </c>
      <c r="G628" s="2" t="s">
        <v>2836</v>
      </c>
      <c r="H628" s="1">
        <v>13000</v>
      </c>
      <c r="I628" s="1">
        <v>13494</v>
      </c>
      <c r="J628" s="2" t="s">
        <v>1635</v>
      </c>
      <c r="K628" s="2" t="s">
        <v>639</v>
      </c>
      <c r="L628" s="2" t="s">
        <v>1319</v>
      </c>
      <c r="M628" s="1">
        <v>738</v>
      </c>
      <c r="N628" s="1">
        <v>19595</v>
      </c>
      <c r="O628" s="2" t="s">
        <v>322</v>
      </c>
      <c r="P628" s="2" t="s">
        <v>553</v>
      </c>
      <c r="Q628" s="2" t="s">
        <v>463</v>
      </c>
      <c r="R628" s="2" t="s">
        <v>50</v>
      </c>
      <c r="S628" s="2" t="s">
        <v>96</v>
      </c>
      <c r="T628" s="1">
        <v>8876</v>
      </c>
      <c r="U628" s="2" t="s">
        <v>51</v>
      </c>
      <c r="V628" s="1">
        <v>2238</v>
      </c>
      <c r="W628" s="1">
        <v>2431</v>
      </c>
      <c r="X628" s="2" t="s">
        <v>1314</v>
      </c>
      <c r="Y628" s="2" t="s">
        <v>412</v>
      </c>
      <c r="Z628" s="2" t="s">
        <v>383</v>
      </c>
      <c r="AA628" s="2" t="s">
        <v>86</v>
      </c>
      <c r="AB628" s="1">
        <v>10719</v>
      </c>
      <c r="AC628" s="1">
        <v>5711</v>
      </c>
      <c r="AD628" s="1">
        <v>2373</v>
      </c>
      <c r="AE628" s="1">
        <v>640</v>
      </c>
      <c r="AF628" s="1">
        <v>137</v>
      </c>
      <c r="AG628" s="1">
        <v>15</v>
      </c>
      <c r="AH628" s="1">
        <v>8927</v>
      </c>
      <c r="AI628" s="1">
        <v>1016</v>
      </c>
      <c r="AJ628" s="1">
        <v>705</v>
      </c>
      <c r="AK628" s="1">
        <v>2050</v>
      </c>
      <c r="AL628" s="1">
        <v>288</v>
      </c>
      <c r="AM628" s="1">
        <v>67</v>
      </c>
      <c r="AN628" s="2" t="s">
        <v>304</v>
      </c>
    </row>
    <row r="629" spans="1:40" ht="28.2" x14ac:dyDescent="0.3">
      <c r="A629" s="1">
        <v>8566</v>
      </c>
      <c r="B629" s="2" t="s">
        <v>2837</v>
      </c>
      <c r="C629" s="2" t="s">
        <v>2838</v>
      </c>
      <c r="D629" s="1">
        <v>27</v>
      </c>
      <c r="E629" s="2" t="s">
        <v>104</v>
      </c>
      <c r="F629" s="50" t="s">
        <v>3514</v>
      </c>
      <c r="G629" s="2" t="s">
        <v>2839</v>
      </c>
      <c r="H629" s="1">
        <v>16073</v>
      </c>
      <c r="I629" s="1">
        <v>16554</v>
      </c>
      <c r="J629" s="2" t="s">
        <v>388</v>
      </c>
      <c r="K629" s="2" t="s">
        <v>723</v>
      </c>
      <c r="L629" s="2" t="s">
        <v>80</v>
      </c>
      <c r="M629" s="1">
        <v>943</v>
      </c>
      <c r="N629" s="1">
        <v>24480</v>
      </c>
      <c r="O629" s="2" t="s">
        <v>322</v>
      </c>
      <c r="P629" s="2" t="s">
        <v>553</v>
      </c>
      <c r="Q629" s="2" t="s">
        <v>167</v>
      </c>
      <c r="R629" s="2" t="s">
        <v>50</v>
      </c>
      <c r="S629" s="2" t="s">
        <v>96</v>
      </c>
      <c r="T629" s="1">
        <v>11048</v>
      </c>
      <c r="U629" s="2" t="s">
        <v>51</v>
      </c>
      <c r="V629" s="1">
        <v>2454</v>
      </c>
      <c r="W629" s="1">
        <v>2613</v>
      </c>
      <c r="X629" s="2" t="s">
        <v>1570</v>
      </c>
      <c r="Y629" s="2" t="s">
        <v>285</v>
      </c>
      <c r="Z629" s="2" t="s">
        <v>567</v>
      </c>
      <c r="AA629" s="2" t="s">
        <v>739</v>
      </c>
      <c r="AB629" s="1">
        <v>13432</v>
      </c>
      <c r="AC629" s="1">
        <v>7188</v>
      </c>
      <c r="AD629" s="1">
        <v>2877</v>
      </c>
      <c r="AE629" s="1">
        <v>816</v>
      </c>
      <c r="AF629" s="1">
        <v>153</v>
      </c>
      <c r="AG629" s="1">
        <v>14</v>
      </c>
      <c r="AH629" s="1">
        <v>11720</v>
      </c>
      <c r="AI629" s="1">
        <v>259</v>
      </c>
      <c r="AJ629" s="1">
        <v>722</v>
      </c>
      <c r="AK629" s="1">
        <v>3072</v>
      </c>
      <c r="AL629" s="1">
        <v>206</v>
      </c>
      <c r="AM629" s="1">
        <v>130</v>
      </c>
      <c r="AN629" s="2" t="s">
        <v>472</v>
      </c>
    </row>
    <row r="630" spans="1:40" x14ac:dyDescent="0.3">
      <c r="A630" s="1">
        <v>14388</v>
      </c>
      <c r="B630" s="2" t="s">
        <v>2840</v>
      </c>
      <c r="C630" s="2" t="s">
        <v>2841</v>
      </c>
      <c r="D630" s="1">
        <v>23</v>
      </c>
      <c r="E630" s="2" t="s">
        <v>379</v>
      </c>
      <c r="F630" s="50" t="s">
        <v>621</v>
      </c>
      <c r="G630" s="2" t="s">
        <v>2842</v>
      </c>
      <c r="H630" s="1">
        <v>9244</v>
      </c>
      <c r="I630" s="1">
        <v>9465</v>
      </c>
      <c r="J630" s="2" t="s">
        <v>633</v>
      </c>
      <c r="K630" s="2" t="s">
        <v>862</v>
      </c>
      <c r="L630" s="2" t="s">
        <v>949</v>
      </c>
      <c r="M630" s="1">
        <v>529</v>
      </c>
      <c r="N630" s="1">
        <v>14315</v>
      </c>
      <c r="O630" s="2" t="s">
        <v>276</v>
      </c>
      <c r="P630" s="2" t="s">
        <v>48</v>
      </c>
      <c r="Q630" s="2" t="s">
        <v>322</v>
      </c>
      <c r="R630" s="2" t="s">
        <v>50</v>
      </c>
      <c r="S630" s="2" t="s">
        <v>96</v>
      </c>
      <c r="T630" s="1">
        <v>6371</v>
      </c>
      <c r="U630" s="2" t="s">
        <v>51</v>
      </c>
      <c r="V630" s="1">
        <v>1252</v>
      </c>
      <c r="W630" s="1">
        <v>1303</v>
      </c>
      <c r="X630" s="2" t="s">
        <v>472</v>
      </c>
      <c r="Y630" s="2" t="s">
        <v>820</v>
      </c>
      <c r="Z630" s="2" t="s">
        <v>932</v>
      </c>
      <c r="AA630" s="2" t="s">
        <v>1244</v>
      </c>
      <c r="AB630" s="1">
        <v>7944</v>
      </c>
      <c r="AC630" s="1">
        <v>4163</v>
      </c>
      <c r="AD630" s="1">
        <v>1642</v>
      </c>
      <c r="AE630" s="1">
        <v>476</v>
      </c>
      <c r="AF630" s="1">
        <v>81</v>
      </c>
      <c r="AG630" s="1">
        <v>9</v>
      </c>
      <c r="AH630" s="1">
        <v>6426</v>
      </c>
      <c r="AI630" s="1">
        <v>477</v>
      </c>
      <c r="AJ630" s="1">
        <v>707</v>
      </c>
      <c r="AK630" s="1">
        <v>1510</v>
      </c>
      <c r="AL630" s="1">
        <v>126</v>
      </c>
      <c r="AM630" s="1">
        <v>34</v>
      </c>
      <c r="AN630" s="2" t="s">
        <v>255</v>
      </c>
    </row>
    <row r="631" spans="1:40" ht="28.2" x14ac:dyDescent="0.3">
      <c r="A631" s="1">
        <v>823</v>
      </c>
      <c r="B631" s="2" t="s">
        <v>2843</v>
      </c>
      <c r="C631" s="2" t="s">
        <v>2844</v>
      </c>
      <c r="D631" s="1">
        <v>32</v>
      </c>
      <c r="E631" s="2" t="s">
        <v>1250</v>
      </c>
      <c r="F631" s="50" t="s">
        <v>3514</v>
      </c>
      <c r="G631" s="2" t="s">
        <v>2845</v>
      </c>
      <c r="H631" s="1">
        <v>14478</v>
      </c>
      <c r="I631" s="1">
        <v>14866</v>
      </c>
      <c r="J631" s="2" t="s">
        <v>2846</v>
      </c>
      <c r="K631" s="2" t="s">
        <v>2250</v>
      </c>
      <c r="L631" s="2" t="s">
        <v>441</v>
      </c>
      <c r="M631" s="1">
        <v>837</v>
      </c>
      <c r="N631" s="1">
        <v>22049</v>
      </c>
      <c r="O631" s="2" t="s">
        <v>322</v>
      </c>
      <c r="P631" s="2" t="s">
        <v>235</v>
      </c>
      <c r="Q631" s="2" t="s">
        <v>225</v>
      </c>
      <c r="R631" s="2" t="s">
        <v>66</v>
      </c>
      <c r="S631" s="2" t="s">
        <v>66</v>
      </c>
      <c r="T631" s="1">
        <v>9958</v>
      </c>
      <c r="U631" s="2" t="s">
        <v>51</v>
      </c>
      <c r="V631" s="1">
        <v>1767</v>
      </c>
      <c r="W631" s="1">
        <v>2096</v>
      </c>
      <c r="X631" s="2" t="s">
        <v>47</v>
      </c>
      <c r="Y631" s="2" t="s">
        <v>1749</v>
      </c>
      <c r="Z631" s="2" t="s">
        <v>576</v>
      </c>
      <c r="AA631" s="2" t="s">
        <v>2429</v>
      </c>
      <c r="AB631" s="1">
        <v>12091</v>
      </c>
      <c r="AC631" s="1">
        <v>6527</v>
      </c>
      <c r="AD631" s="1">
        <v>2556</v>
      </c>
      <c r="AE631" s="1">
        <v>719</v>
      </c>
      <c r="AF631" s="1">
        <v>145</v>
      </c>
      <c r="AG631" s="1">
        <v>11</v>
      </c>
      <c r="AH631" s="1">
        <v>10700</v>
      </c>
      <c r="AI631" s="1">
        <v>151</v>
      </c>
      <c r="AJ631" s="1">
        <v>716</v>
      </c>
      <c r="AK631" s="1">
        <v>2739</v>
      </c>
      <c r="AL631" s="1">
        <v>158</v>
      </c>
      <c r="AM631" s="1">
        <v>21</v>
      </c>
      <c r="AN631" s="2" t="s">
        <v>472</v>
      </c>
    </row>
    <row r="632" spans="1:40" x14ac:dyDescent="0.3">
      <c r="A632" s="1">
        <v>303</v>
      </c>
      <c r="B632" s="2" t="s">
        <v>2847</v>
      </c>
      <c r="C632" s="2" t="s">
        <v>2848</v>
      </c>
      <c r="D632" s="1">
        <v>34</v>
      </c>
      <c r="E632" s="2" t="s">
        <v>59</v>
      </c>
      <c r="F632" s="50" t="s">
        <v>3514</v>
      </c>
      <c r="G632" s="2" t="s">
        <v>2849</v>
      </c>
      <c r="H632" s="1">
        <v>10839</v>
      </c>
      <c r="I632" s="1">
        <v>11114</v>
      </c>
      <c r="J632" s="2" t="s">
        <v>910</v>
      </c>
      <c r="K632" s="2" t="s">
        <v>1234</v>
      </c>
      <c r="L632" s="2" t="s">
        <v>331</v>
      </c>
      <c r="M632" s="1">
        <v>630</v>
      </c>
      <c r="N632" s="1">
        <v>16590</v>
      </c>
      <c r="O632" s="2" t="s">
        <v>276</v>
      </c>
      <c r="P632" s="2" t="s">
        <v>235</v>
      </c>
      <c r="Q632" s="2" t="s">
        <v>225</v>
      </c>
      <c r="R632" s="2" t="s">
        <v>96</v>
      </c>
      <c r="S632" s="2" t="s">
        <v>96</v>
      </c>
      <c r="T632" s="1">
        <v>7480</v>
      </c>
      <c r="U632" s="2" t="s">
        <v>51</v>
      </c>
      <c r="V632" s="1">
        <v>1471</v>
      </c>
      <c r="W632" s="1">
        <v>1525</v>
      </c>
      <c r="X632" s="2" t="s">
        <v>472</v>
      </c>
      <c r="Y632" s="2" t="s">
        <v>472</v>
      </c>
      <c r="Z632" s="2" t="s">
        <v>256</v>
      </c>
      <c r="AA632" s="2" t="s">
        <v>783</v>
      </c>
      <c r="AB632" s="1">
        <v>9110</v>
      </c>
      <c r="AC632" s="1">
        <v>4941</v>
      </c>
      <c r="AD632" s="1">
        <v>1890</v>
      </c>
      <c r="AE632" s="1">
        <v>525</v>
      </c>
      <c r="AF632" s="1">
        <v>112</v>
      </c>
      <c r="AG632" s="1">
        <v>12</v>
      </c>
      <c r="AH632" s="1">
        <v>7735</v>
      </c>
      <c r="AI632" s="1">
        <v>726</v>
      </c>
      <c r="AJ632" s="1">
        <v>321</v>
      </c>
      <c r="AK632" s="1">
        <v>1897</v>
      </c>
      <c r="AL632" s="1">
        <v>144</v>
      </c>
      <c r="AM632" s="1">
        <v>20</v>
      </c>
      <c r="AN632" s="2" t="s">
        <v>472</v>
      </c>
    </row>
    <row r="633" spans="1:40" ht="28.2" x14ac:dyDescent="0.3">
      <c r="A633" s="1">
        <v>17918</v>
      </c>
      <c r="B633" s="2" t="s">
        <v>2850</v>
      </c>
      <c r="C633" s="2" t="s">
        <v>2851</v>
      </c>
      <c r="D633" s="1">
        <v>22</v>
      </c>
      <c r="E633" s="2" t="s">
        <v>459</v>
      </c>
      <c r="F633" s="50" t="s">
        <v>825</v>
      </c>
      <c r="G633" s="2" t="s">
        <v>2852</v>
      </c>
      <c r="H633" s="1">
        <v>8880</v>
      </c>
      <c r="I633" s="1">
        <v>9253</v>
      </c>
      <c r="J633" s="2" t="s">
        <v>1631</v>
      </c>
      <c r="K633" s="2" t="s">
        <v>1057</v>
      </c>
      <c r="L633" s="2" t="s">
        <v>1943</v>
      </c>
      <c r="M633" s="1">
        <v>503</v>
      </c>
      <c r="N633" s="1">
        <v>13296</v>
      </c>
      <c r="O633" s="2" t="s">
        <v>225</v>
      </c>
      <c r="P633" s="2" t="s">
        <v>235</v>
      </c>
      <c r="Q633" s="2" t="s">
        <v>905</v>
      </c>
      <c r="R633" s="2" t="s">
        <v>96</v>
      </c>
      <c r="S633" s="2" t="s">
        <v>66</v>
      </c>
      <c r="T633" s="1">
        <v>6059</v>
      </c>
      <c r="U633" s="2" t="s">
        <v>51</v>
      </c>
      <c r="V633" s="1">
        <v>1446</v>
      </c>
      <c r="W633" s="1">
        <v>1607</v>
      </c>
      <c r="X633" s="2" t="s">
        <v>1906</v>
      </c>
      <c r="Y633" s="2" t="s">
        <v>255</v>
      </c>
      <c r="Z633" s="2" t="s">
        <v>455</v>
      </c>
      <c r="AA633" s="2" t="s">
        <v>789</v>
      </c>
      <c r="AB633" s="1">
        <v>7237</v>
      </c>
      <c r="AC633" s="1">
        <v>3894</v>
      </c>
      <c r="AD633" s="1">
        <v>1626</v>
      </c>
      <c r="AE633" s="1">
        <v>434</v>
      </c>
      <c r="AF633" s="1">
        <v>93</v>
      </c>
      <c r="AG633" s="1">
        <v>12</v>
      </c>
      <c r="AH633" s="1">
        <v>6461</v>
      </c>
      <c r="AI633" s="1">
        <v>221</v>
      </c>
      <c r="AJ633" s="1">
        <v>557</v>
      </c>
      <c r="AK633" s="1">
        <v>1441</v>
      </c>
      <c r="AL633" s="1">
        <v>151</v>
      </c>
      <c r="AM633" s="1">
        <v>89</v>
      </c>
      <c r="AN633" s="2" t="s">
        <v>412</v>
      </c>
    </row>
    <row r="634" spans="1:40" ht="28.2" x14ac:dyDescent="0.3">
      <c r="A634" s="1">
        <v>7170</v>
      </c>
      <c r="B634" s="2" t="s">
        <v>2853</v>
      </c>
      <c r="C634" s="2" t="s">
        <v>2854</v>
      </c>
      <c r="D634" s="1">
        <v>33</v>
      </c>
      <c r="E634" s="2" t="s">
        <v>42</v>
      </c>
      <c r="F634" s="50" t="s">
        <v>3514</v>
      </c>
      <c r="G634" s="2" t="s">
        <v>2855</v>
      </c>
      <c r="H634" s="1">
        <v>19726</v>
      </c>
      <c r="I634" s="1">
        <v>20269</v>
      </c>
      <c r="J634" s="2" t="s">
        <v>1667</v>
      </c>
      <c r="K634" s="2" t="s">
        <v>2856</v>
      </c>
      <c r="L634" s="2" t="s">
        <v>214</v>
      </c>
      <c r="M634" s="1">
        <v>1161</v>
      </c>
      <c r="N634" s="1">
        <v>30130</v>
      </c>
      <c r="O634" s="2" t="s">
        <v>276</v>
      </c>
      <c r="P634" s="2" t="s">
        <v>235</v>
      </c>
      <c r="Q634" s="2" t="s">
        <v>225</v>
      </c>
      <c r="R634" s="2" t="s">
        <v>50</v>
      </c>
      <c r="S634" s="2" t="s">
        <v>66</v>
      </c>
      <c r="T634" s="1">
        <v>13534</v>
      </c>
      <c r="U634" s="2" t="s">
        <v>51</v>
      </c>
      <c r="V634" s="1">
        <v>3512</v>
      </c>
      <c r="W634" s="1">
        <v>3506</v>
      </c>
      <c r="X634" s="2">
        <v>1</v>
      </c>
      <c r="Y634" s="2" t="s">
        <v>590</v>
      </c>
      <c r="Z634" s="2" t="s">
        <v>1289</v>
      </c>
      <c r="AA634" s="2" t="s">
        <v>100</v>
      </c>
      <c r="AB634" s="1">
        <v>16596</v>
      </c>
      <c r="AC634" s="1">
        <v>8813</v>
      </c>
      <c r="AD634" s="1">
        <v>3519</v>
      </c>
      <c r="AE634" s="1">
        <v>1007</v>
      </c>
      <c r="AF634" s="1">
        <v>176</v>
      </c>
      <c r="AG634" s="1">
        <v>19</v>
      </c>
      <c r="AH634" s="1">
        <v>9307</v>
      </c>
      <c r="AI634" s="1">
        <v>5426</v>
      </c>
      <c r="AJ634" s="1">
        <v>924</v>
      </c>
      <c r="AK634" s="1">
        <v>3816</v>
      </c>
      <c r="AL634" s="1">
        <v>210</v>
      </c>
      <c r="AM634" s="1">
        <v>59</v>
      </c>
      <c r="AN634" s="2" t="s">
        <v>472</v>
      </c>
    </row>
    <row r="635" spans="1:40" ht="28.2" x14ac:dyDescent="0.3">
      <c r="A635" s="1">
        <v>14221</v>
      </c>
      <c r="B635" s="2" t="s">
        <v>2857</v>
      </c>
      <c r="C635" s="2" t="s">
        <v>2858</v>
      </c>
      <c r="D635" s="1">
        <v>26</v>
      </c>
      <c r="E635" s="2" t="s">
        <v>327</v>
      </c>
      <c r="F635" s="50" t="s">
        <v>2859</v>
      </c>
      <c r="G635" s="2" t="s">
        <v>2860</v>
      </c>
      <c r="H635" s="1">
        <v>9154</v>
      </c>
      <c r="I635" s="1">
        <v>9322</v>
      </c>
      <c r="J635" s="2" t="s">
        <v>2308</v>
      </c>
      <c r="K635" s="2" t="s">
        <v>2727</v>
      </c>
      <c r="L635" s="2" t="s">
        <v>331</v>
      </c>
      <c r="M635" s="1">
        <v>536</v>
      </c>
      <c r="N635" s="1">
        <v>14240</v>
      </c>
      <c r="O635" s="2" t="s">
        <v>65</v>
      </c>
      <c r="P635" s="2" t="s">
        <v>235</v>
      </c>
      <c r="Q635" s="2" t="s">
        <v>276</v>
      </c>
      <c r="R635" s="2" t="s">
        <v>50</v>
      </c>
      <c r="S635" s="2" t="s">
        <v>50</v>
      </c>
      <c r="T635" s="1">
        <v>6379</v>
      </c>
      <c r="U635" s="2" t="s">
        <v>51</v>
      </c>
      <c r="V635" s="1">
        <v>1169</v>
      </c>
      <c r="W635" s="1">
        <v>1176</v>
      </c>
      <c r="X635" s="2" t="s">
        <v>285</v>
      </c>
      <c r="Y635" s="2" t="s">
        <v>1570</v>
      </c>
      <c r="Z635" s="2" t="s">
        <v>821</v>
      </c>
      <c r="AA635" s="2" t="s">
        <v>1805</v>
      </c>
      <c r="AB635" s="1">
        <v>7861</v>
      </c>
      <c r="AC635" s="1">
        <v>4256</v>
      </c>
      <c r="AD635" s="1">
        <v>1573</v>
      </c>
      <c r="AE635" s="1">
        <v>455</v>
      </c>
      <c r="AF635" s="1">
        <v>88</v>
      </c>
      <c r="AG635" s="1">
        <v>7</v>
      </c>
      <c r="AH635" s="1">
        <v>6585</v>
      </c>
      <c r="AI635" s="1">
        <v>161</v>
      </c>
      <c r="AJ635" s="1">
        <v>707</v>
      </c>
      <c r="AK635" s="1">
        <v>1571</v>
      </c>
      <c r="AL635" s="1">
        <v>140</v>
      </c>
      <c r="AM635" s="1">
        <v>5</v>
      </c>
      <c r="AN635" s="2" t="s">
        <v>449</v>
      </c>
    </row>
    <row r="636" spans="1:40" ht="28.2" x14ac:dyDescent="0.3">
      <c r="A636" s="1">
        <v>16921</v>
      </c>
      <c r="B636" s="2" t="s">
        <v>2861</v>
      </c>
      <c r="C636" s="2" t="s">
        <v>2862</v>
      </c>
      <c r="D636" s="1">
        <v>21</v>
      </c>
      <c r="E636" s="2" t="s">
        <v>75</v>
      </c>
      <c r="F636" s="50" t="s">
        <v>76</v>
      </c>
      <c r="G636" s="2" t="s">
        <v>77</v>
      </c>
      <c r="H636" s="1">
        <v>15599</v>
      </c>
      <c r="I636" s="1">
        <v>16297</v>
      </c>
      <c r="J636" s="2" t="s">
        <v>1182</v>
      </c>
      <c r="K636" s="2" t="s">
        <v>2250</v>
      </c>
      <c r="L636" s="2" t="s">
        <v>575</v>
      </c>
      <c r="M636" s="1">
        <v>885</v>
      </c>
      <c r="N636" s="1">
        <v>23491</v>
      </c>
      <c r="O636" s="2" t="s">
        <v>322</v>
      </c>
      <c r="P636" s="2" t="s">
        <v>235</v>
      </c>
      <c r="Q636" s="2" t="s">
        <v>463</v>
      </c>
      <c r="R636" s="2" t="s">
        <v>50</v>
      </c>
      <c r="S636" s="2" t="s">
        <v>66</v>
      </c>
      <c r="T636" s="1">
        <v>10636</v>
      </c>
      <c r="U636" s="2" t="s">
        <v>51</v>
      </c>
      <c r="V636" s="1">
        <v>2853</v>
      </c>
      <c r="W636" s="1">
        <v>3450</v>
      </c>
      <c r="X636" s="2" t="s">
        <v>2425</v>
      </c>
      <c r="Y636" s="2" t="s">
        <v>412</v>
      </c>
      <c r="Z636" s="2" t="s">
        <v>314</v>
      </c>
      <c r="AA636" s="2" t="s">
        <v>305</v>
      </c>
      <c r="AB636" s="1">
        <v>12855</v>
      </c>
      <c r="AC636" s="1">
        <v>6888</v>
      </c>
      <c r="AD636" s="1">
        <v>2745</v>
      </c>
      <c r="AE636" s="1">
        <v>805</v>
      </c>
      <c r="AF636" s="1">
        <v>184</v>
      </c>
      <c r="AG636" s="1">
        <v>14</v>
      </c>
      <c r="AH636" s="1">
        <v>11360</v>
      </c>
      <c r="AI636" s="1">
        <v>478</v>
      </c>
      <c r="AJ636" s="1">
        <v>1410</v>
      </c>
      <c r="AK636" s="1">
        <v>2138</v>
      </c>
      <c r="AL636" s="1">
        <v>213</v>
      </c>
      <c r="AM636" s="1">
        <v>46</v>
      </c>
      <c r="AN636" s="2" t="s">
        <v>407</v>
      </c>
    </row>
    <row r="637" spans="1:40" x14ac:dyDescent="0.3">
      <c r="A637" s="1">
        <v>8598</v>
      </c>
      <c r="B637" s="2" t="s">
        <v>2863</v>
      </c>
      <c r="C637" s="2" t="s">
        <v>2864</v>
      </c>
      <c r="D637" s="1">
        <v>28</v>
      </c>
      <c r="E637" s="2" t="s">
        <v>2865</v>
      </c>
      <c r="F637" s="50" t="s">
        <v>358</v>
      </c>
      <c r="G637" s="2" t="s">
        <v>2866</v>
      </c>
      <c r="H637" s="1">
        <v>7439</v>
      </c>
      <c r="I637" s="1">
        <v>7664</v>
      </c>
      <c r="J637" s="2" t="s">
        <v>448</v>
      </c>
      <c r="K637" s="2" t="s">
        <v>1089</v>
      </c>
      <c r="L637" s="2" t="s">
        <v>589</v>
      </c>
      <c r="M637" s="1">
        <v>434</v>
      </c>
      <c r="N637" s="1">
        <v>11442</v>
      </c>
      <c r="O637" s="2" t="s">
        <v>276</v>
      </c>
      <c r="P637" s="2" t="s">
        <v>202</v>
      </c>
      <c r="Q637" s="2" t="s">
        <v>225</v>
      </c>
      <c r="R637" s="2" t="s">
        <v>96</v>
      </c>
      <c r="S637" s="2" t="s">
        <v>50</v>
      </c>
      <c r="T637" s="1">
        <v>5131</v>
      </c>
      <c r="U637" s="2" t="s">
        <v>51</v>
      </c>
      <c r="V637" s="1">
        <v>996</v>
      </c>
      <c r="W637" s="1">
        <v>983</v>
      </c>
      <c r="X637" s="2" t="s">
        <v>255</v>
      </c>
      <c r="Y637" s="2" t="s">
        <v>472</v>
      </c>
      <c r="Z637" s="2" t="s">
        <v>1020</v>
      </c>
      <c r="AA637" s="2" t="s">
        <v>1083</v>
      </c>
      <c r="AB637" s="1">
        <v>6311</v>
      </c>
      <c r="AC637" s="1">
        <v>3377</v>
      </c>
      <c r="AD637" s="1">
        <v>1282</v>
      </c>
      <c r="AE637" s="1">
        <v>399</v>
      </c>
      <c r="AF637" s="1">
        <v>64</v>
      </c>
      <c r="AG637" s="1">
        <v>9</v>
      </c>
      <c r="AH637" s="1">
        <v>5318</v>
      </c>
      <c r="AI637" s="1">
        <v>373</v>
      </c>
      <c r="AJ637" s="1">
        <v>444</v>
      </c>
      <c r="AK637" s="1">
        <v>1256</v>
      </c>
      <c r="AL637" s="1">
        <v>61</v>
      </c>
      <c r="AM637" s="1">
        <v>10</v>
      </c>
      <c r="AN637" s="2" t="s">
        <v>472</v>
      </c>
    </row>
    <row r="638" spans="1:40" ht="28.2" x14ac:dyDescent="0.3">
      <c r="A638" s="1">
        <v>15563</v>
      </c>
      <c r="B638" s="2" t="s">
        <v>2867</v>
      </c>
      <c r="C638" s="2" t="s">
        <v>2868</v>
      </c>
      <c r="D638" s="1">
        <v>21</v>
      </c>
      <c r="E638" s="2" t="s">
        <v>452</v>
      </c>
      <c r="F638" s="50" t="s">
        <v>690</v>
      </c>
      <c r="G638" s="2" t="s">
        <v>2869</v>
      </c>
      <c r="H638" s="1">
        <v>11404</v>
      </c>
      <c r="I638" s="1">
        <v>11767</v>
      </c>
      <c r="J638" s="2" t="s">
        <v>910</v>
      </c>
      <c r="K638" s="2" t="s">
        <v>916</v>
      </c>
      <c r="L638" s="2">
        <v>6</v>
      </c>
      <c r="M638" s="1">
        <v>647</v>
      </c>
      <c r="N638" s="1">
        <v>17350</v>
      </c>
      <c r="O638" s="2" t="s">
        <v>322</v>
      </c>
      <c r="P638" s="2" t="s">
        <v>235</v>
      </c>
      <c r="Q638" s="2" t="s">
        <v>167</v>
      </c>
      <c r="R638" s="2" t="s">
        <v>50</v>
      </c>
      <c r="S638" s="2" t="s">
        <v>50</v>
      </c>
      <c r="T638" s="1">
        <v>7881</v>
      </c>
      <c r="U638" s="2" t="s">
        <v>51</v>
      </c>
      <c r="V638" s="1">
        <v>1698</v>
      </c>
      <c r="W638" s="1">
        <v>1660</v>
      </c>
      <c r="X638" s="2" t="s">
        <v>449</v>
      </c>
      <c r="Y638" s="2">
        <v>1</v>
      </c>
      <c r="Z638" s="2" t="s">
        <v>653</v>
      </c>
      <c r="AA638" s="2" t="s">
        <v>408</v>
      </c>
      <c r="AB638" s="1">
        <v>9469</v>
      </c>
      <c r="AC638" s="1">
        <v>5195</v>
      </c>
      <c r="AD638" s="1">
        <v>1975</v>
      </c>
      <c r="AE638" s="1">
        <v>599</v>
      </c>
      <c r="AF638" s="1">
        <v>98</v>
      </c>
      <c r="AG638" s="1">
        <v>14</v>
      </c>
      <c r="AH638" s="1">
        <v>8042</v>
      </c>
      <c r="AI638" s="1">
        <v>457</v>
      </c>
      <c r="AJ638" s="1">
        <v>822</v>
      </c>
      <c r="AK638" s="1">
        <v>1893</v>
      </c>
      <c r="AL638" s="1">
        <v>187</v>
      </c>
      <c r="AM638" s="1">
        <v>46</v>
      </c>
      <c r="AN638" s="2" t="s">
        <v>412</v>
      </c>
    </row>
    <row r="639" spans="1:40" x14ac:dyDescent="0.3">
      <c r="A639" s="1">
        <v>8150</v>
      </c>
      <c r="B639" s="2" t="s">
        <v>2870</v>
      </c>
      <c r="C639" s="2" t="s">
        <v>2871</v>
      </c>
      <c r="D639" s="1">
        <v>32</v>
      </c>
      <c r="E639" s="2" t="s">
        <v>196</v>
      </c>
      <c r="F639" s="50" t="s">
        <v>3514</v>
      </c>
      <c r="G639" s="2" t="s">
        <v>2872</v>
      </c>
      <c r="H639" s="1">
        <v>8154</v>
      </c>
      <c r="I639" s="1">
        <v>8285</v>
      </c>
      <c r="J639" s="2" t="s">
        <v>2461</v>
      </c>
      <c r="K639" s="2" t="s">
        <v>2171</v>
      </c>
      <c r="L639" s="2" t="s">
        <v>462</v>
      </c>
      <c r="M639" s="1">
        <v>487</v>
      </c>
      <c r="N639" s="1">
        <v>12606</v>
      </c>
      <c r="O639" s="2" t="s">
        <v>276</v>
      </c>
      <c r="P639" s="2" t="s">
        <v>235</v>
      </c>
      <c r="Q639" s="2" t="s">
        <v>322</v>
      </c>
      <c r="R639" s="2" t="s">
        <v>66</v>
      </c>
      <c r="S639" s="2" t="s">
        <v>135</v>
      </c>
      <c r="T639" s="1">
        <v>5661</v>
      </c>
      <c r="U639" s="2" t="s">
        <v>51</v>
      </c>
      <c r="V639" s="1">
        <v>1096</v>
      </c>
      <c r="W639" s="1">
        <v>1205</v>
      </c>
      <c r="X639" s="2" t="s">
        <v>1749</v>
      </c>
      <c r="Y639" s="2" t="s">
        <v>1570</v>
      </c>
      <c r="Z639" s="2" t="s">
        <v>517</v>
      </c>
      <c r="AA639" s="2" t="s">
        <v>518</v>
      </c>
      <c r="AB639" s="1">
        <v>6945</v>
      </c>
      <c r="AC639" s="1">
        <v>3700</v>
      </c>
      <c r="AD639" s="1">
        <v>1504</v>
      </c>
      <c r="AE639" s="1">
        <v>390</v>
      </c>
      <c r="AF639" s="1">
        <v>64</v>
      </c>
      <c r="AG639" s="1">
        <v>3</v>
      </c>
      <c r="AH639" s="1">
        <v>5400</v>
      </c>
      <c r="AI639" s="1">
        <v>630</v>
      </c>
      <c r="AJ639" s="1">
        <v>542</v>
      </c>
      <c r="AK639" s="1">
        <v>1448</v>
      </c>
      <c r="AL639" s="1">
        <v>104</v>
      </c>
      <c r="AM639" s="1">
        <v>40</v>
      </c>
      <c r="AN639" s="2" t="s">
        <v>472</v>
      </c>
    </row>
    <row r="640" spans="1:40" x14ac:dyDescent="0.3">
      <c r="A640" s="1">
        <v>329</v>
      </c>
      <c r="B640" s="2" t="s">
        <v>2873</v>
      </c>
      <c r="C640" s="2" t="s">
        <v>2874</v>
      </c>
      <c r="D640" s="1">
        <v>34</v>
      </c>
      <c r="E640" s="2" t="s">
        <v>683</v>
      </c>
      <c r="F640" s="50" t="s">
        <v>3514</v>
      </c>
      <c r="G640" s="2" t="s">
        <v>2875</v>
      </c>
      <c r="H640" s="1">
        <v>6763</v>
      </c>
      <c r="I640" s="1">
        <v>6967</v>
      </c>
      <c r="J640" s="2" t="s">
        <v>988</v>
      </c>
      <c r="K640" s="2" t="s">
        <v>624</v>
      </c>
      <c r="L640" s="2">
        <v>6</v>
      </c>
      <c r="M640" s="1">
        <v>404</v>
      </c>
      <c r="N640" s="1">
        <v>10297</v>
      </c>
      <c r="O640" s="2" t="s">
        <v>322</v>
      </c>
      <c r="P640" s="2" t="s">
        <v>166</v>
      </c>
      <c r="Q640" s="2" t="s">
        <v>167</v>
      </c>
      <c r="R640" s="2" t="s">
        <v>50</v>
      </c>
      <c r="S640" s="2" t="s">
        <v>96</v>
      </c>
      <c r="T640" s="1">
        <v>4657</v>
      </c>
      <c r="U640" s="2" t="s">
        <v>51</v>
      </c>
      <c r="V640" s="1">
        <v>1168</v>
      </c>
      <c r="W640" s="1">
        <v>1119</v>
      </c>
      <c r="X640" s="2" t="s">
        <v>407</v>
      </c>
      <c r="Y640" s="2" t="s">
        <v>304</v>
      </c>
      <c r="Z640" s="2" t="s">
        <v>1996</v>
      </c>
      <c r="AA640" s="2" t="s">
        <v>882</v>
      </c>
      <c r="AB640" s="1">
        <v>5640</v>
      </c>
      <c r="AC640" s="1">
        <v>3045</v>
      </c>
      <c r="AD640" s="1">
        <v>1200</v>
      </c>
      <c r="AE640" s="1">
        <v>344</v>
      </c>
      <c r="AF640" s="1">
        <v>64</v>
      </c>
      <c r="AG640" s="1">
        <v>4</v>
      </c>
      <c r="AH640" s="1">
        <v>3208</v>
      </c>
      <c r="AI640" s="1">
        <v>1595</v>
      </c>
      <c r="AJ640" s="1">
        <v>319</v>
      </c>
      <c r="AK640" s="1">
        <v>1471</v>
      </c>
      <c r="AL640" s="1">
        <v>170</v>
      </c>
      <c r="AM640" s="1">
        <v>14</v>
      </c>
      <c r="AN640" s="2" t="s">
        <v>472</v>
      </c>
    </row>
    <row r="641" spans="1:40" ht="28.2" x14ac:dyDescent="0.3">
      <c r="A641" s="1">
        <v>11460</v>
      </c>
      <c r="B641" s="2" t="s">
        <v>2876</v>
      </c>
      <c r="C641" s="2" t="s">
        <v>2877</v>
      </c>
      <c r="D641" s="1">
        <v>28</v>
      </c>
      <c r="E641" s="2" t="s">
        <v>290</v>
      </c>
      <c r="F641" s="50" t="s">
        <v>3514</v>
      </c>
      <c r="G641" s="2" t="s">
        <v>2878</v>
      </c>
      <c r="H641" s="1">
        <v>6700</v>
      </c>
      <c r="I641" s="1">
        <v>7023</v>
      </c>
      <c r="J641" s="2" t="s">
        <v>764</v>
      </c>
      <c r="K641" s="2" t="s">
        <v>540</v>
      </c>
      <c r="L641" s="2" t="s">
        <v>122</v>
      </c>
      <c r="M641" s="1">
        <v>387</v>
      </c>
      <c r="N641" s="1">
        <v>9900</v>
      </c>
      <c r="O641" s="2" t="s">
        <v>167</v>
      </c>
      <c r="P641" s="2" t="s">
        <v>166</v>
      </c>
      <c r="Q641" s="2" t="s">
        <v>646</v>
      </c>
      <c r="R641" s="2" t="s">
        <v>48</v>
      </c>
      <c r="S641" s="2" t="s">
        <v>50</v>
      </c>
      <c r="T641" s="1">
        <v>4561</v>
      </c>
      <c r="U641" s="2" t="s">
        <v>51</v>
      </c>
      <c r="V641" s="1">
        <v>1100</v>
      </c>
      <c r="W641" s="1">
        <v>1186</v>
      </c>
      <c r="X641" s="2" t="s">
        <v>950</v>
      </c>
      <c r="Y641" s="2" t="s">
        <v>449</v>
      </c>
      <c r="Z641" s="2" t="s">
        <v>2448</v>
      </c>
      <c r="AA641" s="2" t="s">
        <v>602</v>
      </c>
      <c r="AB641" s="1">
        <v>5339</v>
      </c>
      <c r="AC641" s="1">
        <v>2918</v>
      </c>
      <c r="AD641" s="1">
        <v>1225</v>
      </c>
      <c r="AE641" s="1">
        <v>347</v>
      </c>
      <c r="AF641" s="1">
        <v>64</v>
      </c>
      <c r="AG641" s="1">
        <v>7</v>
      </c>
      <c r="AH641" s="1">
        <v>4758</v>
      </c>
      <c r="AI641" s="1">
        <v>141</v>
      </c>
      <c r="AJ641" s="1">
        <v>477</v>
      </c>
      <c r="AK641" s="1">
        <v>1269</v>
      </c>
      <c r="AL641" s="1">
        <v>65</v>
      </c>
      <c r="AM641" s="1">
        <v>3</v>
      </c>
      <c r="AN641" s="2" t="s">
        <v>407</v>
      </c>
    </row>
    <row r="642" spans="1:40" ht="28.2" x14ac:dyDescent="0.3">
      <c r="A642" s="1">
        <v>8733</v>
      </c>
      <c r="B642" s="2" t="s">
        <v>2879</v>
      </c>
      <c r="C642" s="2" t="s">
        <v>2880</v>
      </c>
      <c r="D642" s="1">
        <v>24</v>
      </c>
      <c r="E642" s="2" t="s">
        <v>187</v>
      </c>
      <c r="F642" s="50" t="s">
        <v>2881</v>
      </c>
      <c r="G642" s="2" t="s">
        <v>2882</v>
      </c>
      <c r="H642" s="1">
        <v>8082</v>
      </c>
      <c r="I642" s="1">
        <v>8487</v>
      </c>
      <c r="J642" s="2" t="s">
        <v>760</v>
      </c>
      <c r="K642" s="2" t="s">
        <v>494</v>
      </c>
      <c r="L642" s="2" t="s">
        <v>46</v>
      </c>
      <c r="M642" s="1">
        <v>446</v>
      </c>
      <c r="N642" s="1">
        <v>11985</v>
      </c>
      <c r="O642" s="2" t="s">
        <v>225</v>
      </c>
      <c r="P642" s="2" t="s">
        <v>235</v>
      </c>
      <c r="Q642" s="2" t="s">
        <v>646</v>
      </c>
      <c r="R642" s="2" t="s">
        <v>67</v>
      </c>
      <c r="S642" s="2" t="s">
        <v>50</v>
      </c>
      <c r="T642" s="1">
        <v>5492</v>
      </c>
      <c r="U642" s="2" t="s">
        <v>51</v>
      </c>
      <c r="V642" s="1">
        <v>1208</v>
      </c>
      <c r="W642" s="1">
        <v>1385</v>
      </c>
      <c r="X642" s="2" t="s">
        <v>2324</v>
      </c>
      <c r="Y642" s="2" t="s">
        <v>245</v>
      </c>
      <c r="Z642" s="2" t="s">
        <v>54</v>
      </c>
      <c r="AA642" s="2" t="s">
        <v>384</v>
      </c>
      <c r="AB642" s="1">
        <v>6493</v>
      </c>
      <c r="AC642" s="1">
        <v>3526</v>
      </c>
      <c r="AD642" s="1">
        <v>1447</v>
      </c>
      <c r="AE642" s="1">
        <v>431</v>
      </c>
      <c r="AF642" s="1">
        <v>78</v>
      </c>
      <c r="AG642" s="1">
        <v>10</v>
      </c>
      <c r="AH642" s="1">
        <v>5544</v>
      </c>
      <c r="AI642" s="1">
        <v>561</v>
      </c>
      <c r="AJ642" s="1">
        <v>296</v>
      </c>
      <c r="AK642" s="1">
        <v>1539</v>
      </c>
      <c r="AL642" s="1">
        <v>96</v>
      </c>
      <c r="AM642" s="1">
        <v>63</v>
      </c>
      <c r="AN642" s="2" t="s">
        <v>472</v>
      </c>
    </row>
    <row r="643" spans="1:40" x14ac:dyDescent="0.3">
      <c r="A643" s="1">
        <v>17929</v>
      </c>
      <c r="B643" s="2" t="s">
        <v>2883</v>
      </c>
      <c r="C643" s="2" t="s">
        <v>2884</v>
      </c>
      <c r="D643" s="1">
        <v>20</v>
      </c>
      <c r="E643" s="2" t="s">
        <v>500</v>
      </c>
      <c r="F643" s="51" t="s">
        <v>1892</v>
      </c>
      <c r="G643" s="2" t="s">
        <v>1893</v>
      </c>
      <c r="H643" s="1">
        <v>8861</v>
      </c>
      <c r="I643" s="1">
        <v>9311</v>
      </c>
      <c r="J643" s="2" t="s">
        <v>2823</v>
      </c>
      <c r="K643" s="2" t="s">
        <v>800</v>
      </c>
      <c r="L643" s="2" t="s">
        <v>765</v>
      </c>
      <c r="M643" s="1">
        <v>504</v>
      </c>
      <c r="N643" s="1">
        <v>13362</v>
      </c>
      <c r="O643" s="2" t="s">
        <v>322</v>
      </c>
      <c r="P643" s="2" t="s">
        <v>202</v>
      </c>
      <c r="Q643" s="2" t="s">
        <v>905</v>
      </c>
      <c r="R643" s="2" t="s">
        <v>50</v>
      </c>
      <c r="S643" s="2" t="s">
        <v>96</v>
      </c>
      <c r="T643" s="1">
        <v>5981</v>
      </c>
      <c r="U643" s="2" t="s">
        <v>51</v>
      </c>
      <c r="V643" s="1">
        <v>1553</v>
      </c>
      <c r="W643" s="1">
        <v>1653</v>
      </c>
      <c r="X643" s="2" t="s">
        <v>1570</v>
      </c>
      <c r="Y643" s="2" t="s">
        <v>407</v>
      </c>
      <c r="Z643" s="2" t="s">
        <v>1268</v>
      </c>
      <c r="AA643" s="2" t="s">
        <v>100</v>
      </c>
      <c r="AB643" s="1">
        <v>7381</v>
      </c>
      <c r="AC643" s="1">
        <v>3779</v>
      </c>
      <c r="AD643" s="1">
        <v>1631</v>
      </c>
      <c r="AE643" s="1">
        <v>473</v>
      </c>
      <c r="AF643" s="1">
        <v>89</v>
      </c>
      <c r="AG643" s="1">
        <v>9</v>
      </c>
      <c r="AH643" s="1">
        <v>6513</v>
      </c>
      <c r="AI643" s="1">
        <v>182</v>
      </c>
      <c r="AJ643" s="1">
        <v>534</v>
      </c>
      <c r="AK643" s="1">
        <v>1439</v>
      </c>
      <c r="AL643" s="1">
        <v>182</v>
      </c>
      <c r="AM643" s="1">
        <v>44</v>
      </c>
      <c r="AN643" s="2" t="s">
        <v>449</v>
      </c>
    </row>
    <row r="644" spans="1:40" ht="28.2" x14ac:dyDescent="0.3">
      <c r="A644" s="1">
        <v>8507</v>
      </c>
      <c r="B644" s="2" t="s">
        <v>2885</v>
      </c>
      <c r="C644" s="2" t="s">
        <v>2886</v>
      </c>
      <c r="D644" s="1">
        <v>28</v>
      </c>
      <c r="E644" s="2" t="s">
        <v>500</v>
      </c>
      <c r="F644" s="50" t="s">
        <v>3514</v>
      </c>
      <c r="G644" s="2" t="s">
        <v>2887</v>
      </c>
      <c r="H644" s="1">
        <v>22263</v>
      </c>
      <c r="I644" s="1">
        <v>22790</v>
      </c>
      <c r="J644" s="2" t="s">
        <v>1442</v>
      </c>
      <c r="K644" s="2" t="s">
        <v>1288</v>
      </c>
      <c r="L644" s="2">
        <v>6</v>
      </c>
      <c r="M644" s="1">
        <v>1338</v>
      </c>
      <c r="N644" s="1">
        <v>34605</v>
      </c>
      <c r="O644" s="2" t="s">
        <v>65</v>
      </c>
      <c r="P644" s="2" t="s">
        <v>235</v>
      </c>
      <c r="Q644" s="2" t="s">
        <v>322</v>
      </c>
      <c r="R644" s="2" t="s">
        <v>50</v>
      </c>
      <c r="S644" s="2" t="s">
        <v>96</v>
      </c>
      <c r="T644" s="1">
        <v>15402</v>
      </c>
      <c r="U644" s="2" t="s">
        <v>51</v>
      </c>
      <c r="V644" s="1">
        <v>3246</v>
      </c>
      <c r="W644" s="1">
        <v>3668</v>
      </c>
      <c r="X644" s="2" t="s">
        <v>2315</v>
      </c>
      <c r="Y644" s="2" t="s">
        <v>472</v>
      </c>
      <c r="Z644" s="2" t="s">
        <v>554</v>
      </c>
      <c r="AA644" s="2" t="s">
        <v>1101</v>
      </c>
      <c r="AB644" s="1">
        <v>19203</v>
      </c>
      <c r="AC644" s="1">
        <v>10067</v>
      </c>
      <c r="AD644" s="1">
        <v>4042</v>
      </c>
      <c r="AE644" s="1">
        <v>1087</v>
      </c>
      <c r="AF644" s="1">
        <v>184</v>
      </c>
      <c r="AG644" s="1">
        <v>22</v>
      </c>
      <c r="AH644" s="1">
        <v>14991</v>
      </c>
      <c r="AI644" s="1">
        <v>755</v>
      </c>
      <c r="AJ644" s="1">
        <v>2112</v>
      </c>
      <c r="AK644" s="1">
        <v>3954</v>
      </c>
      <c r="AL644" s="1">
        <v>397</v>
      </c>
      <c r="AM644" s="1">
        <v>100</v>
      </c>
      <c r="AN644" s="2" t="s">
        <v>472</v>
      </c>
    </row>
    <row r="645" spans="1:40" x14ac:dyDescent="0.3">
      <c r="A645" s="1">
        <v>8453</v>
      </c>
      <c r="B645" s="2" t="s">
        <v>2888</v>
      </c>
      <c r="C645" s="2" t="s">
        <v>2889</v>
      </c>
      <c r="D645" s="1">
        <v>25</v>
      </c>
      <c r="E645" s="2" t="s">
        <v>318</v>
      </c>
      <c r="F645" s="50" t="s">
        <v>320</v>
      </c>
      <c r="G645" s="2" t="s">
        <v>2573</v>
      </c>
      <c r="H645" s="1">
        <v>11705</v>
      </c>
      <c r="I645" s="1">
        <v>12182</v>
      </c>
      <c r="J645" s="2" t="s">
        <v>722</v>
      </c>
      <c r="K645" s="2" t="s">
        <v>524</v>
      </c>
      <c r="L645" s="2">
        <v>3</v>
      </c>
      <c r="M645" s="1">
        <v>679</v>
      </c>
      <c r="N645" s="1">
        <v>17833</v>
      </c>
      <c r="O645" s="2" t="s">
        <v>322</v>
      </c>
      <c r="P645" s="2" t="s">
        <v>48</v>
      </c>
      <c r="Q645" s="2" t="s">
        <v>167</v>
      </c>
      <c r="R645" s="2" t="s">
        <v>96</v>
      </c>
      <c r="S645" s="2" t="s">
        <v>96</v>
      </c>
      <c r="T645" s="1">
        <v>7983</v>
      </c>
      <c r="U645" s="2" t="s">
        <v>51</v>
      </c>
      <c r="V645" s="1">
        <v>1492</v>
      </c>
      <c r="W645" s="1">
        <v>1596</v>
      </c>
      <c r="X645" s="2" t="s">
        <v>950</v>
      </c>
      <c r="Y645" s="2" t="s">
        <v>1570</v>
      </c>
      <c r="Z645" s="2" t="s">
        <v>383</v>
      </c>
      <c r="AA645" s="2" t="s">
        <v>2053</v>
      </c>
      <c r="AB645" s="1">
        <v>9850</v>
      </c>
      <c r="AC645" s="1">
        <v>5128</v>
      </c>
      <c r="AD645" s="1">
        <v>2125</v>
      </c>
      <c r="AE645" s="1">
        <v>609</v>
      </c>
      <c r="AF645" s="1">
        <v>110</v>
      </c>
      <c r="AG645" s="1">
        <v>11</v>
      </c>
      <c r="AH645" s="1">
        <v>8670</v>
      </c>
      <c r="AI645" s="1">
        <v>247</v>
      </c>
      <c r="AJ645" s="1">
        <v>717</v>
      </c>
      <c r="AK645" s="1">
        <v>1960</v>
      </c>
      <c r="AL645" s="1">
        <v>109</v>
      </c>
      <c r="AM645" s="1">
        <v>19</v>
      </c>
      <c r="AN645" s="2" t="s">
        <v>472</v>
      </c>
    </row>
    <row r="646" spans="1:40" ht="28.2" x14ac:dyDescent="0.3">
      <c r="A646" s="1">
        <v>12490</v>
      </c>
      <c r="B646" s="2" t="s">
        <v>2890</v>
      </c>
      <c r="C646" s="2" t="s">
        <v>2891</v>
      </c>
      <c r="D646" s="1">
        <v>23</v>
      </c>
      <c r="E646" s="2" t="s">
        <v>209</v>
      </c>
      <c r="F646" s="50" t="s">
        <v>2892</v>
      </c>
      <c r="G646" s="2" t="s">
        <v>2893</v>
      </c>
      <c r="H646" s="1">
        <v>7817</v>
      </c>
      <c r="I646" s="1">
        <v>8085</v>
      </c>
      <c r="J646" s="2" t="s">
        <v>1930</v>
      </c>
      <c r="K646" s="2" t="s">
        <v>1062</v>
      </c>
      <c r="L646" s="2" t="s">
        <v>224</v>
      </c>
      <c r="M646" s="1">
        <v>438</v>
      </c>
      <c r="N646" s="1">
        <v>11619</v>
      </c>
      <c r="O646" s="2" t="s">
        <v>225</v>
      </c>
      <c r="P646" s="2" t="s">
        <v>202</v>
      </c>
      <c r="Q646" s="2" t="s">
        <v>905</v>
      </c>
      <c r="R646" s="2" t="s">
        <v>50</v>
      </c>
      <c r="S646" s="2" t="s">
        <v>96</v>
      </c>
      <c r="T646" s="1">
        <v>5435</v>
      </c>
      <c r="U646" s="2" t="s">
        <v>51</v>
      </c>
      <c r="V646" s="1">
        <v>1250</v>
      </c>
      <c r="W646" s="1">
        <v>1229</v>
      </c>
      <c r="X646" s="2" t="s">
        <v>449</v>
      </c>
      <c r="Y646" s="2" t="s">
        <v>412</v>
      </c>
      <c r="Z646" s="2" t="s">
        <v>399</v>
      </c>
      <c r="AA646" s="2" t="s">
        <v>568</v>
      </c>
      <c r="AB646" s="1">
        <v>6184</v>
      </c>
      <c r="AC646" s="1">
        <v>3590</v>
      </c>
      <c r="AD646" s="1">
        <v>1392</v>
      </c>
      <c r="AE646" s="1">
        <v>374</v>
      </c>
      <c r="AF646" s="1">
        <v>74</v>
      </c>
      <c r="AG646" s="1">
        <v>5</v>
      </c>
      <c r="AH646" s="1">
        <v>5250</v>
      </c>
      <c r="AI646" s="1">
        <v>901</v>
      </c>
      <c r="AJ646" s="1">
        <v>178</v>
      </c>
      <c r="AK646" s="1">
        <v>1344</v>
      </c>
      <c r="AL646" s="1">
        <v>144</v>
      </c>
      <c r="AM646" s="1">
        <v>24</v>
      </c>
      <c r="AN646" s="2" t="s">
        <v>412</v>
      </c>
    </row>
    <row r="647" spans="1:40" ht="28.2" x14ac:dyDescent="0.3">
      <c r="A647" s="1">
        <v>3730</v>
      </c>
      <c r="B647" s="2" t="s">
        <v>2894</v>
      </c>
      <c r="C647" s="2" t="s">
        <v>2895</v>
      </c>
      <c r="D647" s="1">
        <v>30</v>
      </c>
      <c r="E647" s="2" t="s">
        <v>895</v>
      </c>
      <c r="F647" s="50" t="s">
        <v>2896</v>
      </c>
      <c r="G647" s="2" t="s">
        <v>2897</v>
      </c>
      <c r="H647" s="1">
        <v>8068</v>
      </c>
      <c r="I647" s="1">
        <v>8433</v>
      </c>
      <c r="J647" s="2" t="s">
        <v>2023</v>
      </c>
      <c r="K647" s="2" t="s">
        <v>1195</v>
      </c>
      <c r="L647" s="2" t="s">
        <v>1170</v>
      </c>
      <c r="M647" s="1">
        <v>459</v>
      </c>
      <c r="N647" s="1">
        <v>12013</v>
      </c>
      <c r="O647" s="2" t="s">
        <v>225</v>
      </c>
      <c r="P647" s="2" t="s">
        <v>166</v>
      </c>
      <c r="Q647" s="2" t="s">
        <v>905</v>
      </c>
      <c r="R647" s="2" t="s">
        <v>50</v>
      </c>
      <c r="S647" s="2" t="s">
        <v>50</v>
      </c>
      <c r="T647" s="1">
        <v>5522</v>
      </c>
      <c r="U647" s="2" t="s">
        <v>51</v>
      </c>
      <c r="V647" s="1">
        <v>1104</v>
      </c>
      <c r="W647" s="1">
        <v>1083</v>
      </c>
      <c r="X647" s="2" t="s">
        <v>449</v>
      </c>
      <c r="Y647" s="2" t="s">
        <v>245</v>
      </c>
      <c r="Z647" s="2" t="s">
        <v>54</v>
      </c>
      <c r="AA647" s="2" t="s">
        <v>408</v>
      </c>
      <c r="AB647" s="1">
        <v>6491</v>
      </c>
      <c r="AC647" s="1">
        <v>3552</v>
      </c>
      <c r="AD647" s="1">
        <v>1489</v>
      </c>
      <c r="AE647" s="1">
        <v>397</v>
      </c>
      <c r="AF647" s="1">
        <v>74</v>
      </c>
      <c r="AG647" s="1">
        <v>10</v>
      </c>
      <c r="AH647" s="1">
        <v>5691</v>
      </c>
      <c r="AI647" s="1">
        <v>68</v>
      </c>
      <c r="AJ647" s="1">
        <v>865</v>
      </c>
      <c r="AK647" s="1">
        <v>1308</v>
      </c>
      <c r="AL647" s="1">
        <v>126</v>
      </c>
      <c r="AM647" s="1">
        <v>34</v>
      </c>
      <c r="AN647" s="2" t="s">
        <v>472</v>
      </c>
    </row>
    <row r="648" spans="1:40" ht="28.2" x14ac:dyDescent="0.3">
      <c r="A648" s="1">
        <v>9545</v>
      </c>
      <c r="B648" s="2" t="s">
        <v>2898</v>
      </c>
      <c r="C648" s="2" t="s">
        <v>2899</v>
      </c>
      <c r="D648" s="1">
        <v>25</v>
      </c>
      <c r="E648" s="2" t="s">
        <v>42</v>
      </c>
      <c r="F648" s="50" t="s">
        <v>3514</v>
      </c>
      <c r="G648" s="2" t="s">
        <v>2900</v>
      </c>
      <c r="H648" s="1">
        <v>12206</v>
      </c>
      <c r="I648" s="1">
        <v>12830</v>
      </c>
      <c r="J648" s="2" t="s">
        <v>2102</v>
      </c>
      <c r="K648" s="2">
        <v>71</v>
      </c>
      <c r="L648" s="2" t="s">
        <v>122</v>
      </c>
      <c r="M648" s="1">
        <v>712</v>
      </c>
      <c r="N648" s="1">
        <v>18783</v>
      </c>
      <c r="O648" s="2" t="s">
        <v>276</v>
      </c>
      <c r="P648" s="2" t="s">
        <v>48</v>
      </c>
      <c r="Q648" s="2" t="s">
        <v>167</v>
      </c>
      <c r="R648" s="2" t="s">
        <v>67</v>
      </c>
      <c r="S648" s="2" t="s">
        <v>50</v>
      </c>
      <c r="T648" s="1">
        <v>8266</v>
      </c>
      <c r="U648" s="2" t="s">
        <v>51</v>
      </c>
      <c r="V648" s="1">
        <v>1738</v>
      </c>
      <c r="W648" s="1">
        <v>2207</v>
      </c>
      <c r="X648" s="2" t="s">
        <v>109</v>
      </c>
      <c r="Y648" s="2" t="s">
        <v>950</v>
      </c>
      <c r="Z648" s="2" t="s">
        <v>2901</v>
      </c>
      <c r="AA648" s="2" t="s">
        <v>783</v>
      </c>
      <c r="AB648" s="1">
        <v>10517</v>
      </c>
      <c r="AC648" s="1">
        <v>5318</v>
      </c>
      <c r="AD648" s="1">
        <v>2135</v>
      </c>
      <c r="AE648" s="1">
        <v>649</v>
      </c>
      <c r="AF648" s="1">
        <v>149</v>
      </c>
      <c r="AG648" s="1">
        <v>15</v>
      </c>
      <c r="AH648" s="1">
        <v>8215</v>
      </c>
      <c r="AI648" s="1">
        <v>196</v>
      </c>
      <c r="AJ648" s="1">
        <v>956</v>
      </c>
      <c r="AK648" s="1">
        <v>2732</v>
      </c>
      <c r="AL648" s="1">
        <v>110</v>
      </c>
      <c r="AM648" s="1">
        <v>25</v>
      </c>
      <c r="AN648" s="2" t="s">
        <v>472</v>
      </c>
    </row>
    <row r="649" spans="1:40" ht="28.2" x14ac:dyDescent="0.3">
      <c r="A649" s="1">
        <v>14359</v>
      </c>
      <c r="B649" s="2" t="s">
        <v>2902</v>
      </c>
      <c r="C649" s="2" t="s">
        <v>2903</v>
      </c>
      <c r="D649" s="1">
        <v>24</v>
      </c>
      <c r="E649" s="2" t="s">
        <v>1144</v>
      </c>
      <c r="F649" s="50" t="s">
        <v>2784</v>
      </c>
      <c r="G649" s="2" t="s">
        <v>2904</v>
      </c>
      <c r="H649" s="1">
        <v>9556</v>
      </c>
      <c r="I649" s="1">
        <v>9752</v>
      </c>
      <c r="J649" s="2" t="s">
        <v>514</v>
      </c>
      <c r="K649" s="2">
        <v>72</v>
      </c>
      <c r="L649" s="2" t="s">
        <v>80</v>
      </c>
      <c r="M649" s="1">
        <v>558</v>
      </c>
      <c r="N649" s="1">
        <v>14906</v>
      </c>
      <c r="O649" s="2" t="s">
        <v>65</v>
      </c>
      <c r="P649" s="2" t="s">
        <v>48</v>
      </c>
      <c r="Q649" s="2" t="s">
        <v>276</v>
      </c>
      <c r="R649" s="2" t="s">
        <v>96</v>
      </c>
      <c r="S649" s="2" t="s">
        <v>50</v>
      </c>
      <c r="T649" s="1">
        <v>6653</v>
      </c>
      <c r="U649" s="2" t="s">
        <v>51</v>
      </c>
      <c r="V649" s="1">
        <v>938</v>
      </c>
      <c r="W649" s="1">
        <v>1016</v>
      </c>
      <c r="X649" s="2" t="s">
        <v>1314</v>
      </c>
      <c r="Y649" s="2" t="s">
        <v>2324</v>
      </c>
      <c r="Z649" s="2" t="s">
        <v>455</v>
      </c>
      <c r="AA649" s="2" t="s">
        <v>2172</v>
      </c>
      <c r="AB649" s="1">
        <v>8253</v>
      </c>
      <c r="AC649" s="1">
        <v>4387</v>
      </c>
      <c r="AD649" s="1">
        <v>1716</v>
      </c>
      <c r="AE649" s="1">
        <v>470</v>
      </c>
      <c r="AF649" s="1">
        <v>73</v>
      </c>
      <c r="AG649" s="1">
        <v>7</v>
      </c>
      <c r="AH649" s="1">
        <v>6980</v>
      </c>
      <c r="AI649" s="1">
        <v>245</v>
      </c>
      <c r="AJ649" s="1">
        <v>398</v>
      </c>
      <c r="AK649" s="1">
        <v>1811</v>
      </c>
      <c r="AL649" s="1">
        <v>108</v>
      </c>
      <c r="AM649" s="1">
        <v>43</v>
      </c>
      <c r="AN649" s="2">
        <v>1</v>
      </c>
    </row>
    <row r="650" spans="1:40" x14ac:dyDescent="0.3">
      <c r="A650" s="1">
        <v>9053</v>
      </c>
      <c r="B650" s="2" t="s">
        <v>2905</v>
      </c>
      <c r="C650" s="2" t="s">
        <v>2906</v>
      </c>
      <c r="D650" s="1">
        <v>25</v>
      </c>
      <c r="E650" s="2" t="s">
        <v>500</v>
      </c>
      <c r="F650" s="50" t="s">
        <v>3514</v>
      </c>
      <c r="G650" s="2" t="s">
        <v>2907</v>
      </c>
      <c r="H650" s="1">
        <v>6674</v>
      </c>
      <c r="I650" s="1">
        <v>6973</v>
      </c>
      <c r="J650" s="2" t="s">
        <v>1079</v>
      </c>
      <c r="K650" s="2" t="s">
        <v>920</v>
      </c>
      <c r="L650" s="2" t="s">
        <v>80</v>
      </c>
      <c r="M650" s="1">
        <v>398</v>
      </c>
      <c r="N650" s="1">
        <v>10027</v>
      </c>
      <c r="O650" s="2" t="s">
        <v>225</v>
      </c>
      <c r="P650" s="2" t="s">
        <v>235</v>
      </c>
      <c r="Q650" s="2" t="s">
        <v>905</v>
      </c>
      <c r="R650" s="2" t="s">
        <v>48</v>
      </c>
      <c r="S650" s="2" t="s">
        <v>67</v>
      </c>
      <c r="T650" s="1">
        <v>4584</v>
      </c>
      <c r="U650" s="2" t="s">
        <v>51</v>
      </c>
      <c r="V650" s="1">
        <v>954</v>
      </c>
      <c r="W650" s="1">
        <v>1001</v>
      </c>
      <c r="X650" s="2" t="s">
        <v>820</v>
      </c>
      <c r="Y650" s="2" t="s">
        <v>245</v>
      </c>
      <c r="Z650" s="2" t="s">
        <v>1268</v>
      </c>
      <c r="AA650" s="2" t="s">
        <v>933</v>
      </c>
      <c r="AB650" s="1">
        <v>5443</v>
      </c>
      <c r="AC650" s="1">
        <v>2986</v>
      </c>
      <c r="AD650" s="1">
        <v>1189</v>
      </c>
      <c r="AE650" s="1">
        <v>335</v>
      </c>
      <c r="AF650" s="1">
        <v>66</v>
      </c>
      <c r="AG650" s="1">
        <v>8</v>
      </c>
      <c r="AH650" s="1">
        <v>4608</v>
      </c>
      <c r="AI650" s="1">
        <v>166</v>
      </c>
      <c r="AJ650" s="1">
        <v>468</v>
      </c>
      <c r="AK650" s="1">
        <v>1330</v>
      </c>
      <c r="AL650" s="1">
        <v>98</v>
      </c>
      <c r="AM650" s="1">
        <v>22</v>
      </c>
      <c r="AN650" s="2" t="s">
        <v>472</v>
      </c>
    </row>
    <row r="651" spans="1:40" x14ac:dyDescent="0.3">
      <c r="A651" s="1">
        <v>9816</v>
      </c>
      <c r="B651" s="2" t="s">
        <v>2908</v>
      </c>
      <c r="C651" s="2" t="s">
        <v>2909</v>
      </c>
      <c r="D651" s="1">
        <v>25</v>
      </c>
      <c r="E651" s="2" t="s">
        <v>452</v>
      </c>
      <c r="F651" s="50" t="s">
        <v>221</v>
      </c>
      <c r="G651" s="2" t="s">
        <v>2910</v>
      </c>
      <c r="H651" s="1">
        <v>17605</v>
      </c>
      <c r="I651" s="1">
        <v>17978</v>
      </c>
      <c r="J651" s="2" t="s">
        <v>2278</v>
      </c>
      <c r="K651" s="2" t="s">
        <v>2250</v>
      </c>
      <c r="L651" s="2" t="s">
        <v>433</v>
      </c>
      <c r="M651" s="1">
        <v>1037</v>
      </c>
      <c r="N651" s="1">
        <v>27513</v>
      </c>
      <c r="O651" s="2" t="s">
        <v>65</v>
      </c>
      <c r="P651" s="2" t="s">
        <v>434</v>
      </c>
      <c r="Q651" s="2" t="s">
        <v>276</v>
      </c>
      <c r="R651" s="2" t="s">
        <v>67</v>
      </c>
      <c r="S651" s="2" t="s">
        <v>50</v>
      </c>
      <c r="T651" s="1">
        <v>12258</v>
      </c>
      <c r="U651" s="2" t="s">
        <v>51</v>
      </c>
      <c r="V651" s="1">
        <v>2754</v>
      </c>
      <c r="W651" s="1">
        <v>3050</v>
      </c>
      <c r="X651" s="2" t="s">
        <v>1906</v>
      </c>
      <c r="Y651" s="2" t="s">
        <v>245</v>
      </c>
      <c r="Z651" s="2" t="s">
        <v>237</v>
      </c>
      <c r="AA651" s="2" t="s">
        <v>724</v>
      </c>
      <c r="AB651" s="1">
        <v>15255</v>
      </c>
      <c r="AC651" s="1">
        <v>8110</v>
      </c>
      <c r="AD651" s="1">
        <v>3106</v>
      </c>
      <c r="AE651" s="1">
        <v>897</v>
      </c>
      <c r="AF651" s="1">
        <v>133</v>
      </c>
      <c r="AG651" s="1">
        <v>12</v>
      </c>
      <c r="AH651" s="1">
        <v>11946</v>
      </c>
      <c r="AI651" s="1">
        <v>660</v>
      </c>
      <c r="AJ651" s="1">
        <v>1692</v>
      </c>
      <c r="AK651" s="1">
        <v>2714</v>
      </c>
      <c r="AL651" s="1">
        <v>564</v>
      </c>
      <c r="AM651" s="1">
        <v>79</v>
      </c>
      <c r="AN651" s="2" t="s">
        <v>472</v>
      </c>
    </row>
    <row r="652" spans="1:40" x14ac:dyDescent="0.3">
      <c r="A652" s="1">
        <v>205</v>
      </c>
      <c r="B652" s="2" t="s">
        <v>2911</v>
      </c>
      <c r="C652" s="2" t="s">
        <v>2912</v>
      </c>
      <c r="D652" s="1">
        <v>34</v>
      </c>
      <c r="E652" s="2" t="s">
        <v>270</v>
      </c>
      <c r="F652" s="50" t="s">
        <v>3514</v>
      </c>
      <c r="G652" s="2" t="s">
        <v>2318</v>
      </c>
      <c r="H652" s="1">
        <v>6438</v>
      </c>
      <c r="I652" s="1">
        <v>6537</v>
      </c>
      <c r="J652" s="2" t="s">
        <v>587</v>
      </c>
      <c r="K652" s="2" t="s">
        <v>2233</v>
      </c>
      <c r="L652" s="2" t="s">
        <v>471</v>
      </c>
      <c r="M652" s="1">
        <v>395</v>
      </c>
      <c r="N652" s="1">
        <v>10045</v>
      </c>
      <c r="O652" s="2" t="s">
        <v>65</v>
      </c>
      <c r="P652" s="2" t="s">
        <v>48</v>
      </c>
      <c r="Q652" s="2" t="s">
        <v>276</v>
      </c>
      <c r="R652" s="2" t="s">
        <v>67</v>
      </c>
      <c r="S652" s="2" t="s">
        <v>67</v>
      </c>
      <c r="T652" s="1">
        <v>4540</v>
      </c>
      <c r="U652" s="2" t="s">
        <v>51</v>
      </c>
      <c r="V652" s="1">
        <v>769</v>
      </c>
      <c r="W652" s="1">
        <v>751</v>
      </c>
      <c r="X652" s="2" t="s">
        <v>449</v>
      </c>
      <c r="Y652" s="2" t="s">
        <v>1314</v>
      </c>
      <c r="Z652" s="2" t="s">
        <v>1656</v>
      </c>
      <c r="AA652" s="2" t="s">
        <v>1443</v>
      </c>
      <c r="AB652" s="1">
        <v>5505</v>
      </c>
      <c r="AC652" s="1">
        <v>3058</v>
      </c>
      <c r="AD652" s="1">
        <v>1135</v>
      </c>
      <c r="AE652" s="1">
        <v>283</v>
      </c>
      <c r="AF652" s="1">
        <v>59</v>
      </c>
      <c r="AG652" s="1">
        <v>5</v>
      </c>
      <c r="AH652" s="1">
        <v>4384</v>
      </c>
      <c r="AI652" s="1">
        <v>148</v>
      </c>
      <c r="AJ652" s="1">
        <v>663</v>
      </c>
      <c r="AK652" s="1">
        <v>1142</v>
      </c>
      <c r="AL652" s="1">
        <v>53</v>
      </c>
      <c r="AM652" s="1">
        <v>54</v>
      </c>
      <c r="AN652" s="2" t="s">
        <v>255</v>
      </c>
    </row>
    <row r="653" spans="1:40" ht="28.2" x14ac:dyDescent="0.3">
      <c r="A653" s="1">
        <v>8459</v>
      </c>
      <c r="B653" s="2" t="s">
        <v>2913</v>
      </c>
      <c r="C653" s="2" t="s">
        <v>2914</v>
      </c>
      <c r="D653" s="1">
        <v>26</v>
      </c>
      <c r="E653" s="2" t="s">
        <v>841</v>
      </c>
      <c r="F653" s="50" t="s">
        <v>3514</v>
      </c>
      <c r="G653" s="2" t="s">
        <v>2915</v>
      </c>
      <c r="H653" s="1">
        <v>13682</v>
      </c>
      <c r="I653" s="1">
        <v>14349</v>
      </c>
      <c r="J653" s="2" t="s">
        <v>2465</v>
      </c>
      <c r="K653" s="2" t="s">
        <v>1494</v>
      </c>
      <c r="L653" s="2" t="s">
        <v>331</v>
      </c>
      <c r="M653" s="1">
        <v>780</v>
      </c>
      <c r="N653" s="1">
        <v>20389</v>
      </c>
      <c r="O653" s="2" t="s">
        <v>225</v>
      </c>
      <c r="P653" s="2" t="s">
        <v>235</v>
      </c>
      <c r="Q653" s="2" t="s">
        <v>905</v>
      </c>
      <c r="R653" s="2" t="s">
        <v>50</v>
      </c>
      <c r="S653" s="2" t="s">
        <v>50</v>
      </c>
      <c r="T653" s="1">
        <v>9371</v>
      </c>
      <c r="U653" s="2" t="s">
        <v>51</v>
      </c>
      <c r="V653" s="1">
        <v>1841</v>
      </c>
      <c r="W653" s="1">
        <v>1951</v>
      </c>
      <c r="X653" s="2" t="s">
        <v>1570</v>
      </c>
      <c r="Y653" s="2" t="s">
        <v>472</v>
      </c>
      <c r="Z653" s="2" t="s">
        <v>237</v>
      </c>
      <c r="AA653" s="2" t="s">
        <v>363</v>
      </c>
      <c r="AB653" s="1">
        <v>11018</v>
      </c>
      <c r="AC653" s="1">
        <v>6055</v>
      </c>
      <c r="AD653" s="1">
        <v>2482</v>
      </c>
      <c r="AE653" s="1">
        <v>687</v>
      </c>
      <c r="AF653" s="1">
        <v>133</v>
      </c>
      <c r="AG653" s="1">
        <v>14</v>
      </c>
      <c r="AH653" s="1">
        <v>8760</v>
      </c>
      <c r="AI653" s="1">
        <v>1308</v>
      </c>
      <c r="AJ653" s="1">
        <v>795</v>
      </c>
      <c r="AK653" s="1">
        <v>2627</v>
      </c>
      <c r="AL653" s="1">
        <v>145</v>
      </c>
      <c r="AM653" s="1">
        <v>75</v>
      </c>
      <c r="AN653" s="2" t="s">
        <v>472</v>
      </c>
    </row>
    <row r="654" spans="1:40" x14ac:dyDescent="0.3">
      <c r="A654" s="1">
        <v>16870</v>
      </c>
      <c r="B654" s="2" t="s">
        <v>2916</v>
      </c>
      <c r="C654" s="2" t="s">
        <v>2917</v>
      </c>
      <c r="D654" s="1">
        <v>23</v>
      </c>
      <c r="E654" s="2" t="s">
        <v>75</v>
      </c>
      <c r="F654" s="50" t="s">
        <v>3514</v>
      </c>
      <c r="G654" s="2" t="s">
        <v>2492</v>
      </c>
      <c r="H654" s="1">
        <v>10188</v>
      </c>
      <c r="I654" s="1">
        <v>10533</v>
      </c>
      <c r="J654" s="2" t="s">
        <v>954</v>
      </c>
      <c r="K654" s="2" t="s">
        <v>788</v>
      </c>
      <c r="L654" s="2" t="s">
        <v>612</v>
      </c>
      <c r="M654" s="1">
        <v>575</v>
      </c>
      <c r="N654" s="1">
        <v>15597</v>
      </c>
      <c r="O654" s="2" t="s">
        <v>276</v>
      </c>
      <c r="P654" s="2" t="s">
        <v>202</v>
      </c>
      <c r="Q654" s="2" t="s">
        <v>167</v>
      </c>
      <c r="R654" s="2" t="s">
        <v>50</v>
      </c>
      <c r="S654" s="2" t="s">
        <v>50</v>
      </c>
      <c r="T654" s="1">
        <v>7044</v>
      </c>
      <c r="U654" s="2" t="s">
        <v>51</v>
      </c>
      <c r="V654" s="1">
        <v>1346</v>
      </c>
      <c r="W654" s="1">
        <v>1423</v>
      </c>
      <c r="X654" s="2" t="s">
        <v>820</v>
      </c>
      <c r="Y654" s="2" t="s">
        <v>820</v>
      </c>
      <c r="Z654" s="2" t="s">
        <v>705</v>
      </c>
      <c r="AA654" s="2" t="s">
        <v>518</v>
      </c>
      <c r="AB654" s="1">
        <v>8553</v>
      </c>
      <c r="AC654" s="1">
        <v>4615</v>
      </c>
      <c r="AD654" s="1">
        <v>1813</v>
      </c>
      <c r="AE654" s="1">
        <v>525</v>
      </c>
      <c r="AF654" s="1">
        <v>83</v>
      </c>
      <c r="AG654" s="1">
        <v>8</v>
      </c>
      <c r="AH654" s="1">
        <v>7243</v>
      </c>
      <c r="AI654" s="1">
        <v>207</v>
      </c>
      <c r="AJ654" s="1">
        <v>955</v>
      </c>
      <c r="AK654" s="1">
        <v>1628</v>
      </c>
      <c r="AL654" s="1">
        <v>148</v>
      </c>
      <c r="AM654" s="1">
        <v>46</v>
      </c>
      <c r="AN654" s="2" t="s">
        <v>449</v>
      </c>
    </row>
    <row r="655" spans="1:40" ht="28.2" x14ac:dyDescent="0.3">
      <c r="A655" s="1">
        <v>10961</v>
      </c>
      <c r="B655" s="2" t="s">
        <v>2918</v>
      </c>
      <c r="C655" s="2" t="s">
        <v>2919</v>
      </c>
      <c r="D655" s="1">
        <v>20</v>
      </c>
      <c r="E655" s="2" t="s">
        <v>196</v>
      </c>
      <c r="F655" s="50" t="s">
        <v>3514</v>
      </c>
      <c r="G655" s="2" t="s">
        <v>2920</v>
      </c>
      <c r="H655" s="1">
        <v>6701</v>
      </c>
      <c r="I655" s="1">
        <v>7027</v>
      </c>
      <c r="J655" s="2" t="s">
        <v>2921</v>
      </c>
      <c r="K655" s="2">
        <v>68</v>
      </c>
      <c r="L655" s="2" t="s">
        <v>93</v>
      </c>
      <c r="M655" s="1">
        <v>390</v>
      </c>
      <c r="N655" s="1">
        <v>10304</v>
      </c>
      <c r="O655" s="2" t="s">
        <v>276</v>
      </c>
      <c r="P655" s="2" t="s">
        <v>96</v>
      </c>
      <c r="Q655" s="2" t="s">
        <v>167</v>
      </c>
      <c r="R655" s="2" t="s">
        <v>96</v>
      </c>
      <c r="S655" s="2" t="s">
        <v>66</v>
      </c>
      <c r="T655" s="1">
        <v>4566</v>
      </c>
      <c r="U655" s="2" t="s">
        <v>51</v>
      </c>
      <c r="V655" s="1">
        <v>1279</v>
      </c>
      <c r="W655" s="1">
        <v>1299</v>
      </c>
      <c r="X655" s="2" t="s">
        <v>245</v>
      </c>
      <c r="Y655" s="2" t="s">
        <v>277</v>
      </c>
      <c r="Z655" s="2" t="s">
        <v>838</v>
      </c>
      <c r="AA655" s="2" t="s">
        <v>906</v>
      </c>
      <c r="AB655" s="1">
        <v>5738</v>
      </c>
      <c r="AC655" s="1">
        <v>2952</v>
      </c>
      <c r="AD655" s="1">
        <v>1184</v>
      </c>
      <c r="AE655" s="1">
        <v>350</v>
      </c>
      <c r="AF655" s="1">
        <v>69</v>
      </c>
      <c r="AG655" s="1">
        <v>11</v>
      </c>
      <c r="AH655" s="1">
        <v>2685</v>
      </c>
      <c r="AI655" s="1">
        <v>2627</v>
      </c>
      <c r="AJ655" s="1">
        <v>225</v>
      </c>
      <c r="AK655" s="1">
        <v>1097</v>
      </c>
      <c r="AL655" s="1">
        <v>71</v>
      </c>
      <c r="AM655" s="1">
        <v>19</v>
      </c>
      <c r="AN655" s="2" t="s">
        <v>285</v>
      </c>
    </row>
    <row r="656" spans="1:40" x14ac:dyDescent="0.3">
      <c r="A656" s="1">
        <v>150</v>
      </c>
      <c r="B656" s="2" t="s">
        <v>2922</v>
      </c>
      <c r="C656" s="2" t="s">
        <v>2923</v>
      </c>
      <c r="D656" s="1">
        <v>31</v>
      </c>
      <c r="E656" s="2" t="s">
        <v>159</v>
      </c>
      <c r="F656" s="50" t="s">
        <v>160</v>
      </c>
      <c r="G656" s="2" t="s">
        <v>1082</v>
      </c>
      <c r="H656" s="1">
        <v>17858</v>
      </c>
      <c r="I656" s="1">
        <v>18382</v>
      </c>
      <c r="J656" s="2" t="s">
        <v>808</v>
      </c>
      <c r="K656" s="2" t="s">
        <v>800</v>
      </c>
      <c r="L656" s="2" t="s">
        <v>575</v>
      </c>
      <c r="M656" s="1">
        <v>1050</v>
      </c>
      <c r="N656" s="1">
        <v>27515</v>
      </c>
      <c r="O656" s="2" t="s">
        <v>276</v>
      </c>
      <c r="P656" s="2" t="s">
        <v>235</v>
      </c>
      <c r="Q656" s="2" t="s">
        <v>225</v>
      </c>
      <c r="R656" s="2" t="s">
        <v>66</v>
      </c>
      <c r="S656" s="2" t="s">
        <v>66</v>
      </c>
      <c r="T656" s="1">
        <v>12448</v>
      </c>
      <c r="U656" s="2" t="s">
        <v>51</v>
      </c>
      <c r="V656" s="1">
        <v>2711</v>
      </c>
      <c r="W656" s="1">
        <v>2782</v>
      </c>
      <c r="X656" s="2" t="s">
        <v>503</v>
      </c>
      <c r="Y656" s="2" t="s">
        <v>285</v>
      </c>
      <c r="Z656" s="2" t="s">
        <v>809</v>
      </c>
      <c r="AA656" s="2" t="s">
        <v>724</v>
      </c>
      <c r="AB656" s="1">
        <v>15067</v>
      </c>
      <c r="AC656" s="1">
        <v>8275</v>
      </c>
      <c r="AD656" s="1">
        <v>3116</v>
      </c>
      <c r="AE656" s="1">
        <v>897</v>
      </c>
      <c r="AF656" s="1">
        <v>142</v>
      </c>
      <c r="AG656" s="1">
        <v>18</v>
      </c>
      <c r="AH656" s="1">
        <v>11944</v>
      </c>
      <c r="AI656" s="1">
        <v>1315</v>
      </c>
      <c r="AJ656" s="1">
        <v>1177</v>
      </c>
      <c r="AK656" s="1">
        <v>3110</v>
      </c>
      <c r="AL656" s="1">
        <v>280</v>
      </c>
      <c r="AM656" s="1">
        <v>69</v>
      </c>
      <c r="AN656" s="2" t="s">
        <v>472</v>
      </c>
    </row>
    <row r="657" spans="1:40" ht="28.2" x14ac:dyDescent="0.3">
      <c r="A657" s="1">
        <v>11039</v>
      </c>
      <c r="B657" s="2" t="s">
        <v>2924</v>
      </c>
      <c r="C657" s="2" t="s">
        <v>2925</v>
      </c>
      <c r="D657" s="1">
        <v>25</v>
      </c>
      <c r="E657" s="2" t="s">
        <v>459</v>
      </c>
      <c r="F657" s="50" t="s">
        <v>825</v>
      </c>
      <c r="G657" s="2" t="s">
        <v>2926</v>
      </c>
      <c r="H657" s="1">
        <v>7819</v>
      </c>
      <c r="I657" s="1">
        <v>8168</v>
      </c>
      <c r="J657" s="2" t="s">
        <v>2927</v>
      </c>
      <c r="K657" s="2" t="s">
        <v>692</v>
      </c>
      <c r="L657" s="2" t="s">
        <v>462</v>
      </c>
      <c r="M657" s="1">
        <v>438</v>
      </c>
      <c r="N657" s="1">
        <v>11485</v>
      </c>
      <c r="O657" s="2" t="s">
        <v>167</v>
      </c>
      <c r="P657" s="2" t="s">
        <v>202</v>
      </c>
      <c r="Q657" s="2" t="s">
        <v>646</v>
      </c>
      <c r="R657" s="2" t="s">
        <v>50</v>
      </c>
      <c r="S657" s="2" t="s">
        <v>67</v>
      </c>
      <c r="T657" s="1">
        <v>5420</v>
      </c>
      <c r="U657" s="2" t="s">
        <v>51</v>
      </c>
      <c r="V657" s="1">
        <v>1047</v>
      </c>
      <c r="W657" s="1">
        <v>1155</v>
      </c>
      <c r="X657" s="2" t="s">
        <v>1749</v>
      </c>
      <c r="Y657" s="2" t="s">
        <v>820</v>
      </c>
      <c r="Z657" s="2" t="s">
        <v>324</v>
      </c>
      <c r="AA657" s="2" t="s">
        <v>1379</v>
      </c>
      <c r="AB657" s="1">
        <v>6065</v>
      </c>
      <c r="AC657" s="1">
        <v>3552</v>
      </c>
      <c r="AD657" s="1">
        <v>1419</v>
      </c>
      <c r="AE657" s="1">
        <v>372</v>
      </c>
      <c r="AF657" s="1">
        <v>72</v>
      </c>
      <c r="AG657" s="1">
        <v>5</v>
      </c>
      <c r="AH657" s="1">
        <v>5737</v>
      </c>
      <c r="AI657" s="1">
        <v>250</v>
      </c>
      <c r="AJ657" s="1">
        <v>442</v>
      </c>
      <c r="AK657" s="1">
        <v>1318</v>
      </c>
      <c r="AL657" s="1">
        <v>74</v>
      </c>
      <c r="AM657" s="1">
        <v>44</v>
      </c>
      <c r="AN657" s="2" t="s">
        <v>255</v>
      </c>
    </row>
    <row r="658" spans="1:40" x14ac:dyDescent="0.3">
      <c r="A658" s="1">
        <v>13042</v>
      </c>
      <c r="B658" s="2" t="s">
        <v>2928</v>
      </c>
      <c r="C658" s="2" t="s">
        <v>2929</v>
      </c>
      <c r="D658" s="1">
        <v>24</v>
      </c>
      <c r="E658" s="2" t="s">
        <v>42</v>
      </c>
      <c r="F658" s="50" t="s">
        <v>3514</v>
      </c>
      <c r="G658" s="2" t="s">
        <v>2930</v>
      </c>
      <c r="H658" s="1">
        <v>10091</v>
      </c>
      <c r="I658" s="1">
        <v>10391</v>
      </c>
      <c r="J658" s="2" t="s">
        <v>1809</v>
      </c>
      <c r="K658" s="2" t="s">
        <v>2931</v>
      </c>
      <c r="L658" s="2" t="s">
        <v>425</v>
      </c>
      <c r="M658" s="1">
        <v>590</v>
      </c>
      <c r="N658" s="1">
        <v>15692</v>
      </c>
      <c r="O658" s="2" t="s">
        <v>65</v>
      </c>
      <c r="P658" s="2" t="s">
        <v>48</v>
      </c>
      <c r="Q658" s="2" t="s">
        <v>322</v>
      </c>
      <c r="R658" s="2" t="s">
        <v>50</v>
      </c>
      <c r="S658" s="2" t="s">
        <v>50</v>
      </c>
      <c r="T658" s="1">
        <v>7053</v>
      </c>
      <c r="U658" s="2" t="s">
        <v>51</v>
      </c>
      <c r="V658" s="1">
        <v>1436</v>
      </c>
      <c r="W658" s="1">
        <v>1476</v>
      </c>
      <c r="X658" s="2" t="s">
        <v>503</v>
      </c>
      <c r="Y658" s="2" t="s">
        <v>503</v>
      </c>
      <c r="Z658" s="2" t="s">
        <v>2130</v>
      </c>
      <c r="AA658" s="2" t="s">
        <v>1244</v>
      </c>
      <c r="AB658" s="1">
        <v>8639</v>
      </c>
      <c r="AC658" s="1">
        <v>4737</v>
      </c>
      <c r="AD658" s="1">
        <v>1710</v>
      </c>
      <c r="AE658" s="1">
        <v>498</v>
      </c>
      <c r="AF658" s="1">
        <v>100</v>
      </c>
      <c r="AG658" s="1">
        <v>8</v>
      </c>
      <c r="AH658" s="1">
        <v>6677</v>
      </c>
      <c r="AI658" s="1">
        <v>562</v>
      </c>
      <c r="AJ658" s="1">
        <v>641</v>
      </c>
      <c r="AK658" s="1">
        <v>2049</v>
      </c>
      <c r="AL658" s="1">
        <v>69</v>
      </c>
      <c r="AM658" s="1">
        <v>110</v>
      </c>
      <c r="AN658" s="2" t="s">
        <v>255</v>
      </c>
    </row>
    <row r="659" spans="1:40" ht="28.2" x14ac:dyDescent="0.3">
      <c r="A659" s="1">
        <v>5796</v>
      </c>
      <c r="B659" s="2" t="s">
        <v>2932</v>
      </c>
      <c r="C659" s="2" t="s">
        <v>2933</v>
      </c>
      <c r="D659" s="1">
        <v>26</v>
      </c>
      <c r="E659" s="2" t="s">
        <v>708</v>
      </c>
      <c r="F659" s="50" t="s">
        <v>709</v>
      </c>
      <c r="G659" s="2" t="s">
        <v>2934</v>
      </c>
      <c r="H659" s="1">
        <v>29892</v>
      </c>
      <c r="I659" s="1">
        <v>30831</v>
      </c>
      <c r="J659" s="2" t="s">
        <v>2935</v>
      </c>
      <c r="K659" s="2" t="s">
        <v>2936</v>
      </c>
      <c r="L659" s="2" t="s">
        <v>164</v>
      </c>
      <c r="M659" s="1">
        <v>1770</v>
      </c>
      <c r="N659" s="1">
        <v>46856</v>
      </c>
      <c r="O659" s="2" t="s">
        <v>65</v>
      </c>
      <c r="P659" s="2" t="s">
        <v>202</v>
      </c>
      <c r="Q659" s="2" t="s">
        <v>322</v>
      </c>
      <c r="R659" s="2" t="s">
        <v>96</v>
      </c>
      <c r="S659" s="2" t="s">
        <v>96</v>
      </c>
      <c r="T659" s="1">
        <v>20720</v>
      </c>
      <c r="U659" s="2" t="s">
        <v>51</v>
      </c>
      <c r="V659" s="1">
        <v>4234</v>
      </c>
      <c r="W659" s="1">
        <v>4563</v>
      </c>
      <c r="X659" s="2" t="s">
        <v>950</v>
      </c>
      <c r="Y659" s="2" t="s">
        <v>472</v>
      </c>
      <c r="Z659" s="2" t="s">
        <v>821</v>
      </c>
      <c r="AA659" s="2" t="s">
        <v>518</v>
      </c>
      <c r="AB659" s="1">
        <v>26136</v>
      </c>
      <c r="AC659" s="1">
        <v>13668</v>
      </c>
      <c r="AD659" s="1">
        <v>5307</v>
      </c>
      <c r="AE659" s="1">
        <v>1421</v>
      </c>
      <c r="AF659" s="1">
        <v>290</v>
      </c>
      <c r="AG659" s="1">
        <v>34</v>
      </c>
      <c r="AH659" s="1">
        <v>21825</v>
      </c>
      <c r="AI659" s="1">
        <v>213</v>
      </c>
      <c r="AJ659" s="1">
        <v>1830</v>
      </c>
      <c r="AK659" s="1">
        <v>5490</v>
      </c>
      <c r="AL659" s="1">
        <v>427</v>
      </c>
      <c r="AM659" s="1">
        <v>176</v>
      </c>
      <c r="AN659" s="2" t="s">
        <v>472</v>
      </c>
    </row>
    <row r="660" spans="1:40" x14ac:dyDescent="0.3">
      <c r="A660" s="1">
        <v>11358</v>
      </c>
      <c r="B660" s="2" t="s">
        <v>2937</v>
      </c>
      <c r="C660" s="2" t="s">
        <v>2938</v>
      </c>
      <c r="D660" s="1">
        <v>26</v>
      </c>
      <c r="E660" s="2" t="s">
        <v>209</v>
      </c>
      <c r="F660" s="50" t="s">
        <v>1259</v>
      </c>
      <c r="G660" s="2" t="s">
        <v>2939</v>
      </c>
      <c r="H660" s="1">
        <v>8630</v>
      </c>
      <c r="I660" s="1">
        <v>9060</v>
      </c>
      <c r="J660" s="2" t="s">
        <v>2940</v>
      </c>
      <c r="K660" s="2" t="s">
        <v>2941</v>
      </c>
      <c r="L660" s="2" t="s">
        <v>541</v>
      </c>
      <c r="M660" s="1">
        <v>490</v>
      </c>
      <c r="N660" s="1">
        <v>12812</v>
      </c>
      <c r="O660" s="2" t="s">
        <v>225</v>
      </c>
      <c r="P660" s="2" t="s">
        <v>202</v>
      </c>
      <c r="Q660" s="2" t="s">
        <v>646</v>
      </c>
      <c r="R660" s="2" t="s">
        <v>50</v>
      </c>
      <c r="S660" s="2" t="s">
        <v>50</v>
      </c>
      <c r="T660" s="1">
        <v>5956</v>
      </c>
      <c r="U660" s="2" t="s">
        <v>51</v>
      </c>
      <c r="V660" s="1">
        <v>1159</v>
      </c>
      <c r="W660" s="1">
        <v>1242</v>
      </c>
      <c r="X660" s="2" t="s">
        <v>950</v>
      </c>
      <c r="Y660" s="2" t="s">
        <v>472</v>
      </c>
      <c r="Z660" s="2" t="s">
        <v>2083</v>
      </c>
      <c r="AA660" s="2" t="s">
        <v>852</v>
      </c>
      <c r="AB660" s="1">
        <v>6856</v>
      </c>
      <c r="AC660" s="1">
        <v>3907</v>
      </c>
      <c r="AD660" s="1">
        <v>1527</v>
      </c>
      <c r="AE660" s="1">
        <v>423</v>
      </c>
      <c r="AF660" s="1">
        <v>95</v>
      </c>
      <c r="AG660" s="1">
        <v>4</v>
      </c>
      <c r="AH660" s="1">
        <v>5977</v>
      </c>
      <c r="AI660" s="1">
        <v>58</v>
      </c>
      <c r="AJ660" s="1">
        <v>735</v>
      </c>
      <c r="AK660" s="1">
        <v>1763</v>
      </c>
      <c r="AL660" s="1">
        <v>90</v>
      </c>
      <c r="AM660" s="1">
        <v>23</v>
      </c>
      <c r="AN660" s="2">
        <v>1</v>
      </c>
    </row>
    <row r="661" spans="1:40" x14ac:dyDescent="0.3">
      <c r="A661" s="1">
        <v>10508</v>
      </c>
      <c r="B661" s="2" t="s">
        <v>2942</v>
      </c>
      <c r="C661" s="2" t="s">
        <v>2943</v>
      </c>
      <c r="D661" s="1">
        <v>25</v>
      </c>
      <c r="E661" s="2" t="s">
        <v>1012</v>
      </c>
      <c r="F661" s="50" t="s">
        <v>2944</v>
      </c>
      <c r="G661" s="2" t="s">
        <v>2374</v>
      </c>
      <c r="H661" s="1">
        <v>10346</v>
      </c>
      <c r="I661" s="1">
        <v>10867</v>
      </c>
      <c r="J661" s="2" t="s">
        <v>448</v>
      </c>
      <c r="K661" s="2" t="s">
        <v>1351</v>
      </c>
      <c r="L661" s="2" t="s">
        <v>46</v>
      </c>
      <c r="M661" s="1">
        <v>605</v>
      </c>
      <c r="N661" s="1">
        <v>15629</v>
      </c>
      <c r="O661" s="2" t="s">
        <v>322</v>
      </c>
      <c r="P661" s="2" t="s">
        <v>202</v>
      </c>
      <c r="Q661" s="2" t="s">
        <v>905</v>
      </c>
      <c r="R661" s="2" t="s">
        <v>67</v>
      </c>
      <c r="S661" s="2" t="s">
        <v>50</v>
      </c>
      <c r="T661" s="1">
        <v>7083</v>
      </c>
      <c r="U661" s="2" t="s">
        <v>51</v>
      </c>
      <c r="V661" s="1">
        <v>1359</v>
      </c>
      <c r="W661" s="1">
        <v>1483</v>
      </c>
      <c r="X661" s="2" t="s">
        <v>1314</v>
      </c>
      <c r="Y661" s="2" t="s">
        <v>1570</v>
      </c>
      <c r="Z661" s="2" t="s">
        <v>1214</v>
      </c>
      <c r="AA661" s="2" t="s">
        <v>852</v>
      </c>
      <c r="AB661" s="1">
        <v>8546</v>
      </c>
      <c r="AC661" s="1">
        <v>4587</v>
      </c>
      <c r="AD661" s="1">
        <v>1842</v>
      </c>
      <c r="AE661" s="1">
        <v>547</v>
      </c>
      <c r="AF661" s="1">
        <v>101</v>
      </c>
      <c r="AG661" s="1">
        <v>6</v>
      </c>
      <c r="AH661" s="1">
        <v>7435</v>
      </c>
      <c r="AI661" s="1">
        <v>143</v>
      </c>
      <c r="AJ661" s="1">
        <v>848</v>
      </c>
      <c r="AK661" s="1">
        <v>1805</v>
      </c>
      <c r="AL661" s="1">
        <v>123</v>
      </c>
      <c r="AM661" s="1">
        <v>8</v>
      </c>
      <c r="AN661" s="2" t="s">
        <v>472</v>
      </c>
    </row>
    <row r="662" spans="1:40" x14ac:dyDescent="0.3">
      <c r="A662" s="1">
        <v>7414</v>
      </c>
      <c r="B662" s="2" t="s">
        <v>2945</v>
      </c>
      <c r="C662" s="2" t="s">
        <v>2946</v>
      </c>
      <c r="D662" s="1">
        <v>30</v>
      </c>
      <c r="E662" s="2" t="s">
        <v>196</v>
      </c>
      <c r="F662" s="50" t="s">
        <v>2947</v>
      </c>
      <c r="G662" s="2" t="s">
        <v>2948</v>
      </c>
      <c r="H662" s="1">
        <v>13708</v>
      </c>
      <c r="I662" s="1">
        <v>14090</v>
      </c>
      <c r="J662" s="2" t="s">
        <v>703</v>
      </c>
      <c r="K662" s="2" t="s">
        <v>2773</v>
      </c>
      <c r="L662" s="2" t="s">
        <v>164</v>
      </c>
      <c r="M662" s="1">
        <v>821</v>
      </c>
      <c r="N662" s="1">
        <v>21503</v>
      </c>
      <c r="O662" s="2" t="s">
        <v>65</v>
      </c>
      <c r="P662" s="2" t="s">
        <v>202</v>
      </c>
      <c r="Q662" s="2" t="s">
        <v>322</v>
      </c>
      <c r="R662" s="2" t="s">
        <v>67</v>
      </c>
      <c r="S662" s="2" t="s">
        <v>67</v>
      </c>
      <c r="T662" s="1">
        <v>9538</v>
      </c>
      <c r="U662" s="2" t="s">
        <v>51</v>
      </c>
      <c r="V662" s="1">
        <v>1676</v>
      </c>
      <c r="W662" s="1">
        <v>1795</v>
      </c>
      <c r="X662" s="2" t="s">
        <v>950</v>
      </c>
      <c r="Y662" s="2" t="s">
        <v>1314</v>
      </c>
      <c r="Z662" s="2" t="s">
        <v>399</v>
      </c>
      <c r="AA662" s="2" t="s">
        <v>2631</v>
      </c>
      <c r="AB662" s="1">
        <v>11965</v>
      </c>
      <c r="AC662" s="1">
        <v>6337</v>
      </c>
      <c r="AD662" s="1">
        <v>2417</v>
      </c>
      <c r="AE662" s="1">
        <v>637</v>
      </c>
      <c r="AF662" s="1">
        <v>134</v>
      </c>
      <c r="AG662" s="1">
        <v>13</v>
      </c>
      <c r="AH662" s="1">
        <v>10028</v>
      </c>
      <c r="AI662" s="1">
        <v>243</v>
      </c>
      <c r="AJ662" s="1">
        <v>591</v>
      </c>
      <c r="AK662" s="1">
        <v>2544</v>
      </c>
      <c r="AL662" s="1">
        <v>224</v>
      </c>
      <c r="AM662" s="1">
        <v>98</v>
      </c>
      <c r="AN662" s="2" t="s">
        <v>472</v>
      </c>
    </row>
    <row r="663" spans="1:40" x14ac:dyDescent="0.3">
      <c r="A663" s="1">
        <v>11746</v>
      </c>
      <c r="B663" s="2" t="s">
        <v>2949</v>
      </c>
      <c r="C663" s="2" t="s">
        <v>2950</v>
      </c>
      <c r="D663" s="1">
        <v>26</v>
      </c>
      <c r="E663" s="2" t="s">
        <v>104</v>
      </c>
      <c r="F663" s="50" t="s">
        <v>3514</v>
      </c>
      <c r="G663" s="2" t="s">
        <v>2563</v>
      </c>
      <c r="H663" s="1">
        <v>8424</v>
      </c>
      <c r="I663" s="1">
        <v>8495</v>
      </c>
      <c r="J663" s="2" t="s">
        <v>611</v>
      </c>
      <c r="K663" s="2">
        <v>71</v>
      </c>
      <c r="L663" s="2" t="s">
        <v>398</v>
      </c>
      <c r="M663" s="1">
        <v>514</v>
      </c>
      <c r="N663" s="1">
        <v>13425</v>
      </c>
      <c r="O663" s="2" t="s">
        <v>215</v>
      </c>
      <c r="P663" s="2" t="s">
        <v>202</v>
      </c>
      <c r="Q663" s="2" t="s">
        <v>215</v>
      </c>
      <c r="R663" s="2" t="s">
        <v>135</v>
      </c>
      <c r="S663" s="2" t="s">
        <v>66</v>
      </c>
      <c r="T663" s="1">
        <v>5954</v>
      </c>
      <c r="U663" s="2" t="s">
        <v>51</v>
      </c>
      <c r="V663" s="1">
        <v>963</v>
      </c>
      <c r="W663" s="1">
        <v>985</v>
      </c>
      <c r="X663" s="2" t="s">
        <v>245</v>
      </c>
      <c r="Y663" s="2" t="s">
        <v>1906</v>
      </c>
      <c r="Z663" s="2" t="s">
        <v>567</v>
      </c>
      <c r="AA663" s="2" t="s">
        <v>2951</v>
      </c>
      <c r="AB663" s="1">
        <v>7471</v>
      </c>
      <c r="AC663" s="1">
        <v>3987</v>
      </c>
      <c r="AD663" s="1">
        <v>1535</v>
      </c>
      <c r="AE663" s="1">
        <v>363</v>
      </c>
      <c r="AF663" s="1">
        <v>67</v>
      </c>
      <c r="AG663" s="1">
        <v>2</v>
      </c>
      <c r="AH663" s="1">
        <v>6196</v>
      </c>
      <c r="AI663" s="1">
        <v>125</v>
      </c>
      <c r="AJ663" s="1">
        <v>645</v>
      </c>
      <c r="AK663" s="1">
        <v>1370</v>
      </c>
      <c r="AL663" s="1">
        <v>95</v>
      </c>
      <c r="AM663" s="1">
        <v>20</v>
      </c>
      <c r="AN663" s="2">
        <v>1</v>
      </c>
    </row>
    <row r="664" spans="1:40" x14ac:dyDescent="0.3">
      <c r="A664" s="1">
        <v>3459</v>
      </c>
      <c r="B664" s="2" t="s">
        <v>2952</v>
      </c>
      <c r="C664" s="2" t="s">
        <v>2953</v>
      </c>
      <c r="D664" s="1">
        <v>30</v>
      </c>
      <c r="E664" s="2" t="s">
        <v>75</v>
      </c>
      <c r="F664" s="50" t="s">
        <v>2193</v>
      </c>
      <c r="G664" s="2" t="s">
        <v>2954</v>
      </c>
      <c r="H664" s="1">
        <v>11130</v>
      </c>
      <c r="I664" s="1">
        <v>11727</v>
      </c>
      <c r="J664" s="2" t="s">
        <v>2730</v>
      </c>
      <c r="K664" s="2" t="s">
        <v>353</v>
      </c>
      <c r="L664" s="2" t="s">
        <v>164</v>
      </c>
      <c r="M664" s="1">
        <v>631</v>
      </c>
      <c r="N664" s="1">
        <v>16775</v>
      </c>
      <c r="O664" s="2" t="s">
        <v>322</v>
      </c>
      <c r="P664" s="2" t="s">
        <v>202</v>
      </c>
      <c r="Q664" s="2" t="s">
        <v>905</v>
      </c>
      <c r="R664" s="2" t="s">
        <v>67</v>
      </c>
      <c r="S664" s="2" t="s">
        <v>96</v>
      </c>
      <c r="T664" s="1">
        <v>7616</v>
      </c>
      <c r="U664" s="2" t="s">
        <v>51</v>
      </c>
      <c r="V664" s="1">
        <v>1719</v>
      </c>
      <c r="W664" s="1">
        <v>1895</v>
      </c>
      <c r="X664" s="2" t="s">
        <v>1749</v>
      </c>
      <c r="Y664" s="2" t="s">
        <v>285</v>
      </c>
      <c r="Z664" s="2" t="s">
        <v>399</v>
      </c>
      <c r="AA664" s="2" t="s">
        <v>648</v>
      </c>
      <c r="AB664" s="1">
        <v>9159</v>
      </c>
      <c r="AC664" s="1">
        <v>4928</v>
      </c>
      <c r="AD664" s="1">
        <v>2009</v>
      </c>
      <c r="AE664" s="1">
        <v>545</v>
      </c>
      <c r="AF664" s="1">
        <v>121</v>
      </c>
      <c r="AG664" s="1">
        <v>13</v>
      </c>
      <c r="AH664" s="1">
        <v>8323</v>
      </c>
      <c r="AI664" s="1">
        <v>76</v>
      </c>
      <c r="AJ664" s="1">
        <v>628</v>
      </c>
      <c r="AK664" s="1">
        <v>1949</v>
      </c>
      <c r="AL664" s="1">
        <v>148</v>
      </c>
      <c r="AM664" s="1">
        <v>23</v>
      </c>
      <c r="AN664" s="2" t="s">
        <v>472</v>
      </c>
    </row>
    <row r="665" spans="1:40" x14ac:dyDescent="0.3">
      <c r="A665" s="1">
        <v>922</v>
      </c>
      <c r="B665" s="2" t="s">
        <v>2955</v>
      </c>
      <c r="C665" s="2" t="s">
        <v>2956</v>
      </c>
      <c r="D665" s="1">
        <v>32</v>
      </c>
      <c r="E665" s="2" t="s">
        <v>196</v>
      </c>
      <c r="F665" s="50" t="s">
        <v>701</v>
      </c>
      <c r="G665" s="2" t="s">
        <v>2957</v>
      </c>
      <c r="H665" s="1">
        <v>27353</v>
      </c>
      <c r="I665" s="1">
        <v>28322</v>
      </c>
      <c r="J665" s="2" t="s">
        <v>1576</v>
      </c>
      <c r="K665" s="2" t="s">
        <v>2686</v>
      </c>
      <c r="L665" s="2" t="s">
        <v>1170</v>
      </c>
      <c r="M665" s="1">
        <v>1591</v>
      </c>
      <c r="N665" s="1">
        <v>41992</v>
      </c>
      <c r="O665" s="2" t="s">
        <v>276</v>
      </c>
      <c r="P665" s="2" t="s">
        <v>202</v>
      </c>
      <c r="Q665" s="2" t="s">
        <v>225</v>
      </c>
      <c r="R665" s="2" t="s">
        <v>96</v>
      </c>
      <c r="S665" s="2" t="s">
        <v>66</v>
      </c>
      <c r="T665" s="1">
        <v>19032</v>
      </c>
      <c r="U665" s="2" t="s">
        <v>51</v>
      </c>
      <c r="V665" s="1">
        <v>3855</v>
      </c>
      <c r="W665" s="1">
        <v>3732</v>
      </c>
      <c r="X665" s="2" t="s">
        <v>412</v>
      </c>
      <c r="Y665" s="2" t="s">
        <v>245</v>
      </c>
      <c r="Z665" s="2" t="s">
        <v>887</v>
      </c>
      <c r="AA665" s="2" t="s">
        <v>888</v>
      </c>
      <c r="AB665" s="1">
        <v>22960</v>
      </c>
      <c r="AC665" s="1">
        <v>12595</v>
      </c>
      <c r="AD665" s="1">
        <v>4861</v>
      </c>
      <c r="AE665" s="1">
        <v>1297</v>
      </c>
      <c r="AF665" s="1">
        <v>254</v>
      </c>
      <c r="AG665" s="1">
        <v>25</v>
      </c>
      <c r="AH665" s="1">
        <v>16110</v>
      </c>
      <c r="AI665" s="1">
        <v>2654</v>
      </c>
      <c r="AJ665" s="1">
        <v>3495</v>
      </c>
      <c r="AK665" s="1">
        <v>4753</v>
      </c>
      <c r="AL665" s="1">
        <v>328</v>
      </c>
      <c r="AM665" s="1">
        <v>71</v>
      </c>
      <c r="AN665" s="2" t="s">
        <v>472</v>
      </c>
    </row>
    <row r="666" spans="1:40" ht="28.2" x14ac:dyDescent="0.3">
      <c r="A666" s="1">
        <v>2148</v>
      </c>
      <c r="B666" s="2" t="s">
        <v>2958</v>
      </c>
      <c r="C666" s="2" t="s">
        <v>2959</v>
      </c>
      <c r="D666" s="1">
        <v>31</v>
      </c>
      <c r="E666" s="2" t="s">
        <v>708</v>
      </c>
      <c r="F666" s="50" t="s">
        <v>3514</v>
      </c>
      <c r="G666" s="2" t="s">
        <v>2960</v>
      </c>
      <c r="H666" s="1">
        <v>10261</v>
      </c>
      <c r="I666" s="1">
        <v>10891</v>
      </c>
      <c r="J666" s="2" t="s">
        <v>1930</v>
      </c>
      <c r="K666" s="2" t="s">
        <v>1089</v>
      </c>
      <c r="L666" s="2" t="s">
        <v>575</v>
      </c>
      <c r="M666" s="1">
        <v>591</v>
      </c>
      <c r="N666" s="1">
        <v>15363</v>
      </c>
      <c r="O666" s="2" t="s">
        <v>225</v>
      </c>
      <c r="P666" s="2" t="s">
        <v>235</v>
      </c>
      <c r="Q666" s="2" t="s">
        <v>646</v>
      </c>
      <c r="R666" s="2" t="s">
        <v>96</v>
      </c>
      <c r="S666" s="2" t="s">
        <v>66</v>
      </c>
      <c r="T666" s="1">
        <v>6980</v>
      </c>
      <c r="U666" s="2" t="s">
        <v>51</v>
      </c>
      <c r="V666" s="1">
        <v>1504</v>
      </c>
      <c r="W666" s="1">
        <v>1796</v>
      </c>
      <c r="X666" s="2" t="s">
        <v>47</v>
      </c>
      <c r="Y666" s="2" t="s">
        <v>472</v>
      </c>
      <c r="Z666" s="2" t="s">
        <v>2961</v>
      </c>
      <c r="AA666" s="2" t="s">
        <v>640</v>
      </c>
      <c r="AB666" s="1">
        <v>8383</v>
      </c>
      <c r="AC666" s="1">
        <v>4508</v>
      </c>
      <c r="AD666" s="1">
        <v>1806</v>
      </c>
      <c r="AE666" s="1">
        <v>542</v>
      </c>
      <c r="AF666" s="1">
        <v>110</v>
      </c>
      <c r="AG666" s="1">
        <v>14</v>
      </c>
      <c r="AH666" s="1">
        <v>7341</v>
      </c>
      <c r="AI666" s="1">
        <v>293</v>
      </c>
      <c r="AJ666" s="1">
        <v>261</v>
      </c>
      <c r="AK666" s="1">
        <v>2206</v>
      </c>
      <c r="AL666" s="1">
        <v>153</v>
      </c>
      <c r="AM666" s="1">
        <v>23</v>
      </c>
      <c r="AN666" s="2" t="s">
        <v>472</v>
      </c>
    </row>
    <row r="667" spans="1:40" ht="28.2" x14ac:dyDescent="0.3">
      <c r="A667" s="1">
        <v>15349</v>
      </c>
      <c r="B667" s="2" t="s">
        <v>2962</v>
      </c>
      <c r="C667" s="2" t="s">
        <v>2963</v>
      </c>
      <c r="D667" s="1">
        <v>24</v>
      </c>
      <c r="E667" s="2" t="s">
        <v>196</v>
      </c>
      <c r="F667" s="50" t="s">
        <v>319</v>
      </c>
      <c r="G667" s="2" t="s">
        <v>2630</v>
      </c>
      <c r="H667" s="1">
        <v>11970</v>
      </c>
      <c r="I667" s="1">
        <v>12487</v>
      </c>
      <c r="J667" s="2" t="s">
        <v>273</v>
      </c>
      <c r="K667" s="2" t="s">
        <v>2171</v>
      </c>
      <c r="L667" s="2" t="s">
        <v>575</v>
      </c>
      <c r="M667" s="1">
        <v>692</v>
      </c>
      <c r="N667" s="1">
        <v>18642</v>
      </c>
      <c r="O667" s="2" t="s">
        <v>65</v>
      </c>
      <c r="P667" s="2" t="s">
        <v>202</v>
      </c>
      <c r="Q667" s="2" t="s">
        <v>225</v>
      </c>
      <c r="R667" s="2" t="s">
        <v>48</v>
      </c>
      <c r="S667" s="2" t="s">
        <v>67</v>
      </c>
      <c r="T667" s="1">
        <v>8218</v>
      </c>
      <c r="U667" s="2" t="s">
        <v>51</v>
      </c>
      <c r="V667" s="1">
        <v>1805</v>
      </c>
      <c r="W667" s="1">
        <v>2023</v>
      </c>
      <c r="X667" s="2" t="s">
        <v>1551</v>
      </c>
      <c r="Y667" s="2" t="s">
        <v>503</v>
      </c>
      <c r="Z667" s="2" t="s">
        <v>554</v>
      </c>
      <c r="AA667" s="2" t="s">
        <v>739</v>
      </c>
      <c r="AB667" s="1">
        <v>10424</v>
      </c>
      <c r="AC667" s="1">
        <v>5349</v>
      </c>
      <c r="AD667" s="1">
        <v>2133</v>
      </c>
      <c r="AE667" s="1">
        <v>603</v>
      </c>
      <c r="AF667" s="1">
        <v>119</v>
      </c>
      <c r="AG667" s="1">
        <v>14</v>
      </c>
      <c r="AH667" s="1">
        <v>8670</v>
      </c>
      <c r="AI667" s="1">
        <v>486</v>
      </c>
      <c r="AJ667" s="1">
        <v>742</v>
      </c>
      <c r="AK667" s="1">
        <v>1926</v>
      </c>
      <c r="AL667" s="1">
        <v>157</v>
      </c>
      <c r="AM667" s="1">
        <v>33</v>
      </c>
      <c r="AN667" s="2" t="s">
        <v>449</v>
      </c>
    </row>
    <row r="668" spans="1:40" x14ac:dyDescent="0.3">
      <c r="A668" s="1">
        <v>11286</v>
      </c>
      <c r="B668" s="2" t="s">
        <v>2964</v>
      </c>
      <c r="C668" s="2" t="s">
        <v>2965</v>
      </c>
      <c r="D668" s="1">
        <v>27</v>
      </c>
      <c r="E668" s="2" t="s">
        <v>327</v>
      </c>
      <c r="F668" s="50" t="s">
        <v>2966</v>
      </c>
      <c r="G668" s="2" t="s">
        <v>2967</v>
      </c>
      <c r="H668" s="1">
        <v>8674</v>
      </c>
      <c r="I668" s="1">
        <v>8925</v>
      </c>
      <c r="J668" s="2" t="s">
        <v>2968</v>
      </c>
      <c r="K668" s="2" t="s">
        <v>1834</v>
      </c>
      <c r="L668" s="2">
        <v>4</v>
      </c>
      <c r="M668" s="1">
        <v>504</v>
      </c>
      <c r="N668" s="1">
        <v>13584</v>
      </c>
      <c r="O668" s="2" t="s">
        <v>65</v>
      </c>
      <c r="P668" s="2" t="s">
        <v>202</v>
      </c>
      <c r="Q668" s="2" t="s">
        <v>322</v>
      </c>
      <c r="R668" s="2" t="s">
        <v>96</v>
      </c>
      <c r="S668" s="2" t="s">
        <v>66</v>
      </c>
      <c r="T668" s="1">
        <v>6044</v>
      </c>
      <c r="U668" s="2" t="s">
        <v>51</v>
      </c>
      <c r="V668" s="1">
        <v>986</v>
      </c>
      <c r="W668" s="1">
        <v>1065</v>
      </c>
      <c r="X668" s="2" t="s">
        <v>950</v>
      </c>
      <c r="Y668" s="2" t="s">
        <v>1906</v>
      </c>
      <c r="Z668" s="2" t="s">
        <v>217</v>
      </c>
      <c r="AA668" s="2" t="s">
        <v>1468</v>
      </c>
      <c r="AB668" s="1">
        <v>7540</v>
      </c>
      <c r="AC668" s="1">
        <v>4016</v>
      </c>
      <c r="AD668" s="1">
        <v>1505</v>
      </c>
      <c r="AE668" s="1">
        <v>450</v>
      </c>
      <c r="AF668" s="1">
        <v>67</v>
      </c>
      <c r="AG668" s="1">
        <v>6</v>
      </c>
      <c r="AH668" s="1">
        <v>6371</v>
      </c>
      <c r="AI668" s="1">
        <v>90</v>
      </c>
      <c r="AJ668" s="1">
        <v>586</v>
      </c>
      <c r="AK668" s="1">
        <v>1517</v>
      </c>
      <c r="AL668" s="1">
        <v>111</v>
      </c>
      <c r="AM668" s="1">
        <v>21</v>
      </c>
      <c r="AN668" s="2">
        <v>1</v>
      </c>
    </row>
    <row r="669" spans="1:40" x14ac:dyDescent="0.3">
      <c r="A669" s="1">
        <v>19038</v>
      </c>
      <c r="B669" s="2" t="s">
        <v>2969</v>
      </c>
      <c r="C669" s="2" t="s">
        <v>2970</v>
      </c>
      <c r="D669" s="1">
        <v>21</v>
      </c>
      <c r="E669" s="2" t="s">
        <v>196</v>
      </c>
      <c r="F669" s="50" t="s">
        <v>1488</v>
      </c>
      <c r="G669" s="2" t="s">
        <v>1488</v>
      </c>
      <c r="H669" s="1">
        <v>7572</v>
      </c>
      <c r="I669" s="1">
        <v>7962</v>
      </c>
      <c r="J669" s="2" t="s">
        <v>2082</v>
      </c>
      <c r="K669" s="2" t="s">
        <v>524</v>
      </c>
      <c r="L669" s="2" t="s">
        <v>294</v>
      </c>
      <c r="M669" s="1">
        <v>424</v>
      </c>
      <c r="N669" s="1">
        <v>11470</v>
      </c>
      <c r="O669" s="2" t="s">
        <v>322</v>
      </c>
      <c r="P669" s="2" t="s">
        <v>67</v>
      </c>
      <c r="Q669" s="2" t="s">
        <v>463</v>
      </c>
      <c r="R669" s="2" t="s">
        <v>96</v>
      </c>
      <c r="S669" s="2" t="s">
        <v>50</v>
      </c>
      <c r="T669" s="1">
        <v>5184</v>
      </c>
      <c r="U669" s="2" t="s">
        <v>51</v>
      </c>
      <c r="V669" s="1">
        <v>1179</v>
      </c>
      <c r="W669" s="1">
        <v>1319</v>
      </c>
      <c r="X669" s="2" t="s">
        <v>1551</v>
      </c>
      <c r="Y669" s="2" t="s">
        <v>285</v>
      </c>
      <c r="Z669" s="2" t="s">
        <v>473</v>
      </c>
      <c r="AA669" s="2" t="s">
        <v>568</v>
      </c>
      <c r="AB669" s="1">
        <v>6286</v>
      </c>
      <c r="AC669" s="1">
        <v>3357</v>
      </c>
      <c r="AD669" s="1">
        <v>1348</v>
      </c>
      <c r="AE669" s="1">
        <v>402</v>
      </c>
      <c r="AF669" s="1">
        <v>72</v>
      </c>
      <c r="AG669" s="1">
        <v>5</v>
      </c>
      <c r="AH669" s="1">
        <v>5684</v>
      </c>
      <c r="AI669" s="1">
        <v>290</v>
      </c>
      <c r="AJ669" s="1">
        <v>402</v>
      </c>
      <c r="AK669" s="1">
        <v>1091</v>
      </c>
      <c r="AL669" s="1">
        <v>101</v>
      </c>
      <c r="AM669" s="1">
        <v>28</v>
      </c>
      <c r="AN669" s="2" t="s">
        <v>285</v>
      </c>
    </row>
    <row r="670" spans="1:40" x14ac:dyDescent="0.3">
      <c r="A670" s="1">
        <v>165</v>
      </c>
      <c r="B670" s="2" t="s">
        <v>2971</v>
      </c>
      <c r="C670" s="2" t="s">
        <v>2972</v>
      </c>
      <c r="D670" s="1">
        <v>35</v>
      </c>
      <c r="E670" s="2" t="s">
        <v>327</v>
      </c>
      <c r="F670" s="50" t="s">
        <v>1343</v>
      </c>
      <c r="G670" s="2" t="s">
        <v>2973</v>
      </c>
      <c r="H670" s="1">
        <v>34383</v>
      </c>
      <c r="I670" s="1">
        <v>35933</v>
      </c>
      <c r="J670" s="2" t="s">
        <v>1627</v>
      </c>
      <c r="K670" s="2" t="s">
        <v>2727</v>
      </c>
      <c r="L670" s="2" t="s">
        <v>1846</v>
      </c>
      <c r="M670" s="1">
        <v>2030</v>
      </c>
      <c r="N670" s="1">
        <v>52985</v>
      </c>
      <c r="O670" s="2" t="s">
        <v>276</v>
      </c>
      <c r="P670" s="2" t="s">
        <v>553</v>
      </c>
      <c r="Q670" s="2" t="s">
        <v>167</v>
      </c>
      <c r="R670" s="2" t="s">
        <v>96</v>
      </c>
      <c r="S670" s="2" t="s">
        <v>66</v>
      </c>
      <c r="T670" s="1">
        <v>23611</v>
      </c>
      <c r="U670" s="2" t="s">
        <v>51</v>
      </c>
      <c r="V670" s="1">
        <v>4704</v>
      </c>
      <c r="W670" s="1">
        <v>5483</v>
      </c>
      <c r="X670" s="2" t="s">
        <v>64</v>
      </c>
      <c r="Y670" s="2" t="s">
        <v>1570</v>
      </c>
      <c r="Z670" s="2" t="s">
        <v>1020</v>
      </c>
      <c r="AA670" s="2" t="s">
        <v>518</v>
      </c>
      <c r="AB670" s="1">
        <v>29374</v>
      </c>
      <c r="AC670" s="1">
        <v>15441</v>
      </c>
      <c r="AD670" s="1">
        <v>6063</v>
      </c>
      <c r="AE670" s="1">
        <v>1722</v>
      </c>
      <c r="AF670" s="1">
        <v>341</v>
      </c>
      <c r="AG670" s="1">
        <v>44</v>
      </c>
      <c r="AH670" s="1">
        <v>22487</v>
      </c>
      <c r="AI670" s="1">
        <v>3414</v>
      </c>
      <c r="AJ670" s="1">
        <v>1587</v>
      </c>
      <c r="AK670" s="1">
        <v>6094</v>
      </c>
      <c r="AL670" s="1">
        <v>661</v>
      </c>
      <c r="AM670" s="1">
        <v>185</v>
      </c>
      <c r="AN670" s="2" t="s">
        <v>820</v>
      </c>
    </row>
    <row r="671" spans="1:40" x14ac:dyDescent="0.3">
      <c r="A671" s="1">
        <v>14176</v>
      </c>
      <c r="B671" s="2" t="s">
        <v>2974</v>
      </c>
      <c r="C671" s="2" t="s">
        <v>2975</v>
      </c>
      <c r="D671" s="1">
        <v>19</v>
      </c>
      <c r="E671" s="2" t="s">
        <v>42</v>
      </c>
      <c r="F671" s="50" t="s">
        <v>43</v>
      </c>
      <c r="G671" s="2" t="s">
        <v>43</v>
      </c>
      <c r="H671" s="1">
        <v>7663</v>
      </c>
      <c r="I671" s="1">
        <v>8064</v>
      </c>
      <c r="J671" s="2" t="s">
        <v>848</v>
      </c>
      <c r="K671" s="2" t="s">
        <v>2976</v>
      </c>
      <c r="L671" s="2" t="s">
        <v>122</v>
      </c>
      <c r="M671" s="1">
        <v>458</v>
      </c>
      <c r="N671" s="1">
        <v>12112</v>
      </c>
      <c r="O671" s="2" t="s">
        <v>215</v>
      </c>
      <c r="P671" s="2" t="s">
        <v>67</v>
      </c>
      <c r="Q671" s="2" t="s">
        <v>225</v>
      </c>
      <c r="R671" s="2" t="s">
        <v>48</v>
      </c>
      <c r="S671" s="2" t="s">
        <v>67</v>
      </c>
      <c r="T671" s="1">
        <v>5226</v>
      </c>
      <c r="U671" s="2" t="s">
        <v>51</v>
      </c>
      <c r="V671" s="1">
        <v>1087</v>
      </c>
      <c r="W671" s="1">
        <v>1274</v>
      </c>
      <c r="X671" s="2" t="s">
        <v>2667</v>
      </c>
      <c r="Y671" s="2" t="s">
        <v>1570</v>
      </c>
      <c r="Z671" s="2" t="s">
        <v>795</v>
      </c>
      <c r="AA671" s="2" t="s">
        <v>518</v>
      </c>
      <c r="AB671" s="1">
        <v>6886</v>
      </c>
      <c r="AC671" s="1">
        <v>3422</v>
      </c>
      <c r="AD671" s="1">
        <v>1283</v>
      </c>
      <c r="AE671" s="1">
        <v>419</v>
      </c>
      <c r="AF671" s="1">
        <v>92</v>
      </c>
      <c r="AG671" s="1">
        <v>10</v>
      </c>
      <c r="AH671" s="1">
        <v>5677</v>
      </c>
      <c r="AI671" s="1">
        <v>55</v>
      </c>
      <c r="AJ671" s="1">
        <v>595</v>
      </c>
      <c r="AK671" s="1">
        <v>1261</v>
      </c>
      <c r="AL671" s="1">
        <v>80</v>
      </c>
      <c r="AM671" s="1">
        <v>10</v>
      </c>
      <c r="AN671" s="2">
        <v>1</v>
      </c>
    </row>
    <row r="672" spans="1:40" x14ac:dyDescent="0.3">
      <c r="A672" s="1">
        <v>7511</v>
      </c>
      <c r="B672" s="2" t="s">
        <v>2977</v>
      </c>
      <c r="C672" s="2" t="s">
        <v>2978</v>
      </c>
      <c r="D672" s="1">
        <v>27</v>
      </c>
      <c r="E672" s="2" t="s">
        <v>708</v>
      </c>
      <c r="F672" s="50" t="s">
        <v>3514</v>
      </c>
      <c r="G672" s="2" t="s">
        <v>2634</v>
      </c>
      <c r="H672" s="1">
        <v>32721</v>
      </c>
      <c r="I672" s="1">
        <v>34569</v>
      </c>
      <c r="J672" s="2" t="s">
        <v>411</v>
      </c>
      <c r="K672" s="2">
        <v>75</v>
      </c>
      <c r="L672" s="2" t="s">
        <v>46</v>
      </c>
      <c r="M672" s="1">
        <v>1830</v>
      </c>
      <c r="N672" s="1">
        <v>48692</v>
      </c>
      <c r="O672" s="2" t="s">
        <v>225</v>
      </c>
      <c r="P672" s="2" t="s">
        <v>235</v>
      </c>
      <c r="Q672" s="2" t="s">
        <v>646</v>
      </c>
      <c r="R672" s="2" t="s">
        <v>67</v>
      </c>
      <c r="S672" s="2" t="s">
        <v>96</v>
      </c>
      <c r="T672" s="1">
        <v>22383</v>
      </c>
      <c r="U672" s="2" t="s">
        <v>51</v>
      </c>
      <c r="V672" s="1">
        <v>5751</v>
      </c>
      <c r="W672" s="1">
        <v>6153</v>
      </c>
      <c r="X672" s="2" t="s">
        <v>950</v>
      </c>
      <c r="Y672" s="2" t="s">
        <v>304</v>
      </c>
      <c r="Z672" s="2" t="s">
        <v>170</v>
      </c>
      <c r="AA672" s="2" t="s">
        <v>1385</v>
      </c>
      <c r="AB672" s="1">
        <v>26309</v>
      </c>
      <c r="AC672" s="1">
        <v>14452</v>
      </c>
      <c r="AD672" s="1">
        <v>5914</v>
      </c>
      <c r="AE672" s="1">
        <v>1669</v>
      </c>
      <c r="AF672" s="1">
        <v>323</v>
      </c>
      <c r="AG672" s="1">
        <v>25</v>
      </c>
      <c r="AH672" s="1">
        <v>23331</v>
      </c>
      <c r="AI672" s="1">
        <v>2098</v>
      </c>
      <c r="AJ672" s="1">
        <v>1541</v>
      </c>
      <c r="AK672" s="1">
        <v>5366</v>
      </c>
      <c r="AL672" s="1">
        <v>371</v>
      </c>
      <c r="AM672" s="1">
        <v>67</v>
      </c>
      <c r="AN672" s="2" t="s">
        <v>820</v>
      </c>
    </row>
    <row r="673" spans="1:40" ht="28.2" x14ac:dyDescent="0.3">
      <c r="A673" s="1">
        <v>13179</v>
      </c>
      <c r="B673" s="2" t="s">
        <v>2979</v>
      </c>
      <c r="C673" s="2" t="s">
        <v>2980</v>
      </c>
      <c r="D673" s="1">
        <v>22</v>
      </c>
      <c r="E673" s="2" t="s">
        <v>459</v>
      </c>
      <c r="F673" s="50" t="s">
        <v>2981</v>
      </c>
      <c r="G673" s="2" t="s">
        <v>2982</v>
      </c>
      <c r="H673" s="1">
        <v>8255</v>
      </c>
      <c r="I673" s="1">
        <v>8776</v>
      </c>
      <c r="J673" s="2" t="s">
        <v>1549</v>
      </c>
      <c r="K673" s="2" t="s">
        <v>800</v>
      </c>
      <c r="L673" s="2" t="s">
        <v>331</v>
      </c>
      <c r="M673" s="1">
        <v>466</v>
      </c>
      <c r="N673" s="1">
        <v>12168</v>
      </c>
      <c r="O673" s="2" t="s">
        <v>167</v>
      </c>
      <c r="P673" s="2" t="s">
        <v>48</v>
      </c>
      <c r="Q673" s="2" t="s">
        <v>311</v>
      </c>
      <c r="R673" s="2" t="s">
        <v>67</v>
      </c>
      <c r="S673" s="2" t="s">
        <v>50</v>
      </c>
      <c r="T673" s="1">
        <v>5641</v>
      </c>
      <c r="U673" s="2" t="s">
        <v>51</v>
      </c>
      <c r="V673" s="1">
        <v>1249</v>
      </c>
      <c r="W673" s="1">
        <v>1432</v>
      </c>
      <c r="X673" s="2" t="s">
        <v>2324</v>
      </c>
      <c r="Y673" s="2" t="s">
        <v>245</v>
      </c>
      <c r="Z673" s="2" t="s">
        <v>1121</v>
      </c>
      <c r="AA673" s="2" t="s">
        <v>648</v>
      </c>
      <c r="AB673" s="1">
        <v>6527</v>
      </c>
      <c r="AC673" s="1">
        <v>3659</v>
      </c>
      <c r="AD673" s="1">
        <v>1449</v>
      </c>
      <c r="AE673" s="1">
        <v>442</v>
      </c>
      <c r="AF673" s="1">
        <v>83</v>
      </c>
      <c r="AG673" s="1">
        <v>8</v>
      </c>
      <c r="AH673" s="1">
        <v>6067</v>
      </c>
      <c r="AI673" s="1">
        <v>200</v>
      </c>
      <c r="AJ673" s="1">
        <v>450</v>
      </c>
      <c r="AK673" s="1">
        <v>1444</v>
      </c>
      <c r="AL673" s="1">
        <v>97</v>
      </c>
      <c r="AM673" s="1">
        <v>15</v>
      </c>
      <c r="AN673" s="2" t="s">
        <v>255</v>
      </c>
    </row>
    <row r="674" spans="1:40" ht="28.2" x14ac:dyDescent="0.3">
      <c r="A674" s="1">
        <v>11199</v>
      </c>
      <c r="B674" s="2" t="s">
        <v>2983</v>
      </c>
      <c r="C674" s="2" t="s">
        <v>2984</v>
      </c>
      <c r="D674" s="1">
        <v>24</v>
      </c>
      <c r="E674" s="2" t="s">
        <v>337</v>
      </c>
      <c r="F674" s="50" t="s">
        <v>550</v>
      </c>
      <c r="G674" s="2" t="s">
        <v>550</v>
      </c>
      <c r="H674" s="1">
        <v>12582</v>
      </c>
      <c r="I674" s="1">
        <v>13207</v>
      </c>
      <c r="J674" s="2" t="s">
        <v>2082</v>
      </c>
      <c r="K674" s="2">
        <v>71</v>
      </c>
      <c r="L674" s="2" t="s">
        <v>164</v>
      </c>
      <c r="M674" s="1">
        <v>730</v>
      </c>
      <c r="N674" s="1">
        <v>19608</v>
      </c>
      <c r="O674" s="2" t="s">
        <v>65</v>
      </c>
      <c r="P674" s="2" t="s">
        <v>202</v>
      </c>
      <c r="Q674" s="2" t="s">
        <v>225</v>
      </c>
      <c r="R674" s="2" t="s">
        <v>67</v>
      </c>
      <c r="S674" s="2" t="s">
        <v>135</v>
      </c>
      <c r="T674" s="1">
        <v>8615</v>
      </c>
      <c r="U674" s="2" t="s">
        <v>51</v>
      </c>
      <c r="V674" s="1">
        <v>1959</v>
      </c>
      <c r="W674" s="1">
        <v>2302</v>
      </c>
      <c r="X674" s="2" t="s">
        <v>2667</v>
      </c>
      <c r="Y674" s="2" t="s">
        <v>503</v>
      </c>
      <c r="Z674" s="2" t="s">
        <v>1121</v>
      </c>
      <c r="AA674" s="2" t="s">
        <v>739</v>
      </c>
      <c r="AB674" s="1">
        <v>10993</v>
      </c>
      <c r="AC674" s="1">
        <v>5628</v>
      </c>
      <c r="AD674" s="1">
        <v>2167</v>
      </c>
      <c r="AE674" s="1">
        <v>677</v>
      </c>
      <c r="AF674" s="1">
        <v>126</v>
      </c>
      <c r="AG674" s="1">
        <v>17</v>
      </c>
      <c r="AH674" s="1">
        <v>9122</v>
      </c>
      <c r="AI674" s="1">
        <v>26</v>
      </c>
      <c r="AJ674" s="1">
        <v>1243</v>
      </c>
      <c r="AK674" s="1">
        <v>2026</v>
      </c>
      <c r="AL674" s="1">
        <v>179</v>
      </c>
      <c r="AM674" s="1">
        <v>19</v>
      </c>
      <c r="AN674" s="2" t="s">
        <v>255</v>
      </c>
    </row>
    <row r="675" spans="1:40" x14ac:dyDescent="0.3">
      <c r="A675" s="1">
        <v>7508</v>
      </c>
      <c r="B675" s="2" t="s">
        <v>2985</v>
      </c>
      <c r="C675" s="2" t="s">
        <v>2986</v>
      </c>
      <c r="D675" s="1">
        <v>26</v>
      </c>
      <c r="E675" s="2" t="s">
        <v>708</v>
      </c>
      <c r="F675" s="50" t="s">
        <v>3514</v>
      </c>
      <c r="G675" s="2" t="s">
        <v>2987</v>
      </c>
      <c r="H675" s="1">
        <v>7438</v>
      </c>
      <c r="I675" s="1">
        <v>7992</v>
      </c>
      <c r="J675" s="2" t="s">
        <v>243</v>
      </c>
      <c r="K675" s="2" t="s">
        <v>1089</v>
      </c>
      <c r="L675" s="2" t="s">
        <v>331</v>
      </c>
      <c r="M675" s="1">
        <v>433</v>
      </c>
      <c r="N675" s="1">
        <v>11346</v>
      </c>
      <c r="O675" s="2" t="s">
        <v>322</v>
      </c>
      <c r="P675" s="2" t="s">
        <v>48</v>
      </c>
      <c r="Q675" s="2" t="s">
        <v>905</v>
      </c>
      <c r="R675" s="2" t="s">
        <v>96</v>
      </c>
      <c r="S675" s="2" t="s">
        <v>135</v>
      </c>
      <c r="T675" s="1">
        <v>4993</v>
      </c>
      <c r="U675" s="2" t="s">
        <v>51</v>
      </c>
      <c r="V675" s="1">
        <v>1437</v>
      </c>
      <c r="W675" s="1">
        <v>1652</v>
      </c>
      <c r="X675" s="2" t="s">
        <v>2324</v>
      </c>
      <c r="Y675" s="2" t="s">
        <v>590</v>
      </c>
      <c r="Z675" s="2" t="s">
        <v>54</v>
      </c>
      <c r="AA675" s="2" t="s">
        <v>671</v>
      </c>
      <c r="AB675" s="1">
        <v>6353</v>
      </c>
      <c r="AC675" s="1">
        <v>3205</v>
      </c>
      <c r="AD675" s="1">
        <v>1269</v>
      </c>
      <c r="AE675" s="1">
        <v>403</v>
      </c>
      <c r="AF675" s="1">
        <v>102</v>
      </c>
      <c r="AG675" s="1">
        <v>14</v>
      </c>
      <c r="AH675" s="1">
        <v>3032</v>
      </c>
      <c r="AI675" s="1">
        <v>2165</v>
      </c>
      <c r="AJ675" s="1">
        <v>531</v>
      </c>
      <c r="AK675" s="1">
        <v>1601</v>
      </c>
      <c r="AL675" s="1">
        <v>92</v>
      </c>
      <c r="AM675" s="1">
        <v>27</v>
      </c>
      <c r="AN675" s="2" t="s">
        <v>820</v>
      </c>
    </row>
    <row r="676" spans="1:40" ht="28.2" x14ac:dyDescent="0.3">
      <c r="A676" s="1">
        <v>15639</v>
      </c>
      <c r="B676" s="2" t="s">
        <v>2988</v>
      </c>
      <c r="C676" s="2" t="s">
        <v>2989</v>
      </c>
      <c r="D676" s="1">
        <v>24</v>
      </c>
      <c r="E676" s="2" t="s">
        <v>545</v>
      </c>
      <c r="F676" s="50" t="s">
        <v>878</v>
      </c>
      <c r="G676" s="2" t="s">
        <v>2990</v>
      </c>
      <c r="H676" s="1">
        <v>9192</v>
      </c>
      <c r="I676" s="1">
        <v>9440</v>
      </c>
      <c r="J676" s="2" t="s">
        <v>273</v>
      </c>
      <c r="K676" s="2" t="s">
        <v>2067</v>
      </c>
      <c r="L676" s="2" t="s">
        <v>949</v>
      </c>
      <c r="M676" s="1">
        <v>547</v>
      </c>
      <c r="N676" s="1">
        <v>14700</v>
      </c>
      <c r="O676" s="2" t="s">
        <v>215</v>
      </c>
      <c r="P676" s="2" t="s">
        <v>202</v>
      </c>
      <c r="Q676" s="2" t="s">
        <v>65</v>
      </c>
      <c r="R676" s="2" t="s">
        <v>50</v>
      </c>
      <c r="S676" s="2" t="s">
        <v>50</v>
      </c>
      <c r="T676" s="1">
        <v>6418</v>
      </c>
      <c r="U676" s="2" t="s">
        <v>51</v>
      </c>
      <c r="V676" s="1">
        <v>1168</v>
      </c>
      <c r="W676" s="1">
        <v>1261</v>
      </c>
      <c r="X676" s="2" t="s">
        <v>950</v>
      </c>
      <c r="Y676" s="2" t="s">
        <v>1314</v>
      </c>
      <c r="Z676" s="2" t="s">
        <v>1765</v>
      </c>
      <c r="AA676" s="2" t="s">
        <v>474</v>
      </c>
      <c r="AB676" s="1">
        <v>8282</v>
      </c>
      <c r="AC676" s="1">
        <v>4293</v>
      </c>
      <c r="AD676" s="1">
        <v>1574</v>
      </c>
      <c r="AE676" s="1">
        <v>459</v>
      </c>
      <c r="AF676" s="1">
        <v>86</v>
      </c>
      <c r="AG676" s="1">
        <v>6</v>
      </c>
      <c r="AH676" s="1">
        <v>6312</v>
      </c>
      <c r="AI676" s="1">
        <v>466</v>
      </c>
      <c r="AJ676" s="1">
        <v>609</v>
      </c>
      <c r="AK676" s="1">
        <v>1683</v>
      </c>
      <c r="AL676" s="1">
        <v>128</v>
      </c>
      <c r="AM676" s="1">
        <v>27</v>
      </c>
      <c r="AN676" s="2" t="s">
        <v>255</v>
      </c>
    </row>
    <row r="677" spans="1:40" ht="28.2" x14ac:dyDescent="0.3">
      <c r="A677" s="1">
        <v>7958</v>
      </c>
      <c r="B677" s="2" t="s">
        <v>2991</v>
      </c>
      <c r="C677" s="2" t="s">
        <v>2992</v>
      </c>
      <c r="D677" s="1">
        <v>26</v>
      </c>
      <c r="E677" s="2" t="s">
        <v>545</v>
      </c>
      <c r="F677" s="50" t="s">
        <v>3514</v>
      </c>
      <c r="G677" s="2" t="s">
        <v>2993</v>
      </c>
      <c r="H677" s="1">
        <v>7889</v>
      </c>
      <c r="I677" s="1">
        <v>8209</v>
      </c>
      <c r="J677" s="2" t="s">
        <v>1390</v>
      </c>
      <c r="K677" s="2" t="s">
        <v>1640</v>
      </c>
      <c r="L677" s="2" t="s">
        <v>390</v>
      </c>
      <c r="M677" s="1">
        <v>455</v>
      </c>
      <c r="N677" s="1">
        <v>12074</v>
      </c>
      <c r="O677" s="2" t="s">
        <v>276</v>
      </c>
      <c r="P677" s="2" t="s">
        <v>48</v>
      </c>
      <c r="Q677" s="2" t="s">
        <v>167</v>
      </c>
      <c r="R677" s="2" t="s">
        <v>50</v>
      </c>
      <c r="S677" s="2" t="s">
        <v>96</v>
      </c>
      <c r="T677" s="1">
        <v>5494</v>
      </c>
      <c r="U677" s="2" t="s">
        <v>51</v>
      </c>
      <c r="V677" s="1">
        <v>1222</v>
      </c>
      <c r="W677" s="1">
        <v>1361</v>
      </c>
      <c r="X677" s="2" t="s">
        <v>1906</v>
      </c>
      <c r="Y677" s="2" t="s">
        <v>245</v>
      </c>
      <c r="Z677" s="2" t="s">
        <v>2994</v>
      </c>
      <c r="AA677" s="2" t="s">
        <v>408</v>
      </c>
      <c r="AB677" s="1">
        <v>6580</v>
      </c>
      <c r="AC677" s="1">
        <v>3666</v>
      </c>
      <c r="AD677" s="1">
        <v>1357</v>
      </c>
      <c r="AE677" s="1">
        <v>389</v>
      </c>
      <c r="AF677" s="1">
        <v>73</v>
      </c>
      <c r="AG677" s="1">
        <v>9</v>
      </c>
      <c r="AH677" s="1">
        <v>4881</v>
      </c>
      <c r="AI677" s="1">
        <v>876</v>
      </c>
      <c r="AJ677" s="1">
        <v>494</v>
      </c>
      <c r="AK677" s="1">
        <v>1570</v>
      </c>
      <c r="AL677" s="1">
        <v>68</v>
      </c>
      <c r="AM677" s="1">
        <v>9</v>
      </c>
      <c r="AN677" s="2" t="s">
        <v>820</v>
      </c>
    </row>
    <row r="678" spans="1:40" x14ac:dyDescent="0.3">
      <c r="A678" s="1">
        <v>7148</v>
      </c>
      <c r="B678" s="2" t="s">
        <v>2995</v>
      </c>
      <c r="C678" s="2" t="s">
        <v>2996</v>
      </c>
      <c r="D678" s="1">
        <v>30</v>
      </c>
      <c r="E678" s="2" t="s">
        <v>545</v>
      </c>
      <c r="F678" s="50" t="s">
        <v>3514</v>
      </c>
      <c r="G678" s="2" t="s">
        <v>2997</v>
      </c>
      <c r="H678" s="1">
        <v>33114</v>
      </c>
      <c r="I678" s="1">
        <v>34810</v>
      </c>
      <c r="J678" s="2" t="s">
        <v>2424</v>
      </c>
      <c r="K678" s="2" t="s">
        <v>1764</v>
      </c>
      <c r="L678" s="2" t="s">
        <v>244</v>
      </c>
      <c r="M678" s="1">
        <v>1957</v>
      </c>
      <c r="N678" s="1">
        <v>50987</v>
      </c>
      <c r="O678" s="2" t="s">
        <v>276</v>
      </c>
      <c r="P678" s="2" t="s">
        <v>553</v>
      </c>
      <c r="Q678" s="2" t="s">
        <v>167</v>
      </c>
      <c r="R678" s="2" t="s">
        <v>67</v>
      </c>
      <c r="S678" s="2" t="s">
        <v>96</v>
      </c>
      <c r="T678" s="1">
        <v>22654</v>
      </c>
      <c r="U678" s="2" t="s">
        <v>51</v>
      </c>
      <c r="V678" s="1">
        <v>4942</v>
      </c>
      <c r="W678" s="1">
        <v>6023</v>
      </c>
      <c r="X678" s="2" t="s">
        <v>2998</v>
      </c>
      <c r="Y678" s="2" t="s">
        <v>820</v>
      </c>
      <c r="Z678" s="2" t="s">
        <v>508</v>
      </c>
      <c r="AA678" s="2" t="s">
        <v>1379</v>
      </c>
      <c r="AB678" s="1">
        <v>28333</v>
      </c>
      <c r="AC678" s="1">
        <v>14706</v>
      </c>
      <c r="AD678" s="1">
        <v>5899</v>
      </c>
      <c r="AE678" s="1">
        <v>1679</v>
      </c>
      <c r="AF678" s="1">
        <v>337</v>
      </c>
      <c r="AG678" s="1">
        <v>33</v>
      </c>
      <c r="AH678" s="1">
        <v>25373</v>
      </c>
      <c r="AI678" s="1">
        <v>243</v>
      </c>
      <c r="AJ678" s="1">
        <v>1622</v>
      </c>
      <c r="AK678" s="1">
        <v>5252</v>
      </c>
      <c r="AL678" s="1">
        <v>516</v>
      </c>
      <c r="AM678" s="1">
        <v>152</v>
      </c>
      <c r="AN678" s="2" t="s">
        <v>820</v>
      </c>
    </row>
    <row r="679" spans="1:40" x14ac:dyDescent="0.3">
      <c r="A679" s="1">
        <v>10563</v>
      </c>
      <c r="B679" s="2" t="s">
        <v>2999</v>
      </c>
      <c r="C679" s="2" t="s">
        <v>3000</v>
      </c>
      <c r="D679" s="1">
        <v>27</v>
      </c>
      <c r="E679" s="2" t="s">
        <v>104</v>
      </c>
      <c r="F679" s="50" t="s">
        <v>3514</v>
      </c>
      <c r="G679" s="2" t="s">
        <v>3001</v>
      </c>
      <c r="H679" s="1">
        <v>8518</v>
      </c>
      <c r="I679" s="1">
        <v>8892</v>
      </c>
      <c r="J679" s="2" t="s">
        <v>2540</v>
      </c>
      <c r="K679" s="2" t="s">
        <v>862</v>
      </c>
      <c r="L679" s="2">
        <v>4</v>
      </c>
      <c r="M679" s="1">
        <v>501</v>
      </c>
      <c r="N679" s="1">
        <v>13104</v>
      </c>
      <c r="O679" s="2" t="s">
        <v>276</v>
      </c>
      <c r="P679" s="2" t="s">
        <v>235</v>
      </c>
      <c r="Q679" s="2" t="s">
        <v>167</v>
      </c>
      <c r="R679" s="2" t="s">
        <v>50</v>
      </c>
      <c r="S679" s="2" t="s">
        <v>96</v>
      </c>
      <c r="T679" s="1">
        <v>5901</v>
      </c>
      <c r="U679" s="2" t="s">
        <v>51</v>
      </c>
      <c r="V679" s="1">
        <v>1263</v>
      </c>
      <c r="W679" s="1">
        <v>1395</v>
      </c>
      <c r="X679" s="2" t="s">
        <v>1749</v>
      </c>
      <c r="Y679" s="2" t="s">
        <v>503</v>
      </c>
      <c r="Z679" s="2" t="s">
        <v>237</v>
      </c>
      <c r="AA679" s="2" t="s">
        <v>1379</v>
      </c>
      <c r="AB679" s="1">
        <v>7203</v>
      </c>
      <c r="AC679" s="1">
        <v>3884</v>
      </c>
      <c r="AD679" s="1">
        <v>1508</v>
      </c>
      <c r="AE679" s="1">
        <v>427</v>
      </c>
      <c r="AF679" s="1">
        <v>73</v>
      </c>
      <c r="AG679" s="1">
        <v>9</v>
      </c>
      <c r="AH679" s="1">
        <v>5526</v>
      </c>
      <c r="AI679" s="1">
        <v>671</v>
      </c>
      <c r="AJ679" s="1">
        <v>665</v>
      </c>
      <c r="AK679" s="1">
        <v>1516</v>
      </c>
      <c r="AL679" s="1">
        <v>108</v>
      </c>
      <c r="AM679" s="1">
        <v>54</v>
      </c>
      <c r="AN679" s="2" t="s">
        <v>820</v>
      </c>
    </row>
    <row r="680" spans="1:40" ht="28.2" x14ac:dyDescent="0.3">
      <c r="A680" s="1">
        <v>161</v>
      </c>
      <c r="B680" s="2" t="s">
        <v>3002</v>
      </c>
      <c r="C680" s="2" t="s">
        <v>3003</v>
      </c>
      <c r="D680" s="1">
        <v>36</v>
      </c>
      <c r="E680" s="2" t="s">
        <v>327</v>
      </c>
      <c r="F680" s="50" t="s">
        <v>1343</v>
      </c>
      <c r="G680" s="2" t="s">
        <v>3004</v>
      </c>
      <c r="H680" s="1">
        <v>36946</v>
      </c>
      <c r="I680" s="1">
        <v>38468</v>
      </c>
      <c r="J680" s="2" t="s">
        <v>1995</v>
      </c>
      <c r="K680" s="2" t="s">
        <v>3005</v>
      </c>
      <c r="L680" s="2" t="s">
        <v>214</v>
      </c>
      <c r="M680" s="1">
        <v>2163</v>
      </c>
      <c r="N680" s="1">
        <v>56767</v>
      </c>
      <c r="O680" s="2" t="s">
        <v>276</v>
      </c>
      <c r="P680" s="2" t="s">
        <v>202</v>
      </c>
      <c r="Q680" s="2" t="s">
        <v>167</v>
      </c>
      <c r="R680" s="2" t="s">
        <v>67</v>
      </c>
      <c r="S680" s="2" t="s">
        <v>96</v>
      </c>
      <c r="T680" s="1">
        <v>25627</v>
      </c>
      <c r="U680" s="2" t="s">
        <v>51</v>
      </c>
      <c r="V680" s="1">
        <v>4761</v>
      </c>
      <c r="W680" s="1">
        <v>5161</v>
      </c>
      <c r="X680" s="2" t="s">
        <v>1314</v>
      </c>
      <c r="Y680" s="2" t="s">
        <v>950</v>
      </c>
      <c r="Z680" s="2" t="s">
        <v>809</v>
      </c>
      <c r="AA680" s="2" t="s">
        <v>1985</v>
      </c>
      <c r="AB680" s="1">
        <v>31140</v>
      </c>
      <c r="AC680" s="1">
        <v>16893</v>
      </c>
      <c r="AD680" s="1">
        <v>6598</v>
      </c>
      <c r="AE680" s="1">
        <v>1774</v>
      </c>
      <c r="AF680" s="1">
        <v>334</v>
      </c>
      <c r="AG680" s="1">
        <v>28</v>
      </c>
      <c r="AH680" s="1">
        <v>27950</v>
      </c>
      <c r="AI680" s="1">
        <v>335</v>
      </c>
      <c r="AJ680" s="1">
        <v>1634</v>
      </c>
      <c r="AK680" s="1">
        <v>6537</v>
      </c>
      <c r="AL680" s="1">
        <v>283</v>
      </c>
      <c r="AM680" s="1">
        <v>256</v>
      </c>
      <c r="AN680" s="2" t="s">
        <v>820</v>
      </c>
    </row>
    <row r="681" spans="1:40" ht="28.2" x14ac:dyDescent="0.3">
      <c r="A681" s="1">
        <v>7382</v>
      </c>
      <c r="B681" s="2" t="s">
        <v>1934</v>
      </c>
      <c r="C681" s="2" t="s">
        <v>3006</v>
      </c>
      <c r="D681" s="1">
        <v>28</v>
      </c>
      <c r="E681" s="2" t="s">
        <v>104</v>
      </c>
      <c r="F681" s="50" t="s">
        <v>1714</v>
      </c>
      <c r="G681" s="2" t="s">
        <v>3007</v>
      </c>
      <c r="H681" s="1">
        <v>24479</v>
      </c>
      <c r="I681" s="1">
        <v>25364</v>
      </c>
      <c r="J681" s="2" t="s">
        <v>1405</v>
      </c>
      <c r="K681" s="2" t="s">
        <v>862</v>
      </c>
      <c r="L681" s="2" t="s">
        <v>589</v>
      </c>
      <c r="M681" s="1">
        <v>1452</v>
      </c>
      <c r="N681" s="1">
        <v>37974</v>
      </c>
      <c r="O681" s="2" t="s">
        <v>65</v>
      </c>
      <c r="P681" s="2" t="s">
        <v>202</v>
      </c>
      <c r="Q681" s="2" t="s">
        <v>225</v>
      </c>
      <c r="R681" s="2" t="s">
        <v>50</v>
      </c>
      <c r="S681" s="2" t="s">
        <v>96</v>
      </c>
      <c r="T681" s="1">
        <v>17126</v>
      </c>
      <c r="U681" s="2" t="s">
        <v>51</v>
      </c>
      <c r="V681" s="1">
        <v>3323</v>
      </c>
      <c r="W681" s="1">
        <v>3583</v>
      </c>
      <c r="X681" s="2" t="s">
        <v>950</v>
      </c>
      <c r="Y681" s="2" t="s">
        <v>820</v>
      </c>
      <c r="Z681" s="2" t="s">
        <v>70</v>
      </c>
      <c r="AA681" s="2" t="s">
        <v>1083</v>
      </c>
      <c r="AB681" s="1">
        <v>20848</v>
      </c>
      <c r="AC681" s="1">
        <v>11449</v>
      </c>
      <c r="AD681" s="1">
        <v>4267</v>
      </c>
      <c r="AE681" s="1">
        <v>1175</v>
      </c>
      <c r="AF681" s="1">
        <v>214</v>
      </c>
      <c r="AG681" s="1">
        <v>21</v>
      </c>
      <c r="AH681" s="1">
        <v>17974</v>
      </c>
      <c r="AI681" s="1">
        <v>350</v>
      </c>
      <c r="AJ681" s="1">
        <v>1752</v>
      </c>
      <c r="AK681" s="1">
        <v>3940</v>
      </c>
      <c r="AL681" s="1">
        <v>335</v>
      </c>
      <c r="AM681" s="1">
        <v>175</v>
      </c>
      <c r="AN681" s="2" t="s">
        <v>820</v>
      </c>
    </row>
    <row r="682" spans="1:40" ht="42" x14ac:dyDescent="0.3">
      <c r="A682" s="1">
        <v>10404</v>
      </c>
      <c r="B682" s="2" t="s">
        <v>3008</v>
      </c>
      <c r="C682" s="2" t="s">
        <v>3009</v>
      </c>
      <c r="D682" s="1">
        <v>26</v>
      </c>
      <c r="E682" s="2" t="s">
        <v>196</v>
      </c>
      <c r="F682" s="50" t="s">
        <v>3514</v>
      </c>
      <c r="G682" s="2" t="s">
        <v>3010</v>
      </c>
      <c r="H682" s="1">
        <v>11948</v>
      </c>
      <c r="I682" s="1">
        <v>12530</v>
      </c>
      <c r="J682" s="2" t="s">
        <v>3011</v>
      </c>
      <c r="K682" s="2">
        <v>74</v>
      </c>
      <c r="L682" s="2" t="s">
        <v>471</v>
      </c>
      <c r="M682" s="1">
        <v>708</v>
      </c>
      <c r="N682" s="1">
        <v>18612</v>
      </c>
      <c r="O682" s="2" t="s">
        <v>65</v>
      </c>
      <c r="P682" s="2" t="s">
        <v>166</v>
      </c>
      <c r="Q682" s="2" t="s">
        <v>225</v>
      </c>
      <c r="R682" s="2" t="s">
        <v>67</v>
      </c>
      <c r="S682" s="2" t="s">
        <v>96</v>
      </c>
      <c r="T682" s="1">
        <v>8219</v>
      </c>
      <c r="U682" s="2" t="s">
        <v>51</v>
      </c>
      <c r="V682" s="1">
        <v>1621</v>
      </c>
      <c r="W682" s="1">
        <v>1799</v>
      </c>
      <c r="X682" s="2" t="s">
        <v>1906</v>
      </c>
      <c r="Y682" s="2" t="s">
        <v>1570</v>
      </c>
      <c r="Z682" s="2" t="s">
        <v>576</v>
      </c>
      <c r="AA682" s="2" t="s">
        <v>247</v>
      </c>
      <c r="AB682" s="1">
        <v>10393</v>
      </c>
      <c r="AC682" s="1">
        <v>5367</v>
      </c>
      <c r="AD682" s="1">
        <v>2104</v>
      </c>
      <c r="AE682" s="1">
        <v>630</v>
      </c>
      <c r="AF682" s="1">
        <v>107</v>
      </c>
      <c r="AG682" s="1">
        <v>11</v>
      </c>
      <c r="AH682" s="1">
        <v>8413</v>
      </c>
      <c r="AI682" s="1">
        <v>103</v>
      </c>
      <c r="AJ682" s="1">
        <v>1128</v>
      </c>
      <c r="AK682" s="1">
        <v>2041</v>
      </c>
      <c r="AL682" s="1">
        <v>168</v>
      </c>
      <c r="AM682" s="1">
        <v>112</v>
      </c>
      <c r="AN682" s="2" t="s">
        <v>820</v>
      </c>
    </row>
    <row r="683" spans="1:40" ht="28.2" x14ac:dyDescent="0.3">
      <c r="A683" s="1">
        <v>10569</v>
      </c>
      <c r="B683" s="2" t="s">
        <v>3012</v>
      </c>
      <c r="C683" s="2" t="s">
        <v>3013</v>
      </c>
      <c r="D683" s="1">
        <v>27</v>
      </c>
      <c r="E683" s="2" t="s">
        <v>42</v>
      </c>
      <c r="F683" s="50" t="s">
        <v>2276</v>
      </c>
      <c r="G683" s="2" t="s">
        <v>3014</v>
      </c>
      <c r="H683" s="1">
        <v>11155</v>
      </c>
      <c r="I683" s="1">
        <v>11756</v>
      </c>
      <c r="J683" s="2" t="s">
        <v>1631</v>
      </c>
      <c r="K683" s="2" t="s">
        <v>1057</v>
      </c>
      <c r="L683" s="2" t="s">
        <v>462</v>
      </c>
      <c r="M683" s="1">
        <v>644</v>
      </c>
      <c r="N683" s="1">
        <v>17079</v>
      </c>
      <c r="O683" s="2" t="s">
        <v>276</v>
      </c>
      <c r="P683" s="2" t="s">
        <v>166</v>
      </c>
      <c r="Q683" s="2" t="s">
        <v>463</v>
      </c>
      <c r="R683" s="2" t="s">
        <v>50</v>
      </c>
      <c r="S683" s="2" t="s">
        <v>96</v>
      </c>
      <c r="T683" s="1">
        <v>7655</v>
      </c>
      <c r="U683" s="2" t="s">
        <v>51</v>
      </c>
      <c r="V683" s="1">
        <v>1636</v>
      </c>
      <c r="W683" s="1">
        <v>1737</v>
      </c>
      <c r="X683" s="2" t="s">
        <v>1570</v>
      </c>
      <c r="Y683" s="2" t="s">
        <v>245</v>
      </c>
      <c r="Z683" s="2" t="s">
        <v>554</v>
      </c>
      <c r="AA683" s="2" t="s">
        <v>724</v>
      </c>
      <c r="AB683" s="1">
        <v>9424</v>
      </c>
      <c r="AC683" s="1">
        <v>4967</v>
      </c>
      <c r="AD683" s="1">
        <v>1996</v>
      </c>
      <c r="AE683" s="1">
        <v>580</v>
      </c>
      <c r="AF683" s="1">
        <v>104</v>
      </c>
      <c r="AG683" s="1">
        <v>8</v>
      </c>
      <c r="AH683" s="1">
        <v>8435</v>
      </c>
      <c r="AI683" s="1">
        <v>138</v>
      </c>
      <c r="AJ683" s="1">
        <v>594</v>
      </c>
      <c r="AK683" s="1">
        <v>1881</v>
      </c>
      <c r="AL683" s="1">
        <v>128</v>
      </c>
      <c r="AM683" s="1">
        <v>11</v>
      </c>
      <c r="AN683" s="2" t="s">
        <v>820</v>
      </c>
    </row>
    <row r="684" spans="1:40" ht="28.2" x14ac:dyDescent="0.3">
      <c r="A684" s="1">
        <v>9660</v>
      </c>
      <c r="B684" s="2" t="s">
        <v>3015</v>
      </c>
      <c r="C684" s="2" t="s">
        <v>3016</v>
      </c>
      <c r="D684" s="1">
        <v>28</v>
      </c>
      <c r="E684" s="2" t="s">
        <v>500</v>
      </c>
      <c r="F684" s="50" t="s">
        <v>3514</v>
      </c>
      <c r="G684" s="2" t="s">
        <v>3017</v>
      </c>
      <c r="H684" s="1">
        <v>7738</v>
      </c>
      <c r="I684" s="1">
        <v>8195</v>
      </c>
      <c r="J684" s="2" t="s">
        <v>1958</v>
      </c>
      <c r="K684" s="2" t="s">
        <v>1288</v>
      </c>
      <c r="L684" s="2" t="s">
        <v>179</v>
      </c>
      <c r="M684" s="1">
        <v>449</v>
      </c>
      <c r="N684" s="1">
        <v>11544</v>
      </c>
      <c r="O684" s="2" t="s">
        <v>225</v>
      </c>
      <c r="P684" s="2" t="s">
        <v>48</v>
      </c>
      <c r="Q684" s="2" t="s">
        <v>646</v>
      </c>
      <c r="R684" s="2" t="s">
        <v>67</v>
      </c>
      <c r="S684" s="2" t="s">
        <v>50</v>
      </c>
      <c r="T684" s="1">
        <v>5339</v>
      </c>
      <c r="U684" s="2" t="s">
        <v>51</v>
      </c>
      <c r="V684" s="1">
        <v>1165</v>
      </c>
      <c r="W684" s="1">
        <v>1426</v>
      </c>
      <c r="X684" s="2" t="s">
        <v>2998</v>
      </c>
      <c r="Y684" s="2" t="s">
        <v>503</v>
      </c>
      <c r="Z684" s="2" t="s">
        <v>2489</v>
      </c>
      <c r="AA684" s="2" t="s">
        <v>739</v>
      </c>
      <c r="AB684" s="1">
        <v>6205</v>
      </c>
      <c r="AC684" s="1">
        <v>3510</v>
      </c>
      <c r="AD684" s="1">
        <v>1347</v>
      </c>
      <c r="AE684" s="1">
        <v>401</v>
      </c>
      <c r="AF684" s="1">
        <v>74</v>
      </c>
      <c r="AG684" s="1">
        <v>7</v>
      </c>
      <c r="AH684" s="1">
        <v>4844</v>
      </c>
      <c r="AI684" s="1">
        <v>587</v>
      </c>
      <c r="AJ684" s="1">
        <v>461</v>
      </c>
      <c r="AK684" s="1">
        <v>1776</v>
      </c>
      <c r="AL684" s="1">
        <v>71</v>
      </c>
      <c r="AM684" s="1">
        <v>16</v>
      </c>
      <c r="AN684" s="2" t="s">
        <v>820</v>
      </c>
    </row>
    <row r="685" spans="1:40" ht="28.2" x14ac:dyDescent="0.3">
      <c r="A685" s="1">
        <v>12590</v>
      </c>
      <c r="B685" s="2" t="s">
        <v>3018</v>
      </c>
      <c r="C685" s="2" t="s">
        <v>3019</v>
      </c>
      <c r="D685" s="1">
        <v>24</v>
      </c>
      <c r="E685" s="2" t="s">
        <v>150</v>
      </c>
      <c r="F685" s="50" t="s">
        <v>3514</v>
      </c>
      <c r="G685" s="2" t="s">
        <v>3020</v>
      </c>
      <c r="H685" s="1">
        <v>9148</v>
      </c>
      <c r="I685" s="1">
        <v>9558</v>
      </c>
      <c r="J685" s="2" t="s">
        <v>45</v>
      </c>
      <c r="K685" s="2" t="s">
        <v>2727</v>
      </c>
      <c r="L685" s="2" t="s">
        <v>294</v>
      </c>
      <c r="M685" s="1">
        <v>554</v>
      </c>
      <c r="N685" s="1">
        <v>14231</v>
      </c>
      <c r="O685" s="2" t="s">
        <v>65</v>
      </c>
      <c r="P685" s="2" t="s">
        <v>235</v>
      </c>
      <c r="Q685" s="2" t="s">
        <v>225</v>
      </c>
      <c r="R685" s="2" t="s">
        <v>67</v>
      </c>
      <c r="S685" s="2" t="s">
        <v>50</v>
      </c>
      <c r="T685" s="1">
        <v>6320</v>
      </c>
      <c r="U685" s="2" t="s">
        <v>51</v>
      </c>
      <c r="V685" s="1">
        <v>1217</v>
      </c>
      <c r="W685" s="1">
        <v>1435</v>
      </c>
      <c r="X685" s="2" t="s">
        <v>2667</v>
      </c>
      <c r="Y685" s="2" t="s">
        <v>950</v>
      </c>
      <c r="Z685" s="2" t="s">
        <v>567</v>
      </c>
      <c r="AA685" s="2" t="s">
        <v>287</v>
      </c>
      <c r="AB685" s="1">
        <v>7911</v>
      </c>
      <c r="AC685" s="1">
        <v>4143</v>
      </c>
      <c r="AD685" s="1">
        <v>1617</v>
      </c>
      <c r="AE685" s="1">
        <v>473</v>
      </c>
      <c r="AF685" s="1">
        <v>83</v>
      </c>
      <c r="AG685" s="1">
        <v>4</v>
      </c>
      <c r="AH685" s="1">
        <v>6687</v>
      </c>
      <c r="AI685" s="1">
        <v>101</v>
      </c>
      <c r="AJ685" s="1">
        <v>713</v>
      </c>
      <c r="AK685" s="1">
        <v>1537</v>
      </c>
      <c r="AL685" s="1">
        <v>129</v>
      </c>
      <c r="AM685" s="1">
        <v>26</v>
      </c>
      <c r="AN685" s="2" t="s">
        <v>255</v>
      </c>
    </row>
    <row r="686" spans="1:40" ht="28.2" x14ac:dyDescent="0.3">
      <c r="A686" s="1">
        <v>12161</v>
      </c>
      <c r="B686" s="2" t="s">
        <v>3021</v>
      </c>
      <c r="C686" s="2" t="s">
        <v>3022</v>
      </c>
      <c r="D686" s="1">
        <v>22</v>
      </c>
      <c r="E686" s="2" t="s">
        <v>1144</v>
      </c>
      <c r="F686" s="50" t="s">
        <v>3514</v>
      </c>
      <c r="G686" s="2" t="s">
        <v>3023</v>
      </c>
      <c r="H686" s="1">
        <v>12720</v>
      </c>
      <c r="I686" s="1">
        <v>13088</v>
      </c>
      <c r="J686" s="2" t="s">
        <v>2498</v>
      </c>
      <c r="K686" s="2" t="s">
        <v>1905</v>
      </c>
      <c r="L686" s="2" t="s">
        <v>80</v>
      </c>
      <c r="M686" s="1">
        <v>763</v>
      </c>
      <c r="N686" s="1">
        <v>20020</v>
      </c>
      <c r="O686" s="2" t="s">
        <v>65</v>
      </c>
      <c r="P686" s="2" t="s">
        <v>235</v>
      </c>
      <c r="Q686" s="2" t="s">
        <v>276</v>
      </c>
      <c r="R686" s="2" t="s">
        <v>50</v>
      </c>
      <c r="S686" s="2" t="s">
        <v>96</v>
      </c>
      <c r="T686" s="1">
        <v>8963</v>
      </c>
      <c r="U686" s="2" t="s">
        <v>51</v>
      </c>
      <c r="V686" s="1">
        <v>1649</v>
      </c>
      <c r="W686" s="1">
        <v>1742</v>
      </c>
      <c r="X686" s="2" t="s">
        <v>820</v>
      </c>
      <c r="Y686" s="2" t="s">
        <v>950</v>
      </c>
      <c r="Z686" s="2" t="s">
        <v>473</v>
      </c>
      <c r="AA686" s="2" t="s">
        <v>2631</v>
      </c>
      <c r="AB686" s="1">
        <v>11057</v>
      </c>
      <c r="AC686" s="1">
        <v>6035</v>
      </c>
      <c r="AD686" s="1">
        <v>2211</v>
      </c>
      <c r="AE686" s="1">
        <v>614</v>
      </c>
      <c r="AF686" s="1">
        <v>94</v>
      </c>
      <c r="AG686" s="1">
        <v>9</v>
      </c>
      <c r="AH686" s="1">
        <v>9341</v>
      </c>
      <c r="AI686" s="1">
        <v>79</v>
      </c>
      <c r="AJ686" s="1">
        <v>963</v>
      </c>
      <c r="AK686" s="1">
        <v>2172</v>
      </c>
      <c r="AL686" s="1">
        <v>163</v>
      </c>
      <c r="AM686" s="1">
        <v>25</v>
      </c>
      <c r="AN686" s="2" t="s">
        <v>255</v>
      </c>
    </row>
    <row r="687" spans="1:40" ht="28.2" x14ac:dyDescent="0.3">
      <c r="A687" s="1">
        <v>7942</v>
      </c>
      <c r="B687" s="2" t="s">
        <v>3024</v>
      </c>
      <c r="C687" s="2" t="s">
        <v>3025</v>
      </c>
      <c r="D687" s="1">
        <v>26</v>
      </c>
      <c r="E687" s="2" t="s">
        <v>742</v>
      </c>
      <c r="F687" s="50" t="s">
        <v>3026</v>
      </c>
      <c r="G687" s="2" t="s">
        <v>3027</v>
      </c>
      <c r="H687" s="1">
        <v>7217</v>
      </c>
      <c r="I687" s="1">
        <v>7623</v>
      </c>
      <c r="J687" s="2" t="s">
        <v>1549</v>
      </c>
      <c r="K687" s="2">
        <v>72</v>
      </c>
      <c r="L687" s="2" t="s">
        <v>214</v>
      </c>
      <c r="M687" s="1">
        <v>419</v>
      </c>
      <c r="N687" s="1">
        <v>10917</v>
      </c>
      <c r="O687" s="2" t="s">
        <v>322</v>
      </c>
      <c r="P687" s="2" t="s">
        <v>202</v>
      </c>
      <c r="Q687" s="2" t="s">
        <v>905</v>
      </c>
      <c r="R687" s="2" t="s">
        <v>50</v>
      </c>
      <c r="S687" s="2" t="s">
        <v>67</v>
      </c>
      <c r="T687" s="1">
        <v>4997</v>
      </c>
      <c r="U687" s="2" t="s">
        <v>51</v>
      </c>
      <c r="V687" s="1">
        <v>836</v>
      </c>
      <c r="W687" s="1">
        <v>938</v>
      </c>
      <c r="X687" s="2" t="s">
        <v>1551</v>
      </c>
      <c r="Y687" s="2" t="s">
        <v>1749</v>
      </c>
      <c r="Z687" s="2" t="s">
        <v>809</v>
      </c>
      <c r="AA687" s="2" t="s">
        <v>978</v>
      </c>
      <c r="AB687" s="1">
        <v>5920</v>
      </c>
      <c r="AC687" s="1">
        <v>3312</v>
      </c>
      <c r="AD687" s="1">
        <v>1251</v>
      </c>
      <c r="AE687" s="1">
        <v>345</v>
      </c>
      <c r="AF687" s="1">
        <v>82</v>
      </c>
      <c r="AG687" s="1">
        <v>7</v>
      </c>
      <c r="AH687" s="1">
        <v>5542</v>
      </c>
      <c r="AI687" s="1">
        <v>53</v>
      </c>
      <c r="AJ687" s="1">
        <v>167</v>
      </c>
      <c r="AK687" s="1">
        <v>1394</v>
      </c>
      <c r="AL687" s="1">
        <v>65</v>
      </c>
      <c r="AM687" s="1">
        <v>8</v>
      </c>
      <c r="AN687" s="2" t="s">
        <v>820</v>
      </c>
    </row>
    <row r="688" spans="1:40" x14ac:dyDescent="0.3">
      <c r="A688" s="1">
        <v>11287</v>
      </c>
      <c r="B688" s="2" t="s">
        <v>3028</v>
      </c>
      <c r="C688" s="2" t="s">
        <v>3029</v>
      </c>
      <c r="D688" s="1">
        <v>24</v>
      </c>
      <c r="E688" s="2" t="s">
        <v>327</v>
      </c>
      <c r="F688" s="50" t="s">
        <v>2966</v>
      </c>
      <c r="G688" s="2" t="s">
        <v>3030</v>
      </c>
      <c r="H688" s="1">
        <v>14316</v>
      </c>
      <c r="I688" s="1">
        <v>15126</v>
      </c>
      <c r="J688" s="2" t="s">
        <v>3031</v>
      </c>
      <c r="K688" s="2">
        <v>75</v>
      </c>
      <c r="L688" s="2" t="s">
        <v>1981</v>
      </c>
      <c r="M688" s="1">
        <v>804</v>
      </c>
      <c r="N688" s="1">
        <v>21820</v>
      </c>
      <c r="O688" s="2" t="s">
        <v>322</v>
      </c>
      <c r="P688" s="2" t="s">
        <v>235</v>
      </c>
      <c r="Q688" s="2" t="s">
        <v>463</v>
      </c>
      <c r="R688" s="2" t="s">
        <v>50</v>
      </c>
      <c r="S688" s="2" t="s">
        <v>96</v>
      </c>
      <c r="T688" s="1">
        <v>9896</v>
      </c>
      <c r="U688" s="2" t="s">
        <v>51</v>
      </c>
      <c r="V688" s="1">
        <v>2320</v>
      </c>
      <c r="W688" s="1">
        <v>2428</v>
      </c>
      <c r="X688" s="2" t="s">
        <v>472</v>
      </c>
      <c r="Y688" s="2" t="s">
        <v>255</v>
      </c>
      <c r="Z688" s="2" t="s">
        <v>2434</v>
      </c>
      <c r="AA688" s="2" t="s">
        <v>676</v>
      </c>
      <c r="AB688" s="1">
        <v>11924</v>
      </c>
      <c r="AC688" s="1">
        <v>6545</v>
      </c>
      <c r="AD688" s="1">
        <v>2459</v>
      </c>
      <c r="AE688" s="1">
        <v>734</v>
      </c>
      <c r="AF688" s="1">
        <v>139</v>
      </c>
      <c r="AG688" s="1">
        <v>19</v>
      </c>
      <c r="AH688" s="1">
        <v>10592</v>
      </c>
      <c r="AI688" s="1">
        <v>338</v>
      </c>
      <c r="AJ688" s="1">
        <v>831</v>
      </c>
      <c r="AK688" s="1">
        <v>2267</v>
      </c>
      <c r="AL688" s="1">
        <v>289</v>
      </c>
      <c r="AM688" s="1">
        <v>55</v>
      </c>
      <c r="AN688" s="2" t="s">
        <v>449</v>
      </c>
    </row>
    <row r="689" spans="1:40" x14ac:dyDescent="0.3">
      <c r="A689" s="1">
        <v>14161</v>
      </c>
      <c r="B689" s="2" t="s">
        <v>3032</v>
      </c>
      <c r="C689" s="2" t="s">
        <v>3033</v>
      </c>
      <c r="D689" s="1">
        <v>26</v>
      </c>
      <c r="E689" s="2" t="s">
        <v>75</v>
      </c>
      <c r="F689" s="50" t="s">
        <v>1497</v>
      </c>
      <c r="G689" s="2" t="s">
        <v>3034</v>
      </c>
      <c r="H689" s="1">
        <v>8423</v>
      </c>
      <c r="I689" s="1">
        <v>9077</v>
      </c>
      <c r="J689" s="2" t="s">
        <v>1549</v>
      </c>
      <c r="K689" s="2" t="s">
        <v>531</v>
      </c>
      <c r="L689" s="2" t="s">
        <v>949</v>
      </c>
      <c r="M689" s="1">
        <v>461</v>
      </c>
      <c r="N689" s="1">
        <v>12365</v>
      </c>
      <c r="O689" s="2" t="s">
        <v>167</v>
      </c>
      <c r="P689" s="2" t="s">
        <v>202</v>
      </c>
      <c r="Q689" s="2" t="s">
        <v>495</v>
      </c>
      <c r="R689" s="2" t="s">
        <v>96</v>
      </c>
      <c r="S689" s="2" t="s">
        <v>66</v>
      </c>
      <c r="T689" s="1">
        <v>5714</v>
      </c>
      <c r="U689" s="2" t="s">
        <v>51</v>
      </c>
      <c r="V689" s="1">
        <v>1358</v>
      </c>
      <c r="W689" s="1">
        <v>1697</v>
      </c>
      <c r="X689" s="2" t="s">
        <v>94</v>
      </c>
      <c r="Y689" s="2" t="s">
        <v>285</v>
      </c>
      <c r="Z689" s="2" t="s">
        <v>1462</v>
      </c>
      <c r="AA689" s="2" t="s">
        <v>969</v>
      </c>
      <c r="AB689" s="1">
        <v>6651</v>
      </c>
      <c r="AC689" s="1">
        <v>3667</v>
      </c>
      <c r="AD689" s="1">
        <v>1486</v>
      </c>
      <c r="AE689" s="1">
        <v>469</v>
      </c>
      <c r="AF689" s="1">
        <v>83</v>
      </c>
      <c r="AG689" s="1">
        <v>9</v>
      </c>
      <c r="AH689" s="1">
        <v>6251</v>
      </c>
      <c r="AI689" s="1">
        <v>76</v>
      </c>
      <c r="AJ689" s="1">
        <v>536</v>
      </c>
      <c r="AK689" s="1">
        <v>1427</v>
      </c>
      <c r="AL689" s="1">
        <v>127</v>
      </c>
      <c r="AM689" s="1">
        <v>25</v>
      </c>
      <c r="AN689" s="2">
        <v>1</v>
      </c>
    </row>
    <row r="690" spans="1:40" x14ac:dyDescent="0.3">
      <c r="A690" s="1">
        <v>16462</v>
      </c>
      <c r="B690" s="2" t="s">
        <v>3035</v>
      </c>
      <c r="C690" s="2" t="s">
        <v>3036</v>
      </c>
      <c r="D690" s="1">
        <v>24</v>
      </c>
      <c r="E690" s="2" t="s">
        <v>1070</v>
      </c>
      <c r="F690" s="50" t="s">
        <v>3514</v>
      </c>
      <c r="G690" s="2" t="s">
        <v>3037</v>
      </c>
      <c r="H690" s="1">
        <v>9973</v>
      </c>
      <c r="I690" s="1">
        <v>10752</v>
      </c>
      <c r="J690" s="2" t="s">
        <v>3038</v>
      </c>
      <c r="K690" s="2">
        <v>73</v>
      </c>
      <c r="L690" s="2" t="s">
        <v>1352</v>
      </c>
      <c r="M690" s="1">
        <v>554</v>
      </c>
      <c r="N690" s="1">
        <v>15106</v>
      </c>
      <c r="O690" s="2" t="s">
        <v>322</v>
      </c>
      <c r="P690" s="2" t="s">
        <v>48</v>
      </c>
      <c r="Q690" s="2" t="s">
        <v>646</v>
      </c>
      <c r="R690" s="2" t="s">
        <v>50</v>
      </c>
      <c r="S690" s="2" t="s">
        <v>96</v>
      </c>
      <c r="T690" s="1">
        <v>6711</v>
      </c>
      <c r="U690" s="2" t="s">
        <v>51</v>
      </c>
      <c r="V690" s="1">
        <v>1745</v>
      </c>
      <c r="W690" s="1">
        <v>1969</v>
      </c>
      <c r="X690" s="2" t="s">
        <v>1551</v>
      </c>
      <c r="Y690" s="2" t="s">
        <v>412</v>
      </c>
      <c r="Z690" s="2" t="s">
        <v>2434</v>
      </c>
      <c r="AA690" s="2" t="s">
        <v>376</v>
      </c>
      <c r="AB690" s="1">
        <v>8395</v>
      </c>
      <c r="AC690" s="1">
        <v>4275</v>
      </c>
      <c r="AD690" s="1">
        <v>1737</v>
      </c>
      <c r="AE690" s="1">
        <v>587</v>
      </c>
      <c r="AF690" s="1">
        <v>97</v>
      </c>
      <c r="AG690" s="1">
        <v>15</v>
      </c>
      <c r="AH690" s="1">
        <v>7147</v>
      </c>
      <c r="AI690" s="1">
        <v>188</v>
      </c>
      <c r="AJ690" s="1">
        <v>557</v>
      </c>
      <c r="AK690" s="1">
        <v>1908</v>
      </c>
      <c r="AL690" s="1">
        <v>150</v>
      </c>
      <c r="AM690" s="1">
        <v>47</v>
      </c>
      <c r="AN690" s="2">
        <v>1</v>
      </c>
    </row>
    <row r="691" spans="1:40" x14ac:dyDescent="0.3">
      <c r="A691" s="1">
        <v>14311</v>
      </c>
      <c r="B691" s="2" t="s">
        <v>3039</v>
      </c>
      <c r="C691" s="2" t="s">
        <v>3040</v>
      </c>
      <c r="D691" s="1">
        <v>25</v>
      </c>
      <c r="E691" s="2" t="s">
        <v>1070</v>
      </c>
      <c r="F691" s="52">
        <v>777</v>
      </c>
      <c r="G691" s="2" t="s">
        <v>3041</v>
      </c>
      <c r="H691" s="1">
        <v>11699</v>
      </c>
      <c r="I691" s="1">
        <v>12478</v>
      </c>
      <c r="J691" s="2" t="s">
        <v>696</v>
      </c>
      <c r="K691" s="2" t="s">
        <v>692</v>
      </c>
      <c r="L691" s="2" t="s">
        <v>612</v>
      </c>
      <c r="M691" s="1">
        <v>661</v>
      </c>
      <c r="N691" s="1">
        <v>17791</v>
      </c>
      <c r="O691" s="2" t="s">
        <v>322</v>
      </c>
      <c r="P691" s="2" t="s">
        <v>235</v>
      </c>
      <c r="Q691" s="2" t="s">
        <v>905</v>
      </c>
      <c r="R691" s="2" t="s">
        <v>48</v>
      </c>
      <c r="S691" s="2" t="s">
        <v>50</v>
      </c>
      <c r="T691" s="1">
        <v>7978</v>
      </c>
      <c r="U691" s="2" t="s">
        <v>51</v>
      </c>
      <c r="V691" s="1">
        <v>1908</v>
      </c>
      <c r="W691" s="1">
        <v>2270</v>
      </c>
      <c r="X691" s="2" t="s">
        <v>47</v>
      </c>
      <c r="Y691" s="2" t="s">
        <v>285</v>
      </c>
      <c r="Z691" s="2" t="s">
        <v>2130</v>
      </c>
      <c r="AA691" s="2" t="s">
        <v>676</v>
      </c>
      <c r="AB691" s="1">
        <v>9813</v>
      </c>
      <c r="AC691" s="1">
        <v>5155</v>
      </c>
      <c r="AD691" s="1">
        <v>2073</v>
      </c>
      <c r="AE691" s="1">
        <v>618</v>
      </c>
      <c r="AF691" s="1">
        <v>116</v>
      </c>
      <c r="AG691" s="1">
        <v>16</v>
      </c>
      <c r="AH691" s="1">
        <v>8147</v>
      </c>
      <c r="AI691" s="1">
        <v>202</v>
      </c>
      <c r="AJ691" s="1">
        <v>1100</v>
      </c>
      <c r="AK691" s="1">
        <v>2120</v>
      </c>
      <c r="AL691" s="1">
        <v>124</v>
      </c>
      <c r="AM691" s="1">
        <v>39</v>
      </c>
      <c r="AN691" s="2" t="s">
        <v>412</v>
      </c>
    </row>
    <row r="692" spans="1:40" x14ac:dyDescent="0.3">
      <c r="A692" s="1">
        <v>18697</v>
      </c>
      <c r="B692" s="2" t="s">
        <v>3042</v>
      </c>
      <c r="C692" s="2" t="s">
        <v>3043</v>
      </c>
      <c r="D692" s="1">
        <v>19</v>
      </c>
      <c r="E692" s="2" t="s">
        <v>467</v>
      </c>
      <c r="F692" s="50" t="s">
        <v>3044</v>
      </c>
      <c r="G692" s="2" t="s">
        <v>468</v>
      </c>
      <c r="H692" s="1">
        <v>8969</v>
      </c>
      <c r="I692" s="1">
        <v>9420</v>
      </c>
      <c r="J692" s="2" t="s">
        <v>3045</v>
      </c>
      <c r="K692" s="2" t="s">
        <v>3046</v>
      </c>
      <c r="L692" s="2" t="s">
        <v>398</v>
      </c>
      <c r="M692" s="1">
        <v>531</v>
      </c>
      <c r="N692" s="1">
        <v>14280</v>
      </c>
      <c r="O692" s="2" t="s">
        <v>215</v>
      </c>
      <c r="P692" s="2" t="s">
        <v>67</v>
      </c>
      <c r="Q692" s="2" t="s">
        <v>322</v>
      </c>
      <c r="R692" s="2" t="s">
        <v>50</v>
      </c>
      <c r="S692" s="2" t="s">
        <v>66</v>
      </c>
      <c r="T692" s="1">
        <v>6217</v>
      </c>
      <c r="U692" s="2" t="s">
        <v>51</v>
      </c>
      <c r="V692" s="1">
        <v>1373</v>
      </c>
      <c r="W692" s="1">
        <v>1663</v>
      </c>
      <c r="X692" s="2" t="s">
        <v>2425</v>
      </c>
      <c r="Y692" s="2" t="s">
        <v>820</v>
      </c>
      <c r="Z692" s="2" t="s">
        <v>838</v>
      </c>
      <c r="AA692" s="2" t="s">
        <v>640</v>
      </c>
      <c r="AB692" s="1">
        <v>8063</v>
      </c>
      <c r="AC692" s="1">
        <v>4156</v>
      </c>
      <c r="AD692" s="1">
        <v>1495</v>
      </c>
      <c r="AE692" s="1">
        <v>456</v>
      </c>
      <c r="AF692" s="1">
        <v>95</v>
      </c>
      <c r="AG692" s="1">
        <v>15</v>
      </c>
      <c r="AH692" s="1">
        <v>6603</v>
      </c>
      <c r="AI692" s="1">
        <v>102</v>
      </c>
      <c r="AJ692" s="1">
        <v>514</v>
      </c>
      <c r="AK692" s="1">
        <v>1597</v>
      </c>
      <c r="AL692" s="1">
        <v>150</v>
      </c>
      <c r="AM692" s="1">
        <v>37</v>
      </c>
      <c r="AN692" s="2">
        <v>1</v>
      </c>
    </row>
    <row r="693" spans="1:40" ht="28.2" x14ac:dyDescent="0.3">
      <c r="A693" s="1">
        <v>8151</v>
      </c>
      <c r="B693" s="2" t="s">
        <v>3047</v>
      </c>
      <c r="C693" s="2" t="s">
        <v>3048</v>
      </c>
      <c r="D693" s="1">
        <v>25</v>
      </c>
      <c r="E693" s="2" t="s">
        <v>196</v>
      </c>
      <c r="F693" s="50" t="s">
        <v>599</v>
      </c>
      <c r="G693" s="2" t="s">
        <v>3049</v>
      </c>
      <c r="H693" s="1">
        <v>30139</v>
      </c>
      <c r="I693" s="1">
        <v>31648</v>
      </c>
      <c r="J693" s="2" t="s">
        <v>925</v>
      </c>
      <c r="K693" s="2" t="s">
        <v>486</v>
      </c>
      <c r="L693" s="2" t="s">
        <v>224</v>
      </c>
      <c r="M693" s="1">
        <v>1765</v>
      </c>
      <c r="N693" s="1">
        <v>46574</v>
      </c>
      <c r="O693" s="2" t="s">
        <v>276</v>
      </c>
      <c r="P693" s="2" t="s">
        <v>166</v>
      </c>
      <c r="Q693" s="2" t="s">
        <v>167</v>
      </c>
      <c r="R693" s="2" t="s">
        <v>67</v>
      </c>
      <c r="S693" s="2" t="s">
        <v>96</v>
      </c>
      <c r="T693" s="1">
        <v>20872</v>
      </c>
      <c r="U693" s="2" t="s">
        <v>51</v>
      </c>
      <c r="V693" s="1">
        <v>4685</v>
      </c>
      <c r="W693" s="1">
        <v>5068</v>
      </c>
      <c r="X693" s="2" t="s">
        <v>1314</v>
      </c>
      <c r="Y693" s="2" t="s">
        <v>285</v>
      </c>
      <c r="Z693" s="2" t="s">
        <v>324</v>
      </c>
      <c r="AA693" s="2" t="s">
        <v>1030</v>
      </c>
      <c r="AB693" s="1">
        <v>25702</v>
      </c>
      <c r="AC693" s="1">
        <v>13743</v>
      </c>
      <c r="AD693" s="1">
        <v>5318</v>
      </c>
      <c r="AE693" s="1">
        <v>1524</v>
      </c>
      <c r="AF693" s="1">
        <v>264</v>
      </c>
      <c r="AG693" s="1">
        <v>23</v>
      </c>
      <c r="AH693" s="1">
        <v>22436</v>
      </c>
      <c r="AI693" s="1">
        <v>815</v>
      </c>
      <c r="AJ693" s="1">
        <v>2011</v>
      </c>
      <c r="AK693" s="1">
        <v>4482</v>
      </c>
      <c r="AL693" s="1">
        <v>404</v>
      </c>
      <c r="AM693" s="1">
        <v>73</v>
      </c>
      <c r="AN693" s="2" t="s">
        <v>820</v>
      </c>
    </row>
    <row r="694" spans="1:40" ht="28.2" x14ac:dyDescent="0.3">
      <c r="A694" s="1">
        <v>11630</v>
      </c>
      <c r="B694" s="2" t="s">
        <v>3050</v>
      </c>
      <c r="C694" s="2" t="s">
        <v>3051</v>
      </c>
      <c r="D694" s="1">
        <v>23</v>
      </c>
      <c r="E694" s="2" t="s">
        <v>758</v>
      </c>
      <c r="F694" s="50" t="s">
        <v>812</v>
      </c>
      <c r="G694" s="2" t="s">
        <v>3052</v>
      </c>
      <c r="H694" s="1">
        <v>17574</v>
      </c>
      <c r="I694" s="1">
        <v>18531</v>
      </c>
      <c r="J694" s="2" t="s">
        <v>1390</v>
      </c>
      <c r="K694" s="2">
        <v>72</v>
      </c>
      <c r="L694" s="2" t="s">
        <v>612</v>
      </c>
      <c r="M694" s="1">
        <v>1061</v>
      </c>
      <c r="N694" s="1">
        <v>27532</v>
      </c>
      <c r="O694" s="2" t="s">
        <v>65</v>
      </c>
      <c r="P694" s="2" t="s">
        <v>235</v>
      </c>
      <c r="Q694" s="2" t="s">
        <v>225</v>
      </c>
      <c r="R694" s="2" t="s">
        <v>48</v>
      </c>
      <c r="S694" s="2" t="s">
        <v>67</v>
      </c>
      <c r="T694" s="1">
        <v>12084</v>
      </c>
      <c r="U694" s="2" t="s">
        <v>51</v>
      </c>
      <c r="V694" s="1">
        <v>2641</v>
      </c>
      <c r="W694" s="1">
        <v>3061</v>
      </c>
      <c r="X694" s="2" t="s">
        <v>64</v>
      </c>
      <c r="Y694" s="2" t="s">
        <v>472</v>
      </c>
      <c r="Z694" s="2" t="s">
        <v>443</v>
      </c>
      <c r="AA694" s="2" t="s">
        <v>363</v>
      </c>
      <c r="AB694" s="1">
        <v>15448</v>
      </c>
      <c r="AC694" s="1">
        <v>7898</v>
      </c>
      <c r="AD694" s="1">
        <v>3081</v>
      </c>
      <c r="AE694" s="1">
        <v>918</v>
      </c>
      <c r="AF694" s="1">
        <v>175</v>
      </c>
      <c r="AG694" s="1">
        <v>12</v>
      </c>
      <c r="AH694" s="1">
        <v>13078</v>
      </c>
      <c r="AI694" s="1">
        <v>722</v>
      </c>
      <c r="AJ694" s="1">
        <v>880</v>
      </c>
      <c r="AK694" s="1">
        <v>2680</v>
      </c>
      <c r="AL694" s="1">
        <v>227</v>
      </c>
      <c r="AM694" s="1">
        <v>60</v>
      </c>
      <c r="AN694" s="2" t="s">
        <v>449</v>
      </c>
    </row>
    <row r="695" spans="1:40" ht="28.2" x14ac:dyDescent="0.3">
      <c r="A695" s="1">
        <v>5440</v>
      </c>
      <c r="B695" s="2" t="s">
        <v>3053</v>
      </c>
      <c r="C695" s="2" t="s">
        <v>3054</v>
      </c>
      <c r="D695" s="1">
        <v>26</v>
      </c>
      <c r="E695" s="2" t="s">
        <v>187</v>
      </c>
      <c r="F695" s="50" t="s">
        <v>3055</v>
      </c>
      <c r="G695" s="2" t="s">
        <v>3056</v>
      </c>
      <c r="H695" s="1">
        <v>10179</v>
      </c>
      <c r="I695" s="1">
        <v>10697</v>
      </c>
      <c r="J695" s="2" t="s">
        <v>1154</v>
      </c>
      <c r="K695" s="2" t="s">
        <v>2171</v>
      </c>
      <c r="L695" s="2" t="s">
        <v>331</v>
      </c>
      <c r="M695" s="1">
        <v>594</v>
      </c>
      <c r="N695" s="1">
        <v>15719</v>
      </c>
      <c r="O695" s="2" t="s">
        <v>276</v>
      </c>
      <c r="P695" s="2" t="s">
        <v>235</v>
      </c>
      <c r="Q695" s="2" t="s">
        <v>167</v>
      </c>
      <c r="R695" s="2" t="s">
        <v>50</v>
      </c>
      <c r="S695" s="2" t="s">
        <v>96</v>
      </c>
      <c r="T695" s="1">
        <v>7032</v>
      </c>
      <c r="U695" s="2" t="s">
        <v>51</v>
      </c>
      <c r="V695" s="1">
        <v>1187</v>
      </c>
      <c r="W695" s="1">
        <v>1415</v>
      </c>
      <c r="X695" s="2" t="s">
        <v>47</v>
      </c>
      <c r="Y695" s="2" t="s">
        <v>1551</v>
      </c>
      <c r="Z695" s="2" t="s">
        <v>653</v>
      </c>
      <c r="AA695" s="2" t="s">
        <v>822</v>
      </c>
      <c r="AB695" s="1">
        <v>8687</v>
      </c>
      <c r="AC695" s="1">
        <v>4597</v>
      </c>
      <c r="AD695" s="1">
        <v>1832</v>
      </c>
      <c r="AE695" s="1">
        <v>507</v>
      </c>
      <c r="AF695" s="1">
        <v>89</v>
      </c>
      <c r="AG695" s="1">
        <v>7</v>
      </c>
      <c r="AH695" s="1">
        <v>7310</v>
      </c>
      <c r="AI695" s="1">
        <v>292</v>
      </c>
      <c r="AJ695" s="1">
        <v>787</v>
      </c>
      <c r="AK695" s="1">
        <v>1613</v>
      </c>
      <c r="AL695" s="1">
        <v>148</v>
      </c>
      <c r="AM695" s="1">
        <v>56</v>
      </c>
      <c r="AN695" s="2" t="s">
        <v>820</v>
      </c>
    </row>
    <row r="696" spans="1:40" ht="28.2" x14ac:dyDescent="0.3">
      <c r="A696" s="1">
        <v>7214</v>
      </c>
      <c r="B696" s="2" t="s">
        <v>3057</v>
      </c>
      <c r="C696" s="2" t="s">
        <v>3058</v>
      </c>
      <c r="D696" s="1">
        <v>31</v>
      </c>
      <c r="E696" s="2" t="s">
        <v>708</v>
      </c>
      <c r="F696" s="50" t="s">
        <v>3514</v>
      </c>
      <c r="G696" s="2" t="s">
        <v>3059</v>
      </c>
      <c r="H696" s="1">
        <v>6648</v>
      </c>
      <c r="I696" s="1">
        <v>6894</v>
      </c>
      <c r="J696" s="2" t="s">
        <v>769</v>
      </c>
      <c r="K696" s="2">
        <v>76</v>
      </c>
      <c r="L696" s="2" t="s">
        <v>313</v>
      </c>
      <c r="M696" s="1">
        <v>403</v>
      </c>
      <c r="N696" s="1">
        <v>10276</v>
      </c>
      <c r="O696" s="2" t="s">
        <v>276</v>
      </c>
      <c r="P696" s="2" t="s">
        <v>235</v>
      </c>
      <c r="Q696" s="2" t="s">
        <v>225</v>
      </c>
      <c r="R696" s="2" t="s">
        <v>96</v>
      </c>
      <c r="S696" s="2" t="s">
        <v>96</v>
      </c>
      <c r="T696" s="1">
        <v>4650</v>
      </c>
      <c r="U696" s="2" t="s">
        <v>51</v>
      </c>
      <c r="V696" s="1">
        <v>731</v>
      </c>
      <c r="W696" s="1">
        <v>683</v>
      </c>
      <c r="X696" s="2" t="s">
        <v>464</v>
      </c>
      <c r="Y696" s="2" t="s">
        <v>1749</v>
      </c>
      <c r="Z696" s="2" t="s">
        <v>3060</v>
      </c>
      <c r="AA696" s="2" t="s">
        <v>474</v>
      </c>
      <c r="AB696" s="1">
        <v>5626</v>
      </c>
      <c r="AC696" s="1">
        <v>3115</v>
      </c>
      <c r="AD696" s="1">
        <v>1168</v>
      </c>
      <c r="AE696" s="1">
        <v>311</v>
      </c>
      <c r="AF696" s="1">
        <v>51</v>
      </c>
      <c r="AG696" s="1">
        <v>5</v>
      </c>
      <c r="AH696" s="1">
        <v>4584</v>
      </c>
      <c r="AI696" s="1">
        <v>432</v>
      </c>
      <c r="AJ696" s="1">
        <v>277</v>
      </c>
      <c r="AK696" s="1">
        <v>1148</v>
      </c>
      <c r="AL696" s="1">
        <v>199</v>
      </c>
      <c r="AM696" s="1">
        <v>8</v>
      </c>
      <c r="AN696" s="2" t="s">
        <v>820</v>
      </c>
    </row>
    <row r="697" spans="1:40" x14ac:dyDescent="0.3">
      <c r="A697" s="1">
        <v>9325</v>
      </c>
      <c r="B697" s="2" t="s">
        <v>3061</v>
      </c>
      <c r="C697" s="2" t="s">
        <v>3062</v>
      </c>
      <c r="D697" s="1">
        <v>25</v>
      </c>
      <c r="E697" s="2" t="s">
        <v>452</v>
      </c>
      <c r="F697" s="50" t="s">
        <v>690</v>
      </c>
      <c r="G697" s="2" t="s">
        <v>2869</v>
      </c>
      <c r="H697" s="1">
        <v>15700</v>
      </c>
      <c r="I697" s="1">
        <v>16720</v>
      </c>
      <c r="J697" s="2" t="s">
        <v>1930</v>
      </c>
      <c r="K697" s="2" t="s">
        <v>1234</v>
      </c>
      <c r="L697" s="2" t="s">
        <v>224</v>
      </c>
      <c r="M697" s="1">
        <v>897</v>
      </c>
      <c r="N697" s="1">
        <v>24098</v>
      </c>
      <c r="O697" s="2" t="s">
        <v>276</v>
      </c>
      <c r="P697" s="2" t="s">
        <v>235</v>
      </c>
      <c r="Q697" s="2" t="s">
        <v>463</v>
      </c>
      <c r="R697" s="2" t="s">
        <v>50</v>
      </c>
      <c r="S697" s="2" t="s">
        <v>50</v>
      </c>
      <c r="T697" s="1">
        <v>10770</v>
      </c>
      <c r="U697" s="2" t="s">
        <v>51</v>
      </c>
      <c r="V697" s="1">
        <v>2378</v>
      </c>
      <c r="W697" s="1">
        <v>2685</v>
      </c>
      <c r="X697" s="2" t="s">
        <v>1551</v>
      </c>
      <c r="Y697" s="2" t="s">
        <v>503</v>
      </c>
      <c r="Z697" s="2" t="s">
        <v>443</v>
      </c>
      <c r="AA697" s="2" t="s">
        <v>547</v>
      </c>
      <c r="AB697" s="1">
        <v>13328</v>
      </c>
      <c r="AC697" s="1">
        <v>7005</v>
      </c>
      <c r="AD697" s="1">
        <v>2796</v>
      </c>
      <c r="AE697" s="1">
        <v>796</v>
      </c>
      <c r="AF697" s="1">
        <v>150</v>
      </c>
      <c r="AG697" s="1">
        <v>23</v>
      </c>
      <c r="AH697" s="1">
        <v>11850</v>
      </c>
      <c r="AI697" s="1">
        <v>99</v>
      </c>
      <c r="AJ697" s="1">
        <v>1073</v>
      </c>
      <c r="AK697" s="1">
        <v>2458</v>
      </c>
      <c r="AL697" s="1">
        <v>219</v>
      </c>
      <c r="AM697" s="1">
        <v>37</v>
      </c>
      <c r="AN697" s="2" t="s">
        <v>820</v>
      </c>
    </row>
    <row r="698" spans="1:40" x14ac:dyDescent="0.3">
      <c r="A698" s="1">
        <v>10367</v>
      </c>
      <c r="B698" s="2" t="s">
        <v>3063</v>
      </c>
      <c r="C698" s="2" t="s">
        <v>3064</v>
      </c>
      <c r="D698" s="1">
        <v>26</v>
      </c>
      <c r="E698" s="2" t="s">
        <v>708</v>
      </c>
      <c r="F698" s="50" t="s">
        <v>3514</v>
      </c>
      <c r="G698" s="2" t="s">
        <v>1745</v>
      </c>
      <c r="H698" s="1">
        <v>7387</v>
      </c>
      <c r="I698" s="1">
        <v>7858</v>
      </c>
      <c r="J698" s="2" t="s">
        <v>1784</v>
      </c>
      <c r="K698" s="2" t="s">
        <v>1494</v>
      </c>
      <c r="L698" s="2" t="s">
        <v>390</v>
      </c>
      <c r="M698" s="1">
        <v>426</v>
      </c>
      <c r="N698" s="1">
        <v>11214</v>
      </c>
      <c r="O698" s="2" t="s">
        <v>322</v>
      </c>
      <c r="P698" s="2" t="s">
        <v>235</v>
      </c>
      <c r="Q698" s="2" t="s">
        <v>905</v>
      </c>
      <c r="R698" s="2" t="s">
        <v>48</v>
      </c>
      <c r="S698" s="2" t="s">
        <v>67</v>
      </c>
      <c r="T698" s="1">
        <v>5084</v>
      </c>
      <c r="U698" s="2" t="s">
        <v>51</v>
      </c>
      <c r="V698" s="1">
        <v>1096</v>
      </c>
      <c r="W698" s="1">
        <v>1175</v>
      </c>
      <c r="X698" s="2" t="s">
        <v>950</v>
      </c>
      <c r="Y698" s="2" t="s">
        <v>245</v>
      </c>
      <c r="Z698" s="2" t="s">
        <v>2434</v>
      </c>
      <c r="AA698" s="2" t="s">
        <v>739</v>
      </c>
      <c r="AB698" s="1">
        <v>6130</v>
      </c>
      <c r="AC698" s="1">
        <v>3313</v>
      </c>
      <c r="AD698" s="1">
        <v>1325</v>
      </c>
      <c r="AE698" s="1">
        <v>368</v>
      </c>
      <c r="AF698" s="1">
        <v>70</v>
      </c>
      <c r="AG698" s="1">
        <v>8</v>
      </c>
      <c r="AH698" s="1">
        <v>5276</v>
      </c>
      <c r="AI698" s="1">
        <v>129</v>
      </c>
      <c r="AJ698" s="1">
        <v>680</v>
      </c>
      <c r="AK698" s="1">
        <v>1243</v>
      </c>
      <c r="AL698" s="1">
        <v>57</v>
      </c>
      <c r="AM698" s="1">
        <v>17</v>
      </c>
      <c r="AN698" s="2" t="s">
        <v>820</v>
      </c>
    </row>
    <row r="699" spans="1:40" x14ac:dyDescent="0.3">
      <c r="A699" s="1">
        <v>8599</v>
      </c>
      <c r="B699" s="2" t="s">
        <v>3065</v>
      </c>
      <c r="C699" s="2" t="s">
        <v>3066</v>
      </c>
      <c r="D699" s="1">
        <v>30</v>
      </c>
      <c r="E699" s="2" t="s">
        <v>209</v>
      </c>
      <c r="F699" s="50" t="s">
        <v>3514</v>
      </c>
      <c r="G699" s="2" t="s">
        <v>3067</v>
      </c>
      <c r="H699" s="1">
        <v>7360</v>
      </c>
      <c r="I699" s="1">
        <v>7650</v>
      </c>
      <c r="J699" s="2" t="s">
        <v>1357</v>
      </c>
      <c r="K699" s="2" t="s">
        <v>3068</v>
      </c>
      <c r="L699" s="2" t="s">
        <v>589</v>
      </c>
      <c r="M699" s="1">
        <v>457</v>
      </c>
      <c r="N699" s="1">
        <v>11674</v>
      </c>
      <c r="O699" s="2" t="s">
        <v>215</v>
      </c>
      <c r="P699" s="2" t="s">
        <v>235</v>
      </c>
      <c r="Q699" s="2" t="s">
        <v>322</v>
      </c>
      <c r="R699" s="2" t="s">
        <v>50</v>
      </c>
      <c r="S699" s="2" t="s">
        <v>96</v>
      </c>
      <c r="T699" s="1">
        <v>5157</v>
      </c>
      <c r="U699" s="2" t="s">
        <v>51</v>
      </c>
      <c r="V699" s="1">
        <v>791</v>
      </c>
      <c r="W699" s="1">
        <v>929</v>
      </c>
      <c r="X699" s="2" t="s">
        <v>2667</v>
      </c>
      <c r="Y699" s="2" t="s">
        <v>2324</v>
      </c>
      <c r="Z699" s="2" t="s">
        <v>635</v>
      </c>
      <c r="AA699" s="2" t="s">
        <v>3069</v>
      </c>
      <c r="AB699" s="1">
        <v>6517</v>
      </c>
      <c r="AC699" s="1">
        <v>3444</v>
      </c>
      <c r="AD699" s="1">
        <v>1297</v>
      </c>
      <c r="AE699" s="1">
        <v>349</v>
      </c>
      <c r="AF699" s="1">
        <v>60</v>
      </c>
      <c r="AG699" s="1">
        <v>7</v>
      </c>
      <c r="AH699" s="1">
        <v>5282</v>
      </c>
      <c r="AI699" s="1">
        <v>63</v>
      </c>
      <c r="AJ699" s="1">
        <v>535</v>
      </c>
      <c r="AK699" s="1">
        <v>1403</v>
      </c>
      <c r="AL699" s="1">
        <v>87</v>
      </c>
      <c r="AM699" s="1">
        <v>3</v>
      </c>
      <c r="AN699" s="2" t="s">
        <v>820</v>
      </c>
    </row>
    <row r="700" spans="1:40" x14ac:dyDescent="0.3">
      <c r="A700" s="1">
        <v>7463</v>
      </c>
      <c r="B700" s="2" t="s">
        <v>3070</v>
      </c>
      <c r="C700" s="2" t="s">
        <v>3071</v>
      </c>
      <c r="D700" s="1">
        <v>29</v>
      </c>
      <c r="E700" s="2" t="s">
        <v>196</v>
      </c>
      <c r="F700" s="50" t="s">
        <v>3514</v>
      </c>
      <c r="G700" s="2" t="s">
        <v>973</v>
      </c>
      <c r="H700" s="1">
        <v>12779</v>
      </c>
      <c r="I700" s="1">
        <v>13628</v>
      </c>
      <c r="J700" s="2" t="s">
        <v>925</v>
      </c>
      <c r="K700" s="2" t="s">
        <v>1529</v>
      </c>
      <c r="L700" s="2" t="s">
        <v>425</v>
      </c>
      <c r="M700" s="1">
        <v>754</v>
      </c>
      <c r="N700" s="1">
        <v>19798</v>
      </c>
      <c r="O700" s="2" t="s">
        <v>276</v>
      </c>
      <c r="P700" s="2" t="s">
        <v>235</v>
      </c>
      <c r="Q700" s="2" t="s">
        <v>463</v>
      </c>
      <c r="R700" s="2" t="s">
        <v>50</v>
      </c>
      <c r="S700" s="2" t="s">
        <v>96</v>
      </c>
      <c r="T700" s="1">
        <v>8729</v>
      </c>
      <c r="U700" s="2" t="s">
        <v>51</v>
      </c>
      <c r="V700" s="1">
        <v>1712</v>
      </c>
      <c r="W700" s="1">
        <v>2170</v>
      </c>
      <c r="X700" s="2" t="s">
        <v>109</v>
      </c>
      <c r="Y700" s="2" t="s">
        <v>1314</v>
      </c>
      <c r="Z700" s="2" t="s">
        <v>391</v>
      </c>
      <c r="AA700" s="2" t="s">
        <v>518</v>
      </c>
      <c r="AB700" s="1">
        <v>11069</v>
      </c>
      <c r="AC700" s="1">
        <v>5634</v>
      </c>
      <c r="AD700" s="1">
        <v>2296</v>
      </c>
      <c r="AE700" s="1">
        <v>662</v>
      </c>
      <c r="AF700" s="1">
        <v>121</v>
      </c>
      <c r="AG700" s="1">
        <v>16</v>
      </c>
      <c r="AH700" s="1">
        <v>9025</v>
      </c>
      <c r="AI700" s="1">
        <v>394</v>
      </c>
      <c r="AJ700" s="1">
        <v>1075</v>
      </c>
      <c r="AK700" s="1">
        <v>2170</v>
      </c>
      <c r="AL700" s="1">
        <v>120</v>
      </c>
      <c r="AM700" s="1">
        <v>11</v>
      </c>
      <c r="AN700" s="2" t="s">
        <v>1570</v>
      </c>
    </row>
    <row r="701" spans="1:40" ht="28.2" x14ac:dyDescent="0.3">
      <c r="A701" s="1">
        <v>16412</v>
      </c>
      <c r="B701" s="2" t="s">
        <v>3072</v>
      </c>
      <c r="C701" s="2" t="s">
        <v>3073</v>
      </c>
      <c r="D701" s="1">
        <v>22</v>
      </c>
      <c r="E701" s="2" t="s">
        <v>467</v>
      </c>
      <c r="F701" s="50" t="s">
        <v>1888</v>
      </c>
      <c r="G701" s="2" t="s">
        <v>3074</v>
      </c>
      <c r="H701" s="1">
        <v>8650</v>
      </c>
      <c r="I701" s="1">
        <v>9125</v>
      </c>
      <c r="J701" s="2" t="s">
        <v>587</v>
      </c>
      <c r="K701" s="2">
        <v>71</v>
      </c>
      <c r="L701" s="2" t="s">
        <v>541</v>
      </c>
      <c r="M701" s="1">
        <v>497</v>
      </c>
      <c r="N701" s="1">
        <v>13334</v>
      </c>
      <c r="O701" s="2" t="s">
        <v>276</v>
      </c>
      <c r="P701" s="2" t="s">
        <v>202</v>
      </c>
      <c r="Q701" s="2" t="s">
        <v>167</v>
      </c>
      <c r="R701" s="2" t="s">
        <v>48</v>
      </c>
      <c r="S701" s="2" t="s">
        <v>67</v>
      </c>
      <c r="T701" s="1">
        <v>6029</v>
      </c>
      <c r="U701" s="2" t="s">
        <v>51</v>
      </c>
      <c r="V701" s="1">
        <v>1199</v>
      </c>
      <c r="W701" s="1">
        <v>1245</v>
      </c>
      <c r="X701" s="2" t="s">
        <v>472</v>
      </c>
      <c r="Y701" s="2" t="s">
        <v>472</v>
      </c>
      <c r="Z701" s="2" t="s">
        <v>1327</v>
      </c>
      <c r="AA701" s="2" t="s">
        <v>518</v>
      </c>
      <c r="AB701" s="1">
        <v>7305</v>
      </c>
      <c r="AC701" s="1">
        <v>3999</v>
      </c>
      <c r="AD701" s="1">
        <v>1532</v>
      </c>
      <c r="AE701" s="1">
        <v>416</v>
      </c>
      <c r="AF701" s="1">
        <v>71</v>
      </c>
      <c r="AG701" s="1">
        <v>11</v>
      </c>
      <c r="AH701" s="1">
        <v>6504</v>
      </c>
      <c r="AI701" s="1">
        <v>50</v>
      </c>
      <c r="AJ701" s="1">
        <v>648</v>
      </c>
      <c r="AK701" s="1">
        <v>1374</v>
      </c>
      <c r="AL701" s="1">
        <v>86</v>
      </c>
      <c r="AM701" s="1">
        <v>13</v>
      </c>
      <c r="AN701" s="2">
        <v>1</v>
      </c>
    </row>
    <row r="702" spans="1:40" ht="28.2" x14ac:dyDescent="0.3">
      <c r="A702" s="1">
        <v>7943</v>
      </c>
      <c r="B702" s="2" t="s">
        <v>3075</v>
      </c>
      <c r="C702" s="2" t="s">
        <v>3076</v>
      </c>
      <c r="D702" s="1">
        <v>27</v>
      </c>
      <c r="E702" s="2" t="s">
        <v>742</v>
      </c>
      <c r="F702" s="50" t="s">
        <v>1859</v>
      </c>
      <c r="G702" s="2" t="s">
        <v>1860</v>
      </c>
      <c r="H702" s="1">
        <v>7217</v>
      </c>
      <c r="I702" s="1">
        <v>7588</v>
      </c>
      <c r="J702" s="2" t="s">
        <v>2927</v>
      </c>
      <c r="K702" s="2" t="s">
        <v>2346</v>
      </c>
      <c r="L702" s="2" t="s">
        <v>275</v>
      </c>
      <c r="M702" s="1">
        <v>431</v>
      </c>
      <c r="N702" s="1">
        <v>11262</v>
      </c>
      <c r="O702" s="2" t="s">
        <v>65</v>
      </c>
      <c r="P702" s="2" t="s">
        <v>48</v>
      </c>
      <c r="Q702" s="2" t="s">
        <v>225</v>
      </c>
      <c r="R702" s="2" t="s">
        <v>66</v>
      </c>
      <c r="S702" s="2" t="s">
        <v>96</v>
      </c>
      <c r="T702" s="1">
        <v>5052</v>
      </c>
      <c r="U702" s="2" t="s">
        <v>51</v>
      </c>
      <c r="V702" s="1">
        <v>841</v>
      </c>
      <c r="W702" s="1">
        <v>936</v>
      </c>
      <c r="X702" s="2" t="s">
        <v>1906</v>
      </c>
      <c r="Y702" s="2" t="s">
        <v>1906</v>
      </c>
      <c r="Z702" s="2" t="s">
        <v>3077</v>
      </c>
      <c r="AA702" s="2" t="s">
        <v>2364</v>
      </c>
      <c r="AB702" s="1">
        <v>6210</v>
      </c>
      <c r="AC702" s="1">
        <v>3387</v>
      </c>
      <c r="AD702" s="1">
        <v>1256</v>
      </c>
      <c r="AE702" s="1">
        <v>326</v>
      </c>
      <c r="AF702" s="1">
        <v>76</v>
      </c>
      <c r="AG702" s="1">
        <v>7</v>
      </c>
      <c r="AH702" s="1">
        <v>5372</v>
      </c>
      <c r="AI702" s="1">
        <v>40</v>
      </c>
      <c r="AJ702" s="1">
        <v>396</v>
      </c>
      <c r="AK702" s="1">
        <v>1330</v>
      </c>
      <c r="AL702" s="1">
        <v>74</v>
      </c>
      <c r="AM702" s="1">
        <v>15</v>
      </c>
      <c r="AN702" s="2" t="s">
        <v>1570</v>
      </c>
    </row>
    <row r="703" spans="1:40" x14ac:dyDescent="0.3">
      <c r="A703" s="1">
        <v>9845</v>
      </c>
      <c r="B703" s="2" t="s">
        <v>3078</v>
      </c>
      <c r="C703" s="2" t="s">
        <v>3079</v>
      </c>
      <c r="D703" s="1">
        <v>28</v>
      </c>
      <c r="E703" s="2" t="s">
        <v>500</v>
      </c>
      <c r="F703" s="50" t="s">
        <v>3514</v>
      </c>
      <c r="G703" s="2" t="s">
        <v>3080</v>
      </c>
      <c r="H703" s="1">
        <v>6351</v>
      </c>
      <c r="I703" s="1">
        <v>6673</v>
      </c>
      <c r="J703" s="2" t="s">
        <v>432</v>
      </c>
      <c r="K703" s="2" t="s">
        <v>2931</v>
      </c>
      <c r="L703" s="2" t="s">
        <v>275</v>
      </c>
      <c r="M703" s="1">
        <v>385</v>
      </c>
      <c r="N703" s="1">
        <v>10066</v>
      </c>
      <c r="O703" s="2" t="s">
        <v>215</v>
      </c>
      <c r="P703" s="2" t="s">
        <v>166</v>
      </c>
      <c r="Q703" s="2" t="s">
        <v>322</v>
      </c>
      <c r="R703" s="2" t="s">
        <v>48</v>
      </c>
      <c r="S703" s="2" t="s">
        <v>67</v>
      </c>
      <c r="T703" s="1">
        <v>4455</v>
      </c>
      <c r="U703" s="2" t="s">
        <v>51</v>
      </c>
      <c r="V703" s="1">
        <v>511</v>
      </c>
      <c r="W703" s="1">
        <v>648</v>
      </c>
      <c r="X703" s="2" t="s">
        <v>109</v>
      </c>
      <c r="Y703" s="2" t="s">
        <v>165</v>
      </c>
      <c r="Z703" s="2" t="s">
        <v>2167</v>
      </c>
      <c r="AA703" s="2" t="s">
        <v>3081</v>
      </c>
      <c r="AB703" s="1">
        <v>5611</v>
      </c>
      <c r="AC703" s="1">
        <v>3010</v>
      </c>
      <c r="AD703" s="1">
        <v>1085</v>
      </c>
      <c r="AE703" s="1">
        <v>282</v>
      </c>
      <c r="AF703" s="1">
        <v>65</v>
      </c>
      <c r="AG703" s="1">
        <v>13</v>
      </c>
      <c r="AH703" s="1">
        <v>4351</v>
      </c>
      <c r="AI703" s="1">
        <v>159</v>
      </c>
      <c r="AJ703" s="1">
        <v>503</v>
      </c>
      <c r="AK703" s="1">
        <v>1279</v>
      </c>
      <c r="AL703" s="1">
        <v>69</v>
      </c>
      <c r="AM703" s="1">
        <v>4</v>
      </c>
      <c r="AN703" s="2" t="s">
        <v>1570</v>
      </c>
    </row>
    <row r="704" spans="1:40" x14ac:dyDescent="0.3">
      <c r="A704" s="1">
        <v>10762</v>
      </c>
      <c r="B704" s="2" t="s">
        <v>3082</v>
      </c>
      <c r="C704" s="2" t="s">
        <v>3083</v>
      </c>
      <c r="D704" s="1">
        <v>25</v>
      </c>
      <c r="E704" s="2" t="s">
        <v>467</v>
      </c>
      <c r="F704" s="50" t="s">
        <v>3084</v>
      </c>
      <c r="G704" s="2" t="s">
        <v>3085</v>
      </c>
      <c r="H704" s="1">
        <v>15317</v>
      </c>
      <c r="I704" s="1">
        <v>16361</v>
      </c>
      <c r="J704" s="2" t="s">
        <v>1159</v>
      </c>
      <c r="K704" s="2" t="s">
        <v>624</v>
      </c>
      <c r="L704" s="2">
        <v>5</v>
      </c>
      <c r="M704" s="1">
        <v>887</v>
      </c>
      <c r="N704" s="1">
        <v>23379</v>
      </c>
      <c r="O704" s="2" t="s">
        <v>322</v>
      </c>
      <c r="P704" s="2" t="s">
        <v>235</v>
      </c>
      <c r="Q704" s="2" t="s">
        <v>905</v>
      </c>
      <c r="R704" s="2" t="s">
        <v>50</v>
      </c>
      <c r="S704" s="2" t="s">
        <v>96</v>
      </c>
      <c r="T704" s="1">
        <v>10556</v>
      </c>
      <c r="U704" s="2" t="s">
        <v>51</v>
      </c>
      <c r="V704" s="1">
        <v>2324</v>
      </c>
      <c r="W704" s="1">
        <v>2600</v>
      </c>
      <c r="X704" s="2" t="s">
        <v>1551</v>
      </c>
      <c r="Y704" s="2" t="s">
        <v>245</v>
      </c>
      <c r="Z704" s="2" t="s">
        <v>1165</v>
      </c>
      <c r="AA704" s="2" t="s">
        <v>2029</v>
      </c>
      <c r="AB704" s="1">
        <v>12823</v>
      </c>
      <c r="AC704" s="1">
        <v>6915</v>
      </c>
      <c r="AD704" s="1">
        <v>2707</v>
      </c>
      <c r="AE704" s="1">
        <v>760</v>
      </c>
      <c r="AF704" s="1">
        <v>162</v>
      </c>
      <c r="AG704" s="1">
        <v>12</v>
      </c>
      <c r="AH704" s="1">
        <v>11329</v>
      </c>
      <c r="AI704" s="1">
        <v>351</v>
      </c>
      <c r="AJ704" s="1">
        <v>883</v>
      </c>
      <c r="AK704" s="1">
        <v>2555</v>
      </c>
      <c r="AL704" s="1">
        <v>210</v>
      </c>
      <c r="AM704" s="1">
        <v>39</v>
      </c>
      <c r="AN704" s="2" t="s">
        <v>255</v>
      </c>
    </row>
    <row r="705" spans="1:40" ht="28.2" x14ac:dyDescent="0.3">
      <c r="A705" s="1">
        <v>7147</v>
      </c>
      <c r="B705" s="2" t="s">
        <v>3086</v>
      </c>
      <c r="C705" s="2" t="s">
        <v>3087</v>
      </c>
      <c r="D705" s="1">
        <v>34</v>
      </c>
      <c r="E705" s="2" t="s">
        <v>545</v>
      </c>
      <c r="F705" s="50" t="s">
        <v>3514</v>
      </c>
      <c r="G705" s="2" t="s">
        <v>197</v>
      </c>
      <c r="H705" s="1">
        <v>7894</v>
      </c>
      <c r="I705" s="1">
        <v>7934</v>
      </c>
      <c r="J705" s="2" t="s">
        <v>3088</v>
      </c>
      <c r="K705" s="2" t="s">
        <v>3089</v>
      </c>
      <c r="L705" s="2" t="s">
        <v>869</v>
      </c>
      <c r="M705" s="1">
        <v>538</v>
      </c>
      <c r="N705" s="1">
        <v>13220</v>
      </c>
      <c r="O705" s="2" t="s">
        <v>134</v>
      </c>
      <c r="P705" s="2" t="s">
        <v>166</v>
      </c>
      <c r="Q705" s="2" t="s">
        <v>134</v>
      </c>
      <c r="R705" s="2" t="s">
        <v>3090</v>
      </c>
      <c r="S705" s="2" t="s">
        <v>553</v>
      </c>
      <c r="T705" s="1">
        <v>5664</v>
      </c>
      <c r="U705" s="2" t="s">
        <v>51</v>
      </c>
      <c r="V705" s="1">
        <v>1271</v>
      </c>
      <c r="W705" s="1">
        <v>1085</v>
      </c>
      <c r="X705" s="2" t="s">
        <v>172</v>
      </c>
      <c r="Y705" s="2" t="s">
        <v>255</v>
      </c>
      <c r="Z705" s="2" t="s">
        <v>3091</v>
      </c>
      <c r="AA705" s="2" t="s">
        <v>1101</v>
      </c>
      <c r="AB705" s="1">
        <v>7556</v>
      </c>
      <c r="AC705" s="1">
        <v>3929</v>
      </c>
      <c r="AD705" s="1">
        <v>1341</v>
      </c>
      <c r="AE705" s="1">
        <v>338</v>
      </c>
      <c r="AF705" s="1">
        <v>53</v>
      </c>
      <c r="AG705" s="1">
        <v>3</v>
      </c>
      <c r="AH705" s="1">
        <v>4759</v>
      </c>
      <c r="AI705" s="1">
        <v>1355</v>
      </c>
      <c r="AJ705" s="1">
        <v>187</v>
      </c>
      <c r="AK705" s="1">
        <v>1389</v>
      </c>
      <c r="AL705" s="1">
        <v>188</v>
      </c>
      <c r="AM705" s="1">
        <v>16</v>
      </c>
      <c r="AN705" s="2" t="s">
        <v>1570</v>
      </c>
    </row>
    <row r="706" spans="1:40" ht="28.2" x14ac:dyDescent="0.3">
      <c r="A706" s="1">
        <v>3517</v>
      </c>
      <c r="B706" s="2" t="s">
        <v>3092</v>
      </c>
      <c r="C706" s="2" t="s">
        <v>3093</v>
      </c>
      <c r="D706" s="1">
        <v>32</v>
      </c>
      <c r="E706" s="2" t="s">
        <v>708</v>
      </c>
      <c r="F706" s="50" t="s">
        <v>3094</v>
      </c>
      <c r="G706" s="2" t="s">
        <v>3095</v>
      </c>
      <c r="H706" s="1">
        <v>16400</v>
      </c>
      <c r="I706" s="1">
        <v>17245</v>
      </c>
      <c r="J706" s="2" t="s">
        <v>910</v>
      </c>
      <c r="K706" s="2" t="s">
        <v>1089</v>
      </c>
      <c r="L706" s="2" t="s">
        <v>949</v>
      </c>
      <c r="M706" s="1">
        <v>986</v>
      </c>
      <c r="N706" s="1">
        <v>25705</v>
      </c>
      <c r="O706" s="2" t="s">
        <v>65</v>
      </c>
      <c r="P706" s="2" t="s">
        <v>235</v>
      </c>
      <c r="Q706" s="2" t="s">
        <v>225</v>
      </c>
      <c r="R706" s="2" t="s">
        <v>96</v>
      </c>
      <c r="S706" s="2" t="s">
        <v>96</v>
      </c>
      <c r="T706" s="1">
        <v>11441</v>
      </c>
      <c r="U706" s="2" t="s">
        <v>51</v>
      </c>
      <c r="V706" s="1">
        <v>2226</v>
      </c>
      <c r="W706" s="1">
        <v>2255</v>
      </c>
      <c r="X706" s="2" t="s">
        <v>285</v>
      </c>
      <c r="Y706" s="2" t="s">
        <v>820</v>
      </c>
      <c r="Z706" s="2" t="s">
        <v>1268</v>
      </c>
      <c r="AA706" s="2" t="s">
        <v>257</v>
      </c>
      <c r="AB706" s="1">
        <v>14264</v>
      </c>
      <c r="AC706" s="1">
        <v>7613</v>
      </c>
      <c r="AD706" s="1">
        <v>2876</v>
      </c>
      <c r="AE706" s="1">
        <v>791</v>
      </c>
      <c r="AF706" s="1">
        <v>150</v>
      </c>
      <c r="AG706" s="1">
        <v>11</v>
      </c>
      <c r="AH706" s="1">
        <v>10146</v>
      </c>
      <c r="AI706" s="1">
        <v>2237</v>
      </c>
      <c r="AJ706" s="1">
        <v>856</v>
      </c>
      <c r="AK706" s="1">
        <v>2867</v>
      </c>
      <c r="AL706" s="1">
        <v>278</v>
      </c>
      <c r="AM706" s="1">
        <v>49</v>
      </c>
      <c r="AN706" s="2" t="s">
        <v>1570</v>
      </c>
    </row>
    <row r="707" spans="1:40" x14ac:dyDescent="0.3">
      <c r="A707" s="1">
        <v>13976</v>
      </c>
      <c r="B707" s="2" t="s">
        <v>3096</v>
      </c>
      <c r="C707" s="2" t="s">
        <v>3097</v>
      </c>
      <c r="D707" s="1">
        <v>27</v>
      </c>
      <c r="E707" s="2" t="s">
        <v>742</v>
      </c>
      <c r="F707" s="50" t="s">
        <v>1023</v>
      </c>
      <c r="G707" s="2" t="s">
        <v>743</v>
      </c>
      <c r="H707" s="1">
        <v>21726</v>
      </c>
      <c r="I707" s="1">
        <v>23045</v>
      </c>
      <c r="J707" s="2" t="s">
        <v>2458</v>
      </c>
      <c r="K707" s="2" t="s">
        <v>776</v>
      </c>
      <c r="L707" s="2" t="s">
        <v>1846</v>
      </c>
      <c r="M707" s="1">
        <v>1261</v>
      </c>
      <c r="N707" s="1">
        <v>33615</v>
      </c>
      <c r="O707" s="2" t="s">
        <v>276</v>
      </c>
      <c r="P707" s="2" t="s">
        <v>553</v>
      </c>
      <c r="Q707" s="2" t="s">
        <v>463</v>
      </c>
      <c r="R707" s="2" t="s">
        <v>50</v>
      </c>
      <c r="S707" s="2" t="s">
        <v>66</v>
      </c>
      <c r="T707" s="1">
        <v>15065</v>
      </c>
      <c r="U707" s="2" t="s">
        <v>51</v>
      </c>
      <c r="V707" s="1">
        <v>4424</v>
      </c>
      <c r="W707" s="1">
        <v>4589</v>
      </c>
      <c r="X707" s="2" t="s">
        <v>472</v>
      </c>
      <c r="Y707" s="2" t="s">
        <v>561</v>
      </c>
      <c r="Z707" s="2" t="s">
        <v>54</v>
      </c>
      <c r="AA707" s="2" t="s">
        <v>205</v>
      </c>
      <c r="AB707" s="1">
        <v>18550</v>
      </c>
      <c r="AC707" s="1">
        <v>9960</v>
      </c>
      <c r="AD707" s="1">
        <v>3789</v>
      </c>
      <c r="AE707" s="1">
        <v>1091</v>
      </c>
      <c r="AF707" s="1">
        <v>210</v>
      </c>
      <c r="AG707" s="1">
        <v>15</v>
      </c>
      <c r="AH707" s="1">
        <v>14632</v>
      </c>
      <c r="AI707" s="1">
        <v>1796</v>
      </c>
      <c r="AJ707" s="1">
        <v>1663</v>
      </c>
      <c r="AK707" s="1">
        <v>3241</v>
      </c>
      <c r="AL707" s="1">
        <v>345</v>
      </c>
      <c r="AM707" s="1">
        <v>115</v>
      </c>
      <c r="AN707" s="2" t="s">
        <v>407</v>
      </c>
    </row>
    <row r="708" spans="1:40" ht="28.2" x14ac:dyDescent="0.3">
      <c r="A708" s="1">
        <v>11278</v>
      </c>
      <c r="B708" s="2" t="s">
        <v>3098</v>
      </c>
      <c r="C708" s="2" t="s">
        <v>3099</v>
      </c>
      <c r="D708" s="1">
        <v>25</v>
      </c>
      <c r="E708" s="2" t="s">
        <v>327</v>
      </c>
      <c r="F708" s="50" t="s">
        <v>3514</v>
      </c>
      <c r="G708" s="2" t="s">
        <v>3100</v>
      </c>
      <c r="H708" s="1">
        <v>18722</v>
      </c>
      <c r="I708" s="1">
        <v>19783</v>
      </c>
      <c r="J708" s="2" t="s">
        <v>1951</v>
      </c>
      <c r="K708" s="2" t="s">
        <v>1623</v>
      </c>
      <c r="L708" s="2" t="s">
        <v>612</v>
      </c>
      <c r="M708" s="1">
        <v>1106</v>
      </c>
      <c r="N708" s="1">
        <v>29520</v>
      </c>
      <c r="O708" s="2" t="s">
        <v>215</v>
      </c>
      <c r="P708" s="2" t="s">
        <v>48</v>
      </c>
      <c r="Q708" s="2" t="s">
        <v>225</v>
      </c>
      <c r="R708" s="2" t="s">
        <v>96</v>
      </c>
      <c r="S708" s="2" t="s">
        <v>66</v>
      </c>
      <c r="T708" s="1">
        <v>12945</v>
      </c>
      <c r="U708" s="2" t="s">
        <v>51</v>
      </c>
      <c r="V708" s="1">
        <v>2673</v>
      </c>
      <c r="W708" s="1">
        <v>3185</v>
      </c>
      <c r="X708" s="2" t="s">
        <v>47</v>
      </c>
      <c r="Y708" s="2" t="s">
        <v>1570</v>
      </c>
      <c r="Z708" s="2" t="s">
        <v>1121</v>
      </c>
      <c r="AA708" s="2" t="s">
        <v>783</v>
      </c>
      <c r="AB708" s="1">
        <v>16575</v>
      </c>
      <c r="AC708" s="1">
        <v>8479</v>
      </c>
      <c r="AD708" s="1">
        <v>3350</v>
      </c>
      <c r="AE708" s="1">
        <v>935</v>
      </c>
      <c r="AF708" s="1">
        <v>167</v>
      </c>
      <c r="AG708" s="1">
        <v>14</v>
      </c>
      <c r="AH708" s="1">
        <v>12425</v>
      </c>
      <c r="AI708" s="1">
        <v>1436</v>
      </c>
      <c r="AJ708" s="1">
        <v>1310</v>
      </c>
      <c r="AK708" s="1">
        <v>3236</v>
      </c>
      <c r="AL708" s="1">
        <v>297</v>
      </c>
      <c r="AM708" s="1">
        <v>60</v>
      </c>
      <c r="AN708" s="2" t="s">
        <v>285</v>
      </c>
    </row>
    <row r="709" spans="1:40" x14ac:dyDescent="0.3">
      <c r="A709" s="1">
        <v>8752</v>
      </c>
      <c r="B709" s="2" t="s">
        <v>3101</v>
      </c>
      <c r="C709" s="2" t="s">
        <v>3102</v>
      </c>
      <c r="D709" s="1">
        <v>27</v>
      </c>
      <c r="E709" s="2" t="s">
        <v>459</v>
      </c>
      <c r="F709" s="50" t="s">
        <v>3514</v>
      </c>
      <c r="G709" s="2" t="s">
        <v>3103</v>
      </c>
      <c r="H709" s="1">
        <v>10751</v>
      </c>
      <c r="I709" s="1">
        <v>11539</v>
      </c>
      <c r="J709" s="2" t="s">
        <v>479</v>
      </c>
      <c r="K709" s="2" t="s">
        <v>2662</v>
      </c>
      <c r="L709" s="2" t="s">
        <v>425</v>
      </c>
      <c r="M709" s="1">
        <v>624</v>
      </c>
      <c r="N709" s="1">
        <v>16235</v>
      </c>
      <c r="O709" s="2" t="s">
        <v>322</v>
      </c>
      <c r="P709" s="2" t="s">
        <v>48</v>
      </c>
      <c r="Q709" s="2" t="s">
        <v>646</v>
      </c>
      <c r="R709" s="2" t="s">
        <v>50</v>
      </c>
      <c r="S709" s="2" t="s">
        <v>96</v>
      </c>
      <c r="T709" s="1">
        <v>7389</v>
      </c>
      <c r="U709" s="2" t="s">
        <v>51</v>
      </c>
      <c r="V709" s="1">
        <v>1772</v>
      </c>
      <c r="W709" s="1">
        <v>1853</v>
      </c>
      <c r="X709" s="2" t="s">
        <v>472</v>
      </c>
      <c r="Y709" s="2" t="s">
        <v>449</v>
      </c>
      <c r="Z709" s="2" t="s">
        <v>983</v>
      </c>
      <c r="AA709" s="2" t="s">
        <v>436</v>
      </c>
      <c r="AB709" s="1">
        <v>8846</v>
      </c>
      <c r="AC709" s="1">
        <v>4827</v>
      </c>
      <c r="AD709" s="1">
        <v>1898</v>
      </c>
      <c r="AE709" s="1">
        <v>540</v>
      </c>
      <c r="AF709" s="1">
        <v>118</v>
      </c>
      <c r="AG709" s="1">
        <v>6</v>
      </c>
      <c r="AH709" s="1">
        <v>4464</v>
      </c>
      <c r="AI709" s="1">
        <v>3446</v>
      </c>
      <c r="AJ709" s="1">
        <v>587</v>
      </c>
      <c r="AK709" s="1">
        <v>2114</v>
      </c>
      <c r="AL709" s="1">
        <v>112</v>
      </c>
      <c r="AM709" s="1">
        <v>39</v>
      </c>
      <c r="AN709" s="2" t="s">
        <v>1570</v>
      </c>
    </row>
    <row r="710" spans="1:40" ht="28.2" x14ac:dyDescent="0.3">
      <c r="A710" s="1">
        <v>1950</v>
      </c>
      <c r="B710" s="2" t="s">
        <v>3104</v>
      </c>
      <c r="C710" s="2" t="s">
        <v>3105</v>
      </c>
      <c r="D710" s="1">
        <v>29</v>
      </c>
      <c r="E710" s="2" t="s">
        <v>75</v>
      </c>
      <c r="F710" s="50" t="s">
        <v>3106</v>
      </c>
      <c r="G710" s="2" t="s">
        <v>1242</v>
      </c>
      <c r="H710" s="1">
        <v>13828</v>
      </c>
      <c r="I710" s="1">
        <v>14553</v>
      </c>
      <c r="J710" s="2" t="s">
        <v>657</v>
      </c>
      <c r="K710" s="2" t="s">
        <v>2773</v>
      </c>
      <c r="L710" s="2" t="s">
        <v>331</v>
      </c>
      <c r="M710" s="1">
        <v>826</v>
      </c>
      <c r="N710" s="1">
        <v>21699</v>
      </c>
      <c r="O710" s="2" t="s">
        <v>65</v>
      </c>
      <c r="P710" s="2" t="s">
        <v>202</v>
      </c>
      <c r="Q710" s="2" t="s">
        <v>225</v>
      </c>
      <c r="R710" s="2" t="s">
        <v>66</v>
      </c>
      <c r="S710" s="2" t="s">
        <v>66</v>
      </c>
      <c r="T710" s="1">
        <v>9695</v>
      </c>
      <c r="U710" s="2" t="s">
        <v>51</v>
      </c>
      <c r="V710" s="1">
        <v>1925</v>
      </c>
      <c r="W710" s="1">
        <v>1943</v>
      </c>
      <c r="X710" s="2" t="s">
        <v>285</v>
      </c>
      <c r="Y710" s="2" t="s">
        <v>472</v>
      </c>
      <c r="Z710" s="2" t="s">
        <v>567</v>
      </c>
      <c r="AA710" s="2" t="s">
        <v>257</v>
      </c>
      <c r="AB710" s="1">
        <v>12004</v>
      </c>
      <c r="AC710" s="1">
        <v>6501</v>
      </c>
      <c r="AD710" s="1">
        <v>2423</v>
      </c>
      <c r="AE710" s="1">
        <v>628</v>
      </c>
      <c r="AF710" s="1">
        <v>130</v>
      </c>
      <c r="AG710" s="1">
        <v>13</v>
      </c>
      <c r="AH710" s="1">
        <v>9781</v>
      </c>
      <c r="AI710" s="1">
        <v>487</v>
      </c>
      <c r="AJ710" s="1">
        <v>758</v>
      </c>
      <c r="AK710" s="1">
        <v>2570</v>
      </c>
      <c r="AL710" s="1">
        <v>192</v>
      </c>
      <c r="AM710" s="1">
        <v>55</v>
      </c>
      <c r="AN710" s="2" t="s">
        <v>1570</v>
      </c>
    </row>
    <row r="711" spans="1:40" x14ac:dyDescent="0.3">
      <c r="A711" s="1">
        <v>15180</v>
      </c>
      <c r="B711" s="2" t="s">
        <v>3107</v>
      </c>
      <c r="C711" s="2" t="s">
        <v>3108</v>
      </c>
      <c r="D711" s="1">
        <v>20</v>
      </c>
      <c r="E711" s="2" t="s">
        <v>452</v>
      </c>
      <c r="F711" s="50" t="s">
        <v>2384</v>
      </c>
      <c r="G711" s="2" t="s">
        <v>3109</v>
      </c>
      <c r="H711" s="1">
        <v>13046</v>
      </c>
      <c r="I711" s="1">
        <v>13847</v>
      </c>
      <c r="J711" s="2" t="s">
        <v>1455</v>
      </c>
      <c r="K711" s="2" t="s">
        <v>1435</v>
      </c>
      <c r="L711" s="2" t="s">
        <v>658</v>
      </c>
      <c r="M711" s="1">
        <v>760</v>
      </c>
      <c r="N711" s="1">
        <v>20630</v>
      </c>
      <c r="O711" s="2" t="s">
        <v>215</v>
      </c>
      <c r="P711" s="2" t="s">
        <v>202</v>
      </c>
      <c r="Q711" s="2" t="s">
        <v>225</v>
      </c>
      <c r="R711" s="2" t="s">
        <v>50</v>
      </c>
      <c r="S711" s="2" t="s">
        <v>96</v>
      </c>
      <c r="T711" s="1">
        <v>9062</v>
      </c>
      <c r="U711" s="2" t="s">
        <v>51</v>
      </c>
      <c r="V711" s="1">
        <v>1937</v>
      </c>
      <c r="W711" s="1">
        <v>2246</v>
      </c>
      <c r="X711" s="2" t="s">
        <v>64</v>
      </c>
      <c r="Y711" s="2" t="s">
        <v>820</v>
      </c>
      <c r="Z711" s="2" t="s">
        <v>1467</v>
      </c>
      <c r="AA711" s="2" t="s">
        <v>363</v>
      </c>
      <c r="AB711" s="1">
        <v>11568</v>
      </c>
      <c r="AC711" s="1">
        <v>6021</v>
      </c>
      <c r="AD711" s="1">
        <v>2238</v>
      </c>
      <c r="AE711" s="1">
        <v>674</v>
      </c>
      <c r="AF711" s="1">
        <v>118</v>
      </c>
      <c r="AG711" s="1">
        <v>11</v>
      </c>
      <c r="AH711" s="1">
        <v>9445</v>
      </c>
      <c r="AI711" s="1">
        <v>157</v>
      </c>
      <c r="AJ711" s="1">
        <v>970</v>
      </c>
      <c r="AK711" s="1">
        <v>2239</v>
      </c>
      <c r="AL711" s="1">
        <v>178</v>
      </c>
      <c r="AM711" s="1">
        <v>99</v>
      </c>
      <c r="AN711" s="2">
        <v>1</v>
      </c>
    </row>
    <row r="712" spans="1:40" ht="28.2" x14ac:dyDescent="0.3">
      <c r="A712" s="1">
        <v>8410</v>
      </c>
      <c r="B712" s="2" t="s">
        <v>3110</v>
      </c>
      <c r="C712" s="2" t="s">
        <v>3111</v>
      </c>
      <c r="D712" s="1">
        <v>26</v>
      </c>
      <c r="E712" s="2" t="s">
        <v>59</v>
      </c>
      <c r="F712" s="50" t="s">
        <v>3514</v>
      </c>
      <c r="G712" s="2" t="s">
        <v>3112</v>
      </c>
      <c r="H712" s="1">
        <v>10295</v>
      </c>
      <c r="I712" s="1">
        <v>10953</v>
      </c>
      <c r="J712" s="2" t="s">
        <v>551</v>
      </c>
      <c r="K712" s="2" t="s">
        <v>2686</v>
      </c>
      <c r="L712" s="2" t="s">
        <v>487</v>
      </c>
      <c r="M712" s="1">
        <v>593</v>
      </c>
      <c r="N712" s="1">
        <v>15530</v>
      </c>
      <c r="O712" s="2" t="s">
        <v>322</v>
      </c>
      <c r="P712" s="2" t="s">
        <v>202</v>
      </c>
      <c r="Q712" s="2" t="s">
        <v>646</v>
      </c>
      <c r="R712" s="2" t="s">
        <v>50</v>
      </c>
      <c r="S712" s="2" t="s">
        <v>50</v>
      </c>
      <c r="T712" s="1">
        <v>7195</v>
      </c>
      <c r="U712" s="2" t="s">
        <v>51</v>
      </c>
      <c r="V712" s="1">
        <v>1194</v>
      </c>
      <c r="W712" s="1">
        <v>1175</v>
      </c>
      <c r="X712" s="2" t="s">
        <v>449</v>
      </c>
      <c r="Y712" s="2" t="s">
        <v>1314</v>
      </c>
      <c r="Z712" s="2" t="s">
        <v>54</v>
      </c>
      <c r="AA712" s="2" t="s">
        <v>2429</v>
      </c>
      <c r="AB712" s="1">
        <v>8335</v>
      </c>
      <c r="AC712" s="1">
        <v>4776</v>
      </c>
      <c r="AD712" s="1">
        <v>1832</v>
      </c>
      <c r="AE712" s="1">
        <v>501</v>
      </c>
      <c r="AF712" s="1">
        <v>78</v>
      </c>
      <c r="AG712" s="1">
        <v>8</v>
      </c>
      <c r="AH712" s="1">
        <v>6995</v>
      </c>
      <c r="AI712" s="1">
        <v>486</v>
      </c>
      <c r="AJ712" s="1">
        <v>865</v>
      </c>
      <c r="AK712" s="1">
        <v>1849</v>
      </c>
      <c r="AL712" s="1">
        <v>108</v>
      </c>
      <c r="AM712" s="1">
        <v>12</v>
      </c>
      <c r="AN712" s="2" t="s">
        <v>1570</v>
      </c>
    </row>
    <row r="713" spans="1:40" ht="28.2" x14ac:dyDescent="0.3">
      <c r="A713" s="1">
        <v>14203</v>
      </c>
      <c r="B713" s="2" t="s">
        <v>3113</v>
      </c>
      <c r="C713" s="2" t="s">
        <v>3114</v>
      </c>
      <c r="D713" s="1">
        <v>24</v>
      </c>
      <c r="E713" s="2" t="s">
        <v>459</v>
      </c>
      <c r="F713" s="50" t="s">
        <v>1903</v>
      </c>
      <c r="G713" s="2" t="s">
        <v>3115</v>
      </c>
      <c r="H713" s="1">
        <v>13373</v>
      </c>
      <c r="I713" s="1">
        <v>13829</v>
      </c>
      <c r="J713" s="2" t="s">
        <v>2041</v>
      </c>
      <c r="K713" s="2" t="s">
        <v>2624</v>
      </c>
      <c r="L713" s="2" t="s">
        <v>244</v>
      </c>
      <c r="M713" s="1">
        <v>836</v>
      </c>
      <c r="N713" s="1">
        <v>21792</v>
      </c>
      <c r="O713" s="2" t="s">
        <v>49</v>
      </c>
      <c r="P713" s="2" t="s">
        <v>202</v>
      </c>
      <c r="Q713" s="2" t="s">
        <v>215</v>
      </c>
      <c r="R713" s="2" t="s">
        <v>50</v>
      </c>
      <c r="S713" s="2" t="s">
        <v>66</v>
      </c>
      <c r="T713" s="1">
        <v>9476</v>
      </c>
      <c r="U713" s="2" t="s">
        <v>51</v>
      </c>
      <c r="V713" s="1">
        <v>1812</v>
      </c>
      <c r="W713" s="1">
        <v>2054</v>
      </c>
      <c r="X713" s="2" t="s">
        <v>2315</v>
      </c>
      <c r="Y713" s="2" t="s">
        <v>950</v>
      </c>
      <c r="Z713" s="2" t="s">
        <v>1358</v>
      </c>
      <c r="AA713" s="2" t="s">
        <v>2631</v>
      </c>
      <c r="AB713" s="1">
        <v>12316</v>
      </c>
      <c r="AC713" s="1">
        <v>6395</v>
      </c>
      <c r="AD713" s="1">
        <v>2372</v>
      </c>
      <c r="AE713" s="1">
        <v>607</v>
      </c>
      <c r="AF713" s="1">
        <v>97</v>
      </c>
      <c r="AG713" s="1">
        <v>5</v>
      </c>
      <c r="AH713" s="1">
        <v>8780</v>
      </c>
      <c r="AI713" s="1">
        <v>997</v>
      </c>
      <c r="AJ713" s="1">
        <v>1267</v>
      </c>
      <c r="AK713" s="1">
        <v>1992</v>
      </c>
      <c r="AL713" s="1">
        <v>208</v>
      </c>
      <c r="AM713" s="1">
        <v>185</v>
      </c>
      <c r="AN713" s="2">
        <v>1</v>
      </c>
    </row>
    <row r="714" spans="1:40" ht="28.2" x14ac:dyDescent="0.3">
      <c r="A714" s="1">
        <v>8549</v>
      </c>
      <c r="B714" s="2" t="s">
        <v>3116</v>
      </c>
      <c r="C714" s="2" t="s">
        <v>3117</v>
      </c>
      <c r="D714" s="1">
        <v>24</v>
      </c>
      <c r="E714" s="2" t="s">
        <v>327</v>
      </c>
      <c r="F714" s="50" t="s">
        <v>2040</v>
      </c>
      <c r="G714" s="2" t="s">
        <v>3118</v>
      </c>
      <c r="H714" s="1">
        <v>15251</v>
      </c>
      <c r="I714" s="1">
        <v>16330</v>
      </c>
      <c r="J714" s="2" t="s">
        <v>2465</v>
      </c>
      <c r="K714" s="2" t="s">
        <v>1640</v>
      </c>
      <c r="L714" s="2" t="s">
        <v>46</v>
      </c>
      <c r="M714" s="1">
        <v>882</v>
      </c>
      <c r="N714" s="1">
        <v>23538</v>
      </c>
      <c r="O714" s="2" t="s">
        <v>276</v>
      </c>
      <c r="P714" s="2" t="s">
        <v>202</v>
      </c>
      <c r="Q714" s="2" t="s">
        <v>463</v>
      </c>
      <c r="R714" s="2" t="s">
        <v>96</v>
      </c>
      <c r="S714" s="2" t="s">
        <v>96</v>
      </c>
      <c r="T714" s="1">
        <v>10499</v>
      </c>
      <c r="U714" s="2" t="s">
        <v>51</v>
      </c>
      <c r="V714" s="1">
        <v>2499</v>
      </c>
      <c r="W714" s="1">
        <v>2586</v>
      </c>
      <c r="X714" s="2" t="s">
        <v>503</v>
      </c>
      <c r="Y714" s="2" t="s">
        <v>255</v>
      </c>
      <c r="Z714" s="2" t="s">
        <v>932</v>
      </c>
      <c r="AA714" s="2" t="s">
        <v>568</v>
      </c>
      <c r="AB714" s="1">
        <v>13039</v>
      </c>
      <c r="AC714" s="1">
        <v>6826</v>
      </c>
      <c r="AD714" s="1">
        <v>2750</v>
      </c>
      <c r="AE714" s="1">
        <v>776</v>
      </c>
      <c r="AF714" s="1">
        <v>138</v>
      </c>
      <c r="AG714" s="1">
        <v>9</v>
      </c>
      <c r="AH714" s="1">
        <v>8402</v>
      </c>
      <c r="AI714" s="1">
        <v>3254</v>
      </c>
      <c r="AJ714" s="1">
        <v>649</v>
      </c>
      <c r="AK714" s="1">
        <v>2734</v>
      </c>
      <c r="AL714" s="1">
        <v>230</v>
      </c>
      <c r="AM714" s="1">
        <v>37</v>
      </c>
      <c r="AN714" s="2" t="s">
        <v>1570</v>
      </c>
    </row>
    <row r="715" spans="1:40" x14ac:dyDescent="0.3">
      <c r="A715" s="1">
        <v>2260</v>
      </c>
      <c r="B715" s="2" t="s">
        <v>3119</v>
      </c>
      <c r="C715" s="2" t="s">
        <v>3120</v>
      </c>
      <c r="D715" s="1">
        <v>29</v>
      </c>
      <c r="E715" s="2" t="s">
        <v>1643</v>
      </c>
      <c r="F715" s="50" t="s">
        <v>3121</v>
      </c>
      <c r="G715" s="2" t="s">
        <v>3122</v>
      </c>
      <c r="H715" s="1">
        <v>7027</v>
      </c>
      <c r="I715" s="1">
        <v>7579</v>
      </c>
      <c r="J715" s="2" t="s">
        <v>1583</v>
      </c>
      <c r="K715" s="2" t="s">
        <v>2662</v>
      </c>
      <c r="L715" s="2" t="s">
        <v>331</v>
      </c>
      <c r="M715" s="1">
        <v>422</v>
      </c>
      <c r="N715" s="1">
        <v>11051</v>
      </c>
      <c r="O715" s="2" t="s">
        <v>65</v>
      </c>
      <c r="P715" s="2" t="s">
        <v>202</v>
      </c>
      <c r="Q715" s="2" t="s">
        <v>463</v>
      </c>
      <c r="R715" s="2" t="s">
        <v>48</v>
      </c>
      <c r="S715" s="2" t="s">
        <v>67</v>
      </c>
      <c r="T715" s="1">
        <v>4797</v>
      </c>
      <c r="U715" s="2" t="s">
        <v>51</v>
      </c>
      <c r="V715" s="1">
        <v>933</v>
      </c>
      <c r="W715" s="1">
        <v>990</v>
      </c>
      <c r="X715" s="2" t="s">
        <v>1570</v>
      </c>
      <c r="Y715" s="2" t="s">
        <v>1570</v>
      </c>
      <c r="Z715" s="2" t="s">
        <v>2994</v>
      </c>
      <c r="AA715" s="2" t="s">
        <v>978</v>
      </c>
      <c r="AB715" s="1">
        <v>6254</v>
      </c>
      <c r="AC715" s="1">
        <v>3122</v>
      </c>
      <c r="AD715" s="1">
        <v>1210</v>
      </c>
      <c r="AE715" s="1">
        <v>382</v>
      </c>
      <c r="AF715" s="1">
        <v>76</v>
      </c>
      <c r="AG715" s="1">
        <v>7</v>
      </c>
      <c r="AH715" s="1">
        <v>5134</v>
      </c>
      <c r="AI715" s="1">
        <v>33</v>
      </c>
      <c r="AJ715" s="1">
        <v>432</v>
      </c>
      <c r="AK715" s="1">
        <v>1314</v>
      </c>
      <c r="AL715" s="1">
        <v>83</v>
      </c>
      <c r="AM715" s="1">
        <v>62</v>
      </c>
      <c r="AN715" s="2">
        <v>1</v>
      </c>
    </row>
    <row r="716" spans="1:40" ht="28.2" x14ac:dyDescent="0.3">
      <c r="A716" s="1">
        <v>1889</v>
      </c>
      <c r="B716" s="2" t="s">
        <v>3123</v>
      </c>
      <c r="C716" s="2" t="s">
        <v>3124</v>
      </c>
      <c r="D716" s="1">
        <v>28</v>
      </c>
      <c r="E716" s="2" t="s">
        <v>196</v>
      </c>
      <c r="F716" s="50" t="s">
        <v>3514</v>
      </c>
      <c r="G716" s="2" t="s">
        <v>3125</v>
      </c>
      <c r="H716" s="1">
        <v>10221</v>
      </c>
      <c r="I716" s="1">
        <v>10753</v>
      </c>
      <c r="J716" s="2" t="s">
        <v>432</v>
      </c>
      <c r="K716" s="2">
        <v>72</v>
      </c>
      <c r="L716" s="2" t="s">
        <v>1170</v>
      </c>
      <c r="M716" s="1">
        <v>623</v>
      </c>
      <c r="N716" s="1">
        <v>16172</v>
      </c>
      <c r="O716" s="2" t="s">
        <v>215</v>
      </c>
      <c r="P716" s="2" t="s">
        <v>166</v>
      </c>
      <c r="Q716" s="2" t="s">
        <v>322</v>
      </c>
      <c r="R716" s="2" t="s">
        <v>50</v>
      </c>
      <c r="S716" s="2" t="s">
        <v>96</v>
      </c>
      <c r="T716" s="1">
        <v>7137</v>
      </c>
      <c r="U716" s="2" t="s">
        <v>51</v>
      </c>
      <c r="V716" s="1">
        <v>1289</v>
      </c>
      <c r="W716" s="1">
        <v>1481</v>
      </c>
      <c r="X716" s="2" t="s">
        <v>2324</v>
      </c>
      <c r="Y716" s="2" t="s">
        <v>1749</v>
      </c>
      <c r="Z716" s="2" t="s">
        <v>932</v>
      </c>
      <c r="AA716" s="2" t="s">
        <v>474</v>
      </c>
      <c r="AB716" s="1">
        <v>9035</v>
      </c>
      <c r="AC716" s="1">
        <v>4713</v>
      </c>
      <c r="AD716" s="1">
        <v>1859</v>
      </c>
      <c r="AE716" s="1">
        <v>483</v>
      </c>
      <c r="AF716" s="1">
        <v>75</v>
      </c>
      <c r="AG716" s="1">
        <v>7</v>
      </c>
      <c r="AH716" s="1">
        <v>7417</v>
      </c>
      <c r="AI716" s="1">
        <v>124</v>
      </c>
      <c r="AJ716" s="1">
        <v>751</v>
      </c>
      <c r="AK716" s="1">
        <v>1771</v>
      </c>
      <c r="AL716" s="1">
        <v>144</v>
      </c>
      <c r="AM716" s="1">
        <v>28</v>
      </c>
      <c r="AN716" s="2" t="s">
        <v>1570</v>
      </c>
    </row>
    <row r="717" spans="1:40" ht="28.2" x14ac:dyDescent="0.3">
      <c r="A717" s="1">
        <v>15071</v>
      </c>
      <c r="B717" s="2" t="s">
        <v>3126</v>
      </c>
      <c r="C717" s="2" t="s">
        <v>3127</v>
      </c>
      <c r="D717" s="1">
        <v>21</v>
      </c>
      <c r="E717" s="2" t="s">
        <v>75</v>
      </c>
      <c r="F717" s="50" t="s">
        <v>76</v>
      </c>
      <c r="G717" s="2" t="s">
        <v>77</v>
      </c>
      <c r="H717" s="1">
        <v>13256</v>
      </c>
      <c r="I717" s="1">
        <v>13437</v>
      </c>
      <c r="J717" s="2" t="s">
        <v>1224</v>
      </c>
      <c r="K717" s="2">
        <v>63</v>
      </c>
      <c r="L717" s="2" t="s">
        <v>244</v>
      </c>
      <c r="M717" s="1">
        <v>867</v>
      </c>
      <c r="N717" s="1">
        <v>23039</v>
      </c>
      <c r="O717" s="2" t="s">
        <v>284</v>
      </c>
      <c r="P717" s="2" t="s">
        <v>48</v>
      </c>
      <c r="Q717" s="2" t="s">
        <v>284</v>
      </c>
      <c r="R717" s="2" t="s">
        <v>50</v>
      </c>
      <c r="S717" s="2" t="s">
        <v>50</v>
      </c>
      <c r="T717" s="1">
        <v>9514</v>
      </c>
      <c r="U717" s="2" t="s">
        <v>51</v>
      </c>
      <c r="V717" s="1">
        <v>1446</v>
      </c>
      <c r="W717" s="1">
        <v>1509</v>
      </c>
      <c r="X717" s="2" t="s">
        <v>472</v>
      </c>
      <c r="Y717" s="2" t="s">
        <v>2324</v>
      </c>
      <c r="Z717" s="2" t="s">
        <v>473</v>
      </c>
      <c r="AA717" s="2" t="s">
        <v>3128</v>
      </c>
      <c r="AB717" s="1">
        <v>13525</v>
      </c>
      <c r="AC717" s="1">
        <v>6579</v>
      </c>
      <c r="AD717" s="1">
        <v>2240</v>
      </c>
      <c r="AE717" s="1">
        <v>591</v>
      </c>
      <c r="AF717" s="1">
        <v>96</v>
      </c>
      <c r="AG717" s="1">
        <v>8</v>
      </c>
      <c r="AH717" s="1">
        <v>10018</v>
      </c>
      <c r="AI717" s="1">
        <v>304</v>
      </c>
      <c r="AJ717" s="1">
        <v>436</v>
      </c>
      <c r="AK717" s="1">
        <v>2273</v>
      </c>
      <c r="AL717" s="1">
        <v>239</v>
      </c>
      <c r="AM717" s="1">
        <v>45</v>
      </c>
      <c r="AN717" s="2" t="s">
        <v>285</v>
      </c>
    </row>
    <row r="718" spans="1:40" ht="28.2" x14ac:dyDescent="0.3">
      <c r="A718" s="1">
        <v>7166</v>
      </c>
      <c r="B718" s="2" t="s">
        <v>3129</v>
      </c>
      <c r="C718" s="2" t="s">
        <v>3130</v>
      </c>
      <c r="D718" s="1">
        <v>32</v>
      </c>
      <c r="E718" s="2" t="s">
        <v>792</v>
      </c>
      <c r="F718" s="50" t="s">
        <v>3514</v>
      </c>
      <c r="G718" s="2" t="s">
        <v>3131</v>
      </c>
      <c r="H718" s="1">
        <v>22665</v>
      </c>
      <c r="I718" s="1">
        <v>23729</v>
      </c>
      <c r="J718" s="2" t="s">
        <v>1711</v>
      </c>
      <c r="K718" s="2" t="s">
        <v>645</v>
      </c>
      <c r="L718" s="2">
        <v>4</v>
      </c>
      <c r="M718" s="1">
        <v>1393</v>
      </c>
      <c r="N718" s="1">
        <v>36352</v>
      </c>
      <c r="O718" s="2" t="s">
        <v>144</v>
      </c>
      <c r="P718" s="2" t="s">
        <v>166</v>
      </c>
      <c r="Q718" s="2" t="s">
        <v>276</v>
      </c>
      <c r="R718" s="2" t="s">
        <v>96</v>
      </c>
      <c r="S718" s="2" t="s">
        <v>66</v>
      </c>
      <c r="T718" s="1">
        <v>15885</v>
      </c>
      <c r="U718" s="2" t="s">
        <v>51</v>
      </c>
      <c r="V718" s="1">
        <v>3279</v>
      </c>
      <c r="W718" s="1">
        <v>3270</v>
      </c>
      <c r="X718" s="2">
        <v>1</v>
      </c>
      <c r="Y718" s="2" t="s">
        <v>503</v>
      </c>
      <c r="Z718" s="2" t="s">
        <v>473</v>
      </c>
      <c r="AA718" s="2" t="s">
        <v>1244</v>
      </c>
      <c r="AB718" s="1">
        <v>20467</v>
      </c>
      <c r="AC718" s="1">
        <v>10631</v>
      </c>
      <c r="AD718" s="1">
        <v>3982</v>
      </c>
      <c r="AE718" s="1">
        <v>1083</v>
      </c>
      <c r="AF718" s="1">
        <v>176</v>
      </c>
      <c r="AG718" s="1">
        <v>13</v>
      </c>
      <c r="AH718" s="1">
        <v>16115</v>
      </c>
      <c r="AI718" s="1">
        <v>1234</v>
      </c>
      <c r="AJ718" s="1">
        <v>757</v>
      </c>
      <c r="AK718" s="1">
        <v>4177</v>
      </c>
      <c r="AL718" s="1">
        <v>397</v>
      </c>
      <c r="AM718" s="1">
        <v>11</v>
      </c>
      <c r="AN718" s="2" t="s">
        <v>1570</v>
      </c>
    </row>
    <row r="719" spans="1:40" x14ac:dyDescent="0.3">
      <c r="A719" s="1">
        <v>7405</v>
      </c>
      <c r="B719" s="2" t="s">
        <v>3132</v>
      </c>
      <c r="C719" s="2" t="s">
        <v>3133</v>
      </c>
      <c r="D719" s="1">
        <v>30</v>
      </c>
      <c r="E719" s="2" t="s">
        <v>75</v>
      </c>
      <c r="F719" s="50" t="s">
        <v>3514</v>
      </c>
      <c r="G719" s="2" t="s">
        <v>3134</v>
      </c>
      <c r="H719" s="1">
        <v>8319</v>
      </c>
      <c r="I719" s="1">
        <v>8815</v>
      </c>
      <c r="J719" s="2" t="s">
        <v>781</v>
      </c>
      <c r="K719" s="2" t="s">
        <v>999</v>
      </c>
      <c r="L719" s="2" t="s">
        <v>390</v>
      </c>
      <c r="M719" s="1">
        <v>491</v>
      </c>
      <c r="N719" s="1">
        <v>12691</v>
      </c>
      <c r="O719" s="2" t="s">
        <v>322</v>
      </c>
      <c r="P719" s="2" t="s">
        <v>202</v>
      </c>
      <c r="Q719" s="2" t="s">
        <v>463</v>
      </c>
      <c r="R719" s="2" t="s">
        <v>96</v>
      </c>
      <c r="S719" s="2" t="s">
        <v>96</v>
      </c>
      <c r="T719" s="1">
        <v>5811</v>
      </c>
      <c r="U719" s="2" t="s">
        <v>51</v>
      </c>
      <c r="V719" s="1">
        <v>928</v>
      </c>
      <c r="W719" s="1">
        <v>988</v>
      </c>
      <c r="X719" s="2" t="s">
        <v>1570</v>
      </c>
      <c r="Y719" s="2" t="s">
        <v>1906</v>
      </c>
      <c r="Z719" s="2" t="s">
        <v>508</v>
      </c>
      <c r="AA719" s="2" t="s">
        <v>2084</v>
      </c>
      <c r="AB719" s="1">
        <v>6880</v>
      </c>
      <c r="AC719" s="1">
        <v>3828</v>
      </c>
      <c r="AD719" s="1">
        <v>1537</v>
      </c>
      <c r="AE719" s="1">
        <v>377</v>
      </c>
      <c r="AF719" s="1">
        <v>66</v>
      </c>
      <c r="AG719" s="1">
        <v>3</v>
      </c>
      <c r="AH719" s="1">
        <v>5617</v>
      </c>
      <c r="AI719" s="1">
        <v>260</v>
      </c>
      <c r="AJ719" s="1">
        <v>371</v>
      </c>
      <c r="AK719" s="1">
        <v>1906</v>
      </c>
      <c r="AL719" s="1">
        <v>140</v>
      </c>
      <c r="AM719" s="1">
        <v>38</v>
      </c>
      <c r="AN719" s="2" t="s">
        <v>1570</v>
      </c>
    </row>
    <row r="720" spans="1:40" x14ac:dyDescent="0.3">
      <c r="A720" s="1">
        <v>12588</v>
      </c>
      <c r="B720" s="2" t="s">
        <v>3135</v>
      </c>
      <c r="C720" s="2" t="s">
        <v>3136</v>
      </c>
      <c r="D720" s="1">
        <v>22</v>
      </c>
      <c r="E720" s="2" t="s">
        <v>299</v>
      </c>
      <c r="F720" s="50" t="s">
        <v>936</v>
      </c>
      <c r="G720" s="2" t="s">
        <v>936</v>
      </c>
      <c r="H720" s="1">
        <v>6780</v>
      </c>
      <c r="I720" s="1">
        <v>7256</v>
      </c>
      <c r="J720" s="2" t="s">
        <v>1586</v>
      </c>
      <c r="K720" s="2" t="s">
        <v>2931</v>
      </c>
      <c r="L720" s="2" t="s">
        <v>1146</v>
      </c>
      <c r="M720" s="1">
        <v>408</v>
      </c>
      <c r="N720" s="1">
        <v>10579</v>
      </c>
      <c r="O720" s="2" t="s">
        <v>65</v>
      </c>
      <c r="P720" s="2" t="s">
        <v>202</v>
      </c>
      <c r="Q720" s="2" t="s">
        <v>463</v>
      </c>
      <c r="R720" s="2" t="s">
        <v>67</v>
      </c>
      <c r="S720" s="2" t="s">
        <v>96</v>
      </c>
      <c r="T720" s="1">
        <v>4668</v>
      </c>
      <c r="U720" s="2" t="s">
        <v>51</v>
      </c>
      <c r="V720" s="1">
        <v>1004</v>
      </c>
      <c r="W720" s="1">
        <v>1104</v>
      </c>
      <c r="X720" s="2" t="s">
        <v>1749</v>
      </c>
      <c r="Y720" s="2" t="s">
        <v>503</v>
      </c>
      <c r="Z720" s="2" t="s">
        <v>217</v>
      </c>
      <c r="AA720" s="2" t="s">
        <v>413</v>
      </c>
      <c r="AB720" s="1">
        <v>5911</v>
      </c>
      <c r="AC720" s="1">
        <v>3025</v>
      </c>
      <c r="AD720" s="1">
        <v>1248</v>
      </c>
      <c r="AE720" s="1">
        <v>329</v>
      </c>
      <c r="AF720" s="1">
        <v>58</v>
      </c>
      <c r="AG720" s="1">
        <v>8</v>
      </c>
      <c r="AH720" s="1">
        <v>5076</v>
      </c>
      <c r="AI720" s="1">
        <v>204</v>
      </c>
      <c r="AJ720" s="1">
        <v>502</v>
      </c>
      <c r="AK720" s="1">
        <v>884</v>
      </c>
      <c r="AL720" s="1">
        <v>122</v>
      </c>
      <c r="AM720" s="1">
        <v>17</v>
      </c>
      <c r="AN720" s="2" t="s">
        <v>285</v>
      </c>
    </row>
    <row r="721" spans="1:40" ht="28.2" x14ac:dyDescent="0.3">
      <c r="A721" s="1">
        <v>11492</v>
      </c>
      <c r="B721" s="2" t="s">
        <v>3137</v>
      </c>
      <c r="C721" s="2" t="s">
        <v>3138</v>
      </c>
      <c r="D721" s="1">
        <v>26</v>
      </c>
      <c r="E721" s="2" t="s">
        <v>299</v>
      </c>
      <c r="F721" s="50" t="s">
        <v>3514</v>
      </c>
      <c r="G721" s="2" t="s">
        <v>3139</v>
      </c>
      <c r="H721" s="1">
        <v>9682</v>
      </c>
      <c r="I721" s="1">
        <v>10298</v>
      </c>
      <c r="J721" s="2" t="s">
        <v>2921</v>
      </c>
      <c r="K721" s="2" t="s">
        <v>1529</v>
      </c>
      <c r="L721" s="2" t="s">
        <v>949</v>
      </c>
      <c r="M721" s="1">
        <v>579</v>
      </c>
      <c r="N721" s="1">
        <v>15033</v>
      </c>
      <c r="O721" s="2" t="s">
        <v>65</v>
      </c>
      <c r="P721" s="2" t="s">
        <v>235</v>
      </c>
      <c r="Q721" s="2" t="s">
        <v>463</v>
      </c>
      <c r="R721" s="2" t="s">
        <v>96</v>
      </c>
      <c r="S721" s="2" t="s">
        <v>66</v>
      </c>
      <c r="T721" s="1">
        <v>6751</v>
      </c>
      <c r="U721" s="2" t="s">
        <v>51</v>
      </c>
      <c r="V721" s="1">
        <v>1152</v>
      </c>
      <c r="W721" s="1">
        <v>1284</v>
      </c>
      <c r="X721" s="2" t="s">
        <v>1906</v>
      </c>
      <c r="Y721" s="2" t="s">
        <v>1749</v>
      </c>
      <c r="Z721" s="2" t="s">
        <v>399</v>
      </c>
      <c r="AA721" s="2" t="s">
        <v>1572</v>
      </c>
      <c r="AB721" s="1">
        <v>8282</v>
      </c>
      <c r="AC721" s="1">
        <v>4453</v>
      </c>
      <c r="AD721" s="1">
        <v>1767</v>
      </c>
      <c r="AE721" s="1">
        <v>446</v>
      </c>
      <c r="AF721" s="1">
        <v>68</v>
      </c>
      <c r="AG721" s="1">
        <v>17</v>
      </c>
      <c r="AH721" s="1">
        <v>6773</v>
      </c>
      <c r="AI721" s="1">
        <v>254</v>
      </c>
      <c r="AJ721" s="1">
        <v>833</v>
      </c>
      <c r="AK721" s="1">
        <v>1648</v>
      </c>
      <c r="AL721" s="1">
        <v>158</v>
      </c>
      <c r="AM721" s="1">
        <v>37</v>
      </c>
      <c r="AN721" s="2" t="s">
        <v>285</v>
      </c>
    </row>
    <row r="722" spans="1:40" x14ac:dyDescent="0.3">
      <c r="A722" s="1">
        <v>9857</v>
      </c>
      <c r="B722" s="2" t="s">
        <v>3140</v>
      </c>
      <c r="C722" s="2" t="s">
        <v>3141</v>
      </c>
      <c r="D722" s="1">
        <v>29</v>
      </c>
      <c r="E722" s="2" t="s">
        <v>159</v>
      </c>
      <c r="F722" s="50" t="s">
        <v>3514</v>
      </c>
      <c r="G722" s="2" t="s">
        <v>1082</v>
      </c>
      <c r="H722" s="1">
        <v>16499</v>
      </c>
      <c r="I722" s="1">
        <v>17247</v>
      </c>
      <c r="J722" s="2" t="s">
        <v>3142</v>
      </c>
      <c r="K722" s="2" t="s">
        <v>3143</v>
      </c>
      <c r="L722" s="2" t="s">
        <v>398</v>
      </c>
      <c r="M722" s="1">
        <v>1025</v>
      </c>
      <c r="N722" s="1">
        <v>26895</v>
      </c>
      <c r="O722" s="2" t="s">
        <v>49</v>
      </c>
      <c r="P722" s="2" t="s">
        <v>202</v>
      </c>
      <c r="Q722" s="2" t="s">
        <v>65</v>
      </c>
      <c r="R722" s="2" t="s">
        <v>96</v>
      </c>
      <c r="S722" s="2" t="s">
        <v>96</v>
      </c>
      <c r="T722" s="1">
        <v>11687</v>
      </c>
      <c r="U722" s="2" t="s">
        <v>51</v>
      </c>
      <c r="V722" s="1">
        <v>1934</v>
      </c>
      <c r="W722" s="1">
        <v>2125</v>
      </c>
      <c r="X722" s="2" t="s">
        <v>1749</v>
      </c>
      <c r="Y722" s="2" t="s">
        <v>1551</v>
      </c>
      <c r="Z722" s="2" t="s">
        <v>286</v>
      </c>
      <c r="AA722" s="2" t="s">
        <v>1944</v>
      </c>
      <c r="AB722" s="1">
        <v>15208</v>
      </c>
      <c r="AC722" s="1">
        <v>7947</v>
      </c>
      <c r="AD722" s="1">
        <v>2848</v>
      </c>
      <c r="AE722" s="1">
        <v>725</v>
      </c>
      <c r="AF722" s="1">
        <v>154</v>
      </c>
      <c r="AG722" s="1">
        <v>13</v>
      </c>
      <c r="AH722" s="1">
        <v>11239</v>
      </c>
      <c r="AI722" s="1">
        <v>920</v>
      </c>
      <c r="AJ722" s="1">
        <v>1379</v>
      </c>
      <c r="AK722" s="1">
        <v>2727</v>
      </c>
      <c r="AL722" s="1">
        <v>243</v>
      </c>
      <c r="AM722" s="1">
        <v>50</v>
      </c>
      <c r="AN722" s="2" t="s">
        <v>1570</v>
      </c>
    </row>
    <row r="723" spans="1:40" x14ac:dyDescent="0.3">
      <c r="A723" s="1">
        <v>2292</v>
      </c>
      <c r="B723" s="2" t="s">
        <v>3144</v>
      </c>
      <c r="C723" s="2" t="s">
        <v>3145</v>
      </c>
      <c r="D723" s="1">
        <v>32</v>
      </c>
      <c r="E723" s="2" t="s">
        <v>209</v>
      </c>
      <c r="F723" s="50" t="s">
        <v>3514</v>
      </c>
      <c r="G723" s="2" t="s">
        <v>3146</v>
      </c>
      <c r="H723" s="1">
        <v>7723</v>
      </c>
      <c r="I723" s="1">
        <v>8457</v>
      </c>
      <c r="J723" s="2" t="s">
        <v>696</v>
      </c>
      <c r="K723" s="2" t="s">
        <v>2354</v>
      </c>
      <c r="L723" s="2" t="s">
        <v>201</v>
      </c>
      <c r="M723" s="1">
        <v>442</v>
      </c>
      <c r="N723" s="1">
        <v>11512</v>
      </c>
      <c r="O723" s="2" t="s">
        <v>225</v>
      </c>
      <c r="P723" s="2" t="s">
        <v>235</v>
      </c>
      <c r="Q723" s="2" t="s">
        <v>495</v>
      </c>
      <c r="R723" s="2" t="s">
        <v>50</v>
      </c>
      <c r="S723" s="2" t="s">
        <v>66</v>
      </c>
      <c r="T723" s="1">
        <v>5249</v>
      </c>
      <c r="U723" s="2" t="s">
        <v>51</v>
      </c>
      <c r="V723" s="1">
        <v>1306</v>
      </c>
      <c r="W723" s="1">
        <v>1577</v>
      </c>
      <c r="X723" s="2" t="s">
        <v>2425</v>
      </c>
      <c r="Y723" s="2" t="s">
        <v>255</v>
      </c>
      <c r="Z723" s="2" t="s">
        <v>745</v>
      </c>
      <c r="AA723" s="2" t="s">
        <v>279</v>
      </c>
      <c r="AB723" s="1">
        <v>6263</v>
      </c>
      <c r="AC723" s="1">
        <v>3363</v>
      </c>
      <c r="AD723" s="1">
        <v>1389</v>
      </c>
      <c r="AE723" s="1">
        <v>411</v>
      </c>
      <c r="AF723" s="1">
        <v>81</v>
      </c>
      <c r="AG723" s="1">
        <v>5</v>
      </c>
      <c r="AH723" s="1">
        <v>4627</v>
      </c>
      <c r="AI723" s="1">
        <v>754</v>
      </c>
      <c r="AJ723" s="1">
        <v>616</v>
      </c>
      <c r="AK723" s="1">
        <v>1556</v>
      </c>
      <c r="AL723" s="1">
        <v>71</v>
      </c>
      <c r="AM723" s="1">
        <v>112</v>
      </c>
      <c r="AN723" s="2" t="s">
        <v>1570</v>
      </c>
    </row>
    <row r="724" spans="1:40" ht="28.2" x14ac:dyDescent="0.3">
      <c r="A724" s="1">
        <v>15697</v>
      </c>
      <c r="B724" s="2" t="s">
        <v>3147</v>
      </c>
      <c r="C724" s="2" t="s">
        <v>3148</v>
      </c>
      <c r="D724" s="1">
        <v>24</v>
      </c>
      <c r="E724" s="2" t="s">
        <v>327</v>
      </c>
      <c r="F724" s="50" t="s">
        <v>2040</v>
      </c>
      <c r="G724" s="2" t="s">
        <v>3149</v>
      </c>
      <c r="H724" s="1">
        <v>8166</v>
      </c>
      <c r="I724" s="1">
        <v>8637</v>
      </c>
      <c r="J724" s="2" t="s">
        <v>1079</v>
      </c>
      <c r="K724" s="2" t="s">
        <v>1834</v>
      </c>
      <c r="L724" s="2">
        <v>7</v>
      </c>
      <c r="M724" s="1">
        <v>489</v>
      </c>
      <c r="N724" s="1">
        <v>13238</v>
      </c>
      <c r="O724" s="2" t="s">
        <v>144</v>
      </c>
      <c r="P724" s="2" t="s">
        <v>235</v>
      </c>
      <c r="Q724" s="2" t="s">
        <v>276</v>
      </c>
      <c r="R724" s="2" t="s">
        <v>50</v>
      </c>
      <c r="S724" s="2" t="s">
        <v>96</v>
      </c>
      <c r="T724" s="1">
        <v>5691</v>
      </c>
      <c r="U724" s="2" t="s">
        <v>51</v>
      </c>
      <c r="V724" s="1">
        <v>1026</v>
      </c>
      <c r="W724" s="1">
        <v>1052</v>
      </c>
      <c r="X724" s="2" t="s">
        <v>245</v>
      </c>
      <c r="Y724" s="2" t="s">
        <v>1314</v>
      </c>
      <c r="Z724" s="2" t="s">
        <v>1765</v>
      </c>
      <c r="AA724" s="2" t="s">
        <v>822</v>
      </c>
      <c r="AB724" s="1">
        <v>7547</v>
      </c>
      <c r="AC724" s="1">
        <v>3770</v>
      </c>
      <c r="AD724" s="1">
        <v>1457</v>
      </c>
      <c r="AE724" s="1">
        <v>382</v>
      </c>
      <c r="AF724" s="1">
        <v>74</v>
      </c>
      <c r="AG724" s="1">
        <v>8</v>
      </c>
      <c r="AH724" s="1">
        <v>6173</v>
      </c>
      <c r="AI724" s="1">
        <v>127</v>
      </c>
      <c r="AJ724" s="1">
        <v>430</v>
      </c>
      <c r="AK724" s="1">
        <v>1257</v>
      </c>
      <c r="AL724" s="1">
        <v>173</v>
      </c>
      <c r="AM724" s="1">
        <v>28</v>
      </c>
      <c r="AN724" s="2" t="s">
        <v>285</v>
      </c>
    </row>
    <row r="725" spans="1:40" x14ac:dyDescent="0.3">
      <c r="A725" s="1">
        <v>8320</v>
      </c>
      <c r="B725" s="2" t="s">
        <v>3150</v>
      </c>
      <c r="C725" s="2" t="s">
        <v>3151</v>
      </c>
      <c r="D725" s="1">
        <v>25</v>
      </c>
      <c r="E725" s="2" t="s">
        <v>327</v>
      </c>
      <c r="F725" s="50" t="s">
        <v>3514</v>
      </c>
      <c r="G725" s="2" t="s">
        <v>3152</v>
      </c>
      <c r="H725" s="1">
        <v>8647</v>
      </c>
      <c r="I725" s="1">
        <v>9304</v>
      </c>
      <c r="J725" s="2" t="s">
        <v>760</v>
      </c>
      <c r="K725" s="2" t="s">
        <v>2140</v>
      </c>
      <c r="L725" s="2" t="s">
        <v>331</v>
      </c>
      <c r="M725" s="1">
        <v>505</v>
      </c>
      <c r="N725" s="1">
        <v>13254</v>
      </c>
      <c r="O725" s="2" t="s">
        <v>276</v>
      </c>
      <c r="P725" s="2" t="s">
        <v>202</v>
      </c>
      <c r="Q725" s="2" t="s">
        <v>905</v>
      </c>
      <c r="R725" s="2" t="s">
        <v>50</v>
      </c>
      <c r="S725" s="2" t="s">
        <v>96</v>
      </c>
      <c r="T725" s="1">
        <v>5996</v>
      </c>
      <c r="U725" s="2" t="s">
        <v>51</v>
      </c>
      <c r="V725" s="1">
        <v>1225</v>
      </c>
      <c r="W725" s="1">
        <v>1406</v>
      </c>
      <c r="X725" s="2" t="s">
        <v>2324</v>
      </c>
      <c r="Y725" s="2" t="s">
        <v>820</v>
      </c>
      <c r="Z725" s="2" t="s">
        <v>1765</v>
      </c>
      <c r="AA725" s="2" t="s">
        <v>1379</v>
      </c>
      <c r="AB725" s="1">
        <v>7258</v>
      </c>
      <c r="AC725" s="1">
        <v>3960</v>
      </c>
      <c r="AD725" s="1">
        <v>1519</v>
      </c>
      <c r="AE725" s="1">
        <v>431</v>
      </c>
      <c r="AF725" s="1">
        <v>77</v>
      </c>
      <c r="AG725" s="1">
        <v>9</v>
      </c>
      <c r="AH725" s="1">
        <v>5984</v>
      </c>
      <c r="AI725" s="1">
        <v>205</v>
      </c>
      <c r="AJ725" s="1">
        <v>513</v>
      </c>
      <c r="AK725" s="1">
        <v>1794</v>
      </c>
      <c r="AL725" s="1">
        <v>109</v>
      </c>
      <c r="AM725" s="1">
        <v>54</v>
      </c>
      <c r="AN725" s="2" t="s">
        <v>1570</v>
      </c>
    </row>
    <row r="726" spans="1:40" ht="28.2" x14ac:dyDescent="0.3">
      <c r="A726" s="1">
        <v>11940</v>
      </c>
      <c r="B726" s="2" t="s">
        <v>3153</v>
      </c>
      <c r="C726" s="2" t="s">
        <v>3154</v>
      </c>
      <c r="D726" s="1">
        <v>21</v>
      </c>
      <c r="E726" s="2" t="s">
        <v>1144</v>
      </c>
      <c r="F726" s="50" t="s">
        <v>483</v>
      </c>
      <c r="G726" s="2" t="s">
        <v>3155</v>
      </c>
      <c r="H726" s="1">
        <v>18706</v>
      </c>
      <c r="I726" s="1">
        <v>20025</v>
      </c>
      <c r="J726" s="2" t="s">
        <v>2940</v>
      </c>
      <c r="K726" s="2" t="s">
        <v>800</v>
      </c>
      <c r="L726" s="2" t="s">
        <v>949</v>
      </c>
      <c r="M726" s="1">
        <v>1078</v>
      </c>
      <c r="N726" s="1">
        <v>28797</v>
      </c>
      <c r="O726" s="2" t="s">
        <v>276</v>
      </c>
      <c r="P726" s="2" t="s">
        <v>235</v>
      </c>
      <c r="Q726" s="2" t="s">
        <v>905</v>
      </c>
      <c r="R726" s="2" t="s">
        <v>96</v>
      </c>
      <c r="S726" s="2" t="s">
        <v>96</v>
      </c>
      <c r="T726" s="1">
        <v>13005</v>
      </c>
      <c r="U726" s="2" t="s">
        <v>51</v>
      </c>
      <c r="V726" s="1">
        <v>2888</v>
      </c>
      <c r="W726" s="1">
        <v>3123</v>
      </c>
      <c r="X726" s="2" t="s">
        <v>1314</v>
      </c>
      <c r="Y726" s="2" t="s">
        <v>285</v>
      </c>
      <c r="Z726" s="2" t="s">
        <v>745</v>
      </c>
      <c r="AA726" s="2" t="s">
        <v>933</v>
      </c>
      <c r="AB726" s="1">
        <v>15792</v>
      </c>
      <c r="AC726" s="1">
        <v>8571</v>
      </c>
      <c r="AD726" s="1">
        <v>3334</v>
      </c>
      <c r="AE726" s="1">
        <v>951</v>
      </c>
      <c r="AF726" s="1">
        <v>131</v>
      </c>
      <c r="AG726" s="1">
        <v>18</v>
      </c>
      <c r="AH726" s="1">
        <v>14007</v>
      </c>
      <c r="AI726" s="1">
        <v>237</v>
      </c>
      <c r="AJ726" s="1">
        <v>1002</v>
      </c>
      <c r="AK726" s="1">
        <v>3207</v>
      </c>
      <c r="AL726" s="1">
        <v>217</v>
      </c>
      <c r="AM726" s="1">
        <v>78</v>
      </c>
      <c r="AN726" s="2">
        <v>1</v>
      </c>
    </row>
    <row r="727" spans="1:40" x14ac:dyDescent="0.3">
      <c r="A727" s="1">
        <v>9104</v>
      </c>
      <c r="B727" s="2" t="s">
        <v>3156</v>
      </c>
      <c r="C727" s="2" t="s">
        <v>3157</v>
      </c>
      <c r="D727" s="1">
        <v>28</v>
      </c>
      <c r="E727" s="2" t="s">
        <v>299</v>
      </c>
      <c r="F727" s="50" t="s">
        <v>3514</v>
      </c>
      <c r="G727" s="2" t="s">
        <v>3158</v>
      </c>
      <c r="H727" s="1">
        <v>6730</v>
      </c>
      <c r="I727" s="1">
        <v>7350</v>
      </c>
      <c r="J727" s="2" t="s">
        <v>2540</v>
      </c>
      <c r="K727" s="2">
        <v>72</v>
      </c>
      <c r="L727" s="2" t="s">
        <v>214</v>
      </c>
      <c r="M727" s="1">
        <v>391</v>
      </c>
      <c r="N727" s="1">
        <v>10173</v>
      </c>
      <c r="O727" s="2" t="s">
        <v>322</v>
      </c>
      <c r="P727" s="2" t="s">
        <v>202</v>
      </c>
      <c r="Q727" s="2" t="s">
        <v>311</v>
      </c>
      <c r="R727" s="2" t="s">
        <v>96</v>
      </c>
      <c r="S727" s="2" t="s">
        <v>50</v>
      </c>
      <c r="T727" s="1">
        <v>4611</v>
      </c>
      <c r="U727" s="2" t="s">
        <v>51</v>
      </c>
      <c r="V727" s="1">
        <v>782</v>
      </c>
      <c r="W727" s="1">
        <v>979</v>
      </c>
      <c r="X727" s="2" t="s">
        <v>94</v>
      </c>
      <c r="Y727" s="2" t="s">
        <v>1551</v>
      </c>
      <c r="Z727" s="2" t="s">
        <v>183</v>
      </c>
      <c r="AA727" s="2" t="s">
        <v>247</v>
      </c>
      <c r="AB727" s="1">
        <v>5562</v>
      </c>
      <c r="AC727" s="1">
        <v>3014</v>
      </c>
      <c r="AD727" s="1">
        <v>1160</v>
      </c>
      <c r="AE727" s="1">
        <v>356</v>
      </c>
      <c r="AF727" s="1">
        <v>78</v>
      </c>
      <c r="AG727" s="1">
        <v>3</v>
      </c>
      <c r="AH727" s="1">
        <v>4515</v>
      </c>
      <c r="AI727" s="1">
        <v>476</v>
      </c>
      <c r="AJ727" s="1">
        <v>389</v>
      </c>
      <c r="AK727" s="1">
        <v>1279</v>
      </c>
      <c r="AL727" s="1">
        <v>70</v>
      </c>
      <c r="AM727" s="1">
        <v>18</v>
      </c>
      <c r="AN727" s="2" t="s">
        <v>950</v>
      </c>
    </row>
    <row r="728" spans="1:40" ht="28.2" x14ac:dyDescent="0.3">
      <c r="A728" s="1">
        <v>10506</v>
      </c>
      <c r="B728" s="2" t="s">
        <v>3159</v>
      </c>
      <c r="C728" s="2" t="s">
        <v>3160</v>
      </c>
      <c r="D728" s="1">
        <v>29</v>
      </c>
      <c r="E728" s="2" t="s">
        <v>1012</v>
      </c>
      <c r="F728" s="50" t="s">
        <v>3161</v>
      </c>
      <c r="G728" s="2" t="s">
        <v>3162</v>
      </c>
      <c r="H728" s="1">
        <v>7365</v>
      </c>
      <c r="I728" s="1">
        <v>7787</v>
      </c>
      <c r="J728" s="2" t="s">
        <v>2560</v>
      </c>
      <c r="K728" s="2" t="s">
        <v>2662</v>
      </c>
      <c r="L728" s="2" t="s">
        <v>224</v>
      </c>
      <c r="M728" s="1">
        <v>450</v>
      </c>
      <c r="N728" s="1">
        <v>11640</v>
      </c>
      <c r="O728" s="2" t="s">
        <v>215</v>
      </c>
      <c r="P728" s="2" t="s">
        <v>235</v>
      </c>
      <c r="Q728" s="2" t="s">
        <v>225</v>
      </c>
      <c r="R728" s="2" t="s">
        <v>67</v>
      </c>
      <c r="S728" s="2" t="s">
        <v>67</v>
      </c>
      <c r="T728" s="1">
        <v>5223</v>
      </c>
      <c r="U728" s="2" t="s">
        <v>51</v>
      </c>
      <c r="V728" s="1">
        <v>951</v>
      </c>
      <c r="W728" s="1">
        <v>926</v>
      </c>
      <c r="X728" s="2" t="s">
        <v>412</v>
      </c>
      <c r="Y728" s="2" t="s">
        <v>1570</v>
      </c>
      <c r="Z728" s="2" t="s">
        <v>1765</v>
      </c>
      <c r="AA728" s="2" t="s">
        <v>2429</v>
      </c>
      <c r="AB728" s="1">
        <v>6417</v>
      </c>
      <c r="AC728" s="1">
        <v>3572</v>
      </c>
      <c r="AD728" s="1">
        <v>1241</v>
      </c>
      <c r="AE728" s="1">
        <v>333</v>
      </c>
      <c r="AF728" s="1">
        <v>73</v>
      </c>
      <c r="AG728" s="1">
        <v>4</v>
      </c>
      <c r="AH728" s="1">
        <v>5371</v>
      </c>
      <c r="AI728" s="1">
        <v>150</v>
      </c>
      <c r="AJ728" s="1">
        <v>374</v>
      </c>
      <c r="AK728" s="1">
        <v>1349</v>
      </c>
      <c r="AL728" s="1">
        <v>126</v>
      </c>
      <c r="AM728" s="1">
        <v>12</v>
      </c>
      <c r="AN728" s="2" t="s">
        <v>950</v>
      </c>
    </row>
    <row r="729" spans="1:40" ht="28.2" x14ac:dyDescent="0.3">
      <c r="A729" s="1">
        <v>2476</v>
      </c>
      <c r="B729" s="2" t="s">
        <v>3163</v>
      </c>
      <c r="C729" s="2" t="s">
        <v>3164</v>
      </c>
      <c r="D729" s="1">
        <v>28</v>
      </c>
      <c r="E729" s="2" t="s">
        <v>895</v>
      </c>
      <c r="F729" s="50" t="s">
        <v>3514</v>
      </c>
      <c r="G729" s="2" t="s">
        <v>3165</v>
      </c>
      <c r="H729" s="1">
        <v>17861</v>
      </c>
      <c r="I729" s="1">
        <v>19098</v>
      </c>
      <c r="J729" s="2" t="s">
        <v>3166</v>
      </c>
      <c r="K729" s="2" t="s">
        <v>2171</v>
      </c>
      <c r="L729" s="2" t="s">
        <v>1146</v>
      </c>
      <c r="M729" s="1">
        <v>1073</v>
      </c>
      <c r="N729" s="1">
        <v>27920</v>
      </c>
      <c r="O729" s="2" t="s">
        <v>65</v>
      </c>
      <c r="P729" s="2" t="s">
        <v>166</v>
      </c>
      <c r="Q729" s="2" t="s">
        <v>167</v>
      </c>
      <c r="R729" s="2" t="s">
        <v>48</v>
      </c>
      <c r="S729" s="2" t="s">
        <v>50</v>
      </c>
      <c r="T729" s="1">
        <v>12451</v>
      </c>
      <c r="U729" s="2" t="s">
        <v>51</v>
      </c>
      <c r="V729" s="1">
        <v>2562</v>
      </c>
      <c r="W729" s="1">
        <v>2936</v>
      </c>
      <c r="X729" s="2" t="s">
        <v>2324</v>
      </c>
      <c r="Y729" s="2" t="s">
        <v>820</v>
      </c>
      <c r="Z729" s="2" t="s">
        <v>183</v>
      </c>
      <c r="AA729" s="2" t="s">
        <v>1244</v>
      </c>
      <c r="AB729" s="1">
        <v>15469</v>
      </c>
      <c r="AC729" s="1">
        <v>8302</v>
      </c>
      <c r="AD729" s="1">
        <v>3081</v>
      </c>
      <c r="AE729" s="1">
        <v>904</v>
      </c>
      <c r="AF729" s="1">
        <v>150</v>
      </c>
      <c r="AG729" s="1">
        <v>14</v>
      </c>
      <c r="AH729" s="1">
        <v>13022</v>
      </c>
      <c r="AI729" s="1">
        <v>149</v>
      </c>
      <c r="AJ729" s="1">
        <v>1395</v>
      </c>
      <c r="AK729" s="1">
        <v>3022</v>
      </c>
      <c r="AL729" s="1">
        <v>285</v>
      </c>
      <c r="AM729" s="1">
        <v>18</v>
      </c>
      <c r="AN729" s="2" t="s">
        <v>950</v>
      </c>
    </row>
    <row r="730" spans="1:40" x14ac:dyDescent="0.3">
      <c r="A730" s="1">
        <v>16410</v>
      </c>
      <c r="B730" s="2" t="s">
        <v>3167</v>
      </c>
      <c r="C730" s="2" t="s">
        <v>3168</v>
      </c>
      <c r="D730" s="1">
        <v>21</v>
      </c>
      <c r="E730" s="2" t="s">
        <v>467</v>
      </c>
      <c r="F730" s="50" t="s">
        <v>2692</v>
      </c>
      <c r="G730" s="2" t="s">
        <v>3169</v>
      </c>
      <c r="H730" s="1">
        <v>13680</v>
      </c>
      <c r="I730" s="1">
        <v>14720</v>
      </c>
      <c r="J730" s="2" t="s">
        <v>1995</v>
      </c>
      <c r="K730" s="2" t="s">
        <v>486</v>
      </c>
      <c r="L730" s="2" t="s">
        <v>3170</v>
      </c>
      <c r="M730" s="1">
        <v>811</v>
      </c>
      <c r="N730" s="1">
        <v>21661</v>
      </c>
      <c r="O730" s="2" t="s">
        <v>215</v>
      </c>
      <c r="P730" s="2" t="s">
        <v>235</v>
      </c>
      <c r="Q730" s="2" t="s">
        <v>167</v>
      </c>
      <c r="R730" s="2" t="s">
        <v>67</v>
      </c>
      <c r="S730" s="2" t="s">
        <v>50</v>
      </c>
      <c r="T730" s="1">
        <v>9459</v>
      </c>
      <c r="U730" s="2" t="s">
        <v>51</v>
      </c>
      <c r="V730" s="1">
        <v>1817</v>
      </c>
      <c r="W730" s="1">
        <v>2291</v>
      </c>
      <c r="X730" s="2" t="s">
        <v>109</v>
      </c>
      <c r="Y730" s="2" t="s">
        <v>1749</v>
      </c>
      <c r="Z730" s="2" t="s">
        <v>1268</v>
      </c>
      <c r="AA730" s="2" t="s">
        <v>287</v>
      </c>
      <c r="AB730" s="1">
        <v>12202</v>
      </c>
      <c r="AC730" s="1">
        <v>6229</v>
      </c>
      <c r="AD730" s="1">
        <v>2410</v>
      </c>
      <c r="AE730" s="1">
        <v>666</v>
      </c>
      <c r="AF730" s="1">
        <v>137</v>
      </c>
      <c r="AG730" s="1">
        <v>17</v>
      </c>
      <c r="AH730" s="1">
        <v>10438</v>
      </c>
      <c r="AI730" s="1">
        <v>53</v>
      </c>
      <c r="AJ730" s="1">
        <v>716</v>
      </c>
      <c r="AK730" s="1">
        <v>2212</v>
      </c>
      <c r="AL730" s="1">
        <v>273</v>
      </c>
      <c r="AM730" s="1">
        <v>37</v>
      </c>
      <c r="AN730" s="2">
        <v>1</v>
      </c>
    </row>
    <row r="731" spans="1:40" ht="28.2" x14ac:dyDescent="0.3">
      <c r="A731" s="1">
        <v>3631</v>
      </c>
      <c r="B731" s="2" t="s">
        <v>3171</v>
      </c>
      <c r="C731" s="2" t="s">
        <v>3172</v>
      </c>
      <c r="D731" s="1">
        <v>31</v>
      </c>
      <c r="E731" s="2" t="s">
        <v>1070</v>
      </c>
      <c r="F731" s="50" t="s">
        <v>599</v>
      </c>
      <c r="G731" s="2" t="s">
        <v>3173</v>
      </c>
      <c r="H731" s="1">
        <v>7641</v>
      </c>
      <c r="I731" s="1">
        <v>8243</v>
      </c>
      <c r="J731" s="2" t="s">
        <v>45</v>
      </c>
      <c r="K731" s="2">
        <v>63</v>
      </c>
      <c r="L731" s="2">
        <v>3</v>
      </c>
      <c r="M731" s="1">
        <v>460</v>
      </c>
      <c r="N731" s="1">
        <v>11957</v>
      </c>
      <c r="O731" s="2" t="s">
        <v>65</v>
      </c>
      <c r="P731" s="2" t="s">
        <v>48</v>
      </c>
      <c r="Q731" s="2" t="s">
        <v>463</v>
      </c>
      <c r="R731" s="2" t="s">
        <v>96</v>
      </c>
      <c r="S731" s="2" t="s">
        <v>135</v>
      </c>
      <c r="T731" s="1">
        <v>5247</v>
      </c>
      <c r="U731" s="2" t="s">
        <v>51</v>
      </c>
      <c r="V731" s="1">
        <v>1299</v>
      </c>
      <c r="W731" s="1">
        <v>1297</v>
      </c>
      <c r="X731" s="2">
        <v>1</v>
      </c>
      <c r="Y731" s="2" t="s">
        <v>412</v>
      </c>
      <c r="Z731" s="2" t="s">
        <v>137</v>
      </c>
      <c r="AA731" s="2" t="s">
        <v>882</v>
      </c>
      <c r="AB731" s="1">
        <v>6710</v>
      </c>
      <c r="AC731" s="1">
        <v>3414</v>
      </c>
      <c r="AD731" s="1">
        <v>1376</v>
      </c>
      <c r="AE731" s="1">
        <v>381</v>
      </c>
      <c r="AF731" s="1">
        <v>64</v>
      </c>
      <c r="AG731" s="1">
        <v>12</v>
      </c>
      <c r="AH731" s="1">
        <v>3342</v>
      </c>
      <c r="AI731" s="1">
        <v>2452</v>
      </c>
      <c r="AJ731" s="1">
        <v>253</v>
      </c>
      <c r="AK731" s="1">
        <v>1456</v>
      </c>
      <c r="AL731" s="1">
        <v>99</v>
      </c>
      <c r="AM731" s="1">
        <v>48</v>
      </c>
      <c r="AN731" s="2" t="s">
        <v>950</v>
      </c>
    </row>
    <row r="732" spans="1:40" x14ac:dyDescent="0.3">
      <c r="A732" s="1">
        <v>8790</v>
      </c>
      <c r="B732" s="2" t="s">
        <v>3174</v>
      </c>
      <c r="C732" s="2" t="s">
        <v>3175</v>
      </c>
      <c r="D732" s="1">
        <v>26</v>
      </c>
      <c r="E732" s="2" t="s">
        <v>75</v>
      </c>
      <c r="F732" s="50" t="s">
        <v>3514</v>
      </c>
      <c r="G732" s="2" t="s">
        <v>3176</v>
      </c>
      <c r="H732" s="1">
        <v>7719</v>
      </c>
      <c r="I732" s="1">
        <v>8383</v>
      </c>
      <c r="J732" s="2" t="s">
        <v>1390</v>
      </c>
      <c r="K732" s="2">
        <v>72</v>
      </c>
      <c r="L732" s="2">
        <v>4</v>
      </c>
      <c r="M732" s="1">
        <v>453</v>
      </c>
      <c r="N732" s="1">
        <v>12010</v>
      </c>
      <c r="O732" s="2" t="s">
        <v>65</v>
      </c>
      <c r="P732" s="2" t="s">
        <v>235</v>
      </c>
      <c r="Q732" s="2" t="s">
        <v>905</v>
      </c>
      <c r="R732" s="2" t="s">
        <v>50</v>
      </c>
      <c r="S732" s="2" t="s">
        <v>50</v>
      </c>
      <c r="T732" s="1">
        <v>5303</v>
      </c>
      <c r="U732" s="2" t="s">
        <v>51</v>
      </c>
      <c r="V732" s="1">
        <v>1049</v>
      </c>
      <c r="W732" s="1">
        <v>1183</v>
      </c>
      <c r="X732" s="2" t="s">
        <v>1551</v>
      </c>
      <c r="Y732" s="2" t="s">
        <v>1570</v>
      </c>
      <c r="Z732" s="2" t="s">
        <v>1165</v>
      </c>
      <c r="AA732" s="2" t="s">
        <v>852</v>
      </c>
      <c r="AB732" s="1">
        <v>6707</v>
      </c>
      <c r="AC732" s="1">
        <v>3465</v>
      </c>
      <c r="AD732" s="1">
        <v>1349</v>
      </c>
      <c r="AE732" s="1">
        <v>407</v>
      </c>
      <c r="AF732" s="1">
        <v>76</v>
      </c>
      <c r="AG732" s="1">
        <v>6</v>
      </c>
      <c r="AH732" s="1">
        <v>5499</v>
      </c>
      <c r="AI732" s="1">
        <v>120</v>
      </c>
      <c r="AJ732" s="1">
        <v>641</v>
      </c>
      <c r="AK732" s="1">
        <v>1358</v>
      </c>
      <c r="AL732" s="1">
        <v>97</v>
      </c>
      <c r="AM732" s="1">
        <v>18</v>
      </c>
      <c r="AN732" s="2" t="s">
        <v>950</v>
      </c>
    </row>
    <row r="733" spans="1:40" x14ac:dyDescent="0.3">
      <c r="A733" s="1">
        <v>16486</v>
      </c>
      <c r="B733" s="2" t="s">
        <v>3177</v>
      </c>
      <c r="C733" s="2" t="s">
        <v>3178</v>
      </c>
      <c r="D733" s="1">
        <v>18</v>
      </c>
      <c r="E733" s="2" t="s">
        <v>545</v>
      </c>
      <c r="F733" s="50" t="s">
        <v>1600</v>
      </c>
      <c r="G733" s="2" t="s">
        <v>1593</v>
      </c>
      <c r="H733" s="1">
        <v>7089</v>
      </c>
      <c r="I733" s="1">
        <v>7664</v>
      </c>
      <c r="J733" s="2" t="s">
        <v>968</v>
      </c>
      <c r="K733" s="2" t="s">
        <v>1550</v>
      </c>
      <c r="L733" s="2" t="s">
        <v>612</v>
      </c>
      <c r="M733" s="1">
        <v>412</v>
      </c>
      <c r="N733" s="1">
        <v>11035</v>
      </c>
      <c r="O733" s="2" t="s">
        <v>65</v>
      </c>
      <c r="P733" s="2" t="s">
        <v>48</v>
      </c>
      <c r="Q733" s="2" t="s">
        <v>463</v>
      </c>
      <c r="R733" s="2" t="s">
        <v>96</v>
      </c>
      <c r="S733" s="2" t="s">
        <v>96</v>
      </c>
      <c r="T733" s="1">
        <v>4893</v>
      </c>
      <c r="U733" s="2" t="s">
        <v>51</v>
      </c>
      <c r="V733" s="1">
        <v>989</v>
      </c>
      <c r="W733" s="1">
        <v>1167</v>
      </c>
      <c r="X733" s="2" t="s">
        <v>2667</v>
      </c>
      <c r="Y733" s="2" t="s">
        <v>1570</v>
      </c>
      <c r="Z733" s="2" t="s">
        <v>718</v>
      </c>
      <c r="AA733" s="2" t="s">
        <v>888</v>
      </c>
      <c r="AB733" s="1">
        <v>6142</v>
      </c>
      <c r="AC733" s="1">
        <v>3205</v>
      </c>
      <c r="AD733" s="1">
        <v>1253</v>
      </c>
      <c r="AE733" s="1">
        <v>367</v>
      </c>
      <c r="AF733" s="1">
        <v>63</v>
      </c>
      <c r="AG733" s="1">
        <v>5</v>
      </c>
      <c r="AH733" s="1">
        <v>5261</v>
      </c>
      <c r="AI733" s="1">
        <v>75</v>
      </c>
      <c r="AJ733" s="1">
        <v>466</v>
      </c>
      <c r="AK733" s="1">
        <v>1192</v>
      </c>
      <c r="AL733" s="1">
        <v>92</v>
      </c>
      <c r="AM733" s="1">
        <v>34</v>
      </c>
      <c r="AN733" s="2" t="s">
        <v>245</v>
      </c>
    </row>
    <row r="734" spans="1:40" ht="42" x14ac:dyDescent="0.3">
      <c r="A734" s="1">
        <v>1064</v>
      </c>
      <c r="B734" s="2" t="s">
        <v>3179</v>
      </c>
      <c r="C734" s="2" t="s">
        <v>3180</v>
      </c>
      <c r="D734" s="1">
        <v>30</v>
      </c>
      <c r="E734" s="2" t="s">
        <v>708</v>
      </c>
      <c r="F734" s="50" t="s">
        <v>3044</v>
      </c>
      <c r="G734" s="2" t="s">
        <v>3181</v>
      </c>
      <c r="H734" s="1">
        <v>20610</v>
      </c>
      <c r="I734" s="1">
        <v>22423</v>
      </c>
      <c r="J734" s="2" t="s">
        <v>1773</v>
      </c>
      <c r="K734" s="2" t="s">
        <v>1435</v>
      </c>
      <c r="L734" s="2" t="s">
        <v>93</v>
      </c>
      <c r="M734" s="1">
        <v>1209</v>
      </c>
      <c r="N734" s="1">
        <v>31542</v>
      </c>
      <c r="O734" s="2" t="s">
        <v>276</v>
      </c>
      <c r="P734" s="2" t="s">
        <v>202</v>
      </c>
      <c r="Q734" s="2" t="s">
        <v>646</v>
      </c>
      <c r="R734" s="2" t="s">
        <v>67</v>
      </c>
      <c r="S734" s="2" t="s">
        <v>50</v>
      </c>
      <c r="T734" s="1">
        <v>14188</v>
      </c>
      <c r="U734" s="2" t="s">
        <v>51</v>
      </c>
      <c r="V734" s="1">
        <v>2911</v>
      </c>
      <c r="W734" s="1">
        <v>3167</v>
      </c>
      <c r="X734" s="2" t="s">
        <v>1314</v>
      </c>
      <c r="Y734" s="2" t="s">
        <v>472</v>
      </c>
      <c r="Z734" s="2" t="s">
        <v>932</v>
      </c>
      <c r="AA734" s="2" t="s">
        <v>363</v>
      </c>
      <c r="AB734" s="1">
        <v>17354</v>
      </c>
      <c r="AC734" s="1">
        <v>9294</v>
      </c>
      <c r="AD734" s="1">
        <v>3619</v>
      </c>
      <c r="AE734" s="1">
        <v>1053</v>
      </c>
      <c r="AF734" s="1">
        <v>204</v>
      </c>
      <c r="AG734" s="1">
        <v>18</v>
      </c>
      <c r="AH734" s="1">
        <v>15161</v>
      </c>
      <c r="AI734" s="1">
        <v>730</v>
      </c>
      <c r="AJ734" s="1">
        <v>904</v>
      </c>
      <c r="AK734" s="1">
        <v>3541</v>
      </c>
      <c r="AL734" s="1">
        <v>277</v>
      </c>
      <c r="AM734" s="1">
        <v>32</v>
      </c>
      <c r="AN734" s="2" t="s">
        <v>950</v>
      </c>
    </row>
    <row r="735" spans="1:40" ht="28.2" x14ac:dyDescent="0.3">
      <c r="A735" s="1">
        <v>8231</v>
      </c>
      <c r="B735" s="2" t="s">
        <v>3182</v>
      </c>
      <c r="C735" s="2" t="s">
        <v>3183</v>
      </c>
      <c r="D735" s="1">
        <v>26</v>
      </c>
      <c r="E735" s="2" t="s">
        <v>327</v>
      </c>
      <c r="F735" s="50" t="s">
        <v>3514</v>
      </c>
      <c r="G735" s="2" t="s">
        <v>3184</v>
      </c>
      <c r="H735" s="1">
        <v>9201</v>
      </c>
      <c r="I735" s="1">
        <v>9897</v>
      </c>
      <c r="J735" s="2" t="s">
        <v>3185</v>
      </c>
      <c r="K735" s="2" t="s">
        <v>540</v>
      </c>
      <c r="L735" s="2">
        <v>6</v>
      </c>
      <c r="M735" s="1">
        <v>536</v>
      </c>
      <c r="N735" s="1">
        <v>14203</v>
      </c>
      <c r="O735" s="2" t="s">
        <v>276</v>
      </c>
      <c r="P735" s="2" t="s">
        <v>434</v>
      </c>
      <c r="Q735" s="2" t="s">
        <v>905</v>
      </c>
      <c r="R735" s="2" t="s">
        <v>50</v>
      </c>
      <c r="S735" s="2" t="s">
        <v>67</v>
      </c>
      <c r="T735" s="1">
        <v>6393</v>
      </c>
      <c r="U735" s="2" t="s">
        <v>51</v>
      </c>
      <c r="V735" s="1">
        <v>1299</v>
      </c>
      <c r="W735" s="1">
        <v>1591</v>
      </c>
      <c r="X735" s="2" t="s">
        <v>2998</v>
      </c>
      <c r="Y735" s="2" t="s">
        <v>1570</v>
      </c>
      <c r="Z735" s="2" t="s">
        <v>427</v>
      </c>
      <c r="AA735" s="2" t="s">
        <v>363</v>
      </c>
      <c r="AB735" s="1">
        <v>7810</v>
      </c>
      <c r="AC735" s="1">
        <v>4194</v>
      </c>
      <c r="AD735" s="1">
        <v>1677</v>
      </c>
      <c r="AE735" s="1">
        <v>442</v>
      </c>
      <c r="AF735" s="1">
        <v>73</v>
      </c>
      <c r="AG735" s="1">
        <v>7</v>
      </c>
      <c r="AH735" s="1">
        <v>7125</v>
      </c>
      <c r="AI735" s="1">
        <v>88</v>
      </c>
      <c r="AJ735" s="1">
        <v>487</v>
      </c>
      <c r="AK735" s="1">
        <v>1309</v>
      </c>
      <c r="AL735" s="1">
        <v>193</v>
      </c>
      <c r="AM735" s="1">
        <v>30</v>
      </c>
      <c r="AN735" s="2" t="s">
        <v>950</v>
      </c>
    </row>
    <row r="736" spans="1:40" x14ac:dyDescent="0.3">
      <c r="A736" s="1">
        <v>4829</v>
      </c>
      <c r="B736" s="2" t="s">
        <v>3186</v>
      </c>
      <c r="C736" s="2" t="s">
        <v>3187</v>
      </c>
      <c r="D736" s="1">
        <v>26</v>
      </c>
      <c r="E736" s="2" t="s">
        <v>327</v>
      </c>
      <c r="F736" s="50" t="s">
        <v>3514</v>
      </c>
      <c r="G736" s="2" t="s">
        <v>3188</v>
      </c>
      <c r="H736" s="1">
        <v>13340</v>
      </c>
      <c r="I736" s="1">
        <v>14565</v>
      </c>
      <c r="J736" s="2" t="s">
        <v>2968</v>
      </c>
      <c r="K736" s="2" t="s">
        <v>1183</v>
      </c>
      <c r="L736" s="2" t="s">
        <v>264</v>
      </c>
      <c r="M736" s="1">
        <v>768</v>
      </c>
      <c r="N736" s="1">
        <v>20598</v>
      </c>
      <c r="O736" s="2" t="s">
        <v>276</v>
      </c>
      <c r="P736" s="2" t="s">
        <v>553</v>
      </c>
      <c r="Q736" s="2" t="s">
        <v>646</v>
      </c>
      <c r="R736" s="2" t="s">
        <v>96</v>
      </c>
      <c r="S736" s="2" t="s">
        <v>66</v>
      </c>
      <c r="T736" s="1">
        <v>9145</v>
      </c>
      <c r="U736" s="2" t="s">
        <v>51</v>
      </c>
      <c r="V736" s="1">
        <v>2070</v>
      </c>
      <c r="W736" s="1">
        <v>2456</v>
      </c>
      <c r="X736" s="2" t="s">
        <v>47</v>
      </c>
      <c r="Y736" s="2" t="s">
        <v>503</v>
      </c>
      <c r="Z736" s="2" t="s">
        <v>1020</v>
      </c>
      <c r="AA736" s="2" t="s">
        <v>844</v>
      </c>
      <c r="AB736" s="1">
        <v>11453</v>
      </c>
      <c r="AC736" s="1">
        <v>5945</v>
      </c>
      <c r="AD736" s="1">
        <v>2367</v>
      </c>
      <c r="AE736" s="1">
        <v>686</v>
      </c>
      <c r="AF736" s="1">
        <v>135</v>
      </c>
      <c r="AG736" s="1">
        <v>12</v>
      </c>
      <c r="AH736" s="1">
        <v>9440</v>
      </c>
      <c r="AI736" s="1">
        <v>741</v>
      </c>
      <c r="AJ736" s="1">
        <v>724</v>
      </c>
      <c r="AK736" s="1">
        <v>2226</v>
      </c>
      <c r="AL736" s="1">
        <v>216</v>
      </c>
      <c r="AM736" s="1">
        <v>20</v>
      </c>
      <c r="AN736" s="2" t="s">
        <v>950</v>
      </c>
    </row>
    <row r="737" spans="1:40" x14ac:dyDescent="0.3">
      <c r="A737" s="1">
        <v>10938</v>
      </c>
      <c r="B737" s="2" t="s">
        <v>3189</v>
      </c>
      <c r="C737" s="2" t="s">
        <v>3190</v>
      </c>
      <c r="D737" s="1">
        <v>22</v>
      </c>
      <c r="E737" s="2" t="s">
        <v>196</v>
      </c>
      <c r="F737" s="50" t="s">
        <v>1488</v>
      </c>
      <c r="G737" s="2" t="s">
        <v>1488</v>
      </c>
      <c r="H737" s="1">
        <v>10215</v>
      </c>
      <c r="I737" s="1">
        <v>11191</v>
      </c>
      <c r="J737" s="2" t="s">
        <v>3191</v>
      </c>
      <c r="K737" s="2" t="s">
        <v>1905</v>
      </c>
      <c r="L737" s="2" t="s">
        <v>224</v>
      </c>
      <c r="M737" s="1">
        <v>586</v>
      </c>
      <c r="N737" s="1">
        <v>15815</v>
      </c>
      <c r="O737" s="2" t="s">
        <v>276</v>
      </c>
      <c r="P737" s="2" t="s">
        <v>67</v>
      </c>
      <c r="Q737" s="2" t="s">
        <v>646</v>
      </c>
      <c r="R737" s="2" t="s">
        <v>50</v>
      </c>
      <c r="S737" s="2" t="s">
        <v>50</v>
      </c>
      <c r="T737" s="1">
        <v>7015</v>
      </c>
      <c r="U737" s="2" t="s">
        <v>51</v>
      </c>
      <c r="V737" s="1">
        <v>1649</v>
      </c>
      <c r="W737" s="1">
        <v>1842</v>
      </c>
      <c r="X737" s="2" t="s">
        <v>1906</v>
      </c>
      <c r="Y737" s="2" t="s">
        <v>285</v>
      </c>
      <c r="Z737" s="2" t="s">
        <v>2994</v>
      </c>
      <c r="AA737" s="2" t="s">
        <v>1774</v>
      </c>
      <c r="AB737" s="1">
        <v>8800</v>
      </c>
      <c r="AC737" s="1">
        <v>4598</v>
      </c>
      <c r="AD737" s="1">
        <v>1765</v>
      </c>
      <c r="AE737" s="1">
        <v>531</v>
      </c>
      <c r="AF737" s="1">
        <v>111</v>
      </c>
      <c r="AG737" s="1">
        <v>10</v>
      </c>
      <c r="AH737" s="1">
        <v>7751</v>
      </c>
      <c r="AI737" s="1">
        <v>117</v>
      </c>
      <c r="AJ737" s="1">
        <v>565</v>
      </c>
      <c r="AK737" s="1">
        <v>1663</v>
      </c>
      <c r="AL737" s="1">
        <v>118</v>
      </c>
      <c r="AM737" s="1">
        <v>34</v>
      </c>
      <c r="AN737" s="2" t="s">
        <v>245</v>
      </c>
    </row>
    <row r="738" spans="1:40" ht="28.2" x14ac:dyDescent="0.3">
      <c r="A738" s="1">
        <v>14290</v>
      </c>
      <c r="B738" s="2" t="s">
        <v>3192</v>
      </c>
      <c r="C738" s="2" t="s">
        <v>3193</v>
      </c>
      <c r="D738" s="1">
        <v>24</v>
      </c>
      <c r="E738" s="2" t="s">
        <v>299</v>
      </c>
      <c r="F738" s="50" t="s">
        <v>3194</v>
      </c>
      <c r="G738" s="2" t="s">
        <v>3195</v>
      </c>
      <c r="H738" s="1">
        <v>10297</v>
      </c>
      <c r="I738" s="1">
        <v>11362</v>
      </c>
      <c r="J738" s="2" t="s">
        <v>432</v>
      </c>
      <c r="K738" s="2" t="s">
        <v>1363</v>
      </c>
      <c r="L738" s="2" t="s">
        <v>375</v>
      </c>
      <c r="M738" s="1">
        <v>598</v>
      </c>
      <c r="N738" s="1">
        <v>15642</v>
      </c>
      <c r="O738" s="2" t="s">
        <v>322</v>
      </c>
      <c r="P738" s="2" t="s">
        <v>166</v>
      </c>
      <c r="Q738" s="2" t="s">
        <v>495</v>
      </c>
      <c r="R738" s="2" t="s">
        <v>67</v>
      </c>
      <c r="S738" s="2" t="s">
        <v>50</v>
      </c>
      <c r="T738" s="1">
        <v>7005</v>
      </c>
      <c r="U738" s="2" t="s">
        <v>51</v>
      </c>
      <c r="V738" s="1">
        <v>1792</v>
      </c>
      <c r="W738" s="1">
        <v>2166</v>
      </c>
      <c r="X738" s="2" t="s">
        <v>2425</v>
      </c>
      <c r="Y738" s="2" t="s">
        <v>255</v>
      </c>
      <c r="Z738" s="2" t="s">
        <v>399</v>
      </c>
      <c r="AA738" s="2" t="s">
        <v>1385</v>
      </c>
      <c r="AB738" s="1">
        <v>8637</v>
      </c>
      <c r="AC738" s="1">
        <v>4488</v>
      </c>
      <c r="AD738" s="1">
        <v>1870</v>
      </c>
      <c r="AE738" s="1">
        <v>531</v>
      </c>
      <c r="AF738" s="1">
        <v>104</v>
      </c>
      <c r="AG738" s="1">
        <v>12</v>
      </c>
      <c r="AH738" s="1">
        <v>6777</v>
      </c>
      <c r="AI738" s="1">
        <v>858</v>
      </c>
      <c r="AJ738" s="1">
        <v>915</v>
      </c>
      <c r="AK738" s="1">
        <v>1569</v>
      </c>
      <c r="AL738" s="1">
        <v>145</v>
      </c>
      <c r="AM738" s="1">
        <v>59</v>
      </c>
      <c r="AN738" s="2" t="s">
        <v>255</v>
      </c>
    </row>
    <row r="739" spans="1:40" x14ac:dyDescent="0.3">
      <c r="A739" s="1">
        <v>3329</v>
      </c>
      <c r="B739" s="2" t="s">
        <v>3196</v>
      </c>
      <c r="C739" s="2" t="s">
        <v>3197</v>
      </c>
      <c r="D739" s="1">
        <v>29</v>
      </c>
      <c r="E739" s="2" t="s">
        <v>545</v>
      </c>
      <c r="F739" s="50" t="s">
        <v>2638</v>
      </c>
      <c r="G739" s="2" t="s">
        <v>3198</v>
      </c>
      <c r="H739" s="1">
        <v>16575</v>
      </c>
      <c r="I739" s="1">
        <v>18370</v>
      </c>
      <c r="J739" s="2" t="s">
        <v>1635</v>
      </c>
      <c r="K739" s="2" t="s">
        <v>645</v>
      </c>
      <c r="L739" s="2" t="s">
        <v>375</v>
      </c>
      <c r="M739" s="1">
        <v>936</v>
      </c>
      <c r="N739" s="1">
        <v>24805</v>
      </c>
      <c r="O739" s="2" t="s">
        <v>225</v>
      </c>
      <c r="P739" s="2" t="s">
        <v>235</v>
      </c>
      <c r="Q739" s="2" t="s">
        <v>283</v>
      </c>
      <c r="R739" s="2" t="s">
        <v>96</v>
      </c>
      <c r="S739" s="2" t="s">
        <v>66</v>
      </c>
      <c r="T739" s="1">
        <v>11263</v>
      </c>
      <c r="U739" s="2" t="s">
        <v>51</v>
      </c>
      <c r="V739" s="1">
        <v>2493</v>
      </c>
      <c r="W739" s="1">
        <v>2941</v>
      </c>
      <c r="X739" s="2" t="s">
        <v>2667</v>
      </c>
      <c r="Y739" s="2" t="s">
        <v>503</v>
      </c>
      <c r="Z739" s="2" t="s">
        <v>1467</v>
      </c>
      <c r="AA739" s="2" t="s">
        <v>547</v>
      </c>
      <c r="AB739" s="1">
        <v>13542</v>
      </c>
      <c r="AC739" s="1">
        <v>7236</v>
      </c>
      <c r="AD739" s="1">
        <v>2952</v>
      </c>
      <c r="AE739" s="1">
        <v>884</v>
      </c>
      <c r="AF739" s="1">
        <v>174</v>
      </c>
      <c r="AG739" s="1">
        <v>17</v>
      </c>
      <c r="AH739" s="1">
        <v>8472</v>
      </c>
      <c r="AI739" s="1">
        <v>2105</v>
      </c>
      <c r="AJ739" s="1">
        <v>2715</v>
      </c>
      <c r="AK739" s="1">
        <v>2975</v>
      </c>
      <c r="AL739" s="1">
        <v>257</v>
      </c>
      <c r="AM739" s="1">
        <v>76</v>
      </c>
      <c r="AN739" s="2" t="s">
        <v>950</v>
      </c>
    </row>
    <row r="740" spans="1:40" x14ac:dyDescent="0.3">
      <c r="A740" s="1">
        <v>5351</v>
      </c>
      <c r="B740" s="2" t="s">
        <v>3199</v>
      </c>
      <c r="C740" s="2" t="s">
        <v>3200</v>
      </c>
      <c r="D740" s="1">
        <v>25</v>
      </c>
      <c r="E740" s="2" t="s">
        <v>895</v>
      </c>
      <c r="F740" s="50" t="s">
        <v>1040</v>
      </c>
      <c r="G740" s="2" t="s">
        <v>3201</v>
      </c>
      <c r="H740" s="1">
        <v>9544</v>
      </c>
      <c r="I740" s="1">
        <v>10260</v>
      </c>
      <c r="J740" s="2" t="s">
        <v>1046</v>
      </c>
      <c r="K740" s="2" t="s">
        <v>3202</v>
      </c>
      <c r="L740" s="2" t="s">
        <v>425</v>
      </c>
      <c r="M740" s="1">
        <v>565</v>
      </c>
      <c r="N740" s="1">
        <v>15044</v>
      </c>
      <c r="O740" s="2" t="s">
        <v>215</v>
      </c>
      <c r="P740" s="2" t="s">
        <v>48</v>
      </c>
      <c r="Q740" s="2" t="s">
        <v>167</v>
      </c>
      <c r="R740" s="2" t="s">
        <v>67</v>
      </c>
      <c r="S740" s="2" t="s">
        <v>50</v>
      </c>
      <c r="T740" s="1">
        <v>6723</v>
      </c>
      <c r="U740" s="2" t="s">
        <v>51</v>
      </c>
      <c r="V740" s="1">
        <v>1186</v>
      </c>
      <c r="W740" s="1">
        <v>1415</v>
      </c>
      <c r="X740" s="2" t="s">
        <v>47</v>
      </c>
      <c r="Y740" s="2" t="s">
        <v>1906</v>
      </c>
      <c r="Z740" s="2" t="s">
        <v>1467</v>
      </c>
      <c r="AA740" s="2" t="s">
        <v>1276</v>
      </c>
      <c r="AB740" s="1">
        <v>8321</v>
      </c>
      <c r="AC740" s="1">
        <v>4502</v>
      </c>
      <c r="AD740" s="1">
        <v>1699</v>
      </c>
      <c r="AE740" s="1">
        <v>451</v>
      </c>
      <c r="AF740" s="1">
        <v>64</v>
      </c>
      <c r="AG740" s="1">
        <v>7</v>
      </c>
      <c r="AH740" s="1">
        <v>7203</v>
      </c>
      <c r="AI740" s="1">
        <v>96</v>
      </c>
      <c r="AJ740" s="1">
        <v>597</v>
      </c>
      <c r="AK740" s="1">
        <v>1545</v>
      </c>
      <c r="AL740" s="1">
        <v>97</v>
      </c>
      <c r="AM740" s="1">
        <v>30</v>
      </c>
      <c r="AN740" s="2" t="s">
        <v>1314</v>
      </c>
    </row>
    <row r="741" spans="1:40" ht="28.2" x14ac:dyDescent="0.3">
      <c r="A741" s="1">
        <v>9081</v>
      </c>
      <c r="B741" s="2" t="s">
        <v>3203</v>
      </c>
      <c r="C741" s="2" t="s">
        <v>3204</v>
      </c>
      <c r="D741" s="1">
        <v>27</v>
      </c>
      <c r="E741" s="2" t="s">
        <v>75</v>
      </c>
      <c r="F741" s="50" t="s">
        <v>3205</v>
      </c>
      <c r="G741" s="2" t="s">
        <v>2505</v>
      </c>
      <c r="H741" s="1">
        <v>21364</v>
      </c>
      <c r="I741" s="1">
        <v>23267</v>
      </c>
      <c r="J741" s="2" t="s">
        <v>744</v>
      </c>
      <c r="K741" s="2" t="s">
        <v>1435</v>
      </c>
      <c r="L741" s="2" t="s">
        <v>282</v>
      </c>
      <c r="M741" s="1">
        <v>1289</v>
      </c>
      <c r="N741" s="1">
        <v>33952</v>
      </c>
      <c r="O741" s="2" t="s">
        <v>215</v>
      </c>
      <c r="P741" s="2" t="s">
        <v>235</v>
      </c>
      <c r="Q741" s="2" t="s">
        <v>463</v>
      </c>
      <c r="R741" s="2" t="s">
        <v>50</v>
      </c>
      <c r="S741" s="2" t="s">
        <v>96</v>
      </c>
      <c r="T741" s="1">
        <v>14823</v>
      </c>
      <c r="U741" s="2" t="s">
        <v>51</v>
      </c>
      <c r="V741" s="1">
        <v>3195</v>
      </c>
      <c r="W741" s="1">
        <v>3682</v>
      </c>
      <c r="X741" s="2" t="s">
        <v>2324</v>
      </c>
      <c r="Y741" s="2" t="s">
        <v>472</v>
      </c>
      <c r="Z741" s="2" t="s">
        <v>473</v>
      </c>
      <c r="AA741" s="2" t="s">
        <v>640</v>
      </c>
      <c r="AB741" s="1">
        <v>19129</v>
      </c>
      <c r="AC741" s="1">
        <v>9774</v>
      </c>
      <c r="AD741" s="1">
        <v>3787</v>
      </c>
      <c r="AE741" s="1">
        <v>1053</v>
      </c>
      <c r="AF741" s="1">
        <v>188</v>
      </c>
      <c r="AG741" s="1">
        <v>21</v>
      </c>
      <c r="AH741" s="1">
        <v>14688</v>
      </c>
      <c r="AI741" s="1">
        <v>1260</v>
      </c>
      <c r="AJ741" s="1">
        <v>1781</v>
      </c>
      <c r="AK741" s="1">
        <v>3195</v>
      </c>
      <c r="AL741" s="1">
        <v>338</v>
      </c>
      <c r="AM741" s="1">
        <v>149</v>
      </c>
      <c r="AN741" s="2" t="s">
        <v>1314</v>
      </c>
    </row>
    <row r="742" spans="1:40" ht="28.2" x14ac:dyDescent="0.3">
      <c r="A742" s="1">
        <v>9217</v>
      </c>
      <c r="B742" s="2" t="s">
        <v>3206</v>
      </c>
      <c r="C742" s="2" t="s">
        <v>3207</v>
      </c>
      <c r="D742" s="1">
        <v>27</v>
      </c>
      <c r="E742" s="2" t="s">
        <v>104</v>
      </c>
      <c r="F742" s="50" t="s">
        <v>250</v>
      </c>
      <c r="G742" s="2" t="s">
        <v>3208</v>
      </c>
      <c r="H742" s="1">
        <v>22360</v>
      </c>
      <c r="I742" s="1">
        <v>23790</v>
      </c>
      <c r="J742" s="2" t="s">
        <v>405</v>
      </c>
      <c r="K742" s="2" t="s">
        <v>3209</v>
      </c>
      <c r="L742" s="2" t="s">
        <v>224</v>
      </c>
      <c r="M742" s="1">
        <v>1418</v>
      </c>
      <c r="N742" s="1">
        <v>36877</v>
      </c>
      <c r="O742" s="2" t="s">
        <v>49</v>
      </c>
      <c r="P742" s="2" t="s">
        <v>48</v>
      </c>
      <c r="Q742" s="2" t="s">
        <v>276</v>
      </c>
      <c r="R742" s="2" t="s">
        <v>96</v>
      </c>
      <c r="S742" s="2" t="s">
        <v>135</v>
      </c>
      <c r="T742" s="1">
        <v>15855</v>
      </c>
      <c r="U742" s="2" t="s">
        <v>51</v>
      </c>
      <c r="V742" s="1">
        <v>3268</v>
      </c>
      <c r="W742" s="1">
        <v>3738</v>
      </c>
      <c r="X742" s="2" t="s">
        <v>2324</v>
      </c>
      <c r="Y742" s="2" t="s">
        <v>1570</v>
      </c>
      <c r="Z742" s="2" t="s">
        <v>324</v>
      </c>
      <c r="AA742" s="2" t="s">
        <v>978</v>
      </c>
      <c r="AB742" s="1">
        <v>21022</v>
      </c>
      <c r="AC742" s="1">
        <v>10726</v>
      </c>
      <c r="AD742" s="1">
        <v>3947</v>
      </c>
      <c r="AE742" s="1">
        <v>1002</v>
      </c>
      <c r="AF742" s="1">
        <v>166</v>
      </c>
      <c r="AG742" s="1">
        <v>14</v>
      </c>
      <c r="AH742" s="1">
        <v>15200</v>
      </c>
      <c r="AI742" s="1">
        <v>1113</v>
      </c>
      <c r="AJ742" s="1">
        <v>1613</v>
      </c>
      <c r="AK742" s="1">
        <v>4108</v>
      </c>
      <c r="AL742" s="1">
        <v>252</v>
      </c>
      <c r="AM742" s="1">
        <v>124</v>
      </c>
      <c r="AN742" s="2" t="s">
        <v>1314</v>
      </c>
    </row>
    <row r="743" spans="1:40" x14ac:dyDescent="0.3">
      <c r="A743" s="1">
        <v>1200</v>
      </c>
      <c r="B743" s="2" t="s">
        <v>3210</v>
      </c>
      <c r="C743" s="2" t="s">
        <v>3211</v>
      </c>
      <c r="D743" s="1">
        <v>32</v>
      </c>
      <c r="E743" s="2" t="s">
        <v>742</v>
      </c>
      <c r="F743" s="50" t="s">
        <v>3212</v>
      </c>
      <c r="G743" s="2" t="s">
        <v>3213</v>
      </c>
      <c r="H743" s="1">
        <v>8785</v>
      </c>
      <c r="I743" s="1">
        <v>9410</v>
      </c>
      <c r="J743" s="2" t="s">
        <v>551</v>
      </c>
      <c r="K743" s="2" t="s">
        <v>1640</v>
      </c>
      <c r="L743" s="2" t="s">
        <v>1170</v>
      </c>
      <c r="M743" s="1">
        <v>538</v>
      </c>
      <c r="N743" s="1">
        <v>14028</v>
      </c>
      <c r="O743" s="2" t="s">
        <v>215</v>
      </c>
      <c r="P743" s="2" t="s">
        <v>202</v>
      </c>
      <c r="Q743" s="2" t="s">
        <v>225</v>
      </c>
      <c r="R743" s="2" t="s">
        <v>96</v>
      </c>
      <c r="S743" s="2" t="s">
        <v>96</v>
      </c>
      <c r="T743" s="1">
        <v>6213</v>
      </c>
      <c r="U743" s="2" t="s">
        <v>51</v>
      </c>
      <c r="V743" s="1">
        <v>1136</v>
      </c>
      <c r="W743" s="1">
        <v>1131</v>
      </c>
      <c r="X743" s="2">
        <v>1</v>
      </c>
      <c r="Y743" s="2" t="s">
        <v>1570</v>
      </c>
      <c r="Z743" s="2" t="s">
        <v>932</v>
      </c>
      <c r="AA743" s="2" t="s">
        <v>1985</v>
      </c>
      <c r="AB743" s="1">
        <v>7815</v>
      </c>
      <c r="AC743" s="1">
        <v>4174</v>
      </c>
      <c r="AD743" s="1">
        <v>1578</v>
      </c>
      <c r="AE743" s="1">
        <v>398</v>
      </c>
      <c r="AF743" s="1">
        <v>55</v>
      </c>
      <c r="AG743" s="1">
        <v>8</v>
      </c>
      <c r="AH743" s="1">
        <v>5182</v>
      </c>
      <c r="AI743" s="1">
        <v>1103</v>
      </c>
      <c r="AJ743" s="1">
        <v>686</v>
      </c>
      <c r="AK743" s="1">
        <v>1705</v>
      </c>
      <c r="AL743" s="1">
        <v>107</v>
      </c>
      <c r="AM743" s="1">
        <v>12</v>
      </c>
      <c r="AN743" s="2" t="s">
        <v>1314</v>
      </c>
    </row>
    <row r="744" spans="1:40" x14ac:dyDescent="0.3">
      <c r="A744" s="1">
        <v>1331</v>
      </c>
      <c r="B744" s="2" t="s">
        <v>3214</v>
      </c>
      <c r="C744" s="2" t="s">
        <v>3215</v>
      </c>
      <c r="D744" s="1">
        <v>35</v>
      </c>
      <c r="E744" s="2" t="s">
        <v>42</v>
      </c>
      <c r="F744" s="50" t="s">
        <v>3514</v>
      </c>
      <c r="G744" s="2" t="s">
        <v>3216</v>
      </c>
      <c r="H744" s="1">
        <v>8326</v>
      </c>
      <c r="I744" s="1">
        <v>9118</v>
      </c>
      <c r="J744" s="2" t="s">
        <v>212</v>
      </c>
      <c r="K744" s="2" t="s">
        <v>3068</v>
      </c>
      <c r="L744" s="2" t="s">
        <v>93</v>
      </c>
      <c r="M744" s="1">
        <v>502</v>
      </c>
      <c r="N744" s="1">
        <v>13113</v>
      </c>
      <c r="O744" s="2" t="s">
        <v>215</v>
      </c>
      <c r="P744" s="2" t="s">
        <v>202</v>
      </c>
      <c r="Q744" s="2" t="s">
        <v>905</v>
      </c>
      <c r="R744" s="2" t="s">
        <v>96</v>
      </c>
      <c r="S744" s="2" t="s">
        <v>66</v>
      </c>
      <c r="T744" s="1">
        <v>5742</v>
      </c>
      <c r="U744" s="2" t="s">
        <v>51</v>
      </c>
      <c r="V744" s="1">
        <v>1313</v>
      </c>
      <c r="W744" s="1">
        <v>1355</v>
      </c>
      <c r="X744" s="2" t="s">
        <v>503</v>
      </c>
      <c r="Y744" s="2">
        <v>1</v>
      </c>
      <c r="Z744" s="2" t="s">
        <v>3217</v>
      </c>
      <c r="AA744" s="2" t="s">
        <v>560</v>
      </c>
      <c r="AB744" s="1">
        <v>7371</v>
      </c>
      <c r="AC744" s="1">
        <v>3738</v>
      </c>
      <c r="AD744" s="1">
        <v>1512</v>
      </c>
      <c r="AE744" s="1">
        <v>416</v>
      </c>
      <c r="AF744" s="1">
        <v>69</v>
      </c>
      <c r="AG744" s="1">
        <v>7</v>
      </c>
      <c r="AH744" s="1">
        <v>3410</v>
      </c>
      <c r="AI744" s="1">
        <v>2727</v>
      </c>
      <c r="AJ744" s="1">
        <v>249</v>
      </c>
      <c r="AK744" s="1">
        <v>1839</v>
      </c>
      <c r="AL744" s="1">
        <v>112</v>
      </c>
      <c r="AM744" s="1">
        <v>10</v>
      </c>
      <c r="AN744" s="2" t="s">
        <v>1314</v>
      </c>
    </row>
    <row r="745" spans="1:40" x14ac:dyDescent="0.3">
      <c r="A745" s="1">
        <v>1278</v>
      </c>
      <c r="B745" s="2" t="s">
        <v>3218</v>
      </c>
      <c r="C745" s="2" t="s">
        <v>3219</v>
      </c>
      <c r="D745" s="1">
        <v>30</v>
      </c>
      <c r="E745" s="2" t="s">
        <v>467</v>
      </c>
      <c r="F745" s="50" t="s">
        <v>3514</v>
      </c>
      <c r="G745" s="2" t="s">
        <v>3220</v>
      </c>
      <c r="H745" s="1">
        <v>9802</v>
      </c>
      <c r="I745" s="1">
        <v>10611</v>
      </c>
      <c r="J745" s="2" t="s">
        <v>1716</v>
      </c>
      <c r="K745" s="2" t="s">
        <v>2936</v>
      </c>
      <c r="L745" s="2" t="s">
        <v>390</v>
      </c>
      <c r="M745" s="1">
        <v>595</v>
      </c>
      <c r="N745" s="1">
        <v>15532</v>
      </c>
      <c r="O745" s="2" t="s">
        <v>215</v>
      </c>
      <c r="P745" s="2" t="s">
        <v>166</v>
      </c>
      <c r="Q745" s="2" t="s">
        <v>167</v>
      </c>
      <c r="R745" s="2" t="s">
        <v>50</v>
      </c>
      <c r="S745" s="2" t="s">
        <v>96</v>
      </c>
      <c r="T745" s="1">
        <v>6901</v>
      </c>
      <c r="U745" s="2" t="s">
        <v>51</v>
      </c>
      <c r="V745" s="1">
        <v>1169</v>
      </c>
      <c r="W745" s="1">
        <v>1417</v>
      </c>
      <c r="X745" s="2" t="s">
        <v>2998</v>
      </c>
      <c r="Y745" s="2" t="s">
        <v>1551</v>
      </c>
      <c r="Z745" s="2" t="s">
        <v>278</v>
      </c>
      <c r="AA745" s="2" t="s">
        <v>2364</v>
      </c>
      <c r="AB745" s="1">
        <v>8631</v>
      </c>
      <c r="AC745" s="1">
        <v>4645</v>
      </c>
      <c r="AD745" s="1">
        <v>1706</v>
      </c>
      <c r="AE745" s="1">
        <v>465</v>
      </c>
      <c r="AF745" s="1">
        <v>80</v>
      </c>
      <c r="AG745" s="1">
        <v>5</v>
      </c>
      <c r="AH745" s="1">
        <v>7248</v>
      </c>
      <c r="AI745" s="1">
        <v>88</v>
      </c>
      <c r="AJ745" s="1">
        <v>688</v>
      </c>
      <c r="AK745" s="1">
        <v>1635</v>
      </c>
      <c r="AL745" s="1">
        <v>144</v>
      </c>
      <c r="AM745" s="1">
        <v>15</v>
      </c>
      <c r="AN745" s="2" t="s">
        <v>1314</v>
      </c>
    </row>
    <row r="746" spans="1:40" x14ac:dyDescent="0.3">
      <c r="A746" s="1">
        <v>356</v>
      </c>
      <c r="B746" s="2" t="s">
        <v>3221</v>
      </c>
      <c r="C746" s="2" t="s">
        <v>3222</v>
      </c>
      <c r="D746" s="1">
        <v>32</v>
      </c>
      <c r="E746" s="2" t="s">
        <v>683</v>
      </c>
      <c r="F746" s="50" t="s">
        <v>1644</v>
      </c>
      <c r="G746" s="2" t="s">
        <v>1644</v>
      </c>
      <c r="H746" s="1">
        <v>14525</v>
      </c>
      <c r="I746" s="1">
        <v>15799</v>
      </c>
      <c r="J746" s="2" t="s">
        <v>1150</v>
      </c>
      <c r="K746" s="2" t="s">
        <v>3068</v>
      </c>
      <c r="L746" s="2" t="s">
        <v>1146</v>
      </c>
      <c r="M746" s="1">
        <v>889</v>
      </c>
      <c r="N746" s="1">
        <v>23396</v>
      </c>
      <c r="O746" s="2" t="s">
        <v>144</v>
      </c>
      <c r="P746" s="2" t="s">
        <v>166</v>
      </c>
      <c r="Q746" s="2" t="s">
        <v>167</v>
      </c>
      <c r="R746" s="2" t="s">
        <v>50</v>
      </c>
      <c r="S746" s="2" t="s">
        <v>66</v>
      </c>
      <c r="T746" s="1">
        <v>10152</v>
      </c>
      <c r="U746" s="2" t="s">
        <v>51</v>
      </c>
      <c r="V746" s="1">
        <v>2159</v>
      </c>
      <c r="W746" s="1">
        <v>2448</v>
      </c>
      <c r="X746" s="2" t="s">
        <v>2315</v>
      </c>
      <c r="Y746" s="2" t="s">
        <v>820</v>
      </c>
      <c r="Z746" s="2" t="s">
        <v>653</v>
      </c>
      <c r="AA746" s="2" t="s">
        <v>1244</v>
      </c>
      <c r="AB746" s="1">
        <v>13244</v>
      </c>
      <c r="AC746" s="1">
        <v>6776</v>
      </c>
      <c r="AD746" s="1">
        <v>2531</v>
      </c>
      <c r="AE746" s="1">
        <v>702</v>
      </c>
      <c r="AF746" s="1">
        <v>136</v>
      </c>
      <c r="AG746" s="1">
        <v>7</v>
      </c>
      <c r="AH746" s="1">
        <v>10315</v>
      </c>
      <c r="AI746" s="1">
        <v>788</v>
      </c>
      <c r="AJ746" s="1">
        <v>485</v>
      </c>
      <c r="AK746" s="1">
        <v>2711</v>
      </c>
      <c r="AL746" s="1">
        <v>225</v>
      </c>
      <c r="AM746" s="1">
        <v>37</v>
      </c>
      <c r="AN746" s="2" t="s">
        <v>1314</v>
      </c>
    </row>
    <row r="747" spans="1:40" ht="28.2" x14ac:dyDescent="0.3">
      <c r="A747" s="1">
        <v>7156</v>
      </c>
      <c r="B747" s="2" t="s">
        <v>3223</v>
      </c>
      <c r="C747" s="2" t="s">
        <v>3224</v>
      </c>
      <c r="D747" s="1">
        <v>27</v>
      </c>
      <c r="E747" s="2" t="s">
        <v>196</v>
      </c>
      <c r="F747" s="50" t="s">
        <v>338</v>
      </c>
      <c r="G747" s="2" t="s">
        <v>3225</v>
      </c>
      <c r="H747" s="1">
        <v>28946</v>
      </c>
      <c r="I747" s="1">
        <v>32199</v>
      </c>
      <c r="J747" s="2" t="s">
        <v>3226</v>
      </c>
      <c r="K747" s="2" t="s">
        <v>1834</v>
      </c>
      <c r="L747" s="2" t="s">
        <v>331</v>
      </c>
      <c r="M747" s="1">
        <v>1718</v>
      </c>
      <c r="N747" s="1">
        <v>44890</v>
      </c>
      <c r="O747" s="2" t="s">
        <v>65</v>
      </c>
      <c r="P747" s="2" t="s">
        <v>166</v>
      </c>
      <c r="Q747" s="2" t="s">
        <v>311</v>
      </c>
      <c r="R747" s="2" t="s">
        <v>67</v>
      </c>
      <c r="S747" s="2" t="s">
        <v>66</v>
      </c>
      <c r="T747" s="1">
        <v>19814</v>
      </c>
      <c r="U747" s="2" t="s">
        <v>51</v>
      </c>
      <c r="V747" s="1">
        <v>5642</v>
      </c>
      <c r="W747" s="1">
        <v>6315</v>
      </c>
      <c r="X747" s="2" t="s">
        <v>1551</v>
      </c>
      <c r="Y747" s="2" t="s">
        <v>590</v>
      </c>
      <c r="Z747" s="2" t="s">
        <v>347</v>
      </c>
      <c r="AA747" s="2" t="s">
        <v>805</v>
      </c>
      <c r="AB747" s="1">
        <v>25076</v>
      </c>
      <c r="AC747" s="1">
        <v>12913</v>
      </c>
      <c r="AD747" s="1">
        <v>5047</v>
      </c>
      <c r="AE747" s="1">
        <v>1526</v>
      </c>
      <c r="AF747" s="1">
        <v>304</v>
      </c>
      <c r="AG747" s="1">
        <v>24</v>
      </c>
      <c r="AH747" s="1">
        <v>17704</v>
      </c>
      <c r="AI747" s="1">
        <v>4449</v>
      </c>
      <c r="AJ747" s="1">
        <v>2114</v>
      </c>
      <c r="AK747" s="1">
        <v>4168</v>
      </c>
      <c r="AL747" s="1">
        <v>438</v>
      </c>
      <c r="AM747" s="1">
        <v>96</v>
      </c>
      <c r="AN747" s="2" t="s">
        <v>1314</v>
      </c>
    </row>
    <row r="748" spans="1:40" ht="28.2" x14ac:dyDescent="0.3">
      <c r="A748" s="1">
        <v>11716</v>
      </c>
      <c r="B748" s="2" t="s">
        <v>3227</v>
      </c>
      <c r="C748" s="2" t="s">
        <v>3228</v>
      </c>
      <c r="D748" s="1">
        <v>24</v>
      </c>
      <c r="E748" s="2" t="s">
        <v>3229</v>
      </c>
      <c r="F748" s="51" t="s">
        <v>1034</v>
      </c>
      <c r="G748" s="2" t="s">
        <v>3230</v>
      </c>
      <c r="H748" s="1">
        <v>12151</v>
      </c>
      <c r="I748" s="1">
        <v>13149</v>
      </c>
      <c r="J748" s="2" t="s">
        <v>3231</v>
      </c>
      <c r="K748" s="2" t="s">
        <v>2177</v>
      </c>
      <c r="L748" s="2" t="s">
        <v>80</v>
      </c>
      <c r="M748" s="1">
        <v>743</v>
      </c>
      <c r="N748" s="1">
        <v>19879</v>
      </c>
      <c r="O748" s="2" t="s">
        <v>49</v>
      </c>
      <c r="P748" s="2" t="s">
        <v>48</v>
      </c>
      <c r="Q748" s="2" t="s">
        <v>322</v>
      </c>
      <c r="R748" s="2" t="s">
        <v>50</v>
      </c>
      <c r="S748" s="2" t="s">
        <v>66</v>
      </c>
      <c r="T748" s="1">
        <v>8512</v>
      </c>
      <c r="U748" s="2" t="s">
        <v>51</v>
      </c>
      <c r="V748" s="1">
        <v>1651</v>
      </c>
      <c r="W748" s="1">
        <v>1881</v>
      </c>
      <c r="X748" s="2" t="s">
        <v>2315</v>
      </c>
      <c r="Y748" s="2" t="s">
        <v>1314</v>
      </c>
      <c r="Z748" s="2" t="s">
        <v>1462</v>
      </c>
      <c r="AA748" s="2" t="s">
        <v>1572</v>
      </c>
      <c r="AB748" s="1">
        <v>11367</v>
      </c>
      <c r="AC748" s="1">
        <v>5670</v>
      </c>
      <c r="AD748" s="1">
        <v>2155</v>
      </c>
      <c r="AE748" s="1">
        <v>584</v>
      </c>
      <c r="AF748" s="1">
        <v>96</v>
      </c>
      <c r="AG748" s="1">
        <v>7</v>
      </c>
      <c r="AH748" s="1">
        <v>8544</v>
      </c>
      <c r="AI748" s="1">
        <v>338</v>
      </c>
      <c r="AJ748" s="1">
        <v>1125</v>
      </c>
      <c r="AK748" s="1">
        <v>1997</v>
      </c>
      <c r="AL748" s="1">
        <v>152</v>
      </c>
      <c r="AM748" s="1">
        <v>29</v>
      </c>
      <c r="AN748" s="2" t="s">
        <v>503</v>
      </c>
    </row>
    <row r="749" spans="1:40" ht="28.2" x14ac:dyDescent="0.3">
      <c r="A749" s="1">
        <v>19967</v>
      </c>
      <c r="B749" s="2" t="s">
        <v>3232</v>
      </c>
      <c r="C749" s="2" t="s">
        <v>3233</v>
      </c>
      <c r="D749" s="1">
        <v>26</v>
      </c>
      <c r="E749" s="2" t="s">
        <v>1144</v>
      </c>
      <c r="F749" s="50" t="s">
        <v>2784</v>
      </c>
      <c r="G749" s="2" t="s">
        <v>2785</v>
      </c>
      <c r="H749" s="1">
        <v>6624</v>
      </c>
      <c r="I749" s="1">
        <v>7318</v>
      </c>
      <c r="J749" s="2" t="s">
        <v>1159</v>
      </c>
      <c r="K749" s="2" t="s">
        <v>3068</v>
      </c>
      <c r="L749" s="2" t="s">
        <v>46</v>
      </c>
      <c r="M749" s="1">
        <v>388</v>
      </c>
      <c r="N749" s="1">
        <v>10398</v>
      </c>
      <c r="O749" s="2" t="s">
        <v>65</v>
      </c>
      <c r="P749" s="2" t="s">
        <v>67</v>
      </c>
      <c r="Q749" s="2" t="s">
        <v>905</v>
      </c>
      <c r="R749" s="2" t="s">
        <v>50</v>
      </c>
      <c r="S749" s="2" t="s">
        <v>66</v>
      </c>
      <c r="T749" s="1">
        <v>4570</v>
      </c>
      <c r="U749" s="2" t="s">
        <v>51</v>
      </c>
      <c r="V749" s="1">
        <v>897</v>
      </c>
      <c r="W749" s="1">
        <v>1088</v>
      </c>
      <c r="X749" s="2" t="s">
        <v>2998</v>
      </c>
      <c r="Y749" s="2" t="s">
        <v>1314</v>
      </c>
      <c r="Z749" s="2" t="s">
        <v>443</v>
      </c>
      <c r="AA749" s="2" t="s">
        <v>1171</v>
      </c>
      <c r="AB749" s="1">
        <v>5828</v>
      </c>
      <c r="AC749" s="1">
        <v>2982</v>
      </c>
      <c r="AD749" s="1">
        <v>1199</v>
      </c>
      <c r="AE749" s="1">
        <v>320</v>
      </c>
      <c r="AF749" s="1">
        <v>61</v>
      </c>
      <c r="AG749" s="1">
        <v>8</v>
      </c>
      <c r="AH749" s="1">
        <v>5082</v>
      </c>
      <c r="AI749" s="1">
        <v>114</v>
      </c>
      <c r="AJ749" s="1">
        <v>313</v>
      </c>
      <c r="AK749" s="1">
        <v>1057</v>
      </c>
      <c r="AL749" s="1">
        <v>66</v>
      </c>
      <c r="AM749" s="1">
        <v>18</v>
      </c>
      <c r="AN749" s="2" t="s">
        <v>472</v>
      </c>
    </row>
    <row r="750" spans="1:40" x14ac:dyDescent="0.3">
      <c r="A750" s="1">
        <v>5385</v>
      </c>
      <c r="B750" s="2" t="s">
        <v>3234</v>
      </c>
      <c r="C750" s="2" t="s">
        <v>3235</v>
      </c>
      <c r="D750" s="1">
        <v>28</v>
      </c>
      <c r="E750" s="2" t="s">
        <v>327</v>
      </c>
      <c r="F750" s="50" t="s">
        <v>2040</v>
      </c>
      <c r="G750" s="2" t="s">
        <v>3118</v>
      </c>
      <c r="H750" s="1">
        <v>10767</v>
      </c>
      <c r="I750" s="1">
        <v>11739</v>
      </c>
      <c r="J750" s="2" t="s">
        <v>931</v>
      </c>
      <c r="K750" s="2" t="s">
        <v>1529</v>
      </c>
      <c r="L750" s="2" t="s">
        <v>471</v>
      </c>
      <c r="M750" s="1">
        <v>651</v>
      </c>
      <c r="N750" s="1">
        <v>17086</v>
      </c>
      <c r="O750" s="2" t="s">
        <v>215</v>
      </c>
      <c r="P750" s="2" t="s">
        <v>235</v>
      </c>
      <c r="Q750" s="2" t="s">
        <v>463</v>
      </c>
      <c r="R750" s="2" t="s">
        <v>50</v>
      </c>
      <c r="S750" s="2" t="s">
        <v>96</v>
      </c>
      <c r="T750" s="1">
        <v>7561</v>
      </c>
      <c r="U750" s="2" t="s">
        <v>51</v>
      </c>
      <c r="V750" s="1">
        <v>1484</v>
      </c>
      <c r="W750" s="1">
        <v>1744</v>
      </c>
      <c r="X750" s="2" t="s">
        <v>2667</v>
      </c>
      <c r="Y750" s="2" t="s">
        <v>950</v>
      </c>
      <c r="Z750" s="2" t="s">
        <v>983</v>
      </c>
      <c r="AA750" s="2" t="s">
        <v>2053</v>
      </c>
      <c r="AB750" s="1">
        <v>9525</v>
      </c>
      <c r="AC750" s="1">
        <v>5063</v>
      </c>
      <c r="AD750" s="1">
        <v>1895</v>
      </c>
      <c r="AE750" s="1">
        <v>506</v>
      </c>
      <c r="AF750" s="1">
        <v>89</v>
      </c>
      <c r="AG750" s="1">
        <v>8</v>
      </c>
      <c r="AH750" s="1">
        <v>7702</v>
      </c>
      <c r="AI750" s="1">
        <v>376</v>
      </c>
      <c r="AJ750" s="1">
        <v>722</v>
      </c>
      <c r="AK750" s="1">
        <v>1756</v>
      </c>
      <c r="AL750" s="1">
        <v>95</v>
      </c>
      <c r="AM750" s="1">
        <v>133</v>
      </c>
      <c r="AN750" s="2" t="s">
        <v>1314</v>
      </c>
    </row>
    <row r="751" spans="1:40" x14ac:dyDescent="0.3">
      <c r="A751" s="1">
        <v>484</v>
      </c>
      <c r="B751" s="2" t="s">
        <v>3236</v>
      </c>
      <c r="C751" s="2" t="s">
        <v>3237</v>
      </c>
      <c r="D751" s="1">
        <v>34</v>
      </c>
      <c r="E751" s="2" t="s">
        <v>59</v>
      </c>
      <c r="F751" s="50" t="s">
        <v>3514</v>
      </c>
      <c r="G751" s="2" t="s">
        <v>60</v>
      </c>
      <c r="H751" s="1">
        <v>23470</v>
      </c>
      <c r="I751" s="1">
        <v>25460</v>
      </c>
      <c r="J751" s="2" t="s">
        <v>3238</v>
      </c>
      <c r="K751" s="2" t="s">
        <v>2067</v>
      </c>
      <c r="L751" s="2" t="s">
        <v>375</v>
      </c>
      <c r="M751" s="1">
        <v>1405</v>
      </c>
      <c r="N751" s="1">
        <v>37152</v>
      </c>
      <c r="O751" s="2" t="s">
        <v>215</v>
      </c>
      <c r="P751" s="2" t="s">
        <v>434</v>
      </c>
      <c r="Q751" s="2" t="s">
        <v>463</v>
      </c>
      <c r="R751" s="2" t="s">
        <v>67</v>
      </c>
      <c r="S751" s="2" t="s">
        <v>66</v>
      </c>
      <c r="T751" s="1">
        <v>16526</v>
      </c>
      <c r="U751" s="2" t="s">
        <v>51</v>
      </c>
      <c r="V751" s="1">
        <v>3259</v>
      </c>
      <c r="W751" s="1">
        <v>3779</v>
      </c>
      <c r="X751" s="2" t="s">
        <v>64</v>
      </c>
      <c r="Y751" s="2" t="s">
        <v>1570</v>
      </c>
      <c r="Z751" s="2" t="s">
        <v>237</v>
      </c>
      <c r="AA751" s="2" t="s">
        <v>2053</v>
      </c>
      <c r="AB751" s="1">
        <v>20626</v>
      </c>
      <c r="AC751" s="1">
        <v>11121</v>
      </c>
      <c r="AD751" s="1">
        <v>4124</v>
      </c>
      <c r="AE751" s="1">
        <v>1088</v>
      </c>
      <c r="AF751" s="1">
        <v>180</v>
      </c>
      <c r="AG751" s="1">
        <v>13</v>
      </c>
      <c r="AH751" s="1">
        <v>16873</v>
      </c>
      <c r="AI751" s="1">
        <v>517</v>
      </c>
      <c r="AJ751" s="1">
        <v>1567</v>
      </c>
      <c r="AK751" s="1">
        <v>3915</v>
      </c>
      <c r="AL751" s="1">
        <v>388</v>
      </c>
      <c r="AM751" s="1">
        <v>223</v>
      </c>
      <c r="AN751" s="2" t="s">
        <v>1314</v>
      </c>
    </row>
    <row r="752" spans="1:40" ht="28.2" x14ac:dyDescent="0.3">
      <c r="A752" s="1">
        <v>8837</v>
      </c>
      <c r="B752" s="2" t="s">
        <v>3239</v>
      </c>
      <c r="C752" s="2" t="s">
        <v>3240</v>
      </c>
      <c r="D752" s="1">
        <v>30</v>
      </c>
      <c r="E752" s="2" t="s">
        <v>1070</v>
      </c>
      <c r="F752" s="52">
        <v>777</v>
      </c>
      <c r="G752" s="2" t="s">
        <v>3241</v>
      </c>
      <c r="H752" s="1">
        <v>8403</v>
      </c>
      <c r="I752" s="1">
        <v>9335</v>
      </c>
      <c r="J752" s="2" t="s">
        <v>1253</v>
      </c>
      <c r="K752" s="2" t="s">
        <v>2936</v>
      </c>
      <c r="L752" s="2" t="s">
        <v>93</v>
      </c>
      <c r="M752" s="1">
        <v>492</v>
      </c>
      <c r="N752" s="1">
        <v>13290</v>
      </c>
      <c r="O752" s="2" t="s">
        <v>215</v>
      </c>
      <c r="P752" s="2" t="s">
        <v>202</v>
      </c>
      <c r="Q752" s="2" t="s">
        <v>905</v>
      </c>
      <c r="R752" s="2" t="s">
        <v>67</v>
      </c>
      <c r="S752" s="2" t="s">
        <v>50</v>
      </c>
      <c r="T752" s="1">
        <v>5777</v>
      </c>
      <c r="U752" s="2" t="s">
        <v>51</v>
      </c>
      <c r="V752" s="1">
        <v>1057</v>
      </c>
      <c r="W752" s="1">
        <v>1222</v>
      </c>
      <c r="X752" s="2" t="s">
        <v>64</v>
      </c>
      <c r="Y752" s="2" t="s">
        <v>1749</v>
      </c>
      <c r="Z752" s="2" t="s">
        <v>576</v>
      </c>
      <c r="AA752" s="2" t="s">
        <v>1805</v>
      </c>
      <c r="AB752" s="1">
        <v>7513</v>
      </c>
      <c r="AC752" s="1">
        <v>3787</v>
      </c>
      <c r="AD752" s="1">
        <v>1459</v>
      </c>
      <c r="AE752" s="1">
        <v>434</v>
      </c>
      <c r="AF752" s="1">
        <v>90</v>
      </c>
      <c r="AG752" s="1">
        <v>7</v>
      </c>
      <c r="AH752" s="1">
        <v>6523</v>
      </c>
      <c r="AI752" s="1">
        <v>59</v>
      </c>
      <c r="AJ752" s="1">
        <v>334</v>
      </c>
      <c r="AK752" s="1">
        <v>1395</v>
      </c>
      <c r="AL752" s="1">
        <v>94</v>
      </c>
      <c r="AM752" s="1">
        <v>13</v>
      </c>
      <c r="AN752" s="2" t="s">
        <v>1314</v>
      </c>
    </row>
    <row r="753" spans="1:40" x14ac:dyDescent="0.3">
      <c r="A753" s="1">
        <v>169</v>
      </c>
      <c r="B753" s="2" t="s">
        <v>3242</v>
      </c>
      <c r="C753" s="2" t="s">
        <v>3243</v>
      </c>
      <c r="D753" s="1">
        <v>35</v>
      </c>
      <c r="E753" s="2" t="s">
        <v>104</v>
      </c>
      <c r="F753" s="50" t="s">
        <v>3514</v>
      </c>
      <c r="G753" s="2" t="s">
        <v>3244</v>
      </c>
      <c r="H753" s="1">
        <v>8158</v>
      </c>
      <c r="I753" s="1">
        <v>8829</v>
      </c>
      <c r="J753" s="2" t="s">
        <v>2968</v>
      </c>
      <c r="K753" s="2" t="s">
        <v>1834</v>
      </c>
      <c r="L753" s="2" t="s">
        <v>1170</v>
      </c>
      <c r="M753" s="1">
        <v>514</v>
      </c>
      <c r="N753" s="1">
        <v>13305</v>
      </c>
      <c r="O753" s="2" t="s">
        <v>49</v>
      </c>
      <c r="P753" s="2" t="s">
        <v>166</v>
      </c>
      <c r="Q753" s="2" t="s">
        <v>322</v>
      </c>
      <c r="R753" s="2" t="s">
        <v>50</v>
      </c>
      <c r="S753" s="2" t="s">
        <v>96</v>
      </c>
      <c r="T753" s="1">
        <v>5727</v>
      </c>
      <c r="U753" s="2" t="s">
        <v>51</v>
      </c>
      <c r="V753" s="1">
        <v>969</v>
      </c>
      <c r="W753" s="1">
        <v>1145</v>
      </c>
      <c r="X753" s="2" t="s">
        <v>2667</v>
      </c>
      <c r="Y753" s="2" t="s">
        <v>1551</v>
      </c>
      <c r="Z753" s="2" t="s">
        <v>777</v>
      </c>
      <c r="AA753" s="2" t="s">
        <v>1443</v>
      </c>
      <c r="AB753" s="1">
        <v>7578</v>
      </c>
      <c r="AC753" s="1">
        <v>3800</v>
      </c>
      <c r="AD753" s="1">
        <v>1490</v>
      </c>
      <c r="AE753" s="1">
        <v>376</v>
      </c>
      <c r="AF753" s="1">
        <v>55</v>
      </c>
      <c r="AG753" s="1">
        <v>6</v>
      </c>
      <c r="AH753" s="1">
        <v>6055</v>
      </c>
      <c r="AI753" s="1">
        <v>64</v>
      </c>
      <c r="AJ753" s="1">
        <v>566</v>
      </c>
      <c r="AK753" s="1">
        <v>1322</v>
      </c>
      <c r="AL753" s="1">
        <v>124</v>
      </c>
      <c r="AM753" s="1">
        <v>50</v>
      </c>
      <c r="AN753" s="2" t="s">
        <v>1314</v>
      </c>
    </row>
    <row r="754" spans="1:40" x14ac:dyDescent="0.3">
      <c r="A754" s="1">
        <v>6453</v>
      </c>
      <c r="B754" s="2" t="s">
        <v>3245</v>
      </c>
      <c r="C754" s="2" t="s">
        <v>3246</v>
      </c>
      <c r="D754" s="1">
        <v>29</v>
      </c>
      <c r="E754" s="2" t="s">
        <v>459</v>
      </c>
      <c r="F754" s="50" t="s">
        <v>3514</v>
      </c>
      <c r="G754" s="2" t="s">
        <v>3247</v>
      </c>
      <c r="H754" s="1">
        <v>7277</v>
      </c>
      <c r="I754" s="1">
        <v>8145</v>
      </c>
      <c r="J754" s="2" t="s">
        <v>3248</v>
      </c>
      <c r="K754" s="2" t="s">
        <v>1089</v>
      </c>
      <c r="L754" s="2" t="s">
        <v>462</v>
      </c>
      <c r="M754" s="1">
        <v>440</v>
      </c>
      <c r="N754" s="1">
        <v>11291</v>
      </c>
      <c r="O754" s="2" t="s">
        <v>65</v>
      </c>
      <c r="P754" s="2" t="s">
        <v>235</v>
      </c>
      <c r="Q754" s="2" t="s">
        <v>311</v>
      </c>
      <c r="R754" s="2" t="s">
        <v>67</v>
      </c>
      <c r="S754" s="2" t="s">
        <v>96</v>
      </c>
      <c r="T754" s="1">
        <v>4960</v>
      </c>
      <c r="U754" s="2" t="s">
        <v>51</v>
      </c>
      <c r="V754" s="1">
        <v>1266</v>
      </c>
      <c r="W754" s="1">
        <v>1514</v>
      </c>
      <c r="X754" s="2" t="s">
        <v>47</v>
      </c>
      <c r="Y754" s="2">
        <v>1</v>
      </c>
      <c r="Z754" s="2" t="s">
        <v>54</v>
      </c>
      <c r="AA754" s="2" t="s">
        <v>113</v>
      </c>
      <c r="AB754" s="1">
        <v>6331</v>
      </c>
      <c r="AC754" s="1">
        <v>3182</v>
      </c>
      <c r="AD754" s="1">
        <v>1333</v>
      </c>
      <c r="AE754" s="1">
        <v>361</v>
      </c>
      <c r="AF754" s="1">
        <v>78</v>
      </c>
      <c r="AG754" s="1">
        <v>6</v>
      </c>
      <c r="AH754" s="1">
        <v>3343</v>
      </c>
      <c r="AI754" s="1">
        <v>1799</v>
      </c>
      <c r="AJ754" s="1">
        <v>394</v>
      </c>
      <c r="AK754" s="1">
        <v>1494</v>
      </c>
      <c r="AL754" s="1">
        <v>119</v>
      </c>
      <c r="AM754" s="1">
        <v>142</v>
      </c>
      <c r="AN754" s="2" t="s">
        <v>1314</v>
      </c>
    </row>
    <row r="755" spans="1:40" ht="42" x14ac:dyDescent="0.3">
      <c r="A755" s="1">
        <v>1206</v>
      </c>
      <c r="B755" s="2" t="s">
        <v>3249</v>
      </c>
      <c r="C755" s="2" t="s">
        <v>3250</v>
      </c>
      <c r="D755" s="1">
        <v>33</v>
      </c>
      <c r="E755" s="2" t="s">
        <v>318</v>
      </c>
      <c r="F755" s="50" t="s">
        <v>320</v>
      </c>
      <c r="G755" s="2" t="s">
        <v>320</v>
      </c>
      <c r="H755" s="1">
        <v>17984</v>
      </c>
      <c r="I755" s="1">
        <v>19997</v>
      </c>
      <c r="J755" s="2" t="s">
        <v>1784</v>
      </c>
      <c r="K755" s="2" t="s">
        <v>1234</v>
      </c>
      <c r="L755" s="2" t="s">
        <v>1352</v>
      </c>
      <c r="M755" s="1">
        <v>1069</v>
      </c>
      <c r="N755" s="1">
        <v>28053</v>
      </c>
      <c r="O755" s="2" t="s">
        <v>65</v>
      </c>
      <c r="P755" s="2" t="s">
        <v>166</v>
      </c>
      <c r="Q755" s="2" t="s">
        <v>646</v>
      </c>
      <c r="R755" s="2" t="s">
        <v>67</v>
      </c>
      <c r="S755" s="2" t="s">
        <v>96</v>
      </c>
      <c r="T755" s="1">
        <v>12427</v>
      </c>
      <c r="U755" s="2" t="s">
        <v>51</v>
      </c>
      <c r="V755" s="1">
        <v>2371</v>
      </c>
      <c r="W755" s="1">
        <v>2870</v>
      </c>
      <c r="X755" s="2" t="s">
        <v>2425</v>
      </c>
      <c r="Y755" s="2" t="s">
        <v>1314</v>
      </c>
      <c r="Z755" s="2" t="s">
        <v>473</v>
      </c>
      <c r="AA755" s="2" t="s">
        <v>2053</v>
      </c>
      <c r="AB755" s="1">
        <v>15626</v>
      </c>
      <c r="AC755" s="1">
        <v>8127</v>
      </c>
      <c r="AD755" s="1">
        <v>3242</v>
      </c>
      <c r="AE755" s="1">
        <v>874</v>
      </c>
      <c r="AF755" s="1">
        <v>171</v>
      </c>
      <c r="AG755" s="1">
        <v>13</v>
      </c>
      <c r="AH755" s="1">
        <v>13044</v>
      </c>
      <c r="AI755" s="1">
        <v>217</v>
      </c>
      <c r="AJ755" s="1">
        <v>977</v>
      </c>
      <c r="AK755" s="1">
        <v>3446</v>
      </c>
      <c r="AL755" s="1">
        <v>301</v>
      </c>
      <c r="AM755" s="1">
        <v>40</v>
      </c>
      <c r="AN755" s="2" t="s">
        <v>1314</v>
      </c>
    </row>
    <row r="756" spans="1:40" ht="28.2" x14ac:dyDescent="0.3">
      <c r="A756" s="1">
        <v>9736</v>
      </c>
      <c r="B756" s="2" t="s">
        <v>3251</v>
      </c>
      <c r="C756" s="2" t="s">
        <v>3252</v>
      </c>
      <c r="D756" s="1">
        <v>27</v>
      </c>
      <c r="E756" s="2" t="s">
        <v>403</v>
      </c>
      <c r="F756" s="50" t="s">
        <v>2267</v>
      </c>
      <c r="G756" s="2" t="s">
        <v>3253</v>
      </c>
      <c r="H756" s="1">
        <v>8444</v>
      </c>
      <c r="I756" s="1">
        <v>9152</v>
      </c>
      <c r="J756" s="2" t="s">
        <v>744</v>
      </c>
      <c r="K756" s="2" t="s">
        <v>3254</v>
      </c>
      <c r="L756" s="2" t="s">
        <v>331</v>
      </c>
      <c r="M756" s="1">
        <v>532</v>
      </c>
      <c r="N756" s="1">
        <v>13663</v>
      </c>
      <c r="O756" s="2" t="s">
        <v>144</v>
      </c>
      <c r="P756" s="2" t="s">
        <v>235</v>
      </c>
      <c r="Q756" s="2" t="s">
        <v>225</v>
      </c>
      <c r="R756" s="2" t="s">
        <v>67</v>
      </c>
      <c r="S756" s="2" t="s">
        <v>96</v>
      </c>
      <c r="T756" s="1">
        <v>5984</v>
      </c>
      <c r="U756" s="2" t="s">
        <v>51</v>
      </c>
      <c r="V756" s="1">
        <v>1014</v>
      </c>
      <c r="W756" s="1">
        <v>1032</v>
      </c>
      <c r="X756" s="2" t="s">
        <v>245</v>
      </c>
      <c r="Y756" s="2" t="s">
        <v>1749</v>
      </c>
      <c r="Z756" s="2" t="s">
        <v>3255</v>
      </c>
      <c r="AA756" s="2" t="s">
        <v>951</v>
      </c>
      <c r="AB756" s="1">
        <v>7679</v>
      </c>
      <c r="AC756" s="1">
        <v>4010</v>
      </c>
      <c r="AD756" s="1">
        <v>1561</v>
      </c>
      <c r="AE756" s="1">
        <v>343</v>
      </c>
      <c r="AF756" s="1">
        <v>67</v>
      </c>
      <c r="AG756" s="1">
        <v>3</v>
      </c>
      <c r="AH756" s="1">
        <v>5629</v>
      </c>
      <c r="AI756" s="1">
        <v>298</v>
      </c>
      <c r="AJ756" s="1">
        <v>920</v>
      </c>
      <c r="AK756" s="1">
        <v>1495</v>
      </c>
      <c r="AL756" s="1">
        <v>107</v>
      </c>
      <c r="AM756" s="1">
        <v>23</v>
      </c>
      <c r="AN756" s="2" t="s">
        <v>1749</v>
      </c>
    </row>
    <row r="757" spans="1:40" x14ac:dyDescent="0.3">
      <c r="A757" s="1">
        <v>9820</v>
      </c>
      <c r="B757" s="2" t="s">
        <v>3256</v>
      </c>
      <c r="C757" s="2" t="s">
        <v>3257</v>
      </c>
      <c r="D757" s="1">
        <v>24</v>
      </c>
      <c r="E757" s="2" t="s">
        <v>452</v>
      </c>
      <c r="F757" s="50" t="s">
        <v>3514</v>
      </c>
      <c r="G757" s="2" t="s">
        <v>2384</v>
      </c>
      <c r="H757" s="1">
        <v>6256</v>
      </c>
      <c r="I757" s="1">
        <v>6848</v>
      </c>
      <c r="J757" s="2" t="s">
        <v>3258</v>
      </c>
      <c r="K757" s="2" t="s">
        <v>2140</v>
      </c>
      <c r="L757" s="2">
        <v>5</v>
      </c>
      <c r="M757" s="1">
        <v>383</v>
      </c>
      <c r="N757" s="1">
        <v>10178</v>
      </c>
      <c r="O757" s="2" t="s">
        <v>49</v>
      </c>
      <c r="P757" s="2" t="s">
        <v>202</v>
      </c>
      <c r="Q757" s="2" t="s">
        <v>225</v>
      </c>
      <c r="R757" s="2" t="s">
        <v>96</v>
      </c>
      <c r="S757" s="2" t="s">
        <v>50</v>
      </c>
      <c r="T757" s="1">
        <v>4388</v>
      </c>
      <c r="U757" s="2" t="s">
        <v>51</v>
      </c>
      <c r="V757" s="1">
        <v>810</v>
      </c>
      <c r="W757" s="1">
        <v>991</v>
      </c>
      <c r="X757" s="2" t="s">
        <v>2998</v>
      </c>
      <c r="Y757" s="2" t="s">
        <v>1906</v>
      </c>
      <c r="Z757" s="2" t="s">
        <v>3259</v>
      </c>
      <c r="AA757" s="2" t="s">
        <v>2631</v>
      </c>
      <c r="AB757" s="1">
        <v>5790</v>
      </c>
      <c r="AC757" s="1">
        <v>2924</v>
      </c>
      <c r="AD757" s="1">
        <v>1125</v>
      </c>
      <c r="AE757" s="1">
        <v>280</v>
      </c>
      <c r="AF757" s="1">
        <v>53</v>
      </c>
      <c r="AG757" s="1">
        <v>6</v>
      </c>
      <c r="AH757" s="1">
        <v>4549</v>
      </c>
      <c r="AI757" s="1">
        <v>25</v>
      </c>
      <c r="AJ757" s="1">
        <v>418</v>
      </c>
      <c r="AK757" s="1">
        <v>1151</v>
      </c>
      <c r="AL757" s="1">
        <v>116</v>
      </c>
      <c r="AM757" s="1">
        <v>20</v>
      </c>
      <c r="AN757" s="2" t="s">
        <v>1749</v>
      </c>
    </row>
    <row r="758" spans="1:40" ht="28.2" x14ac:dyDescent="0.3">
      <c r="A758" s="1">
        <v>12016</v>
      </c>
      <c r="B758" s="2" t="s">
        <v>3260</v>
      </c>
      <c r="C758" s="2" t="s">
        <v>3261</v>
      </c>
      <c r="D758" s="1">
        <v>27</v>
      </c>
      <c r="E758" s="2" t="s">
        <v>75</v>
      </c>
      <c r="F758" s="50" t="s">
        <v>3514</v>
      </c>
      <c r="G758" s="2" t="s">
        <v>3262</v>
      </c>
      <c r="H758" s="1">
        <v>11975</v>
      </c>
      <c r="I758" s="1">
        <v>13035</v>
      </c>
      <c r="J758" s="2" t="s">
        <v>587</v>
      </c>
      <c r="K758" s="2" t="s">
        <v>1623</v>
      </c>
      <c r="L758" s="2" t="s">
        <v>612</v>
      </c>
      <c r="M758" s="1">
        <v>734</v>
      </c>
      <c r="N758" s="1">
        <v>19717</v>
      </c>
      <c r="O758" s="2" t="s">
        <v>49</v>
      </c>
      <c r="P758" s="2" t="s">
        <v>235</v>
      </c>
      <c r="Q758" s="2" t="s">
        <v>322</v>
      </c>
      <c r="R758" s="2" t="s">
        <v>96</v>
      </c>
      <c r="S758" s="2" t="s">
        <v>96</v>
      </c>
      <c r="T758" s="1">
        <v>8475</v>
      </c>
      <c r="U758" s="2" t="s">
        <v>51</v>
      </c>
      <c r="V758" s="1">
        <v>1683</v>
      </c>
      <c r="W758" s="1">
        <v>1747</v>
      </c>
      <c r="X758" s="2" t="s">
        <v>472</v>
      </c>
      <c r="Y758" s="2" t="s">
        <v>820</v>
      </c>
      <c r="Z758" s="2" t="s">
        <v>1268</v>
      </c>
      <c r="AA758" s="2" t="s">
        <v>828</v>
      </c>
      <c r="AB758" s="1">
        <v>11242</v>
      </c>
      <c r="AC758" s="1">
        <v>5758</v>
      </c>
      <c r="AD758" s="1">
        <v>2050</v>
      </c>
      <c r="AE758" s="1">
        <v>566</v>
      </c>
      <c r="AF758" s="1">
        <v>86</v>
      </c>
      <c r="AG758" s="1">
        <v>15</v>
      </c>
      <c r="AH758" s="1">
        <v>9024</v>
      </c>
      <c r="AI758" s="1">
        <v>142</v>
      </c>
      <c r="AJ758" s="1">
        <v>720</v>
      </c>
      <c r="AK758" s="1">
        <v>1890</v>
      </c>
      <c r="AL758" s="1">
        <v>198</v>
      </c>
      <c r="AM758" s="1">
        <v>67</v>
      </c>
      <c r="AN758" s="2" t="s">
        <v>245</v>
      </c>
    </row>
    <row r="759" spans="1:40" x14ac:dyDescent="0.3">
      <c r="A759" s="1">
        <v>15778</v>
      </c>
      <c r="B759" s="2" t="s">
        <v>3263</v>
      </c>
      <c r="C759" s="2" t="s">
        <v>3264</v>
      </c>
      <c r="D759" s="1">
        <v>25</v>
      </c>
      <c r="E759" s="2" t="s">
        <v>1422</v>
      </c>
      <c r="F759" s="50" t="s">
        <v>1251</v>
      </c>
      <c r="G759" s="2" t="s">
        <v>3265</v>
      </c>
      <c r="H759" s="1">
        <v>6135</v>
      </c>
      <c r="I759" s="1">
        <v>6739</v>
      </c>
      <c r="J759" s="2" t="s">
        <v>1769</v>
      </c>
      <c r="K759" s="2" t="s">
        <v>2773</v>
      </c>
      <c r="L759" s="2" t="s">
        <v>975</v>
      </c>
      <c r="M759" s="1">
        <v>380</v>
      </c>
      <c r="N759" s="1">
        <v>10090</v>
      </c>
      <c r="O759" s="2" t="s">
        <v>49</v>
      </c>
      <c r="P759" s="2" t="s">
        <v>235</v>
      </c>
      <c r="Q759" s="2" t="s">
        <v>225</v>
      </c>
      <c r="R759" s="2" t="s">
        <v>50</v>
      </c>
      <c r="S759" s="2" t="s">
        <v>96</v>
      </c>
      <c r="T759" s="1">
        <v>4275</v>
      </c>
      <c r="U759" s="2" t="s">
        <v>51</v>
      </c>
      <c r="V759" s="1">
        <v>763</v>
      </c>
      <c r="W759" s="1">
        <v>941</v>
      </c>
      <c r="X759" s="2" t="s">
        <v>165</v>
      </c>
      <c r="Y759" s="2" t="s">
        <v>1551</v>
      </c>
      <c r="Z759" s="2" t="s">
        <v>653</v>
      </c>
      <c r="AA759" s="2" t="s">
        <v>2131</v>
      </c>
      <c r="AB759" s="1">
        <v>5815</v>
      </c>
      <c r="AC759" s="1">
        <v>2828</v>
      </c>
      <c r="AD759" s="1">
        <v>1096</v>
      </c>
      <c r="AE759" s="1">
        <v>294</v>
      </c>
      <c r="AF759" s="1">
        <v>52</v>
      </c>
      <c r="AG759" s="1">
        <v>5</v>
      </c>
      <c r="AH759" s="1">
        <v>4552</v>
      </c>
      <c r="AI759" s="1">
        <v>49</v>
      </c>
      <c r="AJ759" s="1">
        <v>324</v>
      </c>
      <c r="AK759" s="1">
        <v>1075</v>
      </c>
      <c r="AL759" s="1">
        <v>146</v>
      </c>
      <c r="AM759" s="1">
        <v>15</v>
      </c>
      <c r="AN759" s="2" t="s">
        <v>245</v>
      </c>
    </row>
    <row r="760" spans="1:40" x14ac:dyDescent="0.3">
      <c r="A760" s="1">
        <v>4218</v>
      </c>
      <c r="B760" s="2" t="s">
        <v>3266</v>
      </c>
      <c r="C760" s="2" t="s">
        <v>3267</v>
      </c>
      <c r="D760" s="1">
        <v>30</v>
      </c>
      <c r="E760" s="2" t="s">
        <v>895</v>
      </c>
      <c r="F760" s="50" t="s">
        <v>2896</v>
      </c>
      <c r="G760" s="2" t="s">
        <v>3268</v>
      </c>
      <c r="H760" s="1">
        <v>7539</v>
      </c>
      <c r="I760" s="1">
        <v>8361</v>
      </c>
      <c r="J760" s="2" t="s">
        <v>2026</v>
      </c>
      <c r="K760" s="2" t="s">
        <v>1640</v>
      </c>
      <c r="L760" s="2" t="s">
        <v>612</v>
      </c>
      <c r="M760" s="1">
        <v>468</v>
      </c>
      <c r="N760" s="1">
        <v>12095</v>
      </c>
      <c r="O760" s="2" t="s">
        <v>144</v>
      </c>
      <c r="P760" s="2" t="s">
        <v>166</v>
      </c>
      <c r="Q760" s="2" t="s">
        <v>463</v>
      </c>
      <c r="R760" s="2" t="s">
        <v>67</v>
      </c>
      <c r="S760" s="2" t="s">
        <v>67</v>
      </c>
      <c r="T760" s="1">
        <v>5225</v>
      </c>
      <c r="U760" s="2" t="s">
        <v>51</v>
      </c>
      <c r="V760" s="1">
        <v>1037</v>
      </c>
      <c r="W760" s="1">
        <v>1224</v>
      </c>
      <c r="X760" s="2" t="s">
        <v>2667</v>
      </c>
      <c r="Y760" s="2" t="s">
        <v>950</v>
      </c>
      <c r="Z760" s="2" t="s">
        <v>3259</v>
      </c>
      <c r="AA760" s="2" t="s">
        <v>257</v>
      </c>
      <c r="AB760" s="1">
        <v>6870</v>
      </c>
      <c r="AC760" s="1">
        <v>3441</v>
      </c>
      <c r="AD760" s="1">
        <v>1336</v>
      </c>
      <c r="AE760" s="1">
        <v>376</v>
      </c>
      <c r="AF760" s="1">
        <v>62</v>
      </c>
      <c r="AG760" s="1">
        <v>10</v>
      </c>
      <c r="AH760" s="1">
        <v>4927</v>
      </c>
      <c r="AI760" s="1">
        <v>741</v>
      </c>
      <c r="AJ760" s="1">
        <v>455</v>
      </c>
      <c r="AK760" s="1">
        <v>1311</v>
      </c>
      <c r="AL760" s="1">
        <v>109</v>
      </c>
      <c r="AM760" s="1">
        <v>22</v>
      </c>
      <c r="AN760" s="2" t="s">
        <v>1749</v>
      </c>
    </row>
    <row r="761" spans="1:40" x14ac:dyDescent="0.3">
      <c r="A761" s="1">
        <v>429</v>
      </c>
      <c r="B761" s="2" t="s">
        <v>3269</v>
      </c>
      <c r="C761" s="2" t="s">
        <v>3270</v>
      </c>
      <c r="D761" s="1">
        <v>32</v>
      </c>
      <c r="E761" s="2" t="s">
        <v>196</v>
      </c>
      <c r="F761" s="50" t="s">
        <v>447</v>
      </c>
      <c r="G761" s="2" t="s">
        <v>3271</v>
      </c>
      <c r="H761" s="1">
        <v>33193</v>
      </c>
      <c r="I761" s="1">
        <v>36823</v>
      </c>
      <c r="J761" s="2" t="s">
        <v>3272</v>
      </c>
      <c r="K761" s="2" t="s">
        <v>2177</v>
      </c>
      <c r="L761" s="2">
        <v>5</v>
      </c>
      <c r="M761" s="1">
        <v>2031</v>
      </c>
      <c r="N761" s="1">
        <v>53271</v>
      </c>
      <c r="O761" s="2" t="s">
        <v>144</v>
      </c>
      <c r="P761" s="2" t="s">
        <v>202</v>
      </c>
      <c r="Q761" s="2" t="s">
        <v>463</v>
      </c>
      <c r="R761" s="2" t="s">
        <v>96</v>
      </c>
      <c r="S761" s="2" t="s">
        <v>135</v>
      </c>
      <c r="T761" s="1">
        <v>22967</v>
      </c>
      <c r="U761" s="2" t="s">
        <v>51</v>
      </c>
      <c r="V761" s="1">
        <v>5280</v>
      </c>
      <c r="W761" s="1">
        <v>6411</v>
      </c>
      <c r="X761" s="2" t="s">
        <v>2998</v>
      </c>
      <c r="Y761" s="2" t="s">
        <v>472</v>
      </c>
      <c r="Z761" s="2" t="s">
        <v>347</v>
      </c>
      <c r="AA761" s="2" t="s">
        <v>739</v>
      </c>
      <c r="AB761" s="1">
        <v>30304</v>
      </c>
      <c r="AC761" s="1">
        <v>15099</v>
      </c>
      <c r="AD761" s="1">
        <v>5905</v>
      </c>
      <c r="AE761" s="1">
        <v>1634</v>
      </c>
      <c r="AF761" s="1">
        <v>304</v>
      </c>
      <c r="AG761" s="1">
        <v>25</v>
      </c>
      <c r="AH761" s="1">
        <v>20680</v>
      </c>
      <c r="AI761" s="1">
        <v>3866</v>
      </c>
      <c r="AJ761" s="1">
        <v>2528</v>
      </c>
      <c r="AK761" s="1">
        <v>5557</v>
      </c>
      <c r="AL761" s="1">
        <v>466</v>
      </c>
      <c r="AM761" s="1">
        <v>137</v>
      </c>
      <c r="AN761" s="2" t="s">
        <v>1749</v>
      </c>
    </row>
    <row r="762" spans="1:40" x14ac:dyDescent="0.3">
      <c r="A762" s="1">
        <v>7537</v>
      </c>
      <c r="B762" s="2" t="s">
        <v>3273</v>
      </c>
      <c r="C762" s="2" t="s">
        <v>3274</v>
      </c>
      <c r="D762" s="1">
        <v>30</v>
      </c>
      <c r="E762" s="2" t="s">
        <v>452</v>
      </c>
      <c r="F762" s="50" t="s">
        <v>537</v>
      </c>
      <c r="G762" s="2" t="s">
        <v>3275</v>
      </c>
      <c r="H762" s="1">
        <v>18341</v>
      </c>
      <c r="I762" s="1">
        <v>19976</v>
      </c>
      <c r="J762" s="2" t="s">
        <v>3276</v>
      </c>
      <c r="K762" s="2" t="s">
        <v>2614</v>
      </c>
      <c r="L762" s="2" t="s">
        <v>975</v>
      </c>
      <c r="M762" s="1">
        <v>1151</v>
      </c>
      <c r="N762" s="1">
        <v>30254</v>
      </c>
      <c r="O762" s="2" t="s">
        <v>49</v>
      </c>
      <c r="P762" s="2" t="s">
        <v>166</v>
      </c>
      <c r="Q762" s="2" t="s">
        <v>322</v>
      </c>
      <c r="R762" s="2" t="s">
        <v>96</v>
      </c>
      <c r="S762" s="2" t="s">
        <v>96</v>
      </c>
      <c r="T762" s="1">
        <v>12964</v>
      </c>
      <c r="U762" s="2" t="s">
        <v>51</v>
      </c>
      <c r="V762" s="1">
        <v>2624</v>
      </c>
      <c r="W762" s="1">
        <v>2793</v>
      </c>
      <c r="X762" s="2" t="s">
        <v>1570</v>
      </c>
      <c r="Y762" s="2" t="s">
        <v>820</v>
      </c>
      <c r="Z762" s="2" t="s">
        <v>391</v>
      </c>
      <c r="AA762" s="2" t="s">
        <v>518</v>
      </c>
      <c r="AB762" s="1">
        <v>17290</v>
      </c>
      <c r="AC762" s="1">
        <v>8776</v>
      </c>
      <c r="AD762" s="1">
        <v>3192</v>
      </c>
      <c r="AE762" s="1">
        <v>837</v>
      </c>
      <c r="AF762" s="1">
        <v>143</v>
      </c>
      <c r="AG762" s="1">
        <v>16</v>
      </c>
      <c r="AH762" s="1">
        <v>10795</v>
      </c>
      <c r="AI762" s="1">
        <v>2869</v>
      </c>
      <c r="AJ762" s="1">
        <v>1079</v>
      </c>
      <c r="AK762" s="1">
        <v>3163</v>
      </c>
      <c r="AL762" s="1">
        <v>408</v>
      </c>
      <c r="AM762" s="1">
        <v>58</v>
      </c>
      <c r="AN762" s="2" t="s">
        <v>1749</v>
      </c>
    </row>
    <row r="763" spans="1:40" x14ac:dyDescent="0.3">
      <c r="A763" s="1">
        <v>3252</v>
      </c>
      <c r="B763" s="2" t="s">
        <v>3277</v>
      </c>
      <c r="C763" s="2" t="s">
        <v>3278</v>
      </c>
      <c r="D763" s="1">
        <v>31</v>
      </c>
      <c r="E763" s="2" t="s">
        <v>708</v>
      </c>
      <c r="F763" s="50" t="s">
        <v>3514</v>
      </c>
      <c r="G763" s="2" t="s">
        <v>3279</v>
      </c>
      <c r="H763" s="1">
        <v>14245</v>
      </c>
      <c r="I763" s="1">
        <v>15916</v>
      </c>
      <c r="J763" s="2" t="s">
        <v>1431</v>
      </c>
      <c r="K763" s="2" t="s">
        <v>2233</v>
      </c>
      <c r="L763" s="2" t="s">
        <v>164</v>
      </c>
      <c r="M763" s="1">
        <v>869</v>
      </c>
      <c r="N763" s="1">
        <v>22614</v>
      </c>
      <c r="O763" s="2" t="s">
        <v>215</v>
      </c>
      <c r="P763" s="2" t="s">
        <v>235</v>
      </c>
      <c r="Q763" s="2" t="s">
        <v>905</v>
      </c>
      <c r="R763" s="2" t="s">
        <v>96</v>
      </c>
      <c r="S763" s="2" t="s">
        <v>66</v>
      </c>
      <c r="T763" s="1">
        <v>9809</v>
      </c>
      <c r="U763" s="2" t="s">
        <v>51</v>
      </c>
      <c r="V763" s="1">
        <v>2089</v>
      </c>
      <c r="W763" s="1">
        <v>2569</v>
      </c>
      <c r="X763" s="2" t="s">
        <v>165</v>
      </c>
      <c r="Y763" s="2" t="s">
        <v>1570</v>
      </c>
      <c r="Z763" s="2" t="s">
        <v>795</v>
      </c>
      <c r="AA763" s="2" t="s">
        <v>888</v>
      </c>
      <c r="AB763" s="1">
        <v>12805</v>
      </c>
      <c r="AC763" s="1">
        <v>6423</v>
      </c>
      <c r="AD763" s="1">
        <v>2516</v>
      </c>
      <c r="AE763" s="1">
        <v>740</v>
      </c>
      <c r="AF763" s="1">
        <v>117</v>
      </c>
      <c r="AG763" s="1">
        <v>13</v>
      </c>
      <c r="AH763" s="1">
        <v>9438</v>
      </c>
      <c r="AI763" s="1">
        <v>1183</v>
      </c>
      <c r="AJ763" s="1">
        <v>864</v>
      </c>
      <c r="AK763" s="1">
        <v>2519</v>
      </c>
      <c r="AL763" s="1">
        <v>206</v>
      </c>
      <c r="AM763" s="1">
        <v>53</v>
      </c>
      <c r="AN763" s="2" t="s">
        <v>1749</v>
      </c>
    </row>
    <row r="764" spans="1:40" x14ac:dyDescent="0.3">
      <c r="A764" s="1">
        <v>1154</v>
      </c>
      <c r="B764" s="2" t="s">
        <v>3280</v>
      </c>
      <c r="C764" s="2" t="s">
        <v>3281</v>
      </c>
      <c r="D764" s="1">
        <v>33</v>
      </c>
      <c r="E764" s="2" t="s">
        <v>742</v>
      </c>
      <c r="F764" s="50" t="s">
        <v>3514</v>
      </c>
      <c r="G764" s="2" t="s">
        <v>3213</v>
      </c>
      <c r="H764" s="1">
        <v>6787</v>
      </c>
      <c r="I764" s="1">
        <v>7451</v>
      </c>
      <c r="J764" s="2" t="s">
        <v>1253</v>
      </c>
      <c r="K764" s="2" t="s">
        <v>2773</v>
      </c>
      <c r="L764" s="2">
        <v>3</v>
      </c>
      <c r="M764" s="1">
        <v>414</v>
      </c>
      <c r="N764" s="1">
        <v>10880</v>
      </c>
      <c r="O764" s="2" t="s">
        <v>144</v>
      </c>
      <c r="P764" s="2" t="s">
        <v>235</v>
      </c>
      <c r="Q764" s="2" t="s">
        <v>167</v>
      </c>
      <c r="R764" s="2" t="s">
        <v>67</v>
      </c>
      <c r="S764" s="2" t="s">
        <v>50</v>
      </c>
      <c r="T764" s="1">
        <v>4793</v>
      </c>
      <c r="U764" s="2" t="s">
        <v>51</v>
      </c>
      <c r="V764" s="1">
        <v>871</v>
      </c>
      <c r="W764" s="1">
        <v>1003</v>
      </c>
      <c r="X764" s="2" t="s">
        <v>2324</v>
      </c>
      <c r="Y764" s="2" t="s">
        <v>1749</v>
      </c>
      <c r="Z764" s="2" t="s">
        <v>2130</v>
      </c>
      <c r="AA764" s="2" t="s">
        <v>2631</v>
      </c>
      <c r="AB764" s="1">
        <v>6087</v>
      </c>
      <c r="AC764" s="1">
        <v>3230</v>
      </c>
      <c r="AD764" s="1">
        <v>1195</v>
      </c>
      <c r="AE764" s="1">
        <v>313</v>
      </c>
      <c r="AF764" s="1">
        <v>52</v>
      </c>
      <c r="AG764" s="1">
        <v>3</v>
      </c>
      <c r="AH764" s="1">
        <v>4634</v>
      </c>
      <c r="AI764" s="1">
        <v>105</v>
      </c>
      <c r="AJ764" s="1">
        <v>611</v>
      </c>
      <c r="AK764" s="1">
        <v>1331</v>
      </c>
      <c r="AL764" s="1">
        <v>63</v>
      </c>
      <c r="AM764" s="1">
        <v>54</v>
      </c>
      <c r="AN764" s="2" t="s">
        <v>1749</v>
      </c>
    </row>
    <row r="765" spans="1:40" ht="28.2" x14ac:dyDescent="0.3">
      <c r="A765" s="1">
        <v>1866</v>
      </c>
      <c r="B765" s="2" t="s">
        <v>3282</v>
      </c>
      <c r="C765" s="2" t="s">
        <v>3283</v>
      </c>
      <c r="D765" s="1">
        <v>29</v>
      </c>
      <c r="E765" s="2" t="s">
        <v>59</v>
      </c>
      <c r="F765" s="50" t="s">
        <v>1880</v>
      </c>
      <c r="G765" s="2" t="s">
        <v>3284</v>
      </c>
      <c r="H765" s="1">
        <v>6329</v>
      </c>
      <c r="I765" s="1">
        <v>7071</v>
      </c>
      <c r="J765" s="2" t="s">
        <v>2791</v>
      </c>
      <c r="K765" s="2" t="s">
        <v>2250</v>
      </c>
      <c r="L765" s="2" t="s">
        <v>425</v>
      </c>
      <c r="M765" s="1">
        <v>383</v>
      </c>
      <c r="N765" s="1">
        <v>9929</v>
      </c>
      <c r="O765" s="2" t="s">
        <v>65</v>
      </c>
      <c r="P765" s="2" t="s">
        <v>235</v>
      </c>
      <c r="Q765" s="2" t="s">
        <v>646</v>
      </c>
      <c r="R765" s="2" t="s">
        <v>66</v>
      </c>
      <c r="S765" s="2" t="s">
        <v>135</v>
      </c>
      <c r="T765" s="1">
        <v>4411</v>
      </c>
      <c r="U765" s="2" t="s">
        <v>51</v>
      </c>
      <c r="V765" s="1">
        <v>985</v>
      </c>
      <c r="W765" s="1">
        <v>1144</v>
      </c>
      <c r="X765" s="2" t="s">
        <v>64</v>
      </c>
      <c r="Y765" s="2" t="s">
        <v>503</v>
      </c>
      <c r="Z765" s="2" t="s">
        <v>2245</v>
      </c>
      <c r="AA765" s="2" t="s">
        <v>408</v>
      </c>
      <c r="AB765" s="1">
        <v>5518</v>
      </c>
      <c r="AC765" s="1">
        <v>2932</v>
      </c>
      <c r="AD765" s="1">
        <v>1119</v>
      </c>
      <c r="AE765" s="1">
        <v>287</v>
      </c>
      <c r="AF765" s="1">
        <v>68</v>
      </c>
      <c r="AG765" s="1">
        <v>5</v>
      </c>
      <c r="AH765" s="1">
        <v>4675</v>
      </c>
      <c r="AI765" s="1">
        <v>19</v>
      </c>
      <c r="AJ765" s="1">
        <v>425</v>
      </c>
      <c r="AK765" s="1">
        <v>1165</v>
      </c>
      <c r="AL765" s="1">
        <v>48</v>
      </c>
      <c r="AM765" s="1">
        <v>10</v>
      </c>
      <c r="AN765" s="2" t="s">
        <v>1749</v>
      </c>
    </row>
    <row r="766" spans="1:40" x14ac:dyDescent="0.3">
      <c r="A766" s="1">
        <v>7796</v>
      </c>
      <c r="B766" s="2" t="s">
        <v>3285</v>
      </c>
      <c r="C766" s="2" t="s">
        <v>3286</v>
      </c>
      <c r="D766" s="1">
        <v>28</v>
      </c>
      <c r="E766" s="2" t="s">
        <v>75</v>
      </c>
      <c r="F766" s="50" t="s">
        <v>3514</v>
      </c>
      <c r="G766" s="2" t="s">
        <v>1113</v>
      </c>
      <c r="H766" s="1">
        <v>13258</v>
      </c>
      <c r="I766" s="1">
        <v>14973</v>
      </c>
      <c r="J766" s="2" t="s">
        <v>2791</v>
      </c>
      <c r="K766" s="2" t="s">
        <v>1834</v>
      </c>
      <c r="L766" s="2" t="s">
        <v>471</v>
      </c>
      <c r="M766" s="1">
        <v>794</v>
      </c>
      <c r="N766" s="1">
        <v>20857</v>
      </c>
      <c r="O766" s="2" t="s">
        <v>65</v>
      </c>
      <c r="P766" s="2" t="s">
        <v>202</v>
      </c>
      <c r="Q766" s="2" t="s">
        <v>311</v>
      </c>
      <c r="R766" s="2" t="s">
        <v>66</v>
      </c>
      <c r="S766" s="2" t="s">
        <v>135</v>
      </c>
      <c r="T766" s="1">
        <v>9114</v>
      </c>
      <c r="U766" s="2" t="s">
        <v>51</v>
      </c>
      <c r="V766" s="1">
        <v>2033</v>
      </c>
      <c r="W766" s="1">
        <v>2632</v>
      </c>
      <c r="X766" s="2" t="s">
        <v>81</v>
      </c>
      <c r="Y766" s="2" t="s">
        <v>1570</v>
      </c>
      <c r="Z766" s="2" t="s">
        <v>2135</v>
      </c>
      <c r="AA766" s="2" t="s">
        <v>413</v>
      </c>
      <c r="AB766" s="1">
        <v>11743</v>
      </c>
      <c r="AC766" s="1">
        <v>5968</v>
      </c>
      <c r="AD766" s="1">
        <v>2330</v>
      </c>
      <c r="AE766" s="1">
        <v>664</v>
      </c>
      <c r="AF766" s="1">
        <v>130</v>
      </c>
      <c r="AG766" s="1">
        <v>22</v>
      </c>
      <c r="AH766" s="1">
        <v>9695</v>
      </c>
      <c r="AI766" s="1">
        <v>193</v>
      </c>
      <c r="AJ766" s="1">
        <v>757</v>
      </c>
      <c r="AK766" s="1">
        <v>2390</v>
      </c>
      <c r="AL766" s="1">
        <v>174</v>
      </c>
      <c r="AM766" s="1">
        <v>63</v>
      </c>
      <c r="AN766" s="2" t="s">
        <v>1749</v>
      </c>
    </row>
    <row r="767" spans="1:40" x14ac:dyDescent="0.3">
      <c r="A767" s="1">
        <v>10114</v>
      </c>
      <c r="B767" s="2" t="s">
        <v>3287</v>
      </c>
      <c r="C767" s="2" t="s">
        <v>3288</v>
      </c>
      <c r="D767" s="1">
        <v>22</v>
      </c>
      <c r="E767" s="2" t="s">
        <v>452</v>
      </c>
      <c r="F767" s="50" t="s">
        <v>2869</v>
      </c>
      <c r="G767" s="2" t="s">
        <v>3289</v>
      </c>
      <c r="H767" s="1">
        <v>7931</v>
      </c>
      <c r="I767" s="1">
        <v>8874</v>
      </c>
      <c r="J767" s="2" t="s">
        <v>633</v>
      </c>
      <c r="K767" s="2" t="s">
        <v>2067</v>
      </c>
      <c r="L767" s="2" t="s">
        <v>1170</v>
      </c>
      <c r="M767" s="1">
        <v>476</v>
      </c>
      <c r="N767" s="1">
        <v>12674</v>
      </c>
      <c r="O767" s="2" t="s">
        <v>215</v>
      </c>
      <c r="P767" s="2" t="s">
        <v>202</v>
      </c>
      <c r="Q767" s="2" t="s">
        <v>905</v>
      </c>
      <c r="R767" s="2" t="s">
        <v>50</v>
      </c>
      <c r="S767" s="2" t="s">
        <v>50</v>
      </c>
      <c r="T767" s="1">
        <v>5543</v>
      </c>
      <c r="U767" s="2" t="s">
        <v>51</v>
      </c>
      <c r="V767" s="1">
        <v>1132</v>
      </c>
      <c r="W767" s="1">
        <v>1279</v>
      </c>
      <c r="X767" s="2" t="s">
        <v>1551</v>
      </c>
      <c r="Y767" s="2" t="s">
        <v>820</v>
      </c>
      <c r="Z767" s="2" t="s">
        <v>1268</v>
      </c>
      <c r="AA767" s="2" t="s">
        <v>1101</v>
      </c>
      <c r="AB767" s="1">
        <v>7131</v>
      </c>
      <c r="AC767" s="1">
        <v>3696</v>
      </c>
      <c r="AD767" s="1">
        <v>1403</v>
      </c>
      <c r="AE767" s="1">
        <v>352</v>
      </c>
      <c r="AF767" s="1">
        <v>87</v>
      </c>
      <c r="AG767" s="1">
        <v>5</v>
      </c>
      <c r="AH767" s="1">
        <v>4971</v>
      </c>
      <c r="AI767" s="1">
        <v>749</v>
      </c>
      <c r="AJ767" s="1">
        <v>494</v>
      </c>
      <c r="AK767" s="1">
        <v>1588</v>
      </c>
      <c r="AL767" s="1">
        <v>124</v>
      </c>
      <c r="AM767" s="1">
        <v>22</v>
      </c>
      <c r="AN767" s="2" t="s">
        <v>1749</v>
      </c>
    </row>
    <row r="768" spans="1:40" x14ac:dyDescent="0.3">
      <c r="A768" s="1">
        <v>7821</v>
      </c>
      <c r="B768" s="2" t="s">
        <v>3290</v>
      </c>
      <c r="C768" s="2" t="s">
        <v>3291</v>
      </c>
      <c r="D768" s="1">
        <v>30</v>
      </c>
      <c r="E768" s="2" t="s">
        <v>452</v>
      </c>
      <c r="F768" s="50" t="s">
        <v>701</v>
      </c>
      <c r="G768" s="2" t="s">
        <v>3292</v>
      </c>
      <c r="H768" s="1">
        <v>20522</v>
      </c>
      <c r="I768" s="1">
        <v>22630</v>
      </c>
      <c r="J768" s="2" t="s">
        <v>1586</v>
      </c>
      <c r="K768" s="2" t="s">
        <v>3293</v>
      </c>
      <c r="L768" s="2" t="s">
        <v>1943</v>
      </c>
      <c r="M768" s="1">
        <v>1267</v>
      </c>
      <c r="N768" s="1">
        <v>33681</v>
      </c>
      <c r="O768" s="2" t="s">
        <v>49</v>
      </c>
      <c r="P768" s="2" t="s">
        <v>553</v>
      </c>
      <c r="Q768" s="2" t="s">
        <v>225</v>
      </c>
      <c r="R768" s="2" t="s">
        <v>67</v>
      </c>
      <c r="S768" s="2" t="s">
        <v>96</v>
      </c>
      <c r="T768" s="1">
        <v>14546</v>
      </c>
      <c r="U768" s="2" t="s">
        <v>51</v>
      </c>
      <c r="V768" s="1">
        <v>2511</v>
      </c>
      <c r="W768" s="1">
        <v>2857</v>
      </c>
      <c r="X768" s="2" t="s">
        <v>2315</v>
      </c>
      <c r="Y768" s="2" t="s">
        <v>1906</v>
      </c>
      <c r="Z768" s="2" t="s">
        <v>85</v>
      </c>
      <c r="AA768" s="2" t="s">
        <v>822</v>
      </c>
      <c r="AB768" s="1">
        <v>19135</v>
      </c>
      <c r="AC768" s="1">
        <v>9868</v>
      </c>
      <c r="AD768" s="1">
        <v>3530</v>
      </c>
      <c r="AE768" s="1">
        <v>1006</v>
      </c>
      <c r="AF768" s="1">
        <v>135</v>
      </c>
      <c r="AG768" s="1">
        <v>7</v>
      </c>
      <c r="AH768" s="1">
        <v>14223</v>
      </c>
      <c r="AI768" s="1">
        <v>302</v>
      </c>
      <c r="AJ768" s="1">
        <v>1922</v>
      </c>
      <c r="AK768" s="1">
        <v>3603</v>
      </c>
      <c r="AL768" s="1">
        <v>455</v>
      </c>
      <c r="AM768" s="1">
        <v>52</v>
      </c>
      <c r="AN768" s="2" t="s">
        <v>1906</v>
      </c>
    </row>
    <row r="769" spans="1:40" ht="28.2" x14ac:dyDescent="0.3">
      <c r="A769" s="1">
        <v>14202</v>
      </c>
      <c r="B769" s="2" t="s">
        <v>3294</v>
      </c>
      <c r="C769" s="2" t="s">
        <v>3295</v>
      </c>
      <c r="D769" s="1">
        <v>22</v>
      </c>
      <c r="E769" s="2" t="s">
        <v>187</v>
      </c>
      <c r="F769" s="50" t="s">
        <v>2881</v>
      </c>
      <c r="G769" s="2" t="s">
        <v>3296</v>
      </c>
      <c r="H769" s="1">
        <v>5994</v>
      </c>
      <c r="I769" s="1">
        <v>6599</v>
      </c>
      <c r="J769" s="2" t="s">
        <v>1549</v>
      </c>
      <c r="K769" s="2">
        <v>65</v>
      </c>
      <c r="L769" s="2" t="s">
        <v>80</v>
      </c>
      <c r="M769" s="1">
        <v>379</v>
      </c>
      <c r="N769" s="1">
        <v>10205</v>
      </c>
      <c r="O769" s="2" t="s">
        <v>95</v>
      </c>
      <c r="P769" s="2" t="s">
        <v>67</v>
      </c>
      <c r="Q769" s="2" t="s">
        <v>276</v>
      </c>
      <c r="R769" s="2" t="s">
        <v>50</v>
      </c>
      <c r="S769" s="2" t="s">
        <v>50</v>
      </c>
      <c r="T769" s="1">
        <v>4253</v>
      </c>
      <c r="U769" s="2" t="s">
        <v>51</v>
      </c>
      <c r="V769" s="1">
        <v>624</v>
      </c>
      <c r="W769" s="1">
        <v>732</v>
      </c>
      <c r="X769" s="2" t="s">
        <v>2667</v>
      </c>
      <c r="Y769" s="2" t="s">
        <v>2667</v>
      </c>
      <c r="Z769" s="2" t="s">
        <v>399</v>
      </c>
      <c r="AA769" s="2" t="s">
        <v>3297</v>
      </c>
      <c r="AB769" s="1">
        <v>5952</v>
      </c>
      <c r="AC769" s="1">
        <v>2898</v>
      </c>
      <c r="AD769" s="1">
        <v>1034</v>
      </c>
      <c r="AE769" s="1">
        <v>265</v>
      </c>
      <c r="AF769" s="1">
        <v>47</v>
      </c>
      <c r="AG769" s="1">
        <v>9</v>
      </c>
      <c r="AH769" s="1">
        <v>4447</v>
      </c>
      <c r="AI769" s="1">
        <v>28</v>
      </c>
      <c r="AJ769" s="1">
        <v>446</v>
      </c>
      <c r="AK769" s="1">
        <v>993</v>
      </c>
      <c r="AL769" s="1">
        <v>77</v>
      </c>
      <c r="AM769" s="1">
        <v>24</v>
      </c>
      <c r="AN769" s="2" t="s">
        <v>1570</v>
      </c>
    </row>
    <row r="770" spans="1:40" ht="28.2" x14ac:dyDescent="0.3">
      <c r="A770" s="1">
        <v>7218</v>
      </c>
      <c r="B770" s="2" t="s">
        <v>3298</v>
      </c>
      <c r="C770" s="2" t="s">
        <v>3299</v>
      </c>
      <c r="D770" s="1">
        <v>29</v>
      </c>
      <c r="E770" s="2" t="s">
        <v>708</v>
      </c>
      <c r="F770" s="50" t="s">
        <v>1744</v>
      </c>
      <c r="G770" s="2" t="s">
        <v>3300</v>
      </c>
      <c r="H770" s="1">
        <v>29499</v>
      </c>
      <c r="I770" s="1">
        <v>32932</v>
      </c>
      <c r="J770" s="2" t="s">
        <v>91</v>
      </c>
      <c r="K770" s="2" t="s">
        <v>3209</v>
      </c>
      <c r="L770" s="2" t="s">
        <v>282</v>
      </c>
      <c r="M770" s="1">
        <v>1864</v>
      </c>
      <c r="N770" s="1">
        <v>48739</v>
      </c>
      <c r="O770" s="2" t="s">
        <v>49</v>
      </c>
      <c r="P770" s="2" t="s">
        <v>166</v>
      </c>
      <c r="Q770" s="2" t="s">
        <v>167</v>
      </c>
      <c r="R770" s="2" t="s">
        <v>50</v>
      </c>
      <c r="S770" s="2" t="s">
        <v>66</v>
      </c>
      <c r="T770" s="1">
        <v>20712</v>
      </c>
      <c r="U770" s="2" t="s">
        <v>51</v>
      </c>
      <c r="V770" s="1">
        <v>4581</v>
      </c>
      <c r="W770" s="1">
        <v>5119</v>
      </c>
      <c r="X770" s="2" t="s">
        <v>1551</v>
      </c>
      <c r="Y770" s="2" t="s">
        <v>472</v>
      </c>
      <c r="Z770" s="2" t="s">
        <v>278</v>
      </c>
      <c r="AA770" s="2" t="s">
        <v>640</v>
      </c>
      <c r="AB770" s="1">
        <v>28027</v>
      </c>
      <c r="AC770" s="1">
        <v>14001</v>
      </c>
      <c r="AD770" s="1">
        <v>5006</v>
      </c>
      <c r="AE770" s="1">
        <v>1412</v>
      </c>
      <c r="AF770" s="1">
        <v>265</v>
      </c>
      <c r="AG770" s="1">
        <v>28</v>
      </c>
      <c r="AH770" s="1">
        <v>15027</v>
      </c>
      <c r="AI770" s="1">
        <v>5942</v>
      </c>
      <c r="AJ770" s="1">
        <v>2198</v>
      </c>
      <c r="AK770" s="1">
        <v>5682</v>
      </c>
      <c r="AL770" s="1">
        <v>583</v>
      </c>
      <c r="AM770" s="1">
        <v>111</v>
      </c>
      <c r="AN770" s="2" t="s">
        <v>1906</v>
      </c>
    </row>
    <row r="771" spans="1:40" x14ac:dyDescent="0.3">
      <c r="A771" s="1">
        <v>8983</v>
      </c>
      <c r="B771" s="2" t="s">
        <v>3301</v>
      </c>
      <c r="C771" s="2" t="s">
        <v>3302</v>
      </c>
      <c r="D771" s="1">
        <v>25</v>
      </c>
      <c r="E771" s="2" t="s">
        <v>141</v>
      </c>
      <c r="F771" s="50" t="s">
        <v>1093</v>
      </c>
      <c r="G771" s="2" t="s">
        <v>1093</v>
      </c>
      <c r="H771" s="1">
        <v>18352</v>
      </c>
      <c r="I771" s="1">
        <v>20377</v>
      </c>
      <c r="J771" s="2" t="s">
        <v>744</v>
      </c>
      <c r="K771" s="2" t="s">
        <v>3303</v>
      </c>
      <c r="L771" s="2" t="s">
        <v>1352</v>
      </c>
      <c r="M771" s="1">
        <v>1174</v>
      </c>
      <c r="N771" s="1">
        <v>31108</v>
      </c>
      <c r="O771" s="2" t="s">
        <v>95</v>
      </c>
      <c r="P771" s="2" t="s">
        <v>202</v>
      </c>
      <c r="Q771" s="2" t="s">
        <v>322</v>
      </c>
      <c r="R771" s="2" t="s">
        <v>50</v>
      </c>
      <c r="S771" s="2" t="s">
        <v>96</v>
      </c>
      <c r="T771" s="1">
        <v>12919</v>
      </c>
      <c r="U771" s="2" t="s">
        <v>51</v>
      </c>
      <c r="V771" s="1">
        <v>2447</v>
      </c>
      <c r="W771" s="1">
        <v>3219</v>
      </c>
      <c r="X771" s="2" t="s">
        <v>234</v>
      </c>
      <c r="Y771" s="2" t="s">
        <v>1551</v>
      </c>
      <c r="Z771" s="2" t="s">
        <v>1020</v>
      </c>
      <c r="AA771" s="2" t="s">
        <v>1572</v>
      </c>
      <c r="AB771" s="1">
        <v>18189</v>
      </c>
      <c r="AC771" s="1">
        <v>8720</v>
      </c>
      <c r="AD771" s="1">
        <v>3137</v>
      </c>
      <c r="AE771" s="1">
        <v>901</v>
      </c>
      <c r="AF771" s="1">
        <v>151</v>
      </c>
      <c r="AG771" s="1">
        <v>10</v>
      </c>
      <c r="AH771" s="1">
        <v>12602</v>
      </c>
      <c r="AI771" s="1">
        <v>599</v>
      </c>
      <c r="AJ771" s="1">
        <v>1530</v>
      </c>
      <c r="AK771" s="1">
        <v>3245</v>
      </c>
      <c r="AL771" s="1">
        <v>374</v>
      </c>
      <c r="AM771" s="1">
        <v>68</v>
      </c>
      <c r="AN771" s="2" t="s">
        <v>1906</v>
      </c>
    </row>
    <row r="772" spans="1:40" ht="28.2" x14ac:dyDescent="0.3">
      <c r="A772" s="1">
        <v>9348</v>
      </c>
      <c r="B772" s="2" t="s">
        <v>3304</v>
      </c>
      <c r="C772" s="2" t="s">
        <v>3305</v>
      </c>
      <c r="D772" s="1">
        <v>26</v>
      </c>
      <c r="E772" s="2" t="s">
        <v>59</v>
      </c>
      <c r="F772" s="50" t="s">
        <v>3306</v>
      </c>
      <c r="G772" s="2" t="s">
        <v>3307</v>
      </c>
      <c r="H772" s="1">
        <v>11789</v>
      </c>
      <c r="I772" s="1">
        <v>13256</v>
      </c>
      <c r="J772" s="2" t="s">
        <v>1150</v>
      </c>
      <c r="K772" s="2" t="s">
        <v>2614</v>
      </c>
      <c r="L772" s="2" t="s">
        <v>575</v>
      </c>
      <c r="M772" s="1">
        <v>729</v>
      </c>
      <c r="N772" s="1">
        <v>19205</v>
      </c>
      <c r="O772" s="2" t="s">
        <v>49</v>
      </c>
      <c r="P772" s="2" t="s">
        <v>202</v>
      </c>
      <c r="Q772" s="2" t="s">
        <v>463</v>
      </c>
      <c r="R772" s="2" t="s">
        <v>96</v>
      </c>
      <c r="S772" s="2" t="s">
        <v>135</v>
      </c>
      <c r="T772" s="1">
        <v>8272</v>
      </c>
      <c r="U772" s="2" t="s">
        <v>51</v>
      </c>
      <c r="V772" s="1">
        <v>1649</v>
      </c>
      <c r="W772" s="1">
        <v>2148</v>
      </c>
      <c r="X772" s="2" t="s">
        <v>81</v>
      </c>
      <c r="Y772" s="2" t="s">
        <v>1749</v>
      </c>
      <c r="Z772" s="2" t="s">
        <v>932</v>
      </c>
      <c r="AA772" s="2" t="s">
        <v>518</v>
      </c>
      <c r="AB772" s="1">
        <v>10933</v>
      </c>
      <c r="AC772" s="1">
        <v>5531</v>
      </c>
      <c r="AD772" s="1">
        <v>2099</v>
      </c>
      <c r="AE772" s="1">
        <v>523</v>
      </c>
      <c r="AF772" s="1">
        <v>104</v>
      </c>
      <c r="AG772" s="1">
        <v>15</v>
      </c>
      <c r="AH772" s="1">
        <v>8072</v>
      </c>
      <c r="AI772" s="1">
        <v>361</v>
      </c>
      <c r="AJ772" s="1">
        <v>914</v>
      </c>
      <c r="AK772" s="1">
        <v>2215</v>
      </c>
      <c r="AL772" s="1">
        <v>180</v>
      </c>
      <c r="AM772" s="1">
        <v>70</v>
      </c>
      <c r="AN772" s="2" t="s">
        <v>1906</v>
      </c>
    </row>
    <row r="773" spans="1:40" ht="28.2" x14ac:dyDescent="0.3">
      <c r="A773" s="1">
        <v>8294</v>
      </c>
      <c r="B773" s="2" t="s">
        <v>3308</v>
      </c>
      <c r="C773" s="2" t="s">
        <v>3309</v>
      </c>
      <c r="D773" s="1">
        <v>26</v>
      </c>
      <c r="E773" s="2" t="s">
        <v>75</v>
      </c>
      <c r="F773" s="50" t="s">
        <v>3514</v>
      </c>
      <c r="G773" s="2" t="s">
        <v>2915</v>
      </c>
      <c r="H773" s="1">
        <v>9791</v>
      </c>
      <c r="I773" s="1">
        <v>11024</v>
      </c>
      <c r="J773" s="2" t="s">
        <v>1431</v>
      </c>
      <c r="K773" s="2" t="s">
        <v>1764</v>
      </c>
      <c r="L773" s="2" t="s">
        <v>244</v>
      </c>
      <c r="M773" s="1">
        <v>611</v>
      </c>
      <c r="N773" s="1">
        <v>16017</v>
      </c>
      <c r="O773" s="2" t="s">
        <v>49</v>
      </c>
      <c r="P773" s="2" t="s">
        <v>166</v>
      </c>
      <c r="Q773" s="2" t="s">
        <v>463</v>
      </c>
      <c r="R773" s="2" t="s">
        <v>67</v>
      </c>
      <c r="S773" s="2" t="s">
        <v>50</v>
      </c>
      <c r="T773" s="1">
        <v>6863</v>
      </c>
      <c r="U773" s="2" t="s">
        <v>51</v>
      </c>
      <c r="V773" s="1">
        <v>1166</v>
      </c>
      <c r="W773" s="1">
        <v>1306</v>
      </c>
      <c r="X773" s="2" t="s">
        <v>1551</v>
      </c>
      <c r="Y773" s="2" t="s">
        <v>1551</v>
      </c>
      <c r="Z773" s="2" t="s">
        <v>745</v>
      </c>
      <c r="AA773" s="2" t="s">
        <v>1468</v>
      </c>
      <c r="AB773" s="1">
        <v>9154</v>
      </c>
      <c r="AC773" s="1">
        <v>4594</v>
      </c>
      <c r="AD773" s="1">
        <v>1712</v>
      </c>
      <c r="AE773" s="1">
        <v>467</v>
      </c>
      <c r="AF773" s="1">
        <v>78</v>
      </c>
      <c r="AG773" s="1">
        <v>12</v>
      </c>
      <c r="AH773" s="1">
        <v>5919</v>
      </c>
      <c r="AI773" s="1">
        <v>346</v>
      </c>
      <c r="AJ773" s="1">
        <v>1296</v>
      </c>
      <c r="AK773" s="1">
        <v>1943</v>
      </c>
      <c r="AL773" s="1">
        <v>179</v>
      </c>
      <c r="AM773" s="1">
        <v>122</v>
      </c>
      <c r="AN773" s="2" t="s">
        <v>1906</v>
      </c>
    </row>
    <row r="774" spans="1:40" ht="42" x14ac:dyDescent="0.3">
      <c r="A774" s="1">
        <v>13250</v>
      </c>
      <c r="B774" s="2" t="s">
        <v>3310</v>
      </c>
      <c r="C774" s="2" t="s">
        <v>3311</v>
      </c>
      <c r="D774" s="1">
        <v>24</v>
      </c>
      <c r="E774" s="2" t="s">
        <v>459</v>
      </c>
      <c r="F774" s="51" t="s">
        <v>715</v>
      </c>
      <c r="G774" s="2" t="s">
        <v>716</v>
      </c>
      <c r="H774" s="1">
        <v>15025</v>
      </c>
      <c r="I774" s="1">
        <v>16842</v>
      </c>
      <c r="J774" s="2" t="s">
        <v>832</v>
      </c>
      <c r="K774" s="2" t="s">
        <v>2140</v>
      </c>
      <c r="L774" s="2" t="s">
        <v>244</v>
      </c>
      <c r="M774" s="1">
        <v>940</v>
      </c>
      <c r="N774" s="1">
        <v>24528</v>
      </c>
      <c r="O774" s="2" t="s">
        <v>49</v>
      </c>
      <c r="P774" s="2" t="s">
        <v>235</v>
      </c>
      <c r="Q774" s="2" t="s">
        <v>463</v>
      </c>
      <c r="R774" s="2" t="s">
        <v>67</v>
      </c>
      <c r="S774" s="2" t="s">
        <v>96</v>
      </c>
      <c r="T774" s="1">
        <v>10606</v>
      </c>
      <c r="U774" s="2" t="s">
        <v>51</v>
      </c>
      <c r="V774" s="1">
        <v>2182</v>
      </c>
      <c r="W774" s="1">
        <v>2488</v>
      </c>
      <c r="X774" s="2" t="s">
        <v>2315</v>
      </c>
      <c r="Y774" s="2" t="s">
        <v>1570</v>
      </c>
      <c r="Z774" s="2" t="s">
        <v>1214</v>
      </c>
      <c r="AA774" s="2" t="s">
        <v>852</v>
      </c>
      <c r="AB774" s="1">
        <v>13922</v>
      </c>
      <c r="AC774" s="1">
        <v>7164</v>
      </c>
      <c r="AD774" s="1">
        <v>2620</v>
      </c>
      <c r="AE774" s="1">
        <v>680</v>
      </c>
      <c r="AF774" s="1">
        <v>129</v>
      </c>
      <c r="AG774" s="1">
        <v>13</v>
      </c>
      <c r="AH774" s="1">
        <v>10449</v>
      </c>
      <c r="AI774" s="1">
        <v>654</v>
      </c>
      <c r="AJ774" s="1">
        <v>1183</v>
      </c>
      <c r="AK774" s="1">
        <v>2483</v>
      </c>
      <c r="AL774" s="1">
        <v>235</v>
      </c>
      <c r="AM774" s="1">
        <v>68</v>
      </c>
      <c r="AN774" s="2" t="s">
        <v>503</v>
      </c>
    </row>
    <row r="775" spans="1:40" ht="28.2" x14ac:dyDescent="0.3">
      <c r="A775" s="1">
        <v>9295</v>
      </c>
      <c r="B775" s="2" t="s">
        <v>3312</v>
      </c>
      <c r="C775" s="2" t="s">
        <v>3313</v>
      </c>
      <c r="D775" s="1">
        <v>26</v>
      </c>
      <c r="E775" s="2" t="s">
        <v>196</v>
      </c>
      <c r="F775" s="50" t="s">
        <v>188</v>
      </c>
      <c r="G775" s="2" t="s">
        <v>3314</v>
      </c>
      <c r="H775" s="1">
        <v>8771</v>
      </c>
      <c r="I775" s="1">
        <v>9749</v>
      </c>
      <c r="J775" s="2" t="s">
        <v>1927</v>
      </c>
      <c r="K775" s="2" t="s">
        <v>1764</v>
      </c>
      <c r="L775" s="2" t="s">
        <v>201</v>
      </c>
      <c r="M775" s="1">
        <v>553</v>
      </c>
      <c r="N775" s="1">
        <v>14608</v>
      </c>
      <c r="O775" s="2" t="s">
        <v>134</v>
      </c>
      <c r="P775" s="2" t="s">
        <v>166</v>
      </c>
      <c r="Q775" s="2" t="s">
        <v>225</v>
      </c>
      <c r="R775" s="2" t="s">
        <v>50</v>
      </c>
      <c r="S775" s="2" t="s">
        <v>96</v>
      </c>
      <c r="T775" s="1">
        <v>6241</v>
      </c>
      <c r="U775" s="2" t="s">
        <v>51</v>
      </c>
      <c r="V775" s="1">
        <v>1024</v>
      </c>
      <c r="W775" s="1">
        <v>1202</v>
      </c>
      <c r="X775" s="2" t="s">
        <v>2667</v>
      </c>
      <c r="Y775" s="2" t="s">
        <v>2315</v>
      </c>
      <c r="Z775" s="2" t="s">
        <v>1310</v>
      </c>
      <c r="AA775" s="2" t="s">
        <v>2068</v>
      </c>
      <c r="AB775" s="1">
        <v>8367</v>
      </c>
      <c r="AC775" s="1">
        <v>4244</v>
      </c>
      <c r="AD775" s="1">
        <v>1542</v>
      </c>
      <c r="AE775" s="1">
        <v>384</v>
      </c>
      <c r="AF775" s="1">
        <v>64</v>
      </c>
      <c r="AG775" s="1">
        <v>7</v>
      </c>
      <c r="AH775" s="1">
        <v>5953</v>
      </c>
      <c r="AI775" s="1">
        <v>212</v>
      </c>
      <c r="AJ775" s="1">
        <v>755</v>
      </c>
      <c r="AK775" s="1">
        <v>1731</v>
      </c>
      <c r="AL775" s="1">
        <v>113</v>
      </c>
      <c r="AM775" s="1">
        <v>26</v>
      </c>
      <c r="AN775" s="2" t="s">
        <v>1906</v>
      </c>
    </row>
    <row r="776" spans="1:40" x14ac:dyDescent="0.3">
      <c r="A776" s="1">
        <v>5327</v>
      </c>
      <c r="B776" s="2" t="s">
        <v>3315</v>
      </c>
      <c r="C776" s="2" t="s">
        <v>3316</v>
      </c>
      <c r="D776" s="1">
        <v>28</v>
      </c>
      <c r="E776" s="2" t="s">
        <v>467</v>
      </c>
      <c r="F776" s="50" t="s">
        <v>3514</v>
      </c>
      <c r="G776" s="2" t="s">
        <v>3317</v>
      </c>
      <c r="H776" s="1">
        <v>9990</v>
      </c>
      <c r="I776" s="1">
        <v>11036</v>
      </c>
      <c r="J776" s="2" t="s">
        <v>1398</v>
      </c>
      <c r="K776" s="2" t="s">
        <v>3318</v>
      </c>
      <c r="L776" s="2" t="s">
        <v>541</v>
      </c>
      <c r="M776" s="1">
        <v>642</v>
      </c>
      <c r="N776" s="1">
        <v>16554</v>
      </c>
      <c r="O776" s="2" t="s">
        <v>134</v>
      </c>
      <c r="P776" s="2" t="s">
        <v>166</v>
      </c>
      <c r="Q776" s="2" t="s">
        <v>225</v>
      </c>
      <c r="R776" s="2" t="s">
        <v>50</v>
      </c>
      <c r="S776" s="2" t="s">
        <v>135</v>
      </c>
      <c r="T776" s="1">
        <v>7138</v>
      </c>
      <c r="U776" s="2" t="s">
        <v>51</v>
      </c>
      <c r="V776" s="1">
        <v>1323</v>
      </c>
      <c r="W776" s="1">
        <v>1508</v>
      </c>
      <c r="X776" s="2" t="s">
        <v>2315</v>
      </c>
      <c r="Y776" s="2" t="s">
        <v>1749</v>
      </c>
      <c r="Z776" s="2" t="s">
        <v>170</v>
      </c>
      <c r="AA776" s="2" t="s">
        <v>822</v>
      </c>
      <c r="AB776" s="1">
        <v>9416</v>
      </c>
      <c r="AC776" s="1">
        <v>4851</v>
      </c>
      <c r="AD776" s="1">
        <v>1813</v>
      </c>
      <c r="AE776" s="1">
        <v>400</v>
      </c>
      <c r="AF776" s="1">
        <v>69</v>
      </c>
      <c r="AG776" s="1">
        <v>5</v>
      </c>
      <c r="AH776" s="1">
        <v>7602</v>
      </c>
      <c r="AI776" s="1">
        <v>182</v>
      </c>
      <c r="AJ776" s="1">
        <v>164</v>
      </c>
      <c r="AK776" s="1">
        <v>1877</v>
      </c>
      <c r="AL776" s="1">
        <v>156</v>
      </c>
      <c r="AM776" s="1">
        <v>12</v>
      </c>
      <c r="AN776" s="2" t="s">
        <v>1906</v>
      </c>
    </row>
    <row r="777" spans="1:40" ht="28.2" x14ac:dyDescent="0.3">
      <c r="A777" s="1">
        <v>499</v>
      </c>
      <c r="B777" s="2" t="s">
        <v>3319</v>
      </c>
      <c r="C777" s="2" t="s">
        <v>3320</v>
      </c>
      <c r="D777" s="1">
        <v>35</v>
      </c>
      <c r="E777" s="2" t="s">
        <v>75</v>
      </c>
      <c r="F777" s="50" t="s">
        <v>344</v>
      </c>
      <c r="G777" s="2" t="s">
        <v>3321</v>
      </c>
      <c r="H777" s="1">
        <v>14410</v>
      </c>
      <c r="I777" s="1">
        <v>16212</v>
      </c>
      <c r="J777" s="2" t="s">
        <v>781</v>
      </c>
      <c r="K777" s="2" t="s">
        <v>2662</v>
      </c>
      <c r="L777" s="2" t="s">
        <v>224</v>
      </c>
      <c r="M777" s="1">
        <v>894</v>
      </c>
      <c r="N777" s="1">
        <v>23450</v>
      </c>
      <c r="O777" s="2" t="s">
        <v>49</v>
      </c>
      <c r="P777" s="2" t="s">
        <v>235</v>
      </c>
      <c r="Q777" s="2" t="s">
        <v>463</v>
      </c>
      <c r="R777" s="2" t="s">
        <v>66</v>
      </c>
      <c r="S777" s="2" t="s">
        <v>135</v>
      </c>
      <c r="T777" s="1">
        <v>10101</v>
      </c>
      <c r="U777" s="2" t="s">
        <v>51</v>
      </c>
      <c r="V777" s="1">
        <v>1891</v>
      </c>
      <c r="W777" s="1">
        <v>2377</v>
      </c>
      <c r="X777" s="2" t="s">
        <v>94</v>
      </c>
      <c r="Y777" s="2" t="s">
        <v>1906</v>
      </c>
      <c r="Z777" s="2" t="s">
        <v>3255</v>
      </c>
      <c r="AA777" s="2" t="s">
        <v>2429</v>
      </c>
      <c r="AB777" s="1">
        <v>13349</v>
      </c>
      <c r="AC777" s="1">
        <v>6734</v>
      </c>
      <c r="AD777" s="1">
        <v>2555</v>
      </c>
      <c r="AE777" s="1">
        <v>699</v>
      </c>
      <c r="AF777" s="1">
        <v>105</v>
      </c>
      <c r="AG777" s="1">
        <v>8</v>
      </c>
      <c r="AH777" s="1">
        <v>9139</v>
      </c>
      <c r="AI777" s="1">
        <v>1118</v>
      </c>
      <c r="AJ777" s="1">
        <v>1109</v>
      </c>
      <c r="AK777" s="1">
        <v>2748</v>
      </c>
      <c r="AL777" s="1">
        <v>243</v>
      </c>
      <c r="AM777" s="1">
        <v>72</v>
      </c>
      <c r="AN777" s="2" t="s">
        <v>1906</v>
      </c>
    </row>
    <row r="778" spans="1:40" ht="28.2" x14ac:dyDescent="0.3">
      <c r="A778" s="1">
        <v>11110</v>
      </c>
      <c r="B778" s="2" t="s">
        <v>3322</v>
      </c>
      <c r="C778" s="2" t="s">
        <v>3323</v>
      </c>
      <c r="D778" s="1">
        <v>28</v>
      </c>
      <c r="E778" s="2" t="s">
        <v>545</v>
      </c>
      <c r="F778" s="50" t="s">
        <v>878</v>
      </c>
      <c r="G778" s="2" t="s">
        <v>3324</v>
      </c>
      <c r="H778" s="1">
        <v>14225</v>
      </c>
      <c r="I778" s="1">
        <v>16231</v>
      </c>
      <c r="J778" s="2" t="s">
        <v>2420</v>
      </c>
      <c r="K778" s="2" t="s">
        <v>3202</v>
      </c>
      <c r="L778" s="2" t="s">
        <v>282</v>
      </c>
      <c r="M778" s="1">
        <v>872</v>
      </c>
      <c r="N778" s="1">
        <v>23212</v>
      </c>
      <c r="O778" s="2" t="s">
        <v>49</v>
      </c>
      <c r="P778" s="2" t="s">
        <v>235</v>
      </c>
      <c r="Q778" s="2" t="s">
        <v>905</v>
      </c>
      <c r="R778" s="2" t="s">
        <v>50</v>
      </c>
      <c r="S778" s="2" t="s">
        <v>96</v>
      </c>
      <c r="T778" s="1">
        <v>9839</v>
      </c>
      <c r="U778" s="2" t="s">
        <v>51</v>
      </c>
      <c r="V778" s="1">
        <v>2009</v>
      </c>
      <c r="W778" s="1">
        <v>2403</v>
      </c>
      <c r="X778" s="2" t="s">
        <v>47</v>
      </c>
      <c r="Y778" s="2" t="s">
        <v>950</v>
      </c>
      <c r="Z778" s="2" t="s">
        <v>473</v>
      </c>
      <c r="AA778" s="2" t="s">
        <v>1083</v>
      </c>
      <c r="AB778" s="1">
        <v>13373</v>
      </c>
      <c r="AC778" s="1">
        <v>6490</v>
      </c>
      <c r="AD778" s="1">
        <v>2485</v>
      </c>
      <c r="AE778" s="1">
        <v>710</v>
      </c>
      <c r="AF778" s="1">
        <v>135</v>
      </c>
      <c r="AG778" s="1">
        <v>19</v>
      </c>
      <c r="AH778" s="1">
        <v>9688</v>
      </c>
      <c r="AI778" s="1">
        <v>277</v>
      </c>
      <c r="AJ778" s="1">
        <v>1079</v>
      </c>
      <c r="AK778" s="1">
        <v>2827</v>
      </c>
      <c r="AL778" s="1">
        <v>247</v>
      </c>
      <c r="AM778" s="1">
        <v>138</v>
      </c>
      <c r="AN778" s="2" t="s">
        <v>1570</v>
      </c>
    </row>
    <row r="779" spans="1:40" x14ac:dyDescent="0.3">
      <c r="A779" s="1">
        <v>9798</v>
      </c>
      <c r="B779" s="2" t="s">
        <v>3325</v>
      </c>
      <c r="C779" s="2" t="s">
        <v>3326</v>
      </c>
      <c r="D779" s="1">
        <v>29</v>
      </c>
      <c r="E779" s="2" t="s">
        <v>327</v>
      </c>
      <c r="F779" s="50" t="s">
        <v>3030</v>
      </c>
      <c r="G779" s="2" t="s">
        <v>3030</v>
      </c>
      <c r="H779" s="1">
        <v>14808</v>
      </c>
      <c r="I779" s="1">
        <v>16557</v>
      </c>
      <c r="J779" s="2" t="s">
        <v>3327</v>
      </c>
      <c r="K779" s="2" t="s">
        <v>3328</v>
      </c>
      <c r="L779" s="2" t="s">
        <v>282</v>
      </c>
      <c r="M779" s="1">
        <v>895</v>
      </c>
      <c r="N779" s="1">
        <v>24330</v>
      </c>
      <c r="O779" s="2" t="s">
        <v>49</v>
      </c>
      <c r="P779" s="2" t="s">
        <v>48</v>
      </c>
      <c r="Q779" s="2" t="s">
        <v>167</v>
      </c>
      <c r="R779" s="2" t="s">
        <v>50</v>
      </c>
      <c r="S779" s="2" t="s">
        <v>96</v>
      </c>
      <c r="T779" s="1">
        <v>10498</v>
      </c>
      <c r="U779" s="2" t="s">
        <v>51</v>
      </c>
      <c r="V779" s="1">
        <v>2135</v>
      </c>
      <c r="W779" s="1">
        <v>2083</v>
      </c>
      <c r="X779" s="2" t="s">
        <v>449</v>
      </c>
      <c r="Y779" s="2" t="s">
        <v>472</v>
      </c>
      <c r="Z779" s="2" t="s">
        <v>237</v>
      </c>
      <c r="AA779" s="2" t="s">
        <v>1379</v>
      </c>
      <c r="AB779" s="1">
        <v>13832</v>
      </c>
      <c r="AC779" s="1">
        <v>7077</v>
      </c>
      <c r="AD779" s="1">
        <v>2656</v>
      </c>
      <c r="AE779" s="1">
        <v>646</v>
      </c>
      <c r="AF779" s="1">
        <v>114</v>
      </c>
      <c r="AG779" s="1">
        <v>5</v>
      </c>
      <c r="AH779" s="1">
        <v>8246</v>
      </c>
      <c r="AI779" s="1">
        <v>2955</v>
      </c>
      <c r="AJ779" s="1">
        <v>1095</v>
      </c>
      <c r="AK779" s="1">
        <v>2247</v>
      </c>
      <c r="AL779" s="1">
        <v>279</v>
      </c>
      <c r="AM779" s="1">
        <v>45</v>
      </c>
      <c r="AN779" s="2" t="s">
        <v>1906</v>
      </c>
    </row>
    <row r="780" spans="1:40" x14ac:dyDescent="0.3">
      <c r="A780" s="1">
        <v>6451</v>
      </c>
      <c r="B780" s="2" t="s">
        <v>3329</v>
      </c>
      <c r="C780" s="2" t="s">
        <v>3330</v>
      </c>
      <c r="D780" s="1">
        <v>30</v>
      </c>
      <c r="E780" s="2" t="s">
        <v>500</v>
      </c>
      <c r="F780" s="50" t="s">
        <v>3514</v>
      </c>
      <c r="G780" s="2" t="s">
        <v>3331</v>
      </c>
      <c r="H780" s="1">
        <v>15287</v>
      </c>
      <c r="I780" s="1">
        <v>17081</v>
      </c>
      <c r="J780" s="2" t="s">
        <v>1051</v>
      </c>
      <c r="K780" s="2">
        <v>68</v>
      </c>
      <c r="L780" s="2" t="s">
        <v>398</v>
      </c>
      <c r="M780" s="1">
        <v>953</v>
      </c>
      <c r="N780" s="1">
        <v>25080</v>
      </c>
      <c r="O780" s="2" t="s">
        <v>49</v>
      </c>
      <c r="P780" s="2" t="s">
        <v>235</v>
      </c>
      <c r="Q780" s="2" t="s">
        <v>167</v>
      </c>
      <c r="R780" s="2" t="s">
        <v>50</v>
      </c>
      <c r="S780" s="2" t="s">
        <v>66</v>
      </c>
      <c r="T780" s="1">
        <v>10878</v>
      </c>
      <c r="U780" s="2" t="s">
        <v>51</v>
      </c>
      <c r="V780" s="1">
        <v>1896</v>
      </c>
      <c r="W780" s="1">
        <v>2362</v>
      </c>
      <c r="X780" s="2" t="s">
        <v>94</v>
      </c>
      <c r="Y780" s="2" t="s">
        <v>1551</v>
      </c>
      <c r="Z780" s="2" t="s">
        <v>217</v>
      </c>
      <c r="AA780" s="2" t="s">
        <v>1443</v>
      </c>
      <c r="AB780" s="1">
        <v>14202</v>
      </c>
      <c r="AC780" s="1">
        <v>7389</v>
      </c>
      <c r="AD780" s="1">
        <v>2704</v>
      </c>
      <c r="AE780" s="1">
        <v>675</v>
      </c>
      <c r="AF780" s="1">
        <v>102</v>
      </c>
      <c r="AG780" s="1">
        <v>8</v>
      </c>
      <c r="AH780" s="1">
        <v>10789</v>
      </c>
      <c r="AI780" s="1">
        <v>199</v>
      </c>
      <c r="AJ780" s="1">
        <v>1075</v>
      </c>
      <c r="AK780" s="1">
        <v>2924</v>
      </c>
      <c r="AL780" s="1">
        <v>215</v>
      </c>
      <c r="AM780" s="1">
        <v>106</v>
      </c>
      <c r="AN780" s="2" t="s">
        <v>1551</v>
      </c>
    </row>
    <row r="781" spans="1:40" ht="28.2" x14ac:dyDescent="0.3">
      <c r="A781" s="1">
        <v>7797</v>
      </c>
      <c r="B781" s="2" t="s">
        <v>3332</v>
      </c>
      <c r="C781" s="2" t="s">
        <v>3333</v>
      </c>
      <c r="D781" s="1">
        <v>28</v>
      </c>
      <c r="E781" s="2" t="s">
        <v>75</v>
      </c>
      <c r="F781" s="50" t="s">
        <v>3514</v>
      </c>
      <c r="G781" s="2" t="s">
        <v>3334</v>
      </c>
      <c r="H781" s="1">
        <v>6837</v>
      </c>
      <c r="I781" s="1">
        <v>7811</v>
      </c>
      <c r="J781" s="2" t="s">
        <v>2465</v>
      </c>
      <c r="K781" s="2" t="s">
        <v>1435</v>
      </c>
      <c r="L781" s="2" t="s">
        <v>425</v>
      </c>
      <c r="M781" s="1">
        <v>415</v>
      </c>
      <c r="N781" s="1">
        <v>10974</v>
      </c>
      <c r="O781" s="2" t="s">
        <v>144</v>
      </c>
      <c r="P781" s="2" t="s">
        <v>235</v>
      </c>
      <c r="Q781" s="2" t="s">
        <v>646</v>
      </c>
      <c r="R781" s="2" t="s">
        <v>66</v>
      </c>
      <c r="S781" s="2" t="s">
        <v>66</v>
      </c>
      <c r="T781" s="1">
        <v>4748</v>
      </c>
      <c r="U781" s="2" t="s">
        <v>51</v>
      </c>
      <c r="V781" s="1">
        <v>972</v>
      </c>
      <c r="W781" s="1">
        <v>1169</v>
      </c>
      <c r="X781" s="2" t="s">
        <v>2425</v>
      </c>
      <c r="Y781" s="2" t="s">
        <v>950</v>
      </c>
      <c r="Z781" s="2" t="s">
        <v>427</v>
      </c>
      <c r="AA781" s="2" t="s">
        <v>1244</v>
      </c>
      <c r="AB781" s="1">
        <v>6226</v>
      </c>
      <c r="AC781" s="1">
        <v>3138</v>
      </c>
      <c r="AD781" s="1">
        <v>1202</v>
      </c>
      <c r="AE781" s="1">
        <v>349</v>
      </c>
      <c r="AF781" s="1">
        <v>54</v>
      </c>
      <c r="AG781" s="1">
        <v>5</v>
      </c>
      <c r="AH781" s="1">
        <v>4010</v>
      </c>
      <c r="AI781" s="1">
        <v>1131</v>
      </c>
      <c r="AJ781" s="1">
        <v>335</v>
      </c>
      <c r="AK781" s="1">
        <v>1263</v>
      </c>
      <c r="AL781" s="1">
        <v>71</v>
      </c>
      <c r="AM781" s="1">
        <v>34</v>
      </c>
      <c r="AN781" s="2" t="s">
        <v>1551</v>
      </c>
    </row>
    <row r="782" spans="1:40" ht="42" x14ac:dyDescent="0.3">
      <c r="A782" s="1">
        <v>16563</v>
      </c>
      <c r="B782" s="2" t="s">
        <v>3335</v>
      </c>
      <c r="C782" s="2" t="s">
        <v>3336</v>
      </c>
      <c r="D782" s="1">
        <v>25</v>
      </c>
      <c r="E782" s="2" t="s">
        <v>59</v>
      </c>
      <c r="F782" s="50" t="s">
        <v>2183</v>
      </c>
      <c r="G782" s="2" t="s">
        <v>3337</v>
      </c>
      <c r="H782" s="1">
        <v>8241</v>
      </c>
      <c r="I782" s="1">
        <v>9303</v>
      </c>
      <c r="J782" s="2" t="s">
        <v>2249</v>
      </c>
      <c r="K782" s="2" t="s">
        <v>2346</v>
      </c>
      <c r="L782" s="2" t="s">
        <v>3170</v>
      </c>
      <c r="M782" s="1">
        <v>509</v>
      </c>
      <c r="N782" s="1">
        <v>13561</v>
      </c>
      <c r="O782" s="2" t="s">
        <v>49</v>
      </c>
      <c r="P782" s="2" t="s">
        <v>235</v>
      </c>
      <c r="Q782" s="2" t="s">
        <v>463</v>
      </c>
      <c r="R782" s="2" t="s">
        <v>50</v>
      </c>
      <c r="S782" s="2" t="s">
        <v>96</v>
      </c>
      <c r="T782" s="1">
        <v>5828</v>
      </c>
      <c r="U782" s="2" t="s">
        <v>51</v>
      </c>
      <c r="V782" s="1">
        <v>1091</v>
      </c>
      <c r="W782" s="1">
        <v>1364</v>
      </c>
      <c r="X782" s="2" t="s">
        <v>94</v>
      </c>
      <c r="Y782" s="2" t="s">
        <v>1906</v>
      </c>
      <c r="Z782" s="2" t="s">
        <v>391</v>
      </c>
      <c r="AA782" s="2" t="s">
        <v>1805</v>
      </c>
      <c r="AB782" s="1">
        <v>7733</v>
      </c>
      <c r="AC782" s="1">
        <v>3946</v>
      </c>
      <c r="AD782" s="1">
        <v>1433</v>
      </c>
      <c r="AE782" s="1">
        <v>371</v>
      </c>
      <c r="AF782" s="1">
        <v>74</v>
      </c>
      <c r="AG782" s="1">
        <v>4</v>
      </c>
      <c r="AH782" s="1">
        <v>6217</v>
      </c>
      <c r="AI782" s="1">
        <v>48</v>
      </c>
      <c r="AJ782" s="1">
        <v>469</v>
      </c>
      <c r="AK782" s="1">
        <v>1316</v>
      </c>
      <c r="AL782" s="1">
        <v>190</v>
      </c>
      <c r="AM782" s="1">
        <v>30</v>
      </c>
      <c r="AN782" s="2" t="s">
        <v>472</v>
      </c>
    </row>
    <row r="783" spans="1:40" ht="28.2" x14ac:dyDescent="0.3">
      <c r="A783" s="1">
        <v>18219</v>
      </c>
      <c r="B783" s="2" t="s">
        <v>3338</v>
      </c>
      <c r="C783" s="2" t="s">
        <v>3339</v>
      </c>
      <c r="D783" s="1">
        <v>24</v>
      </c>
      <c r="E783" s="2" t="s">
        <v>141</v>
      </c>
      <c r="F783" s="50" t="s">
        <v>914</v>
      </c>
      <c r="G783" s="2" t="s">
        <v>3340</v>
      </c>
      <c r="H783" s="1">
        <v>7936</v>
      </c>
      <c r="I783" s="1">
        <v>9133</v>
      </c>
      <c r="J783" s="2" t="s">
        <v>3341</v>
      </c>
      <c r="K783" s="2" t="s">
        <v>2052</v>
      </c>
      <c r="L783" s="2" t="s">
        <v>1146</v>
      </c>
      <c r="M783" s="1">
        <v>471</v>
      </c>
      <c r="N783" s="1">
        <v>12683</v>
      </c>
      <c r="O783" s="2" t="s">
        <v>215</v>
      </c>
      <c r="P783" s="2" t="s">
        <v>166</v>
      </c>
      <c r="Q783" s="2" t="s">
        <v>311</v>
      </c>
      <c r="R783" s="2" t="s">
        <v>50</v>
      </c>
      <c r="S783" s="2" t="s">
        <v>66</v>
      </c>
      <c r="T783" s="1">
        <v>5509</v>
      </c>
      <c r="U783" s="2" t="s">
        <v>51</v>
      </c>
      <c r="V783" s="1">
        <v>1517</v>
      </c>
      <c r="W783" s="1">
        <v>1781</v>
      </c>
      <c r="X783" s="2" t="s">
        <v>2667</v>
      </c>
      <c r="Y783" s="2" t="s">
        <v>412</v>
      </c>
      <c r="Z783" s="2" t="s">
        <v>1165</v>
      </c>
      <c r="AA783" s="2" t="s">
        <v>354</v>
      </c>
      <c r="AB783" s="1">
        <v>7174</v>
      </c>
      <c r="AC783" s="1">
        <v>3656</v>
      </c>
      <c r="AD783" s="1">
        <v>1380</v>
      </c>
      <c r="AE783" s="1">
        <v>381</v>
      </c>
      <c r="AF783" s="1">
        <v>83</v>
      </c>
      <c r="AG783" s="1">
        <v>9</v>
      </c>
      <c r="AH783" s="1">
        <v>5650</v>
      </c>
      <c r="AI783" s="1">
        <v>64</v>
      </c>
      <c r="AJ783" s="1">
        <v>966</v>
      </c>
      <c r="AK783" s="1">
        <v>1125</v>
      </c>
      <c r="AL783" s="1">
        <v>122</v>
      </c>
      <c r="AM783" s="1">
        <v>32</v>
      </c>
      <c r="AN783" s="2" t="s">
        <v>503</v>
      </c>
    </row>
    <row r="784" spans="1:40" x14ac:dyDescent="0.3">
      <c r="A784" s="1">
        <v>15120</v>
      </c>
      <c r="B784" s="2" t="s">
        <v>3342</v>
      </c>
      <c r="C784" s="2" t="s">
        <v>3343</v>
      </c>
      <c r="D784" s="1">
        <v>27</v>
      </c>
      <c r="E784" s="2" t="s">
        <v>42</v>
      </c>
      <c r="F784" s="50" t="s">
        <v>3514</v>
      </c>
      <c r="G784" s="2" t="s">
        <v>1608</v>
      </c>
      <c r="H784" s="1">
        <v>8657</v>
      </c>
      <c r="I784" s="1">
        <v>9850</v>
      </c>
      <c r="J784" s="2" t="s">
        <v>2420</v>
      </c>
      <c r="K784" s="2" t="s">
        <v>1623</v>
      </c>
      <c r="L784" s="2" t="s">
        <v>331</v>
      </c>
      <c r="M784" s="1">
        <v>542</v>
      </c>
      <c r="N784" s="1">
        <v>14411</v>
      </c>
      <c r="O784" s="2" t="s">
        <v>134</v>
      </c>
      <c r="P784" s="2" t="s">
        <v>166</v>
      </c>
      <c r="Q784" s="2" t="s">
        <v>167</v>
      </c>
      <c r="R784" s="2" t="s">
        <v>67</v>
      </c>
      <c r="S784" s="2" t="s">
        <v>96</v>
      </c>
      <c r="T784" s="1">
        <v>6064</v>
      </c>
      <c r="U784" s="2" t="s">
        <v>51</v>
      </c>
      <c r="V784" s="1">
        <v>1342</v>
      </c>
      <c r="W784" s="1">
        <v>1647</v>
      </c>
      <c r="X784" s="2" t="s">
        <v>165</v>
      </c>
      <c r="Y784" s="2" t="s">
        <v>1570</v>
      </c>
      <c r="Z784" s="2" t="s">
        <v>2130</v>
      </c>
      <c r="AA784" s="2" t="s">
        <v>1244</v>
      </c>
      <c r="AB784" s="1">
        <v>8347</v>
      </c>
      <c r="AC784" s="1">
        <v>4066</v>
      </c>
      <c r="AD784" s="1">
        <v>1489</v>
      </c>
      <c r="AE784" s="1">
        <v>433</v>
      </c>
      <c r="AF784" s="1">
        <v>66</v>
      </c>
      <c r="AG784" s="1">
        <v>10</v>
      </c>
      <c r="AH784" s="1">
        <v>6106</v>
      </c>
      <c r="AI784" s="1">
        <v>70</v>
      </c>
      <c r="AJ784" s="1">
        <v>677</v>
      </c>
      <c r="AK784" s="1">
        <v>1643</v>
      </c>
      <c r="AL784" s="1">
        <v>145</v>
      </c>
      <c r="AM784" s="1">
        <v>25</v>
      </c>
      <c r="AN784" s="2" t="s">
        <v>503</v>
      </c>
    </row>
    <row r="785" spans="1:40" ht="28.2" x14ac:dyDescent="0.3">
      <c r="A785" s="1">
        <v>9017</v>
      </c>
      <c r="B785" s="2" t="s">
        <v>3344</v>
      </c>
      <c r="C785" s="2" t="s">
        <v>3345</v>
      </c>
      <c r="D785" s="1">
        <v>26</v>
      </c>
      <c r="E785" s="2" t="s">
        <v>459</v>
      </c>
      <c r="F785" s="50" t="s">
        <v>3514</v>
      </c>
      <c r="G785" s="2" t="s">
        <v>3346</v>
      </c>
      <c r="H785" s="1">
        <v>6904</v>
      </c>
      <c r="I785" s="1">
        <v>7968</v>
      </c>
      <c r="J785" s="2" t="s">
        <v>1958</v>
      </c>
      <c r="K785" s="2" t="s">
        <v>3347</v>
      </c>
      <c r="L785" s="2" t="s">
        <v>63</v>
      </c>
      <c r="M785" s="1">
        <v>437</v>
      </c>
      <c r="N785" s="1">
        <v>11092</v>
      </c>
      <c r="O785" s="2" t="s">
        <v>144</v>
      </c>
      <c r="P785" s="2" t="s">
        <v>235</v>
      </c>
      <c r="Q785" s="2" t="s">
        <v>311</v>
      </c>
      <c r="R785" s="2" t="s">
        <v>67</v>
      </c>
      <c r="S785" s="2" t="s">
        <v>96</v>
      </c>
      <c r="T785" s="1">
        <v>4777</v>
      </c>
      <c r="U785" s="2" t="s">
        <v>51</v>
      </c>
      <c r="V785" s="1">
        <v>1225</v>
      </c>
      <c r="W785" s="1">
        <v>1442</v>
      </c>
      <c r="X785" s="2" t="s">
        <v>2667</v>
      </c>
      <c r="Y785" s="2">
        <v>1</v>
      </c>
      <c r="Z785" s="2" t="s">
        <v>3255</v>
      </c>
      <c r="AA785" s="2" t="s">
        <v>789</v>
      </c>
      <c r="AB785" s="1">
        <v>6315</v>
      </c>
      <c r="AC785" s="1">
        <v>3149</v>
      </c>
      <c r="AD785" s="1">
        <v>1215</v>
      </c>
      <c r="AE785" s="1">
        <v>337</v>
      </c>
      <c r="AF785" s="1">
        <v>66</v>
      </c>
      <c r="AG785" s="1">
        <v>10</v>
      </c>
      <c r="AH785" s="1">
        <v>4741</v>
      </c>
      <c r="AI785" s="1">
        <v>301</v>
      </c>
      <c r="AJ785" s="1">
        <v>327</v>
      </c>
      <c r="AK785" s="1">
        <v>1450</v>
      </c>
      <c r="AL785" s="1">
        <v>79</v>
      </c>
      <c r="AM785" s="1">
        <v>28</v>
      </c>
      <c r="AN785" s="2" t="s">
        <v>1551</v>
      </c>
    </row>
    <row r="786" spans="1:40" x14ac:dyDescent="0.3">
      <c r="A786" s="1">
        <v>41</v>
      </c>
      <c r="B786" s="2" t="s">
        <v>3348</v>
      </c>
      <c r="C786" s="2" t="s">
        <v>3349</v>
      </c>
      <c r="D786" s="1">
        <v>31</v>
      </c>
      <c r="E786" s="2" t="s">
        <v>545</v>
      </c>
      <c r="F786" s="50" t="s">
        <v>3514</v>
      </c>
      <c r="G786" s="2" t="s">
        <v>1149</v>
      </c>
      <c r="H786" s="1">
        <v>18722</v>
      </c>
      <c r="I786" s="1">
        <v>20989</v>
      </c>
      <c r="J786" s="2" t="s">
        <v>1129</v>
      </c>
      <c r="K786" s="2" t="s">
        <v>3350</v>
      </c>
      <c r="L786" s="2">
        <v>4</v>
      </c>
      <c r="M786" s="1">
        <v>1199</v>
      </c>
      <c r="N786" s="1">
        <v>31403</v>
      </c>
      <c r="O786" s="2" t="s">
        <v>134</v>
      </c>
      <c r="P786" s="2" t="s">
        <v>235</v>
      </c>
      <c r="Q786" s="2" t="s">
        <v>225</v>
      </c>
      <c r="R786" s="2" t="s">
        <v>96</v>
      </c>
      <c r="S786" s="2" t="s">
        <v>66</v>
      </c>
      <c r="T786" s="1">
        <v>13294</v>
      </c>
      <c r="U786" s="2" t="s">
        <v>51</v>
      </c>
      <c r="V786" s="1">
        <v>2583</v>
      </c>
      <c r="W786" s="1">
        <v>3318</v>
      </c>
      <c r="X786" s="2" t="s">
        <v>123</v>
      </c>
      <c r="Y786" s="2" t="s">
        <v>1906</v>
      </c>
      <c r="Z786" s="2" t="s">
        <v>635</v>
      </c>
      <c r="AA786" s="2" t="s">
        <v>2429</v>
      </c>
      <c r="AB786" s="1">
        <v>18109</v>
      </c>
      <c r="AC786" s="1">
        <v>9042</v>
      </c>
      <c r="AD786" s="1">
        <v>3264</v>
      </c>
      <c r="AE786" s="1">
        <v>845</v>
      </c>
      <c r="AF786" s="1">
        <v>136</v>
      </c>
      <c r="AG786" s="1">
        <v>7</v>
      </c>
      <c r="AH786" s="1">
        <v>14083</v>
      </c>
      <c r="AI786" s="1">
        <v>234</v>
      </c>
      <c r="AJ786" s="1">
        <v>1063</v>
      </c>
      <c r="AK786" s="1">
        <v>2976</v>
      </c>
      <c r="AL786" s="1">
        <v>332</v>
      </c>
      <c r="AM786" s="1">
        <v>48</v>
      </c>
      <c r="AN786" s="2" t="s">
        <v>1551</v>
      </c>
    </row>
    <row r="787" spans="1:40" x14ac:dyDescent="0.3">
      <c r="A787" s="1">
        <v>9882</v>
      </c>
      <c r="B787" s="2" t="s">
        <v>3351</v>
      </c>
      <c r="C787" s="2" t="s">
        <v>3352</v>
      </c>
      <c r="D787" s="1">
        <v>26</v>
      </c>
      <c r="E787" s="2" t="s">
        <v>459</v>
      </c>
      <c r="F787" s="50" t="s">
        <v>3514</v>
      </c>
      <c r="G787" s="2" t="s">
        <v>749</v>
      </c>
      <c r="H787" s="1">
        <v>7017</v>
      </c>
      <c r="I787" s="1">
        <v>7995</v>
      </c>
      <c r="J787" s="2" t="s">
        <v>162</v>
      </c>
      <c r="K787" s="2" t="s">
        <v>2614</v>
      </c>
      <c r="L787" s="2" t="s">
        <v>201</v>
      </c>
      <c r="M787" s="1">
        <v>435</v>
      </c>
      <c r="N787" s="1">
        <v>11470</v>
      </c>
      <c r="O787" s="2" t="s">
        <v>49</v>
      </c>
      <c r="P787" s="2" t="s">
        <v>235</v>
      </c>
      <c r="Q787" s="2" t="s">
        <v>905</v>
      </c>
      <c r="R787" s="2" t="s">
        <v>50</v>
      </c>
      <c r="S787" s="2" t="s">
        <v>66</v>
      </c>
      <c r="T787" s="1">
        <v>4945</v>
      </c>
      <c r="U787" s="2" t="s">
        <v>51</v>
      </c>
      <c r="V787" s="1">
        <v>1005</v>
      </c>
      <c r="W787" s="1">
        <v>1254</v>
      </c>
      <c r="X787" s="2" t="s">
        <v>94</v>
      </c>
      <c r="Y787" s="2" t="s">
        <v>1314</v>
      </c>
      <c r="Z787" s="2" t="s">
        <v>1462</v>
      </c>
      <c r="AA787" s="2" t="s">
        <v>828</v>
      </c>
      <c r="AB787" s="1">
        <v>6525</v>
      </c>
      <c r="AC787" s="1">
        <v>3338</v>
      </c>
      <c r="AD787" s="1">
        <v>1221</v>
      </c>
      <c r="AE787" s="1">
        <v>314</v>
      </c>
      <c r="AF787" s="1">
        <v>65</v>
      </c>
      <c r="AG787" s="1">
        <v>7</v>
      </c>
      <c r="AH787" s="1">
        <v>4929</v>
      </c>
      <c r="AI787" s="1">
        <v>103</v>
      </c>
      <c r="AJ787" s="1">
        <v>476</v>
      </c>
      <c r="AK787" s="1">
        <v>1421</v>
      </c>
      <c r="AL787" s="1">
        <v>86</v>
      </c>
      <c r="AM787" s="1">
        <v>23</v>
      </c>
      <c r="AN787" s="2" t="s">
        <v>1551</v>
      </c>
    </row>
    <row r="788" spans="1:40" x14ac:dyDescent="0.3">
      <c r="A788" s="1">
        <v>16731</v>
      </c>
      <c r="B788" s="2" t="s">
        <v>3353</v>
      </c>
      <c r="C788" s="2" t="s">
        <v>3354</v>
      </c>
      <c r="D788" s="1">
        <v>21</v>
      </c>
      <c r="E788" s="2" t="s">
        <v>196</v>
      </c>
      <c r="F788" s="50" t="s">
        <v>1488</v>
      </c>
      <c r="G788" s="2" t="s">
        <v>3355</v>
      </c>
      <c r="H788" s="1">
        <v>6411</v>
      </c>
      <c r="I788" s="1">
        <v>7554</v>
      </c>
      <c r="J788" s="2" t="s">
        <v>1737</v>
      </c>
      <c r="K788" s="2" t="s">
        <v>1905</v>
      </c>
      <c r="L788" s="2" t="s">
        <v>80</v>
      </c>
      <c r="M788" s="1">
        <v>379</v>
      </c>
      <c r="N788" s="1">
        <v>10111</v>
      </c>
      <c r="O788" s="2" t="s">
        <v>215</v>
      </c>
      <c r="P788" s="2" t="s">
        <v>202</v>
      </c>
      <c r="Q788" s="2" t="s">
        <v>180</v>
      </c>
      <c r="R788" s="2" t="s">
        <v>67</v>
      </c>
      <c r="S788" s="2" t="s">
        <v>96</v>
      </c>
      <c r="T788" s="1">
        <v>4371</v>
      </c>
      <c r="U788" s="2" t="s">
        <v>51</v>
      </c>
      <c r="V788" s="1">
        <v>1106</v>
      </c>
      <c r="W788" s="1">
        <v>1481</v>
      </c>
      <c r="X788" s="2" t="s">
        <v>180</v>
      </c>
      <c r="Y788" s="2" t="s">
        <v>503</v>
      </c>
      <c r="Z788" s="2" t="s">
        <v>2167</v>
      </c>
      <c r="AA788" s="2" t="s">
        <v>697</v>
      </c>
      <c r="AB788" s="1">
        <v>5740</v>
      </c>
      <c r="AC788" s="1">
        <v>2819</v>
      </c>
      <c r="AD788" s="1">
        <v>1151</v>
      </c>
      <c r="AE788" s="1">
        <v>322</v>
      </c>
      <c r="AF788" s="1">
        <v>71</v>
      </c>
      <c r="AG788" s="1">
        <v>8</v>
      </c>
      <c r="AH788" s="1">
        <v>4862</v>
      </c>
      <c r="AI788" s="1">
        <v>51</v>
      </c>
      <c r="AJ788" s="1">
        <v>443</v>
      </c>
      <c r="AK788" s="1">
        <v>986</v>
      </c>
      <c r="AL788" s="1">
        <v>54</v>
      </c>
      <c r="AM788" s="1">
        <v>34</v>
      </c>
      <c r="AN788" s="2" t="s">
        <v>1570</v>
      </c>
    </row>
    <row r="789" spans="1:40" x14ac:dyDescent="0.3">
      <c r="A789" s="1">
        <v>8047</v>
      </c>
      <c r="B789" s="2" t="s">
        <v>3356</v>
      </c>
      <c r="C789" s="2" t="s">
        <v>3357</v>
      </c>
      <c r="D789" s="1">
        <v>30</v>
      </c>
      <c r="E789" s="2" t="s">
        <v>42</v>
      </c>
      <c r="F789" s="50" t="s">
        <v>1826</v>
      </c>
      <c r="G789" s="2" t="s">
        <v>982</v>
      </c>
      <c r="H789" s="1">
        <v>11962</v>
      </c>
      <c r="I789" s="1">
        <v>13543</v>
      </c>
      <c r="J789" s="2" t="s">
        <v>3276</v>
      </c>
      <c r="K789" s="2" t="s">
        <v>3358</v>
      </c>
      <c r="L789" s="2" t="s">
        <v>46</v>
      </c>
      <c r="M789" s="1">
        <v>775</v>
      </c>
      <c r="N789" s="1">
        <v>20411</v>
      </c>
      <c r="O789" s="2" t="s">
        <v>95</v>
      </c>
      <c r="P789" s="2" t="s">
        <v>67</v>
      </c>
      <c r="Q789" s="2" t="s">
        <v>322</v>
      </c>
      <c r="R789" s="2" t="s">
        <v>96</v>
      </c>
      <c r="S789" s="2" t="s">
        <v>66</v>
      </c>
      <c r="T789" s="1">
        <v>8619</v>
      </c>
      <c r="U789" s="2" t="s">
        <v>51</v>
      </c>
      <c r="V789" s="1">
        <v>1717</v>
      </c>
      <c r="W789" s="1">
        <v>1905</v>
      </c>
      <c r="X789" s="2" t="s">
        <v>1906</v>
      </c>
      <c r="Y789" s="2" t="s">
        <v>950</v>
      </c>
      <c r="Z789" s="2" t="s">
        <v>809</v>
      </c>
      <c r="AA789" s="2" t="s">
        <v>247</v>
      </c>
      <c r="AB789" s="1">
        <v>11792</v>
      </c>
      <c r="AC789" s="1">
        <v>5958</v>
      </c>
      <c r="AD789" s="1">
        <v>2064</v>
      </c>
      <c r="AE789" s="1">
        <v>522</v>
      </c>
      <c r="AF789" s="1">
        <v>67</v>
      </c>
      <c r="AG789" s="1">
        <v>8</v>
      </c>
      <c r="AH789" s="1">
        <v>5496</v>
      </c>
      <c r="AI789" s="1">
        <v>2462</v>
      </c>
      <c r="AJ789" s="1">
        <v>1615</v>
      </c>
      <c r="AK789" s="1">
        <v>2186</v>
      </c>
      <c r="AL789" s="1">
        <v>151</v>
      </c>
      <c r="AM789" s="1">
        <v>90</v>
      </c>
      <c r="AN789" s="2" t="s">
        <v>2315</v>
      </c>
    </row>
    <row r="790" spans="1:40" ht="28.2" x14ac:dyDescent="0.3">
      <c r="A790" s="1">
        <v>8504</v>
      </c>
      <c r="B790" s="2" t="s">
        <v>3359</v>
      </c>
      <c r="C790" s="2" t="s">
        <v>3360</v>
      </c>
      <c r="D790" s="1">
        <v>32</v>
      </c>
      <c r="E790" s="2" t="s">
        <v>459</v>
      </c>
      <c r="F790" s="50" t="s">
        <v>3514</v>
      </c>
      <c r="G790" s="2" t="s">
        <v>3361</v>
      </c>
      <c r="H790" s="1">
        <v>7418</v>
      </c>
      <c r="I790" s="1">
        <v>8680</v>
      </c>
      <c r="J790" s="2" t="s">
        <v>1930</v>
      </c>
      <c r="K790" s="2" t="s">
        <v>2936</v>
      </c>
      <c r="L790" s="2">
        <v>4</v>
      </c>
      <c r="M790" s="1">
        <v>462</v>
      </c>
      <c r="N790" s="1">
        <v>11931</v>
      </c>
      <c r="O790" s="2" t="s">
        <v>144</v>
      </c>
      <c r="P790" s="2" t="s">
        <v>235</v>
      </c>
      <c r="Q790" s="2" t="s">
        <v>495</v>
      </c>
      <c r="R790" s="2" t="s">
        <v>50</v>
      </c>
      <c r="S790" s="2" t="s">
        <v>66</v>
      </c>
      <c r="T790" s="1">
        <v>5149</v>
      </c>
      <c r="U790" s="2" t="s">
        <v>51</v>
      </c>
      <c r="V790" s="1">
        <v>1041</v>
      </c>
      <c r="W790" s="1">
        <v>1375</v>
      </c>
      <c r="X790" s="2" t="s">
        <v>234</v>
      </c>
      <c r="Y790" s="2" t="s">
        <v>1749</v>
      </c>
      <c r="Z790" s="2" t="s">
        <v>745</v>
      </c>
      <c r="AA790" s="2" t="s">
        <v>852</v>
      </c>
      <c r="AB790" s="1">
        <v>6782</v>
      </c>
      <c r="AC790" s="1">
        <v>3407</v>
      </c>
      <c r="AD790" s="1">
        <v>1306</v>
      </c>
      <c r="AE790" s="1">
        <v>363</v>
      </c>
      <c r="AF790" s="1">
        <v>66</v>
      </c>
      <c r="AG790" s="1">
        <v>7</v>
      </c>
      <c r="AH790" s="1">
        <v>5563</v>
      </c>
      <c r="AI790" s="1">
        <v>120</v>
      </c>
      <c r="AJ790" s="1">
        <v>333</v>
      </c>
      <c r="AK790" s="1">
        <v>1275</v>
      </c>
      <c r="AL790" s="1">
        <v>71</v>
      </c>
      <c r="AM790" s="1">
        <v>69</v>
      </c>
      <c r="AN790" s="2" t="s">
        <v>2315</v>
      </c>
    </row>
    <row r="791" spans="1:40" x14ac:dyDescent="0.3">
      <c r="A791" s="1">
        <v>8212</v>
      </c>
      <c r="B791" s="2" t="s">
        <v>3362</v>
      </c>
      <c r="C791" s="2" t="s">
        <v>3363</v>
      </c>
      <c r="D791" s="1">
        <v>27</v>
      </c>
      <c r="E791" s="2" t="s">
        <v>708</v>
      </c>
      <c r="F791" s="50" t="s">
        <v>2487</v>
      </c>
      <c r="G791" s="2" t="s">
        <v>3364</v>
      </c>
      <c r="H791" s="1">
        <v>15090</v>
      </c>
      <c r="I791" s="1">
        <v>17651</v>
      </c>
      <c r="J791" s="2" t="s">
        <v>1238</v>
      </c>
      <c r="K791" s="2" t="s">
        <v>2936</v>
      </c>
      <c r="L791" s="2" t="s">
        <v>3365</v>
      </c>
      <c r="M791" s="1">
        <v>932</v>
      </c>
      <c r="N791" s="1">
        <v>24766</v>
      </c>
      <c r="O791" s="2" t="s">
        <v>49</v>
      </c>
      <c r="P791" s="2" t="s">
        <v>235</v>
      </c>
      <c r="Q791" s="2" t="s">
        <v>646</v>
      </c>
      <c r="R791" s="2" t="s">
        <v>50</v>
      </c>
      <c r="S791" s="2" t="s">
        <v>66</v>
      </c>
      <c r="T791" s="1">
        <v>10479</v>
      </c>
      <c r="U791" s="2" t="s">
        <v>51</v>
      </c>
      <c r="V791" s="1">
        <v>2432</v>
      </c>
      <c r="W791" s="1">
        <v>3011</v>
      </c>
      <c r="X791" s="2" t="s">
        <v>165</v>
      </c>
      <c r="Y791" s="2" t="s">
        <v>472</v>
      </c>
      <c r="Z791" s="2" t="s">
        <v>278</v>
      </c>
      <c r="AA791" s="2" t="s">
        <v>1030</v>
      </c>
      <c r="AB791" s="1">
        <v>14287</v>
      </c>
      <c r="AC791" s="1">
        <v>6932</v>
      </c>
      <c r="AD791" s="1">
        <v>2648</v>
      </c>
      <c r="AE791" s="1">
        <v>751</v>
      </c>
      <c r="AF791" s="1">
        <v>134</v>
      </c>
      <c r="AG791" s="1">
        <v>14</v>
      </c>
      <c r="AH791" s="1">
        <v>9958</v>
      </c>
      <c r="AI791" s="1">
        <v>878</v>
      </c>
      <c r="AJ791" s="1">
        <v>1506</v>
      </c>
      <c r="AK791" s="1">
        <v>2487</v>
      </c>
      <c r="AL791" s="1">
        <v>246</v>
      </c>
      <c r="AM791" s="1">
        <v>65</v>
      </c>
      <c r="AN791" s="2" t="s">
        <v>2315</v>
      </c>
    </row>
    <row r="792" spans="1:40" x14ac:dyDescent="0.3">
      <c r="A792" s="1">
        <v>10993</v>
      </c>
      <c r="B792" s="2" t="s">
        <v>3366</v>
      </c>
      <c r="C792" s="2" t="s">
        <v>3367</v>
      </c>
      <c r="D792" s="1">
        <v>27</v>
      </c>
      <c r="E792" s="2" t="s">
        <v>196</v>
      </c>
      <c r="F792" s="50" t="s">
        <v>3514</v>
      </c>
      <c r="G792" s="2" t="s">
        <v>1832</v>
      </c>
      <c r="H792" s="1">
        <v>8176</v>
      </c>
      <c r="I792" s="1">
        <v>9372</v>
      </c>
      <c r="J792" s="2" t="s">
        <v>514</v>
      </c>
      <c r="K792" s="2" t="s">
        <v>3368</v>
      </c>
      <c r="L792" s="2" t="s">
        <v>589</v>
      </c>
      <c r="M792" s="1">
        <v>532</v>
      </c>
      <c r="N792" s="1">
        <v>13939</v>
      </c>
      <c r="O792" s="2" t="s">
        <v>95</v>
      </c>
      <c r="P792" s="2" t="s">
        <v>48</v>
      </c>
      <c r="Q792" s="2" t="s">
        <v>225</v>
      </c>
      <c r="R792" s="2" t="s">
        <v>50</v>
      </c>
      <c r="S792" s="2" t="s">
        <v>96</v>
      </c>
      <c r="T792" s="1">
        <v>5835</v>
      </c>
      <c r="U792" s="2" t="s">
        <v>51</v>
      </c>
      <c r="V792" s="1">
        <v>1050</v>
      </c>
      <c r="W792" s="1">
        <v>1325</v>
      </c>
      <c r="X792" s="2" t="s">
        <v>109</v>
      </c>
      <c r="Y792" s="2" t="s">
        <v>2315</v>
      </c>
      <c r="Z792" s="2" t="s">
        <v>3369</v>
      </c>
      <c r="AA792" s="2" t="s">
        <v>1944</v>
      </c>
      <c r="AB792" s="1">
        <v>8104</v>
      </c>
      <c r="AC792" s="1">
        <v>3997</v>
      </c>
      <c r="AD792" s="1">
        <v>1408</v>
      </c>
      <c r="AE792" s="1">
        <v>366</v>
      </c>
      <c r="AF792" s="1">
        <v>55</v>
      </c>
      <c r="AG792" s="1">
        <v>9</v>
      </c>
      <c r="AH792" s="1">
        <v>6014</v>
      </c>
      <c r="AI792" s="1">
        <v>50</v>
      </c>
      <c r="AJ792" s="1">
        <v>512</v>
      </c>
      <c r="AK792" s="1">
        <v>1511</v>
      </c>
      <c r="AL792" s="1">
        <v>103</v>
      </c>
      <c r="AM792" s="1">
        <v>4</v>
      </c>
      <c r="AN792" s="2" t="s">
        <v>950</v>
      </c>
    </row>
    <row r="793" spans="1:40" x14ac:dyDescent="0.3">
      <c r="A793" s="1">
        <v>1916</v>
      </c>
      <c r="B793" s="2" t="s">
        <v>3370</v>
      </c>
      <c r="C793" s="2" t="s">
        <v>3371</v>
      </c>
      <c r="D793" s="1">
        <v>34</v>
      </c>
      <c r="E793" s="2" t="s">
        <v>459</v>
      </c>
      <c r="F793" s="50" t="s">
        <v>3372</v>
      </c>
      <c r="G793" s="2" t="s">
        <v>3373</v>
      </c>
      <c r="H793" s="1">
        <v>10904</v>
      </c>
      <c r="I793" s="1">
        <v>12533</v>
      </c>
      <c r="J793" s="2" t="s">
        <v>1708</v>
      </c>
      <c r="K793" s="2" t="s">
        <v>3374</v>
      </c>
      <c r="L793" s="2" t="s">
        <v>949</v>
      </c>
      <c r="M793" s="1">
        <v>713</v>
      </c>
      <c r="N793" s="1">
        <v>18391</v>
      </c>
      <c r="O793" s="2" t="s">
        <v>95</v>
      </c>
      <c r="P793" s="2" t="s">
        <v>235</v>
      </c>
      <c r="Q793" s="2" t="s">
        <v>167</v>
      </c>
      <c r="R793" s="2" t="s">
        <v>67</v>
      </c>
      <c r="S793" s="2" t="s">
        <v>66</v>
      </c>
      <c r="T793" s="1">
        <v>7755</v>
      </c>
      <c r="U793" s="2" t="s">
        <v>51</v>
      </c>
      <c r="V793" s="1">
        <v>1591</v>
      </c>
      <c r="W793" s="1">
        <v>1959</v>
      </c>
      <c r="X793" s="2" t="s">
        <v>165</v>
      </c>
      <c r="Y793" s="2" t="s">
        <v>1314</v>
      </c>
      <c r="Z793" s="2" t="s">
        <v>728</v>
      </c>
      <c r="AA793" s="2" t="s">
        <v>518</v>
      </c>
      <c r="AB793" s="1">
        <v>10636</v>
      </c>
      <c r="AC793" s="1">
        <v>5262</v>
      </c>
      <c r="AD793" s="1">
        <v>1945</v>
      </c>
      <c r="AE793" s="1">
        <v>469</v>
      </c>
      <c r="AF793" s="1">
        <v>73</v>
      </c>
      <c r="AG793" s="1">
        <v>6</v>
      </c>
      <c r="AH793" s="1">
        <v>6675</v>
      </c>
      <c r="AI793" s="1">
        <v>1179</v>
      </c>
      <c r="AJ793" s="1">
        <v>892</v>
      </c>
      <c r="AK793" s="1">
        <v>1894</v>
      </c>
      <c r="AL793" s="1">
        <v>207</v>
      </c>
      <c r="AM793" s="1">
        <v>63</v>
      </c>
      <c r="AN793" s="2" t="s">
        <v>2315</v>
      </c>
    </row>
    <row r="794" spans="1:40" x14ac:dyDescent="0.3">
      <c r="A794" s="1">
        <v>8521</v>
      </c>
      <c r="B794" s="2" t="s">
        <v>3375</v>
      </c>
      <c r="C794" s="2" t="s">
        <v>3376</v>
      </c>
      <c r="D794" s="1">
        <v>29</v>
      </c>
      <c r="E794" s="2" t="s">
        <v>500</v>
      </c>
      <c r="F794" s="50" t="s">
        <v>528</v>
      </c>
      <c r="G794" s="2" t="s">
        <v>3377</v>
      </c>
      <c r="H794" s="1">
        <v>16274</v>
      </c>
      <c r="I794" s="1">
        <v>18638</v>
      </c>
      <c r="J794" s="2" t="s">
        <v>1708</v>
      </c>
      <c r="K794" s="2" t="s">
        <v>3378</v>
      </c>
      <c r="L794" s="2" t="s">
        <v>224</v>
      </c>
      <c r="M794" s="1">
        <v>1075</v>
      </c>
      <c r="N794" s="1">
        <v>28101</v>
      </c>
      <c r="O794" s="2" t="s">
        <v>284</v>
      </c>
      <c r="P794" s="2" t="s">
        <v>235</v>
      </c>
      <c r="Q794" s="2" t="s">
        <v>322</v>
      </c>
      <c r="R794" s="2" t="s">
        <v>50</v>
      </c>
      <c r="S794" s="2" t="s">
        <v>135</v>
      </c>
      <c r="T794" s="1">
        <v>11689</v>
      </c>
      <c r="U794" s="2" t="s">
        <v>51</v>
      </c>
      <c r="V794" s="1">
        <v>2052</v>
      </c>
      <c r="W794" s="1">
        <v>2776</v>
      </c>
      <c r="X794" s="2" t="s">
        <v>283</v>
      </c>
      <c r="Y794" s="2" t="s">
        <v>2324</v>
      </c>
      <c r="Z794" s="2" t="s">
        <v>635</v>
      </c>
      <c r="AA794" s="2" t="s">
        <v>1944</v>
      </c>
      <c r="AB794" s="1">
        <v>16412</v>
      </c>
      <c r="AC794" s="1">
        <v>8038</v>
      </c>
      <c r="AD794" s="1">
        <v>2848</v>
      </c>
      <c r="AE794" s="1">
        <v>679</v>
      </c>
      <c r="AF794" s="1">
        <v>118</v>
      </c>
      <c r="AG794" s="1">
        <v>6</v>
      </c>
      <c r="AH794" s="1">
        <v>10614</v>
      </c>
      <c r="AI794" s="1">
        <v>378</v>
      </c>
      <c r="AJ794" s="1">
        <v>2239</v>
      </c>
      <c r="AK794" s="1">
        <v>2761</v>
      </c>
      <c r="AL794" s="1">
        <v>268</v>
      </c>
      <c r="AM794" s="1">
        <v>28</v>
      </c>
      <c r="AN794" s="2" t="s">
        <v>2315</v>
      </c>
    </row>
    <row r="795" spans="1:40" x14ac:dyDescent="0.3">
      <c r="A795" s="1">
        <v>1328</v>
      </c>
      <c r="B795" s="2" t="s">
        <v>3379</v>
      </c>
      <c r="C795" s="2" t="s">
        <v>3380</v>
      </c>
      <c r="D795" s="1">
        <v>31</v>
      </c>
      <c r="E795" s="2" t="s">
        <v>459</v>
      </c>
      <c r="F795" s="50" t="s">
        <v>3514</v>
      </c>
      <c r="G795" s="2" t="s">
        <v>3381</v>
      </c>
      <c r="H795" s="1">
        <v>6257</v>
      </c>
      <c r="I795" s="1">
        <v>7304</v>
      </c>
      <c r="J795" s="2" t="s">
        <v>1293</v>
      </c>
      <c r="K795" s="2" t="s">
        <v>920</v>
      </c>
      <c r="L795" s="2" t="s">
        <v>589</v>
      </c>
      <c r="M795" s="1">
        <v>395</v>
      </c>
      <c r="N795" s="1">
        <v>10074</v>
      </c>
      <c r="O795" s="2" t="s">
        <v>144</v>
      </c>
      <c r="P795" s="2" t="s">
        <v>166</v>
      </c>
      <c r="Q795" s="2" t="s">
        <v>495</v>
      </c>
      <c r="R795" s="2" t="s">
        <v>67</v>
      </c>
      <c r="S795" s="2" t="s">
        <v>66</v>
      </c>
      <c r="T795" s="1">
        <v>4425</v>
      </c>
      <c r="U795" s="2" t="s">
        <v>51</v>
      </c>
      <c r="V795" s="1">
        <v>899</v>
      </c>
      <c r="W795" s="1">
        <v>1010</v>
      </c>
      <c r="X795" s="2" t="s">
        <v>1551</v>
      </c>
      <c r="Y795" s="2" t="s">
        <v>820</v>
      </c>
      <c r="Z795" s="2" t="s">
        <v>809</v>
      </c>
      <c r="AA795" s="2" t="s">
        <v>1379</v>
      </c>
      <c r="AB795" s="1">
        <v>5649</v>
      </c>
      <c r="AC795" s="1">
        <v>2995</v>
      </c>
      <c r="AD795" s="1">
        <v>1089</v>
      </c>
      <c r="AE795" s="1">
        <v>295</v>
      </c>
      <c r="AF795" s="1">
        <v>42</v>
      </c>
      <c r="AG795" s="1">
        <v>4</v>
      </c>
      <c r="AH795" s="1">
        <v>4449</v>
      </c>
      <c r="AI795" s="1">
        <v>18</v>
      </c>
      <c r="AJ795" s="1">
        <v>490</v>
      </c>
      <c r="AK795" s="1">
        <v>1199</v>
      </c>
      <c r="AL795" s="1">
        <v>87</v>
      </c>
      <c r="AM795" s="1">
        <v>26</v>
      </c>
      <c r="AN795" s="2" t="s">
        <v>2324</v>
      </c>
    </row>
    <row r="796" spans="1:40" x14ac:dyDescent="0.3">
      <c r="A796" s="1">
        <v>921</v>
      </c>
      <c r="B796" s="2" t="s">
        <v>3382</v>
      </c>
      <c r="C796" s="2" t="s">
        <v>3383</v>
      </c>
      <c r="D796" s="1">
        <v>32</v>
      </c>
      <c r="E796" s="2" t="s">
        <v>196</v>
      </c>
      <c r="F796" s="50" t="s">
        <v>1086</v>
      </c>
      <c r="G796" s="2" t="s">
        <v>3384</v>
      </c>
      <c r="H796" s="1">
        <v>12987</v>
      </c>
      <c r="I796" s="1">
        <v>15332</v>
      </c>
      <c r="J796" s="2" t="s">
        <v>3385</v>
      </c>
      <c r="K796" s="2" t="s">
        <v>862</v>
      </c>
      <c r="L796" s="2" t="s">
        <v>782</v>
      </c>
      <c r="M796" s="1">
        <v>802</v>
      </c>
      <c r="N796" s="1">
        <v>20987</v>
      </c>
      <c r="O796" s="2" t="s">
        <v>144</v>
      </c>
      <c r="P796" s="2" t="s">
        <v>166</v>
      </c>
      <c r="Q796" s="2" t="s">
        <v>495</v>
      </c>
      <c r="R796" s="2" t="s">
        <v>50</v>
      </c>
      <c r="S796" s="2" t="s">
        <v>66</v>
      </c>
      <c r="T796" s="1">
        <v>9097</v>
      </c>
      <c r="U796" s="2" t="s">
        <v>51</v>
      </c>
      <c r="V796" s="1">
        <v>2259</v>
      </c>
      <c r="W796" s="1">
        <v>2738</v>
      </c>
      <c r="X796" s="2" t="s">
        <v>2425</v>
      </c>
      <c r="Y796" s="2" t="s">
        <v>285</v>
      </c>
      <c r="Z796" s="2" t="s">
        <v>324</v>
      </c>
      <c r="AA796" s="2" t="s">
        <v>86</v>
      </c>
      <c r="AB796" s="1">
        <v>11890</v>
      </c>
      <c r="AC796" s="1">
        <v>6099</v>
      </c>
      <c r="AD796" s="1">
        <v>2250</v>
      </c>
      <c r="AE796" s="1">
        <v>624</v>
      </c>
      <c r="AF796" s="1">
        <v>113</v>
      </c>
      <c r="AG796" s="1">
        <v>11</v>
      </c>
      <c r="AH796" s="1">
        <v>7656</v>
      </c>
      <c r="AI796" s="1">
        <v>1301</v>
      </c>
      <c r="AJ796" s="1">
        <v>1561</v>
      </c>
      <c r="AK796" s="1">
        <v>2205</v>
      </c>
      <c r="AL796" s="1">
        <v>236</v>
      </c>
      <c r="AM796" s="1">
        <v>38</v>
      </c>
      <c r="AN796" s="2" t="s">
        <v>2324</v>
      </c>
    </row>
    <row r="797" spans="1:40" ht="28.2" x14ac:dyDescent="0.3">
      <c r="A797" s="1">
        <v>13718</v>
      </c>
      <c r="B797" s="2" t="s">
        <v>3386</v>
      </c>
      <c r="C797" s="2" t="s">
        <v>3387</v>
      </c>
      <c r="D797" s="1">
        <v>28</v>
      </c>
      <c r="E797" s="2" t="s">
        <v>196</v>
      </c>
      <c r="F797" s="50" t="s">
        <v>3514</v>
      </c>
      <c r="G797" s="2" t="s">
        <v>3388</v>
      </c>
      <c r="H797" s="1">
        <v>13060</v>
      </c>
      <c r="I797" s="1">
        <v>15183</v>
      </c>
      <c r="J797" s="2" t="s">
        <v>611</v>
      </c>
      <c r="K797" s="2" t="s">
        <v>1529</v>
      </c>
      <c r="L797" s="2" t="s">
        <v>765</v>
      </c>
      <c r="M797" s="1">
        <v>812</v>
      </c>
      <c r="N797" s="1">
        <v>21860</v>
      </c>
      <c r="O797" s="2" t="s">
        <v>134</v>
      </c>
      <c r="P797" s="2" t="s">
        <v>434</v>
      </c>
      <c r="Q797" s="2" t="s">
        <v>463</v>
      </c>
      <c r="R797" s="2" t="s">
        <v>235</v>
      </c>
      <c r="S797" s="2" t="s">
        <v>96</v>
      </c>
      <c r="T797" s="1">
        <v>9313</v>
      </c>
      <c r="U797" s="2" t="s">
        <v>51</v>
      </c>
      <c r="V797" s="1">
        <v>2337</v>
      </c>
      <c r="W797" s="1">
        <v>2770</v>
      </c>
      <c r="X797" s="2" t="s">
        <v>47</v>
      </c>
      <c r="Y797" s="2" t="s">
        <v>285</v>
      </c>
      <c r="Z797" s="2" t="s">
        <v>508</v>
      </c>
      <c r="AA797" s="2" t="s">
        <v>789</v>
      </c>
      <c r="AB797" s="1">
        <v>12547</v>
      </c>
      <c r="AC797" s="1">
        <v>6343</v>
      </c>
      <c r="AD797" s="1">
        <v>2322</v>
      </c>
      <c r="AE797" s="1">
        <v>532</v>
      </c>
      <c r="AF797" s="1">
        <v>103</v>
      </c>
      <c r="AG797" s="1">
        <v>13</v>
      </c>
      <c r="AH797" s="1">
        <v>8808</v>
      </c>
      <c r="AI797" s="1">
        <v>696</v>
      </c>
      <c r="AJ797" s="1">
        <v>1296</v>
      </c>
      <c r="AK797" s="1">
        <v>1916</v>
      </c>
      <c r="AL797" s="1">
        <v>333</v>
      </c>
      <c r="AM797" s="1">
        <v>82</v>
      </c>
      <c r="AN797" s="2" t="s">
        <v>285</v>
      </c>
    </row>
    <row r="798" spans="1:40" x14ac:dyDescent="0.3">
      <c r="A798" s="1">
        <v>8600</v>
      </c>
      <c r="B798" s="2" t="s">
        <v>3389</v>
      </c>
      <c r="C798" s="2" t="s">
        <v>3390</v>
      </c>
      <c r="D798" s="1">
        <v>30</v>
      </c>
      <c r="E798" s="2" t="s">
        <v>209</v>
      </c>
      <c r="F798" s="50" t="s">
        <v>118</v>
      </c>
      <c r="G798" s="2" t="s">
        <v>1217</v>
      </c>
      <c r="H798" s="1">
        <v>15800</v>
      </c>
      <c r="I798" s="1">
        <v>17998</v>
      </c>
      <c r="J798" s="2" t="s">
        <v>1613</v>
      </c>
      <c r="K798" s="2" t="s">
        <v>3391</v>
      </c>
      <c r="L798" s="2" t="s">
        <v>224</v>
      </c>
      <c r="M798" s="1">
        <v>1101</v>
      </c>
      <c r="N798" s="1">
        <v>28312</v>
      </c>
      <c r="O798" s="2" t="s">
        <v>181</v>
      </c>
      <c r="P798" s="2" t="s">
        <v>202</v>
      </c>
      <c r="Q798" s="2" t="s">
        <v>65</v>
      </c>
      <c r="R798" s="2" t="s">
        <v>67</v>
      </c>
      <c r="S798" s="2" t="s">
        <v>50</v>
      </c>
      <c r="T798" s="1">
        <v>11530</v>
      </c>
      <c r="U798" s="2" t="s">
        <v>51</v>
      </c>
      <c r="V798" s="1">
        <v>1749</v>
      </c>
      <c r="W798" s="1">
        <v>2044</v>
      </c>
      <c r="X798" s="2" t="s">
        <v>64</v>
      </c>
      <c r="Y798" s="2" t="s">
        <v>64</v>
      </c>
      <c r="Z798" s="2" t="s">
        <v>443</v>
      </c>
      <c r="AA798" s="2" t="s">
        <v>3392</v>
      </c>
      <c r="AB798" s="1">
        <v>16782</v>
      </c>
      <c r="AC798" s="1">
        <v>8115</v>
      </c>
      <c r="AD798" s="1">
        <v>2679</v>
      </c>
      <c r="AE798" s="1">
        <v>625</v>
      </c>
      <c r="AF798" s="1">
        <v>105</v>
      </c>
      <c r="AG798" s="1">
        <v>6</v>
      </c>
      <c r="AH798" s="1">
        <v>11000</v>
      </c>
      <c r="AI798" s="1">
        <v>86</v>
      </c>
      <c r="AJ798" s="1">
        <v>1988</v>
      </c>
      <c r="AK798" s="1">
        <v>2484</v>
      </c>
      <c r="AL798" s="1">
        <v>244</v>
      </c>
      <c r="AM798" s="1">
        <v>36</v>
      </c>
      <c r="AN798" s="2" t="s">
        <v>2324</v>
      </c>
    </row>
    <row r="799" spans="1:40" x14ac:dyDescent="0.3">
      <c r="A799" s="1">
        <v>15726</v>
      </c>
      <c r="B799" s="2" t="s">
        <v>3393</v>
      </c>
      <c r="C799" s="2" t="s">
        <v>3394</v>
      </c>
      <c r="D799" s="1">
        <v>23</v>
      </c>
      <c r="E799" s="2" t="s">
        <v>327</v>
      </c>
      <c r="F799" s="50" t="s">
        <v>3514</v>
      </c>
      <c r="G799" s="2" t="s">
        <v>3395</v>
      </c>
      <c r="H799" s="1">
        <v>9764</v>
      </c>
      <c r="I799" s="1">
        <v>11501</v>
      </c>
      <c r="J799" s="2" t="s">
        <v>3258</v>
      </c>
      <c r="K799" s="2" t="s">
        <v>2856</v>
      </c>
      <c r="L799" s="2">
        <v>4</v>
      </c>
      <c r="M799" s="1">
        <v>603</v>
      </c>
      <c r="N799" s="1">
        <v>16182</v>
      </c>
      <c r="O799" s="2" t="s">
        <v>134</v>
      </c>
      <c r="P799" s="2" t="s">
        <v>48</v>
      </c>
      <c r="Q799" s="2" t="s">
        <v>646</v>
      </c>
      <c r="R799" s="2" t="s">
        <v>50</v>
      </c>
      <c r="S799" s="2" t="s">
        <v>96</v>
      </c>
      <c r="T799" s="1">
        <v>6845</v>
      </c>
      <c r="U799" s="2" t="s">
        <v>51</v>
      </c>
      <c r="V799" s="1">
        <v>1546</v>
      </c>
      <c r="W799" s="1">
        <v>1831</v>
      </c>
      <c r="X799" s="2" t="s">
        <v>47</v>
      </c>
      <c r="Y799" s="2" t="s">
        <v>472</v>
      </c>
      <c r="Z799" s="2" t="s">
        <v>745</v>
      </c>
      <c r="AA799" s="2" t="s">
        <v>413</v>
      </c>
      <c r="AB799" s="1">
        <v>9337</v>
      </c>
      <c r="AC799" s="1">
        <v>4551</v>
      </c>
      <c r="AD799" s="1">
        <v>1756</v>
      </c>
      <c r="AE799" s="1">
        <v>458</v>
      </c>
      <c r="AF799" s="1">
        <v>73</v>
      </c>
      <c r="AG799" s="1">
        <v>7</v>
      </c>
      <c r="AH799" s="1">
        <v>6126</v>
      </c>
      <c r="AI799" s="1">
        <v>1401</v>
      </c>
      <c r="AJ799" s="1">
        <v>595</v>
      </c>
      <c r="AK799" s="1">
        <v>1537</v>
      </c>
      <c r="AL799" s="1">
        <v>103</v>
      </c>
      <c r="AM799" s="1">
        <v>28</v>
      </c>
      <c r="AN799" s="2" t="s">
        <v>1314</v>
      </c>
    </row>
    <row r="800" spans="1:40" ht="30.6" x14ac:dyDescent="0.3">
      <c r="A800" s="1">
        <v>10096</v>
      </c>
      <c r="B800" s="2" t="s">
        <v>3396</v>
      </c>
      <c r="C800" s="2" t="s">
        <v>3397</v>
      </c>
      <c r="D800" s="1">
        <v>27</v>
      </c>
      <c r="E800" s="2" t="s">
        <v>196</v>
      </c>
      <c r="F800" s="50" t="s">
        <v>992</v>
      </c>
      <c r="G800" s="2" t="s">
        <v>992</v>
      </c>
      <c r="H800" s="1">
        <v>12343</v>
      </c>
      <c r="I800" s="1">
        <v>14549</v>
      </c>
      <c r="J800" s="2" t="s">
        <v>470</v>
      </c>
      <c r="K800" s="2">
        <v>68</v>
      </c>
      <c r="L800" s="2" t="s">
        <v>1846</v>
      </c>
      <c r="M800" s="1">
        <v>798</v>
      </c>
      <c r="N800" s="1">
        <v>21225</v>
      </c>
      <c r="O800" s="2" t="s">
        <v>284</v>
      </c>
      <c r="P800" s="2" t="s">
        <v>202</v>
      </c>
      <c r="Q800" s="2" t="s">
        <v>463</v>
      </c>
      <c r="R800" s="2" t="s">
        <v>96</v>
      </c>
      <c r="S800" s="2" t="s">
        <v>66</v>
      </c>
      <c r="T800" s="1">
        <v>8746</v>
      </c>
      <c r="U800" s="2" t="s">
        <v>51</v>
      </c>
      <c r="V800" s="1">
        <v>1771</v>
      </c>
      <c r="W800" s="1">
        <v>2312</v>
      </c>
      <c r="X800" s="2" t="s">
        <v>81</v>
      </c>
      <c r="Y800" s="2" t="s">
        <v>1906</v>
      </c>
      <c r="Z800" s="2" t="s">
        <v>653</v>
      </c>
      <c r="AA800" s="2" t="s">
        <v>1276</v>
      </c>
      <c r="AB800" s="1">
        <v>12479</v>
      </c>
      <c r="AC800" s="1">
        <v>5928</v>
      </c>
      <c r="AD800" s="1">
        <v>2152</v>
      </c>
      <c r="AE800" s="1">
        <v>561</v>
      </c>
      <c r="AF800" s="1">
        <v>97</v>
      </c>
      <c r="AG800" s="1">
        <v>8</v>
      </c>
      <c r="AH800" s="1">
        <v>8478</v>
      </c>
      <c r="AI800" s="1">
        <v>446</v>
      </c>
      <c r="AJ800" s="1">
        <v>1184</v>
      </c>
      <c r="AK800" s="1">
        <v>1997</v>
      </c>
      <c r="AL800" s="1">
        <v>230</v>
      </c>
      <c r="AM800" s="1">
        <v>43</v>
      </c>
      <c r="AN800" s="2" t="s">
        <v>2324</v>
      </c>
    </row>
    <row r="801" spans="1:40" ht="28.2" x14ac:dyDescent="0.3">
      <c r="A801" s="1">
        <v>9350</v>
      </c>
      <c r="B801" s="2" t="s">
        <v>3398</v>
      </c>
      <c r="C801" s="2" t="s">
        <v>3399</v>
      </c>
      <c r="D801" s="1">
        <v>27</v>
      </c>
      <c r="E801" s="2" t="s">
        <v>59</v>
      </c>
      <c r="F801" s="50" t="s">
        <v>3514</v>
      </c>
      <c r="G801" s="2" t="s">
        <v>3400</v>
      </c>
      <c r="H801" s="1">
        <v>9243</v>
      </c>
      <c r="I801" s="1">
        <v>10836</v>
      </c>
      <c r="J801" s="2" t="s">
        <v>781</v>
      </c>
      <c r="K801" s="2" t="s">
        <v>3374</v>
      </c>
      <c r="L801" s="2" t="s">
        <v>93</v>
      </c>
      <c r="M801" s="1">
        <v>605</v>
      </c>
      <c r="N801" s="1">
        <v>15797</v>
      </c>
      <c r="O801" s="2" t="s">
        <v>95</v>
      </c>
      <c r="P801" s="2" t="s">
        <v>235</v>
      </c>
      <c r="Q801" s="2" t="s">
        <v>463</v>
      </c>
      <c r="R801" s="2" t="s">
        <v>67</v>
      </c>
      <c r="S801" s="2" t="s">
        <v>66</v>
      </c>
      <c r="T801" s="1">
        <v>6637</v>
      </c>
      <c r="U801" s="2" t="s">
        <v>51</v>
      </c>
      <c r="V801" s="1">
        <v>1224</v>
      </c>
      <c r="W801" s="1">
        <v>1575</v>
      </c>
      <c r="X801" s="2" t="s">
        <v>123</v>
      </c>
      <c r="Y801" s="2" t="s">
        <v>1551</v>
      </c>
      <c r="Z801" s="2" t="s">
        <v>1467</v>
      </c>
      <c r="AA801" s="2" t="s">
        <v>474</v>
      </c>
      <c r="AB801" s="1">
        <v>9160</v>
      </c>
      <c r="AC801" s="1">
        <v>4548</v>
      </c>
      <c r="AD801" s="1">
        <v>1651</v>
      </c>
      <c r="AE801" s="1">
        <v>366</v>
      </c>
      <c r="AF801" s="1">
        <v>65</v>
      </c>
      <c r="AG801" s="1">
        <v>7</v>
      </c>
      <c r="AH801" s="1">
        <v>6387</v>
      </c>
      <c r="AI801" s="1">
        <v>148</v>
      </c>
      <c r="AJ801" s="1">
        <v>1005</v>
      </c>
      <c r="AK801" s="1">
        <v>1532</v>
      </c>
      <c r="AL801" s="1">
        <v>127</v>
      </c>
      <c r="AM801" s="1">
        <v>60</v>
      </c>
      <c r="AN801" s="2" t="s">
        <v>64</v>
      </c>
    </row>
    <row r="802" spans="1:40" ht="28.2" x14ac:dyDescent="0.3">
      <c r="A802" s="1">
        <v>12572</v>
      </c>
      <c r="B802" s="2" t="s">
        <v>3401</v>
      </c>
      <c r="C802" s="2" t="s">
        <v>3402</v>
      </c>
      <c r="D802" s="1">
        <v>28</v>
      </c>
      <c r="E802" s="2" t="s">
        <v>545</v>
      </c>
      <c r="F802" s="50" t="s">
        <v>197</v>
      </c>
      <c r="G802" s="2" t="s">
        <v>3403</v>
      </c>
      <c r="H802" s="1">
        <v>10263</v>
      </c>
      <c r="I802" s="1">
        <v>11998</v>
      </c>
      <c r="J802" s="2" t="s">
        <v>2424</v>
      </c>
      <c r="K802" s="2">
        <v>63</v>
      </c>
      <c r="L802" s="2">
        <v>3</v>
      </c>
      <c r="M802" s="1">
        <v>688</v>
      </c>
      <c r="N802" s="1">
        <v>18180</v>
      </c>
      <c r="O802" s="2" t="s">
        <v>181</v>
      </c>
      <c r="P802" s="2" t="s">
        <v>48</v>
      </c>
      <c r="Q802" s="2" t="s">
        <v>322</v>
      </c>
      <c r="R802" s="2" t="s">
        <v>50</v>
      </c>
      <c r="S802" s="2" t="s">
        <v>66</v>
      </c>
      <c r="T802" s="1">
        <v>7476</v>
      </c>
      <c r="U802" s="2" t="s">
        <v>51</v>
      </c>
      <c r="V802" s="1">
        <v>1391</v>
      </c>
      <c r="W802" s="1">
        <v>1607</v>
      </c>
      <c r="X802" s="2" t="s">
        <v>2324</v>
      </c>
      <c r="Y802" s="2" t="s">
        <v>1906</v>
      </c>
      <c r="Z802" s="2" t="s">
        <v>1165</v>
      </c>
      <c r="AA802" s="2" t="s">
        <v>1636</v>
      </c>
      <c r="AB802" s="1">
        <v>10704</v>
      </c>
      <c r="AC802" s="1">
        <v>5250</v>
      </c>
      <c r="AD802" s="1">
        <v>1728</v>
      </c>
      <c r="AE802" s="1">
        <v>440</v>
      </c>
      <c r="AF802" s="1">
        <v>53</v>
      </c>
      <c r="AG802" s="1">
        <v>5</v>
      </c>
      <c r="AH802" s="1">
        <v>7025</v>
      </c>
      <c r="AI802" s="1">
        <v>391</v>
      </c>
      <c r="AJ802" s="1">
        <v>1059</v>
      </c>
      <c r="AK802" s="1">
        <v>1673</v>
      </c>
      <c r="AL802" s="1">
        <v>119</v>
      </c>
      <c r="AM802" s="1">
        <v>8</v>
      </c>
      <c r="AN802" s="2" t="s">
        <v>1749</v>
      </c>
    </row>
    <row r="803" spans="1:40" ht="28.2" x14ac:dyDescent="0.3">
      <c r="A803" s="1">
        <v>7378</v>
      </c>
      <c r="B803" s="2" t="s">
        <v>3404</v>
      </c>
      <c r="C803" s="2" t="s">
        <v>3405</v>
      </c>
      <c r="D803" s="1">
        <v>31</v>
      </c>
      <c r="E803" s="2" t="s">
        <v>545</v>
      </c>
      <c r="F803" s="50" t="s">
        <v>878</v>
      </c>
      <c r="G803" s="2" t="s">
        <v>3406</v>
      </c>
      <c r="H803" s="1">
        <v>6122</v>
      </c>
      <c r="I803" s="1">
        <v>7223</v>
      </c>
      <c r="J803" s="2" t="s">
        <v>565</v>
      </c>
      <c r="K803" s="2" t="s">
        <v>2614</v>
      </c>
      <c r="L803" s="2" t="s">
        <v>80</v>
      </c>
      <c r="M803" s="1">
        <v>400</v>
      </c>
      <c r="N803" s="1">
        <v>10494</v>
      </c>
      <c r="O803" s="2" t="s">
        <v>284</v>
      </c>
      <c r="P803" s="2" t="s">
        <v>553</v>
      </c>
      <c r="Q803" s="2" t="s">
        <v>463</v>
      </c>
      <c r="R803" s="2" t="s">
        <v>48</v>
      </c>
      <c r="S803" s="2" t="s">
        <v>66</v>
      </c>
      <c r="T803" s="1">
        <v>4394</v>
      </c>
      <c r="U803" s="2" t="s">
        <v>51</v>
      </c>
      <c r="V803" s="1">
        <v>847</v>
      </c>
      <c r="W803" s="1">
        <v>1138</v>
      </c>
      <c r="X803" s="2" t="s">
        <v>283</v>
      </c>
      <c r="Y803" s="2" t="s">
        <v>1551</v>
      </c>
      <c r="Z803" s="2" t="s">
        <v>718</v>
      </c>
      <c r="AA803" s="2" t="s">
        <v>287</v>
      </c>
      <c r="AB803" s="1">
        <v>6100</v>
      </c>
      <c r="AC803" s="1">
        <v>3055</v>
      </c>
      <c r="AD803" s="1">
        <v>1017</v>
      </c>
      <c r="AE803" s="1">
        <v>283</v>
      </c>
      <c r="AF803" s="1">
        <v>35</v>
      </c>
      <c r="AG803" s="1">
        <v>4</v>
      </c>
      <c r="AH803" s="1">
        <v>4529</v>
      </c>
      <c r="AI803" s="1">
        <v>145</v>
      </c>
      <c r="AJ803" s="1">
        <v>332</v>
      </c>
      <c r="AK803" s="1">
        <v>972</v>
      </c>
      <c r="AL803" s="1">
        <v>127</v>
      </c>
      <c r="AM803" s="1">
        <v>20</v>
      </c>
      <c r="AN803" s="2" t="s">
        <v>64</v>
      </c>
    </row>
    <row r="804" spans="1:40" ht="28.2" x14ac:dyDescent="0.3">
      <c r="A804" s="1">
        <v>1964</v>
      </c>
      <c r="B804" s="2" t="s">
        <v>3407</v>
      </c>
      <c r="C804" s="2" t="s">
        <v>3408</v>
      </c>
      <c r="D804" s="1">
        <v>35</v>
      </c>
      <c r="E804" s="2" t="s">
        <v>452</v>
      </c>
      <c r="F804" s="50" t="s">
        <v>690</v>
      </c>
      <c r="G804" s="2" t="s">
        <v>3409</v>
      </c>
      <c r="H804" s="1">
        <v>5863</v>
      </c>
      <c r="I804" s="1">
        <v>7012</v>
      </c>
      <c r="J804" s="2" t="s">
        <v>3410</v>
      </c>
      <c r="K804" s="2" t="s">
        <v>3374</v>
      </c>
      <c r="L804" s="2" t="s">
        <v>244</v>
      </c>
      <c r="M804" s="1">
        <v>380</v>
      </c>
      <c r="N804" s="1">
        <v>9970</v>
      </c>
      <c r="O804" s="2" t="s">
        <v>95</v>
      </c>
      <c r="P804" s="2" t="s">
        <v>553</v>
      </c>
      <c r="Q804" s="2" t="s">
        <v>905</v>
      </c>
      <c r="R804" s="2" t="s">
        <v>96</v>
      </c>
      <c r="S804" s="2" t="s">
        <v>96</v>
      </c>
      <c r="T804" s="1">
        <v>4209</v>
      </c>
      <c r="U804" s="2" t="s">
        <v>51</v>
      </c>
      <c r="V804" s="1">
        <v>753</v>
      </c>
      <c r="W804" s="1">
        <v>1121</v>
      </c>
      <c r="X804" s="2" t="s">
        <v>225</v>
      </c>
      <c r="Y804" s="2" t="s">
        <v>64</v>
      </c>
      <c r="Z804" s="2" t="s">
        <v>278</v>
      </c>
      <c r="AA804" s="2" t="s">
        <v>822</v>
      </c>
      <c r="AB804" s="1">
        <v>5761</v>
      </c>
      <c r="AC804" s="1">
        <v>2920</v>
      </c>
      <c r="AD804" s="1">
        <v>971</v>
      </c>
      <c r="AE804" s="1">
        <v>275</v>
      </c>
      <c r="AF804" s="1">
        <v>43</v>
      </c>
      <c r="AG804" s="1">
        <v>0</v>
      </c>
      <c r="AH804" s="1">
        <v>4327</v>
      </c>
      <c r="AI804" s="1">
        <v>27</v>
      </c>
      <c r="AJ804" s="1">
        <v>343</v>
      </c>
      <c r="AK804" s="1">
        <v>1061</v>
      </c>
      <c r="AL804" s="1">
        <v>102</v>
      </c>
      <c r="AM804" s="1">
        <v>8</v>
      </c>
      <c r="AN804" s="2" t="s">
        <v>2667</v>
      </c>
    </row>
    <row r="805" spans="1:40" x14ac:dyDescent="0.3">
      <c r="A805" s="1">
        <v>136</v>
      </c>
      <c r="B805" s="2" t="s">
        <v>3411</v>
      </c>
      <c r="C805" s="2" t="s">
        <v>3412</v>
      </c>
      <c r="D805" s="1">
        <v>35</v>
      </c>
      <c r="E805" s="2" t="s">
        <v>708</v>
      </c>
      <c r="F805" s="50" t="s">
        <v>709</v>
      </c>
      <c r="G805" s="2" t="s">
        <v>3279</v>
      </c>
      <c r="H805" s="1">
        <v>14445</v>
      </c>
      <c r="I805" s="1">
        <v>17256</v>
      </c>
      <c r="J805" s="2" t="s">
        <v>3413</v>
      </c>
      <c r="K805" s="2" t="s">
        <v>3414</v>
      </c>
      <c r="L805" s="2">
        <v>6</v>
      </c>
      <c r="M805" s="1">
        <v>975</v>
      </c>
      <c r="N805" s="1">
        <v>25707</v>
      </c>
      <c r="O805" s="2" t="s">
        <v>181</v>
      </c>
      <c r="P805" s="2" t="s">
        <v>202</v>
      </c>
      <c r="Q805" s="2" t="s">
        <v>225</v>
      </c>
      <c r="R805" s="2" t="s">
        <v>50</v>
      </c>
      <c r="S805" s="2" t="s">
        <v>66</v>
      </c>
      <c r="T805" s="1">
        <v>10397</v>
      </c>
      <c r="U805" s="2" t="s">
        <v>51</v>
      </c>
      <c r="V805" s="1">
        <v>1774</v>
      </c>
      <c r="W805" s="1">
        <v>2268</v>
      </c>
      <c r="X805" s="2" t="s">
        <v>123</v>
      </c>
      <c r="Y805" s="2" t="s">
        <v>64</v>
      </c>
      <c r="Z805" s="2" t="s">
        <v>1268</v>
      </c>
      <c r="AA805" s="2" t="s">
        <v>2068</v>
      </c>
      <c r="AB805" s="1">
        <v>15310</v>
      </c>
      <c r="AC805" s="1">
        <v>7211</v>
      </c>
      <c r="AD805" s="1">
        <v>2466</v>
      </c>
      <c r="AE805" s="1">
        <v>606</v>
      </c>
      <c r="AF805" s="1">
        <v>108</v>
      </c>
      <c r="AG805" s="1">
        <v>6</v>
      </c>
      <c r="AH805" s="1">
        <v>9673</v>
      </c>
      <c r="AI805" s="1">
        <v>215</v>
      </c>
      <c r="AJ805" s="1">
        <v>1498</v>
      </c>
      <c r="AK805" s="1">
        <v>2688</v>
      </c>
      <c r="AL805" s="1">
        <v>269</v>
      </c>
      <c r="AM805" s="1">
        <v>126</v>
      </c>
      <c r="AN805" s="2" t="s">
        <v>2667</v>
      </c>
    </row>
    <row r="806" spans="1:40" x14ac:dyDescent="0.3">
      <c r="A806" s="1">
        <v>8708</v>
      </c>
      <c r="B806" s="2" t="s">
        <v>3415</v>
      </c>
      <c r="C806" s="2" t="s">
        <v>3416</v>
      </c>
      <c r="D806" s="1">
        <v>31</v>
      </c>
      <c r="E806" s="2" t="s">
        <v>459</v>
      </c>
      <c r="F806" s="50" t="s">
        <v>3514</v>
      </c>
      <c r="G806" s="2" t="s">
        <v>3417</v>
      </c>
      <c r="H806" s="1">
        <v>6638</v>
      </c>
      <c r="I806" s="1">
        <v>7951</v>
      </c>
      <c r="J806" s="2" t="s">
        <v>1631</v>
      </c>
      <c r="K806" s="2" t="s">
        <v>3418</v>
      </c>
      <c r="L806" s="2" t="s">
        <v>471</v>
      </c>
      <c r="M806" s="1">
        <v>445</v>
      </c>
      <c r="N806" s="1">
        <v>11663</v>
      </c>
      <c r="O806" s="2" t="s">
        <v>3419</v>
      </c>
      <c r="P806" s="2" t="s">
        <v>48</v>
      </c>
      <c r="Q806" s="2" t="s">
        <v>167</v>
      </c>
      <c r="R806" s="2" t="s">
        <v>67</v>
      </c>
      <c r="S806" s="2" t="s">
        <v>96</v>
      </c>
      <c r="T806" s="1">
        <v>4779</v>
      </c>
      <c r="U806" s="2" t="s">
        <v>51</v>
      </c>
      <c r="V806" s="1">
        <v>803</v>
      </c>
      <c r="W806" s="1">
        <v>1066</v>
      </c>
      <c r="X806" s="2" t="s">
        <v>180</v>
      </c>
      <c r="Y806" s="2" t="s">
        <v>64</v>
      </c>
      <c r="Z806" s="2" t="s">
        <v>838</v>
      </c>
      <c r="AA806" s="2" t="s">
        <v>2951</v>
      </c>
      <c r="AB806" s="1">
        <v>6884</v>
      </c>
      <c r="AC806" s="1">
        <v>3302</v>
      </c>
      <c r="AD806" s="1">
        <v>1147</v>
      </c>
      <c r="AE806" s="1">
        <v>280</v>
      </c>
      <c r="AF806" s="1">
        <v>48</v>
      </c>
      <c r="AG806" s="1">
        <v>2</v>
      </c>
      <c r="AH806" s="1">
        <v>4437</v>
      </c>
      <c r="AI806" s="1">
        <v>220</v>
      </c>
      <c r="AJ806" s="1">
        <v>592</v>
      </c>
      <c r="AK806" s="1">
        <v>1298</v>
      </c>
      <c r="AL806" s="1">
        <v>99</v>
      </c>
      <c r="AM806" s="1">
        <v>6</v>
      </c>
      <c r="AN806" s="2" t="s">
        <v>2667</v>
      </c>
    </row>
    <row r="807" spans="1:40" x14ac:dyDescent="0.3">
      <c r="A807" s="1">
        <v>13779</v>
      </c>
      <c r="B807" s="2" t="s">
        <v>3420</v>
      </c>
      <c r="C807" s="2" t="s">
        <v>3421</v>
      </c>
      <c r="D807" s="1">
        <v>28</v>
      </c>
      <c r="E807" s="2" t="s">
        <v>75</v>
      </c>
      <c r="F807" s="50" t="s">
        <v>2208</v>
      </c>
      <c r="G807" s="2" t="s">
        <v>3422</v>
      </c>
      <c r="H807" s="1">
        <v>9261</v>
      </c>
      <c r="I807" s="1">
        <v>11566</v>
      </c>
      <c r="J807" s="2" t="s">
        <v>2420</v>
      </c>
      <c r="K807" s="2" t="s">
        <v>3046</v>
      </c>
      <c r="L807" s="2">
        <v>4</v>
      </c>
      <c r="M807" s="1">
        <v>608</v>
      </c>
      <c r="N807" s="1">
        <v>15891</v>
      </c>
      <c r="O807" s="2" t="s">
        <v>284</v>
      </c>
      <c r="P807" s="2" t="s">
        <v>202</v>
      </c>
      <c r="Q807" s="2" t="s">
        <v>495</v>
      </c>
      <c r="R807" s="2" t="s">
        <v>50</v>
      </c>
      <c r="S807" s="2" t="s">
        <v>135</v>
      </c>
      <c r="T807" s="1">
        <v>6535</v>
      </c>
      <c r="U807" s="2" t="s">
        <v>51</v>
      </c>
      <c r="V807" s="1">
        <v>1544</v>
      </c>
      <c r="W807" s="1">
        <v>2226</v>
      </c>
      <c r="X807" s="2" t="s">
        <v>463</v>
      </c>
      <c r="Y807" s="2" t="s">
        <v>1314</v>
      </c>
      <c r="Z807" s="2" t="s">
        <v>1020</v>
      </c>
      <c r="AA807" s="2" t="s">
        <v>1030</v>
      </c>
      <c r="AB807" s="1">
        <v>9356</v>
      </c>
      <c r="AC807" s="1">
        <v>4413</v>
      </c>
      <c r="AD807" s="1">
        <v>1600</v>
      </c>
      <c r="AE807" s="1">
        <v>446</v>
      </c>
      <c r="AF807" s="1">
        <v>70</v>
      </c>
      <c r="AG807" s="1">
        <v>6</v>
      </c>
      <c r="AH807" s="1">
        <v>6199</v>
      </c>
      <c r="AI807" s="1">
        <v>93</v>
      </c>
      <c r="AJ807" s="1">
        <v>1340</v>
      </c>
      <c r="AK807" s="1">
        <v>1499</v>
      </c>
      <c r="AL807" s="1">
        <v>101</v>
      </c>
      <c r="AM807" s="1">
        <v>54</v>
      </c>
      <c r="AN807" s="2" t="s">
        <v>1906</v>
      </c>
    </row>
    <row r="808" spans="1:40" ht="28.2" x14ac:dyDescent="0.3">
      <c r="A808" s="1">
        <v>472</v>
      </c>
      <c r="B808" s="2" t="s">
        <v>3423</v>
      </c>
      <c r="C808" s="2" t="s">
        <v>3424</v>
      </c>
      <c r="D808" s="1">
        <v>35</v>
      </c>
      <c r="E808" s="2" t="s">
        <v>59</v>
      </c>
      <c r="F808" s="50" t="s">
        <v>60</v>
      </c>
      <c r="G808" s="2" t="s">
        <v>3425</v>
      </c>
      <c r="H808" s="1">
        <v>13472</v>
      </c>
      <c r="I808" s="1">
        <v>16880</v>
      </c>
      <c r="J808" s="2" t="s">
        <v>1154</v>
      </c>
      <c r="K808" s="2" t="s">
        <v>3303</v>
      </c>
      <c r="L808" s="2" t="s">
        <v>425</v>
      </c>
      <c r="M808" s="1">
        <v>899</v>
      </c>
      <c r="N808" s="1">
        <v>23232</v>
      </c>
      <c r="O808" s="2" t="s">
        <v>284</v>
      </c>
      <c r="P808" s="2" t="s">
        <v>553</v>
      </c>
      <c r="Q808" s="2" t="s">
        <v>495</v>
      </c>
      <c r="R808" s="2" t="s">
        <v>50</v>
      </c>
      <c r="S808" s="2" t="s">
        <v>135</v>
      </c>
      <c r="T808" s="1">
        <v>9604</v>
      </c>
      <c r="U808" s="2" t="s">
        <v>51</v>
      </c>
      <c r="V808" s="1">
        <v>1977</v>
      </c>
      <c r="W808" s="1">
        <v>2548</v>
      </c>
      <c r="X808" s="2" t="s">
        <v>123</v>
      </c>
      <c r="Y808" s="2" t="s">
        <v>1749</v>
      </c>
      <c r="Z808" s="2" t="s">
        <v>324</v>
      </c>
      <c r="AA808" s="2" t="s">
        <v>783</v>
      </c>
      <c r="AB808" s="1">
        <v>13628</v>
      </c>
      <c r="AC808" s="1">
        <v>6564</v>
      </c>
      <c r="AD808" s="1">
        <v>2346</v>
      </c>
      <c r="AE808" s="1">
        <v>582</v>
      </c>
      <c r="AF808" s="1">
        <v>105</v>
      </c>
      <c r="AG808" s="1">
        <v>7</v>
      </c>
      <c r="AH808" s="1">
        <v>10064</v>
      </c>
      <c r="AI808" s="1">
        <v>67</v>
      </c>
      <c r="AJ808" s="1">
        <v>860</v>
      </c>
      <c r="AK808" s="1">
        <v>2256</v>
      </c>
      <c r="AL808" s="1">
        <v>118</v>
      </c>
      <c r="AM808" s="1">
        <v>108</v>
      </c>
      <c r="AN808" s="2" t="s">
        <v>2425</v>
      </c>
    </row>
    <row r="809" spans="1:40" ht="28.2" x14ac:dyDescent="0.3">
      <c r="A809" s="1">
        <v>8422</v>
      </c>
      <c r="B809" s="2" t="s">
        <v>3426</v>
      </c>
      <c r="C809" s="2" t="s">
        <v>3427</v>
      </c>
      <c r="D809" s="1">
        <v>27</v>
      </c>
      <c r="E809" s="2" t="s">
        <v>196</v>
      </c>
      <c r="F809" s="50" t="s">
        <v>3428</v>
      </c>
      <c r="G809" s="2" t="s">
        <v>3429</v>
      </c>
      <c r="H809" s="1">
        <v>6753</v>
      </c>
      <c r="I809" s="1">
        <v>8489</v>
      </c>
      <c r="J809" s="2" t="s">
        <v>931</v>
      </c>
      <c r="K809" s="2" t="s">
        <v>3378</v>
      </c>
      <c r="L809" s="2" t="s">
        <v>1981</v>
      </c>
      <c r="M809" s="1">
        <v>455</v>
      </c>
      <c r="N809" s="1">
        <v>11976</v>
      </c>
      <c r="O809" s="2" t="s">
        <v>181</v>
      </c>
      <c r="P809" s="2" t="s">
        <v>235</v>
      </c>
      <c r="Q809" s="2" t="s">
        <v>646</v>
      </c>
      <c r="R809" s="2" t="s">
        <v>67</v>
      </c>
      <c r="S809" s="2" t="s">
        <v>96</v>
      </c>
      <c r="T809" s="1">
        <v>4849</v>
      </c>
      <c r="U809" s="2" t="s">
        <v>51</v>
      </c>
      <c r="V809" s="1">
        <v>996</v>
      </c>
      <c r="W809" s="1">
        <v>1396</v>
      </c>
      <c r="X809" s="2" t="s">
        <v>646</v>
      </c>
      <c r="Y809" s="2" t="s">
        <v>1551</v>
      </c>
      <c r="Z809" s="2" t="s">
        <v>3430</v>
      </c>
      <c r="AA809" s="2" t="s">
        <v>287</v>
      </c>
      <c r="AB809" s="1">
        <v>7127</v>
      </c>
      <c r="AC809" s="1">
        <v>3360</v>
      </c>
      <c r="AD809" s="1">
        <v>1134</v>
      </c>
      <c r="AE809" s="1">
        <v>299</v>
      </c>
      <c r="AF809" s="1">
        <v>52</v>
      </c>
      <c r="AG809" s="1">
        <v>4</v>
      </c>
      <c r="AH809" s="1">
        <v>4770</v>
      </c>
      <c r="AI809" s="1">
        <v>120</v>
      </c>
      <c r="AJ809" s="1">
        <v>586</v>
      </c>
      <c r="AK809" s="1">
        <v>1106</v>
      </c>
      <c r="AL809" s="1">
        <v>178</v>
      </c>
      <c r="AM809" s="1">
        <v>13</v>
      </c>
      <c r="AN809" s="2" t="s">
        <v>2998</v>
      </c>
    </row>
    <row r="810" spans="1:40" ht="28.2" x14ac:dyDescent="0.3">
      <c r="A810" s="1">
        <v>7415</v>
      </c>
      <c r="B810" s="2" t="s">
        <v>3431</v>
      </c>
      <c r="C810" s="2" t="s">
        <v>3432</v>
      </c>
      <c r="D810" s="1">
        <v>31</v>
      </c>
      <c r="E810" s="2" t="s">
        <v>196</v>
      </c>
      <c r="F810" s="50" t="s">
        <v>3514</v>
      </c>
      <c r="G810" s="2" t="s">
        <v>3433</v>
      </c>
      <c r="H810" s="1">
        <v>22470</v>
      </c>
      <c r="I810" s="1">
        <v>28708</v>
      </c>
      <c r="J810" s="2" t="s">
        <v>1357</v>
      </c>
      <c r="K810" s="2" t="s">
        <v>3434</v>
      </c>
      <c r="L810" s="2" t="s">
        <v>1170</v>
      </c>
      <c r="M810" s="1">
        <v>1578</v>
      </c>
      <c r="N810" s="1">
        <v>41153</v>
      </c>
      <c r="O810" s="2" t="s">
        <v>312</v>
      </c>
      <c r="P810" s="2" t="s">
        <v>235</v>
      </c>
      <c r="Q810" s="2" t="s">
        <v>905</v>
      </c>
      <c r="R810" s="2" t="s">
        <v>67</v>
      </c>
      <c r="S810" s="2" t="s">
        <v>96</v>
      </c>
      <c r="T810" s="1">
        <v>16415</v>
      </c>
      <c r="U810" s="2" t="s">
        <v>51</v>
      </c>
      <c r="V810" s="1">
        <v>3079</v>
      </c>
      <c r="W810" s="1">
        <v>4493</v>
      </c>
      <c r="X810" s="2" t="s">
        <v>463</v>
      </c>
      <c r="Y810" s="2" t="s">
        <v>64</v>
      </c>
      <c r="Z810" s="2" t="s">
        <v>576</v>
      </c>
      <c r="AA810" s="2" t="s">
        <v>2131</v>
      </c>
      <c r="AB810" s="1">
        <v>24738</v>
      </c>
      <c r="AC810" s="1">
        <v>11579</v>
      </c>
      <c r="AD810" s="1">
        <v>3779</v>
      </c>
      <c r="AE810" s="1">
        <v>923</v>
      </c>
      <c r="AF810" s="1">
        <v>121</v>
      </c>
      <c r="AG810" s="1">
        <v>13</v>
      </c>
      <c r="AH810" s="1">
        <v>16737</v>
      </c>
      <c r="AI810" s="1">
        <v>220</v>
      </c>
      <c r="AJ810" s="1">
        <v>1514</v>
      </c>
      <c r="AK810" s="1">
        <v>3589</v>
      </c>
      <c r="AL810" s="1">
        <v>402</v>
      </c>
      <c r="AM810" s="1">
        <v>50</v>
      </c>
      <c r="AN810" s="2" t="s">
        <v>165</v>
      </c>
    </row>
    <row r="811" spans="1:40" x14ac:dyDescent="0.3">
      <c r="A811" s="1">
        <v>13156</v>
      </c>
      <c r="B811" s="2" t="s">
        <v>3435</v>
      </c>
      <c r="C811" s="2" t="s">
        <v>3436</v>
      </c>
      <c r="D811" s="1">
        <v>27</v>
      </c>
      <c r="E811" s="2" t="s">
        <v>75</v>
      </c>
      <c r="F811" s="50" t="s">
        <v>3437</v>
      </c>
      <c r="G811" s="2" t="s">
        <v>3438</v>
      </c>
      <c r="H811" s="1">
        <v>5654</v>
      </c>
      <c r="I811" s="1">
        <v>7613</v>
      </c>
      <c r="J811" s="2" t="s">
        <v>1586</v>
      </c>
      <c r="K811" s="2" t="s">
        <v>3439</v>
      </c>
      <c r="L811" s="2" t="s">
        <v>612</v>
      </c>
      <c r="M811" s="1">
        <v>389</v>
      </c>
      <c r="N811" s="1">
        <v>10334</v>
      </c>
      <c r="O811" s="2" t="s">
        <v>312</v>
      </c>
      <c r="P811" s="2" t="s">
        <v>235</v>
      </c>
      <c r="Q811" s="2" t="s">
        <v>283</v>
      </c>
      <c r="R811" s="2" t="s">
        <v>96</v>
      </c>
      <c r="S811" s="2" t="s">
        <v>1228</v>
      </c>
      <c r="T811" s="1">
        <v>4093</v>
      </c>
      <c r="U811" s="2" t="s">
        <v>51</v>
      </c>
      <c r="V811" s="1">
        <v>841</v>
      </c>
      <c r="W811" s="1">
        <v>1310</v>
      </c>
      <c r="X811" s="2" t="s">
        <v>65</v>
      </c>
      <c r="Y811" s="2" t="s">
        <v>64</v>
      </c>
      <c r="Z811" s="2" t="s">
        <v>2083</v>
      </c>
      <c r="AA811" s="2" t="s">
        <v>287</v>
      </c>
      <c r="AB811" s="1">
        <v>6241</v>
      </c>
      <c r="AC811" s="1">
        <v>2849</v>
      </c>
      <c r="AD811" s="1">
        <v>977</v>
      </c>
      <c r="AE811" s="1">
        <v>218</v>
      </c>
      <c r="AF811" s="1">
        <v>48</v>
      </c>
      <c r="AG811" s="1">
        <v>1</v>
      </c>
      <c r="AH811" s="1">
        <v>4051</v>
      </c>
      <c r="AI811" s="1">
        <v>151</v>
      </c>
      <c r="AJ811" s="1">
        <v>623</v>
      </c>
      <c r="AK811" s="1">
        <v>669</v>
      </c>
      <c r="AL811" s="1">
        <v>84</v>
      </c>
      <c r="AM811" s="1">
        <v>92</v>
      </c>
      <c r="AN811" s="2" t="s">
        <v>47</v>
      </c>
    </row>
    <row r="812" spans="1:40" x14ac:dyDescent="0.3">
      <c r="A812" s="1">
        <v>6455</v>
      </c>
      <c r="B812" s="2" t="s">
        <v>3440</v>
      </c>
      <c r="C812" s="2" t="s">
        <v>3441</v>
      </c>
      <c r="D812" s="1">
        <v>35</v>
      </c>
      <c r="E812" s="2" t="s">
        <v>500</v>
      </c>
      <c r="F812" s="50" t="s">
        <v>3514</v>
      </c>
      <c r="G812" s="2" t="s">
        <v>3442</v>
      </c>
      <c r="H812" s="1">
        <v>5530</v>
      </c>
      <c r="I812" s="1">
        <v>7492</v>
      </c>
      <c r="J812" s="2" t="s">
        <v>411</v>
      </c>
      <c r="K812" s="2" t="s">
        <v>3443</v>
      </c>
      <c r="L812" s="2" t="s">
        <v>46</v>
      </c>
      <c r="M812" s="1">
        <v>410</v>
      </c>
      <c r="N812" s="1">
        <v>10602</v>
      </c>
      <c r="O812" s="2" t="s">
        <v>3444</v>
      </c>
      <c r="P812" s="2" t="s">
        <v>48</v>
      </c>
      <c r="Q812" s="2" t="s">
        <v>646</v>
      </c>
      <c r="R812" s="2" t="s">
        <v>96</v>
      </c>
      <c r="S812" s="2" t="s">
        <v>66</v>
      </c>
      <c r="T812" s="1">
        <v>4080</v>
      </c>
      <c r="U812" s="2" t="s">
        <v>51</v>
      </c>
      <c r="V812" s="1">
        <v>588</v>
      </c>
      <c r="W812" s="1">
        <v>939</v>
      </c>
      <c r="X812" s="2" t="s">
        <v>215</v>
      </c>
      <c r="Y812" s="2" t="s">
        <v>94</v>
      </c>
      <c r="Z812" s="2" t="s">
        <v>653</v>
      </c>
      <c r="AA812" s="2" t="s">
        <v>3445</v>
      </c>
      <c r="AB812" s="1">
        <v>6522</v>
      </c>
      <c r="AC812" s="1">
        <v>2901</v>
      </c>
      <c r="AD812" s="1">
        <v>950</v>
      </c>
      <c r="AE812" s="1">
        <v>192</v>
      </c>
      <c r="AF812" s="1">
        <v>33</v>
      </c>
      <c r="AG812" s="1">
        <v>4</v>
      </c>
      <c r="AH812" s="1">
        <v>3711</v>
      </c>
      <c r="AI812" s="1">
        <v>316</v>
      </c>
      <c r="AJ812" s="1">
        <v>452</v>
      </c>
      <c r="AK812" s="1">
        <v>940</v>
      </c>
      <c r="AL812" s="1">
        <v>71</v>
      </c>
      <c r="AM812" s="1">
        <v>51</v>
      </c>
      <c r="AN812" s="2" t="s">
        <v>81</v>
      </c>
    </row>
  </sheetData>
  <hyperlinks>
    <hyperlink ref="F84" r:id="rId1" display="http://eg.pa/" xr:uid="{00000000-0004-0000-0200-000000000000}"/>
    <hyperlink ref="F145" r:id="rId2" display="http://virtus.pro/" xr:uid="{00000000-0004-0000-0200-000001000000}"/>
    <hyperlink ref="F271" r:id="rId3" display="http://virtus.pro/" xr:uid="{00000000-0004-0000-0200-000002000000}"/>
    <hyperlink ref="F353" r:id="rId4" display="http://eg.cd/" xr:uid="{00000000-0004-0000-0200-000003000000}"/>
    <hyperlink ref="F536" r:id="rId5" display="http://eg.pa/" xr:uid="{00000000-0004-0000-0200-000004000000}"/>
    <hyperlink ref="F548" r:id="rId6" display="http://eg.cd/" xr:uid="{00000000-0004-0000-0200-000005000000}"/>
    <hyperlink ref="F554" r:id="rId7" display="http://eg.pa/" xr:uid="{00000000-0004-0000-0200-000006000000}"/>
    <hyperlink ref="F563" r:id="rId8" display="http://eg.cd/" xr:uid="{00000000-0004-0000-0200-000007000000}"/>
    <hyperlink ref="F643" r:id="rId9" display="http://eg.cd/" xr:uid="{00000000-0004-0000-0200-000008000000}"/>
    <hyperlink ref="F748" r:id="rId10" display="http://virtus.pro/" xr:uid="{00000000-0004-0000-0200-000009000000}"/>
    <hyperlink ref="F774" r:id="rId11" display="http://eg.pa/" xr:uid="{00000000-0004-0000-0200-00000A000000}"/>
  </hyperlinks>
  <pageMargins left="0.7" right="0.7" top="0.75" bottom="0.75" header="0.3" footer="0.3"/>
  <pageSetup orientation="portrait" horizontalDpi="300" verticalDpi="300" r:id="rId1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12"/>
  <sheetViews>
    <sheetView topLeftCell="AF1" workbookViewId="0">
      <selection activeCell="AT11" sqref="AT11"/>
    </sheetView>
  </sheetViews>
  <sheetFormatPr baseColWidth="10" defaultRowHeight="14.4" x14ac:dyDescent="0.3"/>
  <cols>
    <col min="2" max="2" width="11.6640625" customWidth="1"/>
    <col min="3" max="3" width="12.5546875" customWidth="1"/>
    <col min="6" max="6" width="15.109375" customWidth="1"/>
    <col min="8" max="8" width="11.88671875" customWidth="1"/>
    <col min="9" max="9" width="14.33203125" customWidth="1"/>
    <col min="10" max="10" width="22.44140625" customWidth="1"/>
    <col min="11" max="11" width="20.44140625" customWidth="1"/>
    <col min="12" max="12" width="25.5546875" customWidth="1"/>
    <col min="13" max="13" width="14.88671875" customWidth="1"/>
    <col min="14" max="14" width="16.33203125" customWidth="1"/>
    <col min="15" max="15" width="17" customWidth="1"/>
    <col min="16" max="16" width="19.109375" customWidth="1"/>
    <col min="17" max="17" width="19.44140625" customWidth="1"/>
    <col min="18" max="18" width="31.88671875" customWidth="1"/>
    <col min="19" max="19" width="29.5546875" customWidth="1"/>
    <col min="20" max="20" width="18.88671875" customWidth="1"/>
    <col min="21" max="21" width="19" customWidth="1"/>
    <col min="22" max="22" width="20.109375" customWidth="1"/>
    <col min="23" max="23" width="22.5546875" customWidth="1"/>
    <col min="24" max="24" width="19.33203125" customWidth="1"/>
    <col min="25" max="25" width="20.33203125" customWidth="1"/>
    <col min="26" max="26" width="33.44140625" customWidth="1"/>
    <col min="27" max="27" width="25.109375" customWidth="1"/>
    <col min="28" max="33" width="15" customWidth="1"/>
    <col min="35" max="35" width="13.33203125" customWidth="1"/>
    <col min="37" max="37" width="12.6640625" customWidth="1"/>
    <col min="38" max="38" width="15" customWidth="1"/>
    <col min="39" max="39" width="12.5546875" customWidth="1"/>
    <col min="42" max="42" width="17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3483</v>
      </c>
      <c r="AP1" t="s">
        <v>3489</v>
      </c>
      <c r="AS1" s="36" t="s">
        <v>3484</v>
      </c>
      <c r="AT1" s="36"/>
    </row>
    <row r="2" spans="1:46" x14ac:dyDescent="0.3">
      <c r="A2">
        <v>8346</v>
      </c>
      <c r="B2" t="s">
        <v>1838</v>
      </c>
      <c r="C2" t="s">
        <v>1839</v>
      </c>
      <c r="D2">
        <v>32</v>
      </c>
      <c r="E2" t="s">
        <v>459</v>
      </c>
      <c r="F2" t="s">
        <v>3514</v>
      </c>
      <c r="G2" t="s">
        <v>1840</v>
      </c>
      <c r="H2">
        <v>14626</v>
      </c>
      <c r="I2">
        <v>13801</v>
      </c>
      <c r="J2" t="s">
        <v>1841</v>
      </c>
      <c r="K2" t="s">
        <v>1842</v>
      </c>
      <c r="L2" t="s">
        <v>122</v>
      </c>
      <c r="M2">
        <v>823</v>
      </c>
      <c r="N2">
        <v>21321</v>
      </c>
      <c r="O2" t="s">
        <v>463</v>
      </c>
      <c r="P2" t="s">
        <v>50</v>
      </c>
      <c r="Q2" t="s">
        <v>276</v>
      </c>
      <c r="R2" t="s">
        <v>50</v>
      </c>
      <c r="S2" t="s">
        <v>96</v>
      </c>
      <c r="T2">
        <v>9980</v>
      </c>
      <c r="U2" t="s">
        <v>51</v>
      </c>
      <c r="V2">
        <v>2613</v>
      </c>
      <c r="W2">
        <v>1953</v>
      </c>
      <c r="X2" t="s">
        <v>1106</v>
      </c>
      <c r="Y2" t="s">
        <v>98</v>
      </c>
      <c r="Z2" t="s">
        <v>473</v>
      </c>
      <c r="AA2" t="s">
        <v>392</v>
      </c>
      <c r="AB2">
        <v>11341</v>
      </c>
      <c r="AC2">
        <v>6437</v>
      </c>
      <c r="AD2">
        <v>2625</v>
      </c>
      <c r="AE2">
        <v>757</v>
      </c>
      <c r="AF2">
        <v>147</v>
      </c>
      <c r="AG2">
        <v>14</v>
      </c>
      <c r="AH2">
        <v>1539</v>
      </c>
      <c r="AI2">
        <v>9275</v>
      </c>
      <c r="AJ2">
        <v>1024</v>
      </c>
      <c r="AK2">
        <v>2645</v>
      </c>
      <c r="AL2">
        <v>146</v>
      </c>
      <c r="AM2">
        <v>19</v>
      </c>
      <c r="AN2" t="s">
        <v>449</v>
      </c>
      <c r="AO2">
        <f>AVERAGE(Tabla2[[#This Row],[total_kills]:[rating]])</f>
        <v>5320.3157894736842</v>
      </c>
      <c r="AP2" t="str">
        <f>VLOOKUP(Tabla2[[#This Row],[KPI]],$AS$2:$AT$5,2,1)</f>
        <v>Alto</v>
      </c>
      <c r="AS2" s="36">
        <f>MIN(AO:AO)</f>
        <v>2253.5500000000002</v>
      </c>
      <c r="AT2" s="36" t="s">
        <v>3485</v>
      </c>
    </row>
    <row r="3" spans="1:46" x14ac:dyDescent="0.3">
      <c r="A3">
        <v>7440</v>
      </c>
      <c r="B3" t="s">
        <v>1254</v>
      </c>
      <c r="C3" t="s">
        <v>1255</v>
      </c>
      <c r="D3">
        <v>29</v>
      </c>
      <c r="E3" t="s">
        <v>459</v>
      </c>
      <c r="F3" t="s">
        <v>3514</v>
      </c>
      <c r="G3" t="s">
        <v>76</v>
      </c>
      <c r="H3">
        <v>18365</v>
      </c>
      <c r="I3">
        <v>15907</v>
      </c>
      <c r="J3" t="s">
        <v>400</v>
      </c>
      <c r="K3" t="s">
        <v>1256</v>
      </c>
      <c r="L3" t="s">
        <v>179</v>
      </c>
      <c r="M3">
        <v>1047</v>
      </c>
      <c r="N3">
        <v>27129</v>
      </c>
      <c r="O3" t="s">
        <v>167</v>
      </c>
      <c r="P3" t="s">
        <v>67</v>
      </c>
      <c r="Q3" t="s">
        <v>95</v>
      </c>
      <c r="R3" t="s">
        <v>96</v>
      </c>
      <c r="S3" t="s">
        <v>96</v>
      </c>
      <c r="T3">
        <v>12658</v>
      </c>
      <c r="U3" t="s">
        <v>51</v>
      </c>
      <c r="V3">
        <v>2832</v>
      </c>
      <c r="W3">
        <v>1829</v>
      </c>
      <c r="X3" t="s">
        <v>496</v>
      </c>
      <c r="Y3" t="s">
        <v>277</v>
      </c>
      <c r="Z3" t="s">
        <v>955</v>
      </c>
      <c r="AA3" t="s">
        <v>547</v>
      </c>
      <c r="AB3">
        <v>14471</v>
      </c>
      <c r="AC3">
        <v>8308</v>
      </c>
      <c r="AD3">
        <v>3226</v>
      </c>
      <c r="AE3">
        <v>931</v>
      </c>
      <c r="AF3">
        <v>172</v>
      </c>
      <c r="AG3">
        <v>21</v>
      </c>
      <c r="AH3">
        <v>3839</v>
      </c>
      <c r="AI3">
        <v>10111</v>
      </c>
      <c r="AJ3">
        <v>563</v>
      </c>
      <c r="AK3">
        <v>3592</v>
      </c>
      <c r="AL3">
        <v>238</v>
      </c>
      <c r="AM3">
        <v>44</v>
      </c>
      <c r="AN3" t="s">
        <v>590</v>
      </c>
      <c r="AO3">
        <f>AVERAGE(Tabla2[[#This Row],[total_kills]:[rating]])</f>
        <v>6593.8421052631575</v>
      </c>
      <c r="AP3" t="str">
        <f>VLOOKUP(Tabla2[[#This Row],[KPI]],$AS$2:$AT$5,2,1)</f>
        <v>Alto</v>
      </c>
      <c r="AS3" s="36">
        <f>QUARTILE(AO:AO,1)</f>
        <v>3297.4684210526316</v>
      </c>
      <c r="AT3" s="36" t="s">
        <v>3486</v>
      </c>
    </row>
    <row r="4" spans="1:46" x14ac:dyDescent="0.3">
      <c r="A4">
        <v>12733</v>
      </c>
      <c r="B4" t="s">
        <v>481</v>
      </c>
      <c r="C4" t="s">
        <v>482</v>
      </c>
      <c r="D4">
        <v>24</v>
      </c>
      <c r="E4" t="s">
        <v>75</v>
      </c>
      <c r="F4" t="s">
        <v>483</v>
      </c>
      <c r="G4" t="s">
        <v>484</v>
      </c>
      <c r="H4">
        <v>24769</v>
      </c>
      <c r="I4">
        <v>20066</v>
      </c>
      <c r="J4" t="s">
        <v>485</v>
      </c>
      <c r="K4" t="s">
        <v>486</v>
      </c>
      <c r="L4" t="s">
        <v>487</v>
      </c>
      <c r="M4">
        <v>1282</v>
      </c>
      <c r="N4">
        <v>34452</v>
      </c>
      <c r="O4" t="s">
        <v>311</v>
      </c>
      <c r="P4" t="s">
        <v>66</v>
      </c>
      <c r="Q4" t="s">
        <v>284</v>
      </c>
      <c r="R4" t="s">
        <v>135</v>
      </c>
      <c r="S4" t="s">
        <v>66</v>
      </c>
      <c r="T4">
        <v>16798</v>
      </c>
      <c r="U4" t="s">
        <v>51</v>
      </c>
      <c r="V4">
        <v>5002</v>
      </c>
      <c r="W4">
        <v>3073</v>
      </c>
      <c r="X4" t="s">
        <v>488</v>
      </c>
      <c r="Y4" t="s">
        <v>69</v>
      </c>
      <c r="Z4" t="s">
        <v>256</v>
      </c>
      <c r="AA4" t="s">
        <v>71</v>
      </c>
      <c r="AB4">
        <v>17654</v>
      </c>
      <c r="AC4">
        <v>10662</v>
      </c>
      <c r="AD4">
        <v>4559</v>
      </c>
      <c r="AE4">
        <v>1337</v>
      </c>
      <c r="AF4">
        <v>222</v>
      </c>
      <c r="AG4">
        <v>18</v>
      </c>
      <c r="AH4">
        <v>2339</v>
      </c>
      <c r="AI4">
        <v>17549</v>
      </c>
      <c r="AJ4">
        <v>825</v>
      </c>
      <c r="AK4">
        <v>3919</v>
      </c>
      <c r="AL4">
        <v>175</v>
      </c>
      <c r="AM4">
        <v>47</v>
      </c>
      <c r="AN4" t="s">
        <v>84</v>
      </c>
      <c r="AO4">
        <f>AVERAGE(Tabla2[[#This Row],[total_kills]:[rating]])</f>
        <v>8670.9473684210534</v>
      </c>
      <c r="AP4" t="str">
        <f>VLOOKUP(Tabla2[[#This Row],[KPI]],$AS$2:$AT$5,2,1)</f>
        <v>Superior</v>
      </c>
      <c r="AS4" s="36">
        <f>MEDIAN(AO:AO)</f>
        <v>4807.5263157894733</v>
      </c>
      <c r="AT4" s="36" t="s">
        <v>3487</v>
      </c>
    </row>
    <row r="5" spans="1:46" x14ac:dyDescent="0.3">
      <c r="A5">
        <v>10992</v>
      </c>
      <c r="B5" t="s">
        <v>1829</v>
      </c>
      <c r="C5" t="s">
        <v>1830</v>
      </c>
      <c r="D5">
        <v>25</v>
      </c>
      <c r="E5" t="s">
        <v>196</v>
      </c>
      <c r="F5" t="s">
        <v>1831</v>
      </c>
      <c r="G5" t="s">
        <v>1832</v>
      </c>
      <c r="H5">
        <v>9094</v>
      </c>
      <c r="I5">
        <v>8592</v>
      </c>
      <c r="J5" t="s">
        <v>1833</v>
      </c>
      <c r="K5" t="s">
        <v>1834</v>
      </c>
      <c r="L5" t="s">
        <v>390</v>
      </c>
      <c r="M5">
        <v>507</v>
      </c>
      <c r="N5">
        <v>13234</v>
      </c>
      <c r="O5" t="s">
        <v>463</v>
      </c>
      <c r="P5" t="s">
        <v>96</v>
      </c>
      <c r="Q5" t="s">
        <v>276</v>
      </c>
      <c r="R5" t="s">
        <v>96</v>
      </c>
      <c r="S5" t="s">
        <v>66</v>
      </c>
      <c r="T5">
        <v>6202</v>
      </c>
      <c r="U5" t="s">
        <v>51</v>
      </c>
      <c r="V5">
        <v>1848</v>
      </c>
      <c r="W5">
        <v>1376</v>
      </c>
      <c r="X5" t="s">
        <v>1106</v>
      </c>
      <c r="Y5" t="s">
        <v>127</v>
      </c>
      <c r="Z5" t="s">
        <v>1656</v>
      </c>
      <c r="AA5" t="s">
        <v>71</v>
      </c>
      <c r="AB5">
        <v>7032</v>
      </c>
      <c r="AC5">
        <v>3997</v>
      </c>
      <c r="AD5">
        <v>1630</v>
      </c>
      <c r="AE5">
        <v>472</v>
      </c>
      <c r="AF5">
        <v>94</v>
      </c>
      <c r="AG5">
        <v>9</v>
      </c>
      <c r="AH5">
        <v>1259</v>
      </c>
      <c r="AI5">
        <v>5965</v>
      </c>
      <c r="AJ5">
        <v>379</v>
      </c>
      <c r="AK5">
        <v>1375</v>
      </c>
      <c r="AL5">
        <v>120</v>
      </c>
      <c r="AM5">
        <v>13</v>
      </c>
      <c r="AN5" t="s">
        <v>590</v>
      </c>
      <c r="AO5">
        <f>AVERAGE(Tabla2[[#This Row],[total_kills]:[rating]])</f>
        <v>3326.2105263157896</v>
      </c>
      <c r="AP5" t="str">
        <f>VLOOKUP(Tabla2[[#This Row],[KPI]],$AS$2:$AT$5,2,1)</f>
        <v>Medio</v>
      </c>
      <c r="AS5" s="36">
        <f>QUARTILE(AO:AO,3)</f>
        <v>6902.5526315789475</v>
      </c>
      <c r="AT5" s="36" t="s">
        <v>3488</v>
      </c>
    </row>
    <row r="6" spans="1:46" x14ac:dyDescent="0.3">
      <c r="A6">
        <v>13776</v>
      </c>
      <c r="B6" t="s">
        <v>306</v>
      </c>
      <c r="C6" t="s">
        <v>307</v>
      </c>
      <c r="D6">
        <v>23</v>
      </c>
      <c r="E6" t="s">
        <v>75</v>
      </c>
      <c r="F6" t="s">
        <v>308</v>
      </c>
      <c r="G6" t="s">
        <v>309</v>
      </c>
      <c r="H6">
        <v>22608</v>
      </c>
      <c r="I6">
        <v>17316</v>
      </c>
      <c r="J6" t="s">
        <v>310</v>
      </c>
      <c r="K6">
        <v>73</v>
      </c>
      <c r="L6" t="s">
        <v>80</v>
      </c>
      <c r="M6">
        <v>1189</v>
      </c>
      <c r="N6">
        <v>31521</v>
      </c>
      <c r="O6" t="s">
        <v>311</v>
      </c>
      <c r="P6" t="s">
        <v>96</v>
      </c>
      <c r="Q6" t="s">
        <v>312</v>
      </c>
      <c r="R6" t="s">
        <v>135</v>
      </c>
      <c r="S6" t="s">
        <v>96</v>
      </c>
      <c r="T6">
        <v>15469</v>
      </c>
      <c r="U6" t="s">
        <v>51</v>
      </c>
      <c r="V6">
        <v>3753</v>
      </c>
      <c r="W6">
        <v>2089</v>
      </c>
      <c r="X6" t="s">
        <v>313</v>
      </c>
      <c r="Y6" t="s">
        <v>84</v>
      </c>
      <c r="Z6" t="s">
        <v>314</v>
      </c>
      <c r="AA6" t="s">
        <v>315</v>
      </c>
      <c r="AB6">
        <v>16052</v>
      </c>
      <c r="AC6">
        <v>10001</v>
      </c>
      <c r="AD6">
        <v>4041</v>
      </c>
      <c r="AE6">
        <v>1202</v>
      </c>
      <c r="AF6">
        <v>206</v>
      </c>
      <c r="AG6">
        <v>19</v>
      </c>
      <c r="AH6">
        <v>3061</v>
      </c>
      <c r="AI6">
        <v>14965</v>
      </c>
      <c r="AJ6">
        <v>1081</v>
      </c>
      <c r="AK6">
        <v>3198</v>
      </c>
      <c r="AL6">
        <v>252</v>
      </c>
      <c r="AM6">
        <v>137</v>
      </c>
      <c r="AN6" t="s">
        <v>172</v>
      </c>
      <c r="AO6">
        <f>AVERAGE(Tabla2[[#This Row],[total_kills]:[rating]])</f>
        <v>7411.65</v>
      </c>
      <c r="AP6" t="str">
        <f>VLOOKUP(Tabla2[[#This Row],[KPI]],$AS$2:$AT$5,2,1)</f>
        <v>Superior</v>
      </c>
      <c r="AS6" s="36">
        <f>MAX(AO:AO)</f>
        <v>14155.526315789473</v>
      </c>
      <c r="AT6" s="36"/>
    </row>
    <row r="7" spans="1:46" x14ac:dyDescent="0.3">
      <c r="A7">
        <v>15255</v>
      </c>
      <c r="B7" t="s">
        <v>1525</v>
      </c>
      <c r="C7" t="s">
        <v>1526</v>
      </c>
      <c r="D7">
        <v>24</v>
      </c>
      <c r="E7" t="s">
        <v>459</v>
      </c>
      <c r="F7" t="s">
        <v>3514</v>
      </c>
      <c r="G7" t="s">
        <v>1527</v>
      </c>
      <c r="H7">
        <v>7290</v>
      </c>
      <c r="I7">
        <v>6722</v>
      </c>
      <c r="J7" t="s">
        <v>1528</v>
      </c>
      <c r="K7" t="s">
        <v>1529</v>
      </c>
      <c r="L7" t="s">
        <v>462</v>
      </c>
      <c r="M7">
        <v>397</v>
      </c>
      <c r="N7">
        <v>10421</v>
      </c>
      <c r="O7" t="s">
        <v>905</v>
      </c>
      <c r="P7" t="s">
        <v>50</v>
      </c>
      <c r="Q7" t="s">
        <v>276</v>
      </c>
      <c r="R7" t="s">
        <v>50</v>
      </c>
      <c r="S7" t="s">
        <v>50</v>
      </c>
      <c r="T7">
        <v>4937</v>
      </c>
      <c r="U7" t="s">
        <v>51</v>
      </c>
      <c r="V7">
        <v>1221</v>
      </c>
      <c r="W7">
        <v>916</v>
      </c>
      <c r="X7" t="s">
        <v>442</v>
      </c>
      <c r="Y7" t="s">
        <v>362</v>
      </c>
      <c r="Z7" t="s">
        <v>391</v>
      </c>
      <c r="AA7" t="s">
        <v>542</v>
      </c>
      <c r="AB7">
        <v>5484</v>
      </c>
      <c r="AC7">
        <v>3148</v>
      </c>
      <c r="AD7">
        <v>1311</v>
      </c>
      <c r="AE7">
        <v>402</v>
      </c>
      <c r="AF7">
        <v>66</v>
      </c>
      <c r="AG7">
        <v>10</v>
      </c>
      <c r="AH7">
        <v>1161</v>
      </c>
      <c r="AI7">
        <v>4695</v>
      </c>
      <c r="AJ7">
        <v>184</v>
      </c>
      <c r="AK7">
        <v>1124</v>
      </c>
      <c r="AL7">
        <v>102</v>
      </c>
      <c r="AM7">
        <v>49</v>
      </c>
      <c r="AN7" t="s">
        <v>277</v>
      </c>
      <c r="AO7">
        <f>AVERAGE(Tabla2[[#This Row],[total_kills]:[rating]])</f>
        <v>2612.6315789473683</v>
      </c>
      <c r="AP7" t="str">
        <f>VLOOKUP(Tabla2[[#This Row],[KPI]],$AS$2:$AT$5,2,1)</f>
        <v>Bajo</v>
      </c>
    </row>
    <row r="8" spans="1:46" x14ac:dyDescent="0.3">
      <c r="A8">
        <v>8707</v>
      </c>
      <c r="B8" t="s">
        <v>995</v>
      </c>
      <c r="C8" t="s">
        <v>996</v>
      </c>
      <c r="D8">
        <v>32</v>
      </c>
      <c r="E8" t="s">
        <v>459</v>
      </c>
      <c r="F8" t="s">
        <v>3514</v>
      </c>
      <c r="G8" t="s">
        <v>997</v>
      </c>
      <c r="H8">
        <v>20902</v>
      </c>
      <c r="I8">
        <v>18205</v>
      </c>
      <c r="J8" t="s">
        <v>998</v>
      </c>
      <c r="K8" t="s">
        <v>999</v>
      </c>
      <c r="L8" t="s">
        <v>93</v>
      </c>
      <c r="M8">
        <v>1132</v>
      </c>
      <c r="N8">
        <v>29624</v>
      </c>
      <c r="O8" t="s">
        <v>646</v>
      </c>
      <c r="P8" t="s">
        <v>67</v>
      </c>
      <c r="Q8" t="s">
        <v>49</v>
      </c>
      <c r="R8" t="s">
        <v>96</v>
      </c>
      <c r="S8" t="s">
        <v>50</v>
      </c>
      <c r="T8">
        <v>14117</v>
      </c>
      <c r="U8" t="s">
        <v>51</v>
      </c>
      <c r="V8">
        <v>3363</v>
      </c>
      <c r="W8">
        <v>2286</v>
      </c>
      <c r="X8" t="s">
        <v>110</v>
      </c>
      <c r="Y8" t="s">
        <v>362</v>
      </c>
      <c r="Z8" t="s">
        <v>256</v>
      </c>
      <c r="AA8" t="s">
        <v>882</v>
      </c>
      <c r="AB8">
        <v>15507</v>
      </c>
      <c r="AC8">
        <v>8983</v>
      </c>
      <c r="AD8">
        <v>3752</v>
      </c>
      <c r="AE8">
        <v>1149</v>
      </c>
      <c r="AF8">
        <v>210</v>
      </c>
      <c r="AG8">
        <v>23</v>
      </c>
      <c r="AH8">
        <v>3177</v>
      </c>
      <c r="AI8">
        <v>12210</v>
      </c>
      <c r="AJ8">
        <v>1214</v>
      </c>
      <c r="AK8">
        <v>4103</v>
      </c>
      <c r="AL8">
        <v>185</v>
      </c>
      <c r="AM8">
        <v>55</v>
      </c>
      <c r="AN8" t="s">
        <v>464</v>
      </c>
      <c r="AO8">
        <f>AVERAGE(Tabla2[[#This Row],[total_kills]:[rating]])</f>
        <v>7378.7894736842109</v>
      </c>
      <c r="AP8" t="str">
        <f>VLOOKUP(Tabla2[[#This Row],[KPI]],$AS$2:$AT$5,2,1)</f>
        <v>Superior</v>
      </c>
    </row>
    <row r="9" spans="1:46" x14ac:dyDescent="0.3">
      <c r="A9">
        <v>7413</v>
      </c>
      <c r="B9" t="s">
        <v>1872</v>
      </c>
      <c r="C9" t="s">
        <v>1873</v>
      </c>
      <c r="D9">
        <v>30</v>
      </c>
      <c r="E9" t="s">
        <v>196</v>
      </c>
      <c r="F9" t="s">
        <v>3514</v>
      </c>
      <c r="G9" t="s">
        <v>1874</v>
      </c>
      <c r="H9">
        <v>6738</v>
      </c>
      <c r="I9">
        <v>6191</v>
      </c>
      <c r="J9" t="s">
        <v>998</v>
      </c>
      <c r="K9" t="s">
        <v>738</v>
      </c>
      <c r="L9" t="s">
        <v>575</v>
      </c>
      <c r="M9">
        <v>399</v>
      </c>
      <c r="N9">
        <v>10074</v>
      </c>
      <c r="O9" t="s">
        <v>225</v>
      </c>
      <c r="P9" t="s">
        <v>48</v>
      </c>
      <c r="Q9" t="s">
        <v>49</v>
      </c>
      <c r="R9" t="s">
        <v>66</v>
      </c>
      <c r="S9" t="s">
        <v>235</v>
      </c>
      <c r="T9">
        <v>4644</v>
      </c>
      <c r="U9" t="s">
        <v>51</v>
      </c>
      <c r="V9">
        <v>1165</v>
      </c>
      <c r="W9">
        <v>898</v>
      </c>
      <c r="X9" t="s">
        <v>516</v>
      </c>
      <c r="Y9" t="s">
        <v>561</v>
      </c>
      <c r="Z9" t="s">
        <v>99</v>
      </c>
      <c r="AA9" t="s">
        <v>994</v>
      </c>
      <c r="AB9">
        <v>5430</v>
      </c>
      <c r="AC9">
        <v>3033</v>
      </c>
      <c r="AD9">
        <v>1220</v>
      </c>
      <c r="AE9">
        <v>334</v>
      </c>
      <c r="AF9">
        <v>53</v>
      </c>
      <c r="AG9">
        <v>4</v>
      </c>
      <c r="AH9">
        <v>1314</v>
      </c>
      <c r="AI9">
        <v>3589</v>
      </c>
      <c r="AJ9">
        <v>119</v>
      </c>
      <c r="AK9">
        <v>1561</v>
      </c>
      <c r="AL9">
        <v>143</v>
      </c>
      <c r="AM9">
        <v>12</v>
      </c>
      <c r="AN9" t="s">
        <v>449</v>
      </c>
      <c r="AO9">
        <f>AVERAGE(Tabla2[[#This Row],[total_kills]:[rating]])</f>
        <v>2469.5263157894738</v>
      </c>
      <c r="AP9" t="str">
        <f>VLOOKUP(Tabla2[[#This Row],[KPI]],$AS$2:$AT$5,2,1)</f>
        <v>Bajo</v>
      </c>
    </row>
    <row r="10" spans="1:46" x14ac:dyDescent="0.3">
      <c r="A10">
        <v>12699</v>
      </c>
      <c r="B10" t="s">
        <v>1530</v>
      </c>
      <c r="C10" t="s">
        <v>1531</v>
      </c>
      <c r="D10">
        <v>27</v>
      </c>
      <c r="E10" t="s">
        <v>327</v>
      </c>
      <c r="F10" t="s">
        <v>3514</v>
      </c>
      <c r="G10" t="s">
        <v>1532</v>
      </c>
      <c r="H10">
        <v>15139</v>
      </c>
      <c r="I10">
        <v>13810</v>
      </c>
      <c r="J10" t="s">
        <v>1533</v>
      </c>
      <c r="K10" t="s">
        <v>999</v>
      </c>
      <c r="L10" t="s">
        <v>80</v>
      </c>
      <c r="M10">
        <v>809</v>
      </c>
      <c r="N10">
        <v>21729</v>
      </c>
      <c r="O10" t="s">
        <v>905</v>
      </c>
      <c r="P10" t="s">
        <v>67</v>
      </c>
      <c r="Q10" t="s">
        <v>65</v>
      </c>
      <c r="R10" t="s">
        <v>66</v>
      </c>
      <c r="S10" t="s">
        <v>96</v>
      </c>
      <c r="T10">
        <v>10363</v>
      </c>
      <c r="U10" t="s">
        <v>51</v>
      </c>
      <c r="V10">
        <v>2654</v>
      </c>
      <c r="W10">
        <v>2035</v>
      </c>
      <c r="X10" t="s">
        <v>516</v>
      </c>
      <c r="Y10" t="s">
        <v>370</v>
      </c>
      <c r="Z10" t="s">
        <v>718</v>
      </c>
      <c r="AA10" t="s">
        <v>805</v>
      </c>
      <c r="AB10">
        <v>11366</v>
      </c>
      <c r="AC10">
        <v>6696</v>
      </c>
      <c r="AD10">
        <v>2735</v>
      </c>
      <c r="AE10">
        <v>766</v>
      </c>
      <c r="AF10">
        <v>155</v>
      </c>
      <c r="AG10">
        <v>11</v>
      </c>
      <c r="AH10">
        <v>2551</v>
      </c>
      <c r="AI10">
        <v>9550</v>
      </c>
      <c r="AJ10">
        <v>371</v>
      </c>
      <c r="AK10">
        <v>2422</v>
      </c>
      <c r="AL10">
        <v>221</v>
      </c>
      <c r="AM10">
        <v>73</v>
      </c>
      <c r="AN10" t="s">
        <v>295</v>
      </c>
      <c r="AO10">
        <f>AVERAGE(Tabla2[[#This Row],[total_kills]:[rating]])</f>
        <v>5445.0526315789475</v>
      </c>
      <c r="AP10" t="str">
        <f>VLOOKUP(Tabla2[[#This Row],[KPI]],$AS$2:$AT$5,2,1)</f>
        <v>Alto</v>
      </c>
    </row>
    <row r="11" spans="1:46" x14ac:dyDescent="0.3">
      <c r="A11">
        <v>7</v>
      </c>
      <c r="B11" t="s">
        <v>2136</v>
      </c>
      <c r="C11" t="s">
        <v>2137</v>
      </c>
      <c r="D11">
        <v>33</v>
      </c>
      <c r="E11" t="s">
        <v>196</v>
      </c>
      <c r="F11" t="s">
        <v>3514</v>
      </c>
      <c r="G11" t="s">
        <v>2138</v>
      </c>
      <c r="H11">
        <v>16356</v>
      </c>
      <c r="I11">
        <v>15609</v>
      </c>
      <c r="J11" t="s">
        <v>2139</v>
      </c>
      <c r="K11" t="s">
        <v>2140</v>
      </c>
      <c r="L11" t="s">
        <v>63</v>
      </c>
      <c r="M11">
        <v>938</v>
      </c>
      <c r="N11">
        <v>24254</v>
      </c>
      <c r="O11" t="s">
        <v>225</v>
      </c>
      <c r="P11" t="s">
        <v>67</v>
      </c>
      <c r="Q11" t="s">
        <v>65</v>
      </c>
      <c r="R11" t="s">
        <v>96</v>
      </c>
      <c r="S11" t="s">
        <v>66</v>
      </c>
      <c r="T11">
        <v>11183</v>
      </c>
      <c r="U11" t="s">
        <v>51</v>
      </c>
      <c r="V11">
        <v>2869</v>
      </c>
      <c r="W11">
        <v>2320</v>
      </c>
      <c r="X11" t="s">
        <v>69</v>
      </c>
      <c r="Y11" t="s">
        <v>561</v>
      </c>
      <c r="Z11" t="s">
        <v>1538</v>
      </c>
      <c r="AA11" t="s">
        <v>665</v>
      </c>
      <c r="AB11">
        <v>13071</v>
      </c>
      <c r="AC11">
        <v>7197</v>
      </c>
      <c r="AD11">
        <v>2987</v>
      </c>
      <c r="AE11">
        <v>852</v>
      </c>
      <c r="AF11">
        <v>139</v>
      </c>
      <c r="AG11">
        <v>8</v>
      </c>
      <c r="AH11">
        <v>3259</v>
      </c>
      <c r="AI11">
        <v>9150</v>
      </c>
      <c r="AJ11">
        <v>659</v>
      </c>
      <c r="AK11">
        <v>3027</v>
      </c>
      <c r="AL11">
        <v>242</v>
      </c>
      <c r="AM11">
        <v>29</v>
      </c>
      <c r="AN11" t="s">
        <v>255</v>
      </c>
      <c r="AO11">
        <f>AVERAGE(Tabla2[[#This Row],[total_kills]:[rating]])</f>
        <v>6007.8421052631575</v>
      </c>
      <c r="AP11" t="str">
        <f>VLOOKUP(Tabla2[[#This Row],[KPI]],$AS$2:$AT$5,2,1)</f>
        <v>Alto</v>
      </c>
    </row>
    <row r="12" spans="1:46" x14ac:dyDescent="0.3">
      <c r="A12">
        <v>8724</v>
      </c>
      <c r="B12" t="s">
        <v>2256</v>
      </c>
      <c r="C12" t="s">
        <v>2257</v>
      </c>
      <c r="D12">
        <v>29</v>
      </c>
      <c r="E12" t="s">
        <v>75</v>
      </c>
      <c r="F12" t="s">
        <v>3514</v>
      </c>
      <c r="G12" t="s">
        <v>2258</v>
      </c>
      <c r="H12">
        <v>11017</v>
      </c>
      <c r="I12">
        <v>10794</v>
      </c>
      <c r="J12" t="s">
        <v>2259</v>
      </c>
      <c r="K12" t="s">
        <v>1550</v>
      </c>
      <c r="L12" t="s">
        <v>487</v>
      </c>
      <c r="M12">
        <v>623</v>
      </c>
      <c r="N12">
        <v>16179</v>
      </c>
      <c r="O12" t="s">
        <v>167</v>
      </c>
      <c r="P12" t="s">
        <v>96</v>
      </c>
      <c r="Q12" t="s">
        <v>225</v>
      </c>
      <c r="R12" t="s">
        <v>66</v>
      </c>
      <c r="S12" t="s">
        <v>135</v>
      </c>
      <c r="T12">
        <v>7466</v>
      </c>
      <c r="U12" t="s">
        <v>51</v>
      </c>
      <c r="V12">
        <v>2247</v>
      </c>
      <c r="W12">
        <v>1858</v>
      </c>
      <c r="X12" t="s">
        <v>136</v>
      </c>
      <c r="Y12" t="s">
        <v>172</v>
      </c>
      <c r="Z12" t="s">
        <v>217</v>
      </c>
      <c r="AA12" t="s">
        <v>1364</v>
      </c>
      <c r="AB12">
        <v>8713</v>
      </c>
      <c r="AC12">
        <v>4715</v>
      </c>
      <c r="AD12">
        <v>2072</v>
      </c>
      <c r="AE12">
        <v>569</v>
      </c>
      <c r="AF12">
        <v>99</v>
      </c>
      <c r="AG12">
        <v>11</v>
      </c>
      <c r="AH12">
        <v>1576</v>
      </c>
      <c r="AI12">
        <v>7031</v>
      </c>
      <c r="AJ12">
        <v>601</v>
      </c>
      <c r="AK12">
        <v>1708</v>
      </c>
      <c r="AL12">
        <v>90</v>
      </c>
      <c r="AM12">
        <v>23</v>
      </c>
      <c r="AN12">
        <v>1</v>
      </c>
      <c r="AO12">
        <f>AVERAGE(Tabla2[[#This Row],[total_kills]:[rating]])</f>
        <v>3869.65</v>
      </c>
      <c r="AP12" t="str">
        <f>VLOOKUP(Tabla2[[#This Row],[KPI]],$AS$2:$AT$5,2,1)</f>
        <v>Medio</v>
      </c>
    </row>
    <row r="13" spans="1:46" x14ac:dyDescent="0.3">
      <c r="A13">
        <v>11283</v>
      </c>
      <c r="B13" t="s">
        <v>535</v>
      </c>
      <c r="C13" t="s">
        <v>536</v>
      </c>
      <c r="D13">
        <v>24</v>
      </c>
      <c r="E13" t="s">
        <v>452</v>
      </c>
      <c r="F13" t="s">
        <v>537</v>
      </c>
      <c r="G13" t="s">
        <v>538</v>
      </c>
      <c r="H13">
        <v>16712</v>
      </c>
      <c r="I13">
        <v>14070</v>
      </c>
      <c r="J13" t="s">
        <v>539</v>
      </c>
      <c r="K13" t="s">
        <v>540</v>
      </c>
      <c r="L13" t="s">
        <v>541</v>
      </c>
      <c r="M13">
        <v>855</v>
      </c>
      <c r="N13">
        <v>22591</v>
      </c>
      <c r="O13" t="s">
        <v>283</v>
      </c>
      <c r="P13" t="s">
        <v>50</v>
      </c>
      <c r="Q13" t="s">
        <v>144</v>
      </c>
      <c r="R13" t="s">
        <v>96</v>
      </c>
      <c r="S13" t="s">
        <v>67</v>
      </c>
      <c r="T13">
        <v>11142</v>
      </c>
      <c r="U13" t="s">
        <v>51</v>
      </c>
      <c r="V13">
        <v>2836</v>
      </c>
      <c r="W13">
        <v>1902</v>
      </c>
      <c r="X13" t="s">
        <v>332</v>
      </c>
      <c r="Y13" t="s">
        <v>84</v>
      </c>
      <c r="Z13" t="s">
        <v>533</v>
      </c>
      <c r="AA13" t="s">
        <v>542</v>
      </c>
      <c r="AB13">
        <v>11449</v>
      </c>
      <c r="AC13">
        <v>6904</v>
      </c>
      <c r="AD13">
        <v>3104</v>
      </c>
      <c r="AE13">
        <v>955</v>
      </c>
      <c r="AF13">
        <v>160</v>
      </c>
      <c r="AG13">
        <v>19</v>
      </c>
      <c r="AH13">
        <v>3782</v>
      </c>
      <c r="AI13">
        <v>9345</v>
      </c>
      <c r="AJ13">
        <v>556</v>
      </c>
      <c r="AK13">
        <v>2879</v>
      </c>
      <c r="AL13">
        <v>170</v>
      </c>
      <c r="AM13">
        <v>13</v>
      </c>
      <c r="AN13" t="s">
        <v>84</v>
      </c>
      <c r="AO13">
        <f>AVERAGE(Tabla2[[#This Row],[total_kills]:[rating]])</f>
        <v>5760.2105263157891</v>
      </c>
      <c r="AP13" t="str">
        <f>VLOOKUP(Tabla2[[#This Row],[KPI]],$AS$2:$AT$5,2,1)</f>
        <v>Alto</v>
      </c>
    </row>
    <row r="14" spans="1:46" x14ac:dyDescent="0.3">
      <c r="A14">
        <v>14273</v>
      </c>
      <c r="B14" t="s">
        <v>1021</v>
      </c>
      <c r="C14" t="s">
        <v>1022</v>
      </c>
      <c r="D14">
        <v>25</v>
      </c>
      <c r="E14" t="s">
        <v>75</v>
      </c>
      <c r="F14" t="s">
        <v>1023</v>
      </c>
      <c r="G14" t="s">
        <v>1024</v>
      </c>
      <c r="H14">
        <v>16525</v>
      </c>
      <c r="I14">
        <v>14435</v>
      </c>
      <c r="J14" t="s">
        <v>1025</v>
      </c>
      <c r="K14" t="s">
        <v>624</v>
      </c>
      <c r="L14" t="s">
        <v>143</v>
      </c>
      <c r="M14">
        <v>871</v>
      </c>
      <c r="N14">
        <v>23106</v>
      </c>
      <c r="O14" t="s">
        <v>311</v>
      </c>
      <c r="P14" t="s">
        <v>50</v>
      </c>
      <c r="Q14" t="s">
        <v>144</v>
      </c>
      <c r="R14" t="s">
        <v>96</v>
      </c>
      <c r="S14" t="s">
        <v>96</v>
      </c>
      <c r="T14">
        <v>11262</v>
      </c>
      <c r="U14" t="s">
        <v>51</v>
      </c>
      <c r="V14">
        <v>2996</v>
      </c>
      <c r="W14">
        <v>1938</v>
      </c>
      <c r="X14" t="s">
        <v>496</v>
      </c>
      <c r="Y14" t="s">
        <v>169</v>
      </c>
      <c r="Z14" t="s">
        <v>728</v>
      </c>
      <c r="AA14" t="s">
        <v>205</v>
      </c>
      <c r="AB14">
        <v>11844</v>
      </c>
      <c r="AC14">
        <v>7233</v>
      </c>
      <c r="AD14">
        <v>2975</v>
      </c>
      <c r="AE14">
        <v>893</v>
      </c>
      <c r="AF14">
        <v>142</v>
      </c>
      <c r="AG14">
        <v>19</v>
      </c>
      <c r="AH14">
        <v>3811</v>
      </c>
      <c r="AI14">
        <v>9648</v>
      </c>
      <c r="AJ14">
        <v>323</v>
      </c>
      <c r="AK14">
        <v>2619</v>
      </c>
      <c r="AL14">
        <v>126</v>
      </c>
      <c r="AM14">
        <v>45</v>
      </c>
      <c r="AN14" t="s">
        <v>98</v>
      </c>
      <c r="AO14">
        <f>AVERAGE(Tabla2[[#This Row],[total_kills]:[rating]])</f>
        <v>5832.1578947368425</v>
      </c>
      <c r="AP14" t="str">
        <f>VLOOKUP(Tabla2[[#This Row],[KPI]],$AS$2:$AT$5,2,1)</f>
        <v>Alto</v>
      </c>
    </row>
    <row r="15" spans="1:46" x14ac:dyDescent="0.3">
      <c r="A15">
        <v>13281</v>
      </c>
      <c r="B15" t="s">
        <v>342</v>
      </c>
      <c r="C15" t="s">
        <v>343</v>
      </c>
      <c r="D15">
        <v>23</v>
      </c>
      <c r="E15" t="s">
        <v>75</v>
      </c>
      <c r="F15" t="s">
        <v>344</v>
      </c>
      <c r="G15" t="s">
        <v>345</v>
      </c>
      <c r="H15">
        <v>26132</v>
      </c>
      <c r="I15">
        <v>21336</v>
      </c>
      <c r="J15" t="s">
        <v>346</v>
      </c>
      <c r="K15" t="s">
        <v>154</v>
      </c>
      <c r="L15" t="s">
        <v>179</v>
      </c>
      <c r="M15">
        <v>1304</v>
      </c>
      <c r="N15">
        <v>34783</v>
      </c>
      <c r="O15" t="s">
        <v>180</v>
      </c>
      <c r="P15" t="s">
        <v>67</v>
      </c>
      <c r="Q15" t="s">
        <v>49</v>
      </c>
      <c r="R15" t="s">
        <v>135</v>
      </c>
      <c r="S15" t="s">
        <v>66</v>
      </c>
      <c r="T15">
        <v>17472</v>
      </c>
      <c r="U15" t="s">
        <v>51</v>
      </c>
      <c r="V15">
        <v>4718</v>
      </c>
      <c r="W15">
        <v>2938</v>
      </c>
      <c r="X15" t="s">
        <v>68</v>
      </c>
      <c r="Y15" t="s">
        <v>147</v>
      </c>
      <c r="Z15" t="s">
        <v>347</v>
      </c>
      <c r="AA15" t="s">
        <v>348</v>
      </c>
      <c r="AB15">
        <v>17311</v>
      </c>
      <c r="AC15">
        <v>10958</v>
      </c>
      <c r="AD15">
        <v>4691</v>
      </c>
      <c r="AE15">
        <v>1525</v>
      </c>
      <c r="AF15">
        <v>273</v>
      </c>
      <c r="AG15">
        <v>25</v>
      </c>
      <c r="AH15">
        <v>5031</v>
      </c>
      <c r="AI15">
        <v>16248</v>
      </c>
      <c r="AJ15">
        <v>396</v>
      </c>
      <c r="AK15">
        <v>4164</v>
      </c>
      <c r="AL15">
        <v>233</v>
      </c>
      <c r="AM15">
        <v>122</v>
      </c>
      <c r="AN15" t="s">
        <v>172</v>
      </c>
      <c r="AO15">
        <f>AVERAGE(Tabla2[[#This Row],[total_kills]:[rating]])</f>
        <v>8929.4736842105267</v>
      </c>
      <c r="AP15" t="str">
        <f>VLOOKUP(Tabla2[[#This Row],[KPI]],$AS$2:$AT$5,2,1)</f>
        <v>Superior</v>
      </c>
    </row>
    <row r="16" spans="1:46" x14ac:dyDescent="0.3">
      <c r="A16">
        <v>9008</v>
      </c>
      <c r="B16" t="s">
        <v>1857</v>
      </c>
      <c r="C16" t="s">
        <v>1858</v>
      </c>
      <c r="D16">
        <v>30</v>
      </c>
      <c r="E16" t="s">
        <v>75</v>
      </c>
      <c r="F16" t="s">
        <v>1859</v>
      </c>
      <c r="G16" t="s">
        <v>1860</v>
      </c>
      <c r="H16">
        <v>8262</v>
      </c>
      <c r="I16">
        <v>7809</v>
      </c>
      <c r="J16" t="s">
        <v>346</v>
      </c>
      <c r="K16" t="s">
        <v>524</v>
      </c>
      <c r="L16" t="s">
        <v>275</v>
      </c>
      <c r="M16">
        <v>465</v>
      </c>
      <c r="N16">
        <v>12150</v>
      </c>
      <c r="O16" t="s">
        <v>167</v>
      </c>
      <c r="P16" t="s">
        <v>67</v>
      </c>
      <c r="Q16" t="s">
        <v>65</v>
      </c>
      <c r="R16" t="s">
        <v>66</v>
      </c>
      <c r="S16" t="s">
        <v>96</v>
      </c>
      <c r="T16">
        <v>5628</v>
      </c>
      <c r="U16" t="s">
        <v>51</v>
      </c>
      <c r="V16">
        <v>1422</v>
      </c>
      <c r="W16">
        <v>1108</v>
      </c>
      <c r="X16" t="s">
        <v>53</v>
      </c>
      <c r="Y16" t="s">
        <v>561</v>
      </c>
      <c r="Z16" t="s">
        <v>347</v>
      </c>
      <c r="AA16" t="s">
        <v>392</v>
      </c>
      <c r="AB16">
        <v>6522</v>
      </c>
      <c r="AC16">
        <v>3630</v>
      </c>
      <c r="AD16">
        <v>1471</v>
      </c>
      <c r="AE16">
        <v>430</v>
      </c>
      <c r="AF16">
        <v>87</v>
      </c>
      <c r="AG16">
        <v>10</v>
      </c>
      <c r="AH16">
        <v>1655</v>
      </c>
      <c r="AI16">
        <v>4582</v>
      </c>
      <c r="AJ16">
        <v>182</v>
      </c>
      <c r="AK16">
        <v>1730</v>
      </c>
      <c r="AL16">
        <v>101</v>
      </c>
      <c r="AM16">
        <v>31</v>
      </c>
      <c r="AN16" t="s">
        <v>449</v>
      </c>
      <c r="AO16">
        <f>AVERAGE(Tabla2[[#This Row],[total_kills]:[rating]])</f>
        <v>3014.4736842105262</v>
      </c>
      <c r="AP16" t="str">
        <f>VLOOKUP(Tabla2[[#This Row],[KPI]],$AS$2:$AT$5,2,1)</f>
        <v>Bajo</v>
      </c>
    </row>
    <row r="17" spans="1:42" x14ac:dyDescent="0.3">
      <c r="A17">
        <v>8727</v>
      </c>
      <c r="B17" t="s">
        <v>2216</v>
      </c>
      <c r="C17" t="s">
        <v>2217</v>
      </c>
      <c r="D17">
        <v>27</v>
      </c>
      <c r="E17" t="s">
        <v>75</v>
      </c>
      <c r="F17" t="s">
        <v>3514</v>
      </c>
      <c r="G17" t="s">
        <v>2218</v>
      </c>
      <c r="H17">
        <v>16371</v>
      </c>
      <c r="I17">
        <v>16030</v>
      </c>
      <c r="J17" t="s">
        <v>346</v>
      </c>
      <c r="K17" t="s">
        <v>1529</v>
      </c>
      <c r="L17" t="s">
        <v>471</v>
      </c>
      <c r="M17">
        <v>899</v>
      </c>
      <c r="N17">
        <v>23842</v>
      </c>
      <c r="O17" t="s">
        <v>463</v>
      </c>
      <c r="P17" t="s">
        <v>48</v>
      </c>
      <c r="Q17" t="s">
        <v>225</v>
      </c>
      <c r="R17" t="s">
        <v>96</v>
      </c>
      <c r="S17" t="s">
        <v>66</v>
      </c>
      <c r="T17">
        <v>11101</v>
      </c>
      <c r="U17" t="s">
        <v>51</v>
      </c>
      <c r="V17">
        <v>2854</v>
      </c>
      <c r="W17">
        <v>2546</v>
      </c>
      <c r="X17" t="s">
        <v>370</v>
      </c>
      <c r="Y17" t="s">
        <v>295</v>
      </c>
      <c r="Z17" t="s">
        <v>455</v>
      </c>
      <c r="AA17" t="s">
        <v>354</v>
      </c>
      <c r="AB17">
        <v>12741</v>
      </c>
      <c r="AC17">
        <v>7085</v>
      </c>
      <c r="AD17">
        <v>2972</v>
      </c>
      <c r="AE17">
        <v>856</v>
      </c>
      <c r="AF17">
        <v>172</v>
      </c>
      <c r="AG17">
        <v>16</v>
      </c>
      <c r="AH17">
        <v>4556</v>
      </c>
      <c r="AI17">
        <v>8300</v>
      </c>
      <c r="AJ17">
        <v>464</v>
      </c>
      <c r="AK17">
        <v>2883</v>
      </c>
      <c r="AL17">
        <v>170</v>
      </c>
      <c r="AM17">
        <v>29</v>
      </c>
      <c r="AN17">
        <v>1</v>
      </c>
      <c r="AO17">
        <f>AVERAGE(Tabla2[[#This Row],[total_kills]:[rating]])</f>
        <v>5694.4</v>
      </c>
      <c r="AP17" t="str">
        <f>VLOOKUP(Tabla2[[#This Row],[KPI]],$AS$2:$AT$5,2,1)</f>
        <v>Alto</v>
      </c>
    </row>
    <row r="18" spans="1:42" x14ac:dyDescent="0.3">
      <c r="A18">
        <v>11264</v>
      </c>
      <c r="B18" t="s">
        <v>625</v>
      </c>
      <c r="C18" t="s">
        <v>626</v>
      </c>
      <c r="D18">
        <v>24</v>
      </c>
      <c r="E18" t="s">
        <v>500</v>
      </c>
      <c r="F18" t="s">
        <v>3514</v>
      </c>
      <c r="G18" t="s">
        <v>627</v>
      </c>
      <c r="H18">
        <v>11627</v>
      </c>
      <c r="I18">
        <v>9979</v>
      </c>
      <c r="J18" t="s">
        <v>628</v>
      </c>
      <c r="K18" t="s">
        <v>582</v>
      </c>
      <c r="L18" t="s">
        <v>441</v>
      </c>
      <c r="M18">
        <v>609</v>
      </c>
      <c r="N18">
        <v>15901</v>
      </c>
      <c r="O18" t="s">
        <v>495</v>
      </c>
      <c r="P18" t="s">
        <v>50</v>
      </c>
      <c r="Q18" t="s">
        <v>215</v>
      </c>
      <c r="R18" t="s">
        <v>96</v>
      </c>
      <c r="S18" t="s">
        <v>50</v>
      </c>
      <c r="T18">
        <v>7692</v>
      </c>
      <c r="U18" t="s">
        <v>51</v>
      </c>
      <c r="V18">
        <v>2057</v>
      </c>
      <c r="W18">
        <v>1399</v>
      </c>
      <c r="X18" t="s">
        <v>110</v>
      </c>
      <c r="Y18" t="s">
        <v>172</v>
      </c>
      <c r="Z18" t="s">
        <v>399</v>
      </c>
      <c r="AA18" t="s">
        <v>629</v>
      </c>
      <c r="AB18">
        <v>8209</v>
      </c>
      <c r="AC18">
        <v>4738</v>
      </c>
      <c r="AD18">
        <v>2139</v>
      </c>
      <c r="AE18">
        <v>663</v>
      </c>
      <c r="AF18">
        <v>138</v>
      </c>
      <c r="AG18">
        <v>14</v>
      </c>
      <c r="AH18">
        <v>1523</v>
      </c>
      <c r="AI18">
        <v>7327</v>
      </c>
      <c r="AJ18">
        <v>605</v>
      </c>
      <c r="AK18">
        <v>2109</v>
      </c>
      <c r="AL18">
        <v>94</v>
      </c>
      <c r="AM18">
        <v>12</v>
      </c>
      <c r="AN18" t="s">
        <v>98</v>
      </c>
      <c r="AO18">
        <f>AVERAGE(Tabla2[[#This Row],[total_kills]:[rating]])</f>
        <v>4043.9473684210525</v>
      </c>
      <c r="AP18" t="str">
        <f>VLOOKUP(Tabla2[[#This Row],[KPI]],$AS$2:$AT$5,2,1)</f>
        <v>Medio</v>
      </c>
    </row>
    <row r="19" spans="1:42" x14ac:dyDescent="0.3">
      <c r="A19">
        <v>2544</v>
      </c>
      <c r="B19" t="s">
        <v>1328</v>
      </c>
      <c r="C19" t="s">
        <v>1329</v>
      </c>
      <c r="D19">
        <v>28</v>
      </c>
      <c r="E19" t="s">
        <v>104</v>
      </c>
      <c r="F19" t="s">
        <v>1330</v>
      </c>
      <c r="G19" t="s">
        <v>1331</v>
      </c>
      <c r="H19">
        <v>7551</v>
      </c>
      <c r="I19">
        <v>6978</v>
      </c>
      <c r="J19" t="s">
        <v>1332</v>
      </c>
      <c r="K19" t="s">
        <v>862</v>
      </c>
      <c r="L19">
        <v>2</v>
      </c>
      <c r="M19">
        <v>398</v>
      </c>
      <c r="N19">
        <v>10626</v>
      </c>
      <c r="O19" t="s">
        <v>646</v>
      </c>
      <c r="P19" t="s">
        <v>96</v>
      </c>
      <c r="Q19" t="s">
        <v>322</v>
      </c>
      <c r="R19" t="s">
        <v>96</v>
      </c>
      <c r="S19" t="s">
        <v>96</v>
      </c>
      <c r="T19">
        <v>5061</v>
      </c>
      <c r="U19" t="s">
        <v>51</v>
      </c>
      <c r="V19">
        <v>1275</v>
      </c>
      <c r="W19">
        <v>942</v>
      </c>
      <c r="X19" t="s">
        <v>323</v>
      </c>
      <c r="Y19" t="s">
        <v>370</v>
      </c>
      <c r="Z19" t="s">
        <v>347</v>
      </c>
      <c r="AA19" t="s">
        <v>354</v>
      </c>
      <c r="AB19">
        <v>5565</v>
      </c>
      <c r="AC19">
        <v>3220</v>
      </c>
      <c r="AD19">
        <v>1314</v>
      </c>
      <c r="AE19">
        <v>418</v>
      </c>
      <c r="AF19">
        <v>96</v>
      </c>
      <c r="AG19">
        <v>13</v>
      </c>
      <c r="AH19">
        <v>1140</v>
      </c>
      <c r="AI19">
        <v>4956</v>
      </c>
      <c r="AJ19">
        <v>247</v>
      </c>
      <c r="AK19">
        <v>1168</v>
      </c>
      <c r="AL19">
        <v>43</v>
      </c>
      <c r="AM19">
        <v>16</v>
      </c>
      <c r="AN19" t="s">
        <v>464</v>
      </c>
      <c r="AO19">
        <f>AVERAGE(Tabla2[[#This Row],[total_kills]:[rating]])</f>
        <v>2551.4499999999998</v>
      </c>
      <c r="AP19" t="str">
        <f>VLOOKUP(Tabla2[[#This Row],[KPI]],$AS$2:$AT$5,2,1)</f>
        <v>Bajo</v>
      </c>
    </row>
    <row r="20" spans="1:42" x14ac:dyDescent="0.3">
      <c r="A20">
        <v>11748</v>
      </c>
      <c r="B20" t="s">
        <v>1448</v>
      </c>
      <c r="C20" t="s">
        <v>1449</v>
      </c>
      <c r="D20">
        <v>28</v>
      </c>
      <c r="E20" t="s">
        <v>104</v>
      </c>
      <c r="F20" t="s">
        <v>3514</v>
      </c>
      <c r="G20" t="s">
        <v>1450</v>
      </c>
      <c r="H20">
        <v>11650</v>
      </c>
      <c r="I20">
        <v>10558</v>
      </c>
      <c r="J20" t="s">
        <v>1451</v>
      </c>
      <c r="K20" t="s">
        <v>486</v>
      </c>
      <c r="L20" t="s">
        <v>589</v>
      </c>
      <c r="M20">
        <v>640</v>
      </c>
      <c r="N20">
        <v>16832</v>
      </c>
      <c r="O20" t="s">
        <v>463</v>
      </c>
      <c r="P20" t="s">
        <v>67</v>
      </c>
      <c r="Q20" t="s">
        <v>215</v>
      </c>
      <c r="R20" t="s">
        <v>135</v>
      </c>
      <c r="S20" t="s">
        <v>66</v>
      </c>
      <c r="T20">
        <v>7934</v>
      </c>
      <c r="U20" t="s">
        <v>51</v>
      </c>
      <c r="V20">
        <v>1948</v>
      </c>
      <c r="W20">
        <v>1683</v>
      </c>
      <c r="X20" t="s">
        <v>206</v>
      </c>
      <c r="Y20" t="s">
        <v>277</v>
      </c>
      <c r="Z20" t="s">
        <v>777</v>
      </c>
      <c r="AA20" t="s">
        <v>315</v>
      </c>
      <c r="AB20">
        <v>8898</v>
      </c>
      <c r="AC20">
        <v>5105</v>
      </c>
      <c r="AD20">
        <v>2087</v>
      </c>
      <c r="AE20">
        <v>606</v>
      </c>
      <c r="AF20">
        <v>127</v>
      </c>
      <c r="AG20">
        <v>9</v>
      </c>
      <c r="AH20">
        <v>3059</v>
      </c>
      <c r="AI20">
        <v>5846</v>
      </c>
      <c r="AJ20">
        <v>589</v>
      </c>
      <c r="AK20">
        <v>2008</v>
      </c>
      <c r="AL20">
        <v>157</v>
      </c>
      <c r="AM20">
        <v>29</v>
      </c>
      <c r="AN20" t="s">
        <v>464</v>
      </c>
      <c r="AO20">
        <f>AVERAGE(Tabla2[[#This Row],[total_kills]:[rating]])</f>
        <v>4198.1578947368425</v>
      </c>
      <c r="AP20" t="str">
        <f>VLOOKUP(Tabla2[[#This Row],[KPI]],$AS$2:$AT$5,2,1)</f>
        <v>Medio</v>
      </c>
    </row>
    <row r="21" spans="1:42" x14ac:dyDescent="0.3">
      <c r="A21">
        <v>7964</v>
      </c>
      <c r="B21" t="s">
        <v>1482</v>
      </c>
      <c r="C21" t="s">
        <v>1483</v>
      </c>
      <c r="D21">
        <v>27</v>
      </c>
      <c r="E21" t="s">
        <v>196</v>
      </c>
      <c r="F21" t="s">
        <v>1396</v>
      </c>
      <c r="G21" t="s">
        <v>1484</v>
      </c>
      <c r="H21">
        <v>27065</v>
      </c>
      <c r="I21">
        <v>24531</v>
      </c>
      <c r="J21" t="s">
        <v>1485</v>
      </c>
      <c r="K21" t="s">
        <v>999</v>
      </c>
      <c r="L21" t="s">
        <v>164</v>
      </c>
      <c r="M21">
        <v>1475</v>
      </c>
      <c r="N21">
        <v>38976</v>
      </c>
      <c r="O21" t="s">
        <v>463</v>
      </c>
      <c r="P21" t="s">
        <v>67</v>
      </c>
      <c r="Q21" t="s">
        <v>215</v>
      </c>
      <c r="R21" t="s">
        <v>96</v>
      </c>
      <c r="S21" t="s">
        <v>66</v>
      </c>
      <c r="T21">
        <v>18532</v>
      </c>
      <c r="U21" t="s">
        <v>51</v>
      </c>
      <c r="V21">
        <v>4972</v>
      </c>
      <c r="W21">
        <v>3775</v>
      </c>
      <c r="X21" t="s">
        <v>56</v>
      </c>
      <c r="Y21" t="s">
        <v>111</v>
      </c>
      <c r="Z21" t="s">
        <v>1214</v>
      </c>
      <c r="AA21" t="s">
        <v>497</v>
      </c>
      <c r="AB21">
        <v>20444</v>
      </c>
      <c r="AC21">
        <v>12006</v>
      </c>
      <c r="AD21">
        <v>4844</v>
      </c>
      <c r="AE21">
        <v>1390</v>
      </c>
      <c r="AF21">
        <v>268</v>
      </c>
      <c r="AG21">
        <v>24</v>
      </c>
      <c r="AH21">
        <v>6605</v>
      </c>
      <c r="AI21">
        <v>13070</v>
      </c>
      <c r="AJ21">
        <v>2144</v>
      </c>
      <c r="AK21">
        <v>4790</v>
      </c>
      <c r="AL21">
        <v>367</v>
      </c>
      <c r="AM21">
        <v>172</v>
      </c>
      <c r="AN21" t="s">
        <v>407</v>
      </c>
      <c r="AO21">
        <f>AVERAGE(Tabla2[[#This Row],[total_kills]:[rating]])</f>
        <v>9760.5263157894733</v>
      </c>
      <c r="AP21" t="str">
        <f>VLOOKUP(Tabla2[[#This Row],[KPI]],$AS$2:$AT$5,2,1)</f>
        <v>Superior</v>
      </c>
    </row>
    <row r="22" spans="1:42" x14ac:dyDescent="0.3">
      <c r="A22">
        <v>10698</v>
      </c>
      <c r="B22" t="s">
        <v>1851</v>
      </c>
      <c r="C22" t="s">
        <v>1852</v>
      </c>
      <c r="D22">
        <v>22</v>
      </c>
      <c r="E22" t="s">
        <v>187</v>
      </c>
      <c r="F22" t="s">
        <v>1744</v>
      </c>
      <c r="G22" t="s">
        <v>1853</v>
      </c>
      <c r="H22">
        <v>10309</v>
      </c>
      <c r="I22">
        <v>10009</v>
      </c>
      <c r="J22" t="s">
        <v>1485</v>
      </c>
      <c r="K22" t="s">
        <v>999</v>
      </c>
      <c r="L22" t="s">
        <v>441</v>
      </c>
      <c r="M22">
        <v>558</v>
      </c>
      <c r="N22">
        <v>14585</v>
      </c>
      <c r="O22" t="s">
        <v>646</v>
      </c>
      <c r="P22" t="s">
        <v>67</v>
      </c>
      <c r="Q22" t="s">
        <v>463</v>
      </c>
      <c r="R22" t="s">
        <v>50</v>
      </c>
      <c r="S22" t="s">
        <v>48</v>
      </c>
      <c r="T22">
        <v>6933</v>
      </c>
      <c r="U22" t="s">
        <v>51</v>
      </c>
      <c r="V22">
        <v>1744</v>
      </c>
      <c r="W22">
        <v>1525</v>
      </c>
      <c r="X22" t="s">
        <v>111</v>
      </c>
      <c r="Y22" t="s">
        <v>295</v>
      </c>
      <c r="Z22" t="s">
        <v>383</v>
      </c>
      <c r="AA22" t="s">
        <v>629</v>
      </c>
      <c r="AB22">
        <v>7652</v>
      </c>
      <c r="AC22">
        <v>4414</v>
      </c>
      <c r="AD22">
        <v>1815</v>
      </c>
      <c r="AE22">
        <v>563</v>
      </c>
      <c r="AF22">
        <v>129</v>
      </c>
      <c r="AG22">
        <v>12</v>
      </c>
      <c r="AH22">
        <v>2297</v>
      </c>
      <c r="AI22">
        <v>5702</v>
      </c>
      <c r="AJ22">
        <v>513</v>
      </c>
      <c r="AK22">
        <v>1717</v>
      </c>
      <c r="AL22">
        <v>82</v>
      </c>
      <c r="AM22">
        <v>24</v>
      </c>
      <c r="AN22" t="s">
        <v>304</v>
      </c>
      <c r="AO22">
        <f>AVERAGE(Tabla2[[#This Row],[total_kills]:[rating]])</f>
        <v>3714.8947368421054</v>
      </c>
      <c r="AP22" t="str">
        <f>VLOOKUP(Tabla2[[#This Row],[KPI]],$AS$2:$AT$5,2,1)</f>
        <v>Medio</v>
      </c>
    </row>
    <row r="23" spans="1:42" x14ac:dyDescent="0.3">
      <c r="A23">
        <v>1088</v>
      </c>
      <c r="B23" t="s">
        <v>419</v>
      </c>
      <c r="C23" t="s">
        <v>420</v>
      </c>
      <c r="D23">
        <v>33</v>
      </c>
      <c r="E23" t="s">
        <v>75</v>
      </c>
      <c r="F23" t="s">
        <v>421</v>
      </c>
      <c r="G23" t="s">
        <v>422</v>
      </c>
      <c r="H23">
        <v>9317</v>
      </c>
      <c r="I23">
        <v>7766</v>
      </c>
      <c r="J23" t="s">
        <v>423</v>
      </c>
      <c r="K23" t="s">
        <v>424</v>
      </c>
      <c r="L23" t="s">
        <v>425</v>
      </c>
      <c r="M23">
        <v>457</v>
      </c>
      <c r="N23">
        <v>12154</v>
      </c>
      <c r="O23" t="s">
        <v>81</v>
      </c>
      <c r="P23" t="s">
        <v>50</v>
      </c>
      <c r="Q23" t="s">
        <v>65</v>
      </c>
      <c r="R23" t="s">
        <v>135</v>
      </c>
      <c r="S23" t="s">
        <v>96</v>
      </c>
      <c r="T23">
        <v>6279</v>
      </c>
      <c r="U23" t="s">
        <v>51</v>
      </c>
      <c r="V23">
        <v>1595</v>
      </c>
      <c r="W23">
        <v>1041</v>
      </c>
      <c r="X23" t="s">
        <v>426</v>
      </c>
      <c r="Y23" t="s">
        <v>169</v>
      </c>
      <c r="Z23" t="s">
        <v>427</v>
      </c>
      <c r="AA23" t="s">
        <v>428</v>
      </c>
      <c r="AB23">
        <v>5875</v>
      </c>
      <c r="AC23">
        <v>3952</v>
      </c>
      <c r="AD23">
        <v>1735</v>
      </c>
      <c r="AE23">
        <v>484</v>
      </c>
      <c r="AF23">
        <v>99</v>
      </c>
      <c r="AG23">
        <v>9</v>
      </c>
      <c r="AH23">
        <v>1248</v>
      </c>
      <c r="AI23">
        <v>5656</v>
      </c>
      <c r="AJ23">
        <v>105</v>
      </c>
      <c r="AK23">
        <v>2206</v>
      </c>
      <c r="AL23">
        <v>112</v>
      </c>
      <c r="AM23">
        <v>7</v>
      </c>
      <c r="AN23" t="s">
        <v>370</v>
      </c>
      <c r="AO23">
        <f>AVERAGE(Tabla2[[#This Row],[total_kills]:[rating]])</f>
        <v>3163</v>
      </c>
      <c r="AP23" t="str">
        <f>VLOOKUP(Tabla2[[#This Row],[KPI]],$AS$2:$AT$5,2,1)</f>
        <v>Bajo</v>
      </c>
    </row>
    <row r="24" spans="1:42" x14ac:dyDescent="0.3">
      <c r="A24">
        <v>16920</v>
      </c>
      <c r="B24" t="s">
        <v>73</v>
      </c>
      <c r="C24" t="s">
        <v>74</v>
      </c>
      <c r="D24">
        <v>21</v>
      </c>
      <c r="E24" t="s">
        <v>75</v>
      </c>
      <c r="F24" t="s">
        <v>76</v>
      </c>
      <c r="G24" t="s">
        <v>77</v>
      </c>
      <c r="H24">
        <v>18091</v>
      </c>
      <c r="I24">
        <v>12492</v>
      </c>
      <c r="J24" t="s">
        <v>78</v>
      </c>
      <c r="K24" t="s">
        <v>79</v>
      </c>
      <c r="L24" t="s">
        <v>80</v>
      </c>
      <c r="M24">
        <v>884</v>
      </c>
      <c r="N24">
        <v>23451</v>
      </c>
      <c r="O24" t="s">
        <v>81</v>
      </c>
      <c r="P24" t="s">
        <v>67</v>
      </c>
      <c r="Q24" t="s">
        <v>82</v>
      </c>
      <c r="R24" t="s">
        <v>66</v>
      </c>
      <c r="S24" t="s">
        <v>67</v>
      </c>
      <c r="T24">
        <v>11950</v>
      </c>
      <c r="U24" t="s">
        <v>51</v>
      </c>
      <c r="V24">
        <v>2705</v>
      </c>
      <c r="W24">
        <v>1383</v>
      </c>
      <c r="X24" t="s">
        <v>83</v>
      </c>
      <c r="Y24" t="s">
        <v>84</v>
      </c>
      <c r="Z24" t="s">
        <v>85</v>
      </c>
      <c r="AA24" t="s">
        <v>86</v>
      </c>
      <c r="AB24">
        <v>11501</v>
      </c>
      <c r="AC24">
        <v>7416</v>
      </c>
      <c r="AD24">
        <v>3208</v>
      </c>
      <c r="AE24">
        <v>1075</v>
      </c>
      <c r="AF24">
        <v>221</v>
      </c>
      <c r="AG24">
        <v>30</v>
      </c>
      <c r="AH24">
        <v>3791</v>
      </c>
      <c r="AI24">
        <v>10580</v>
      </c>
      <c r="AJ24">
        <v>550</v>
      </c>
      <c r="AK24">
        <v>3008</v>
      </c>
      <c r="AL24">
        <v>175</v>
      </c>
      <c r="AM24">
        <v>70</v>
      </c>
      <c r="AN24" t="s">
        <v>87</v>
      </c>
      <c r="AO24">
        <f>AVERAGE(Tabla2[[#This Row],[total_kills]:[rating]])</f>
        <v>5925.3157894736842</v>
      </c>
      <c r="AP24" t="str">
        <f>VLOOKUP(Tabla2[[#This Row],[KPI]],$AS$2:$AT$5,2,1)</f>
        <v>Alto</v>
      </c>
    </row>
    <row r="25" spans="1:42" x14ac:dyDescent="0.3">
      <c r="A25">
        <v>11271</v>
      </c>
      <c r="B25" t="s">
        <v>139</v>
      </c>
      <c r="C25" t="s">
        <v>140</v>
      </c>
      <c r="D25">
        <v>22</v>
      </c>
      <c r="E25" t="s">
        <v>141</v>
      </c>
      <c r="F25" t="s">
        <v>3514</v>
      </c>
      <c r="G25" t="s">
        <v>142</v>
      </c>
      <c r="H25">
        <v>18466</v>
      </c>
      <c r="I25">
        <v>14617</v>
      </c>
      <c r="J25" t="s">
        <v>78</v>
      </c>
      <c r="K25" t="s">
        <v>133</v>
      </c>
      <c r="L25" t="s">
        <v>143</v>
      </c>
      <c r="M25">
        <v>888</v>
      </c>
      <c r="N25">
        <v>23515</v>
      </c>
      <c r="O25" t="s">
        <v>109</v>
      </c>
      <c r="P25" t="s">
        <v>50</v>
      </c>
      <c r="Q25" t="s">
        <v>144</v>
      </c>
      <c r="R25" t="s">
        <v>66</v>
      </c>
      <c r="S25" t="s">
        <v>50</v>
      </c>
      <c r="T25">
        <v>11971</v>
      </c>
      <c r="U25" t="s">
        <v>51</v>
      </c>
      <c r="V25">
        <v>3187</v>
      </c>
      <c r="W25">
        <v>2183</v>
      </c>
      <c r="X25" t="s">
        <v>145</v>
      </c>
      <c r="Y25" t="s">
        <v>127</v>
      </c>
      <c r="Z25" t="s">
        <v>112</v>
      </c>
      <c r="AA25" t="s">
        <v>146</v>
      </c>
      <c r="AB25">
        <v>11544</v>
      </c>
      <c r="AC25">
        <v>7188</v>
      </c>
      <c r="AD25">
        <v>3367</v>
      </c>
      <c r="AE25">
        <v>1141</v>
      </c>
      <c r="AF25">
        <v>254</v>
      </c>
      <c r="AG25">
        <v>21</v>
      </c>
      <c r="AH25">
        <v>4786</v>
      </c>
      <c r="AI25">
        <v>9692</v>
      </c>
      <c r="AJ25">
        <v>584</v>
      </c>
      <c r="AK25">
        <v>3283</v>
      </c>
      <c r="AL25">
        <v>141</v>
      </c>
      <c r="AM25">
        <v>31</v>
      </c>
      <c r="AN25" t="s">
        <v>147</v>
      </c>
      <c r="AO25">
        <f>AVERAGE(Tabla2[[#This Row],[total_kills]:[rating]])</f>
        <v>6150.4736842105267</v>
      </c>
      <c r="AP25" t="str">
        <f>VLOOKUP(Tabla2[[#This Row],[KPI]],$AS$2:$AT$5,2,1)</f>
        <v>Alto</v>
      </c>
    </row>
    <row r="26" spans="1:42" x14ac:dyDescent="0.3">
      <c r="A26">
        <v>8783</v>
      </c>
      <c r="B26" t="s">
        <v>725</v>
      </c>
      <c r="C26" t="s">
        <v>726</v>
      </c>
      <c r="D26">
        <v>25</v>
      </c>
      <c r="E26" t="s">
        <v>196</v>
      </c>
      <c r="F26" t="s">
        <v>3514</v>
      </c>
      <c r="G26" t="s">
        <v>727</v>
      </c>
      <c r="H26">
        <v>17527</v>
      </c>
      <c r="I26">
        <v>14851</v>
      </c>
      <c r="J26" t="s">
        <v>78</v>
      </c>
      <c r="K26" t="s">
        <v>624</v>
      </c>
      <c r="L26" t="s">
        <v>63</v>
      </c>
      <c r="M26">
        <v>940</v>
      </c>
      <c r="N26">
        <v>24427</v>
      </c>
      <c r="O26" t="s">
        <v>311</v>
      </c>
      <c r="P26" t="s">
        <v>50</v>
      </c>
      <c r="Q26" t="s">
        <v>49</v>
      </c>
      <c r="R26" t="s">
        <v>66</v>
      </c>
      <c r="S26" t="s">
        <v>50</v>
      </c>
      <c r="T26">
        <v>11901</v>
      </c>
      <c r="U26" t="s">
        <v>51</v>
      </c>
      <c r="V26">
        <v>2942</v>
      </c>
      <c r="W26">
        <v>1904</v>
      </c>
      <c r="X26" t="s">
        <v>496</v>
      </c>
      <c r="Y26" t="s">
        <v>111</v>
      </c>
      <c r="Z26" t="s">
        <v>728</v>
      </c>
      <c r="AA26" t="s">
        <v>354</v>
      </c>
      <c r="AB26">
        <v>12526</v>
      </c>
      <c r="AC26">
        <v>7630</v>
      </c>
      <c r="AD26">
        <v>3146</v>
      </c>
      <c r="AE26">
        <v>913</v>
      </c>
      <c r="AF26">
        <v>194</v>
      </c>
      <c r="AG26">
        <v>18</v>
      </c>
      <c r="AH26">
        <v>4048</v>
      </c>
      <c r="AI26">
        <v>8877</v>
      </c>
      <c r="AJ26">
        <v>660</v>
      </c>
      <c r="AK26">
        <v>3768</v>
      </c>
      <c r="AL26">
        <v>177</v>
      </c>
      <c r="AM26">
        <v>31</v>
      </c>
      <c r="AN26" t="s">
        <v>295</v>
      </c>
      <c r="AO26">
        <f>AVERAGE(Tabla2[[#This Row],[total_kills]:[rating]])</f>
        <v>6130.5263157894733</v>
      </c>
      <c r="AP26" t="str">
        <f>VLOOKUP(Tabla2[[#This Row],[KPI]],$AS$2:$AT$5,2,1)</f>
        <v>Alto</v>
      </c>
    </row>
    <row r="27" spans="1:42" x14ac:dyDescent="0.3">
      <c r="A27">
        <v>11219</v>
      </c>
      <c r="B27" t="s">
        <v>578</v>
      </c>
      <c r="C27" t="s">
        <v>579</v>
      </c>
      <c r="D27">
        <v>22</v>
      </c>
      <c r="E27" t="s">
        <v>467</v>
      </c>
      <c r="F27" t="s">
        <v>557</v>
      </c>
      <c r="G27" t="s">
        <v>580</v>
      </c>
      <c r="H27">
        <v>22812</v>
      </c>
      <c r="I27">
        <v>19387</v>
      </c>
      <c r="J27" t="s">
        <v>581</v>
      </c>
      <c r="K27" t="s">
        <v>582</v>
      </c>
      <c r="L27" t="s">
        <v>63</v>
      </c>
      <c r="M27">
        <v>1199</v>
      </c>
      <c r="N27">
        <v>31114</v>
      </c>
      <c r="O27" t="s">
        <v>495</v>
      </c>
      <c r="P27" t="s">
        <v>50</v>
      </c>
      <c r="Q27" t="s">
        <v>144</v>
      </c>
      <c r="R27" t="s">
        <v>50</v>
      </c>
      <c r="S27" t="s">
        <v>67</v>
      </c>
      <c r="T27">
        <v>15199</v>
      </c>
      <c r="U27" t="s">
        <v>51</v>
      </c>
      <c r="V27">
        <v>3923</v>
      </c>
      <c r="W27">
        <v>2745</v>
      </c>
      <c r="X27" t="s">
        <v>236</v>
      </c>
      <c r="Y27" t="s">
        <v>84</v>
      </c>
      <c r="Z27" t="s">
        <v>583</v>
      </c>
      <c r="AA27" t="s">
        <v>542</v>
      </c>
      <c r="AB27">
        <v>15915</v>
      </c>
      <c r="AC27">
        <v>9524</v>
      </c>
      <c r="AD27">
        <v>4043</v>
      </c>
      <c r="AE27">
        <v>1347</v>
      </c>
      <c r="AF27">
        <v>264</v>
      </c>
      <c r="AG27">
        <v>21</v>
      </c>
      <c r="AH27">
        <v>5642</v>
      </c>
      <c r="AI27">
        <v>12614</v>
      </c>
      <c r="AJ27">
        <v>716</v>
      </c>
      <c r="AK27">
        <v>3714</v>
      </c>
      <c r="AL27">
        <v>150</v>
      </c>
      <c r="AM27">
        <v>30</v>
      </c>
      <c r="AN27" t="s">
        <v>111</v>
      </c>
      <c r="AO27">
        <f>AVERAGE(Tabla2[[#This Row],[total_kills]:[rating]])</f>
        <v>7913.6315789473683</v>
      </c>
      <c r="AP27" t="str">
        <f>VLOOKUP(Tabla2[[#This Row],[KPI]],$AS$2:$AT$5,2,1)</f>
        <v>Superior</v>
      </c>
    </row>
    <row r="28" spans="1:42" x14ac:dyDescent="0.3">
      <c r="A28">
        <v>7403</v>
      </c>
      <c r="B28" t="s">
        <v>1111</v>
      </c>
      <c r="C28" t="s">
        <v>1112</v>
      </c>
      <c r="D28">
        <v>30</v>
      </c>
      <c r="E28" t="s">
        <v>75</v>
      </c>
      <c r="F28" t="s">
        <v>3514</v>
      </c>
      <c r="G28" t="s">
        <v>1113</v>
      </c>
      <c r="H28">
        <v>25226</v>
      </c>
      <c r="I28">
        <v>22750</v>
      </c>
      <c r="J28" t="s">
        <v>1114</v>
      </c>
      <c r="K28">
        <v>75</v>
      </c>
      <c r="L28" t="s">
        <v>425</v>
      </c>
      <c r="M28">
        <v>1328</v>
      </c>
      <c r="N28">
        <v>34716</v>
      </c>
      <c r="O28" t="s">
        <v>495</v>
      </c>
      <c r="P28" t="s">
        <v>48</v>
      </c>
      <c r="Q28" t="s">
        <v>322</v>
      </c>
      <c r="R28" t="s">
        <v>66</v>
      </c>
      <c r="S28" t="s">
        <v>66</v>
      </c>
      <c r="T28">
        <v>16893</v>
      </c>
      <c r="U28" t="s">
        <v>51</v>
      </c>
      <c r="V28">
        <v>4415</v>
      </c>
      <c r="W28">
        <v>3319</v>
      </c>
      <c r="X28" t="s">
        <v>442</v>
      </c>
      <c r="Y28" t="s">
        <v>111</v>
      </c>
      <c r="Z28" t="s">
        <v>217</v>
      </c>
      <c r="AA28" t="s">
        <v>906</v>
      </c>
      <c r="AB28">
        <v>17823</v>
      </c>
      <c r="AC28">
        <v>10626</v>
      </c>
      <c r="AD28">
        <v>4553</v>
      </c>
      <c r="AE28">
        <v>1414</v>
      </c>
      <c r="AF28">
        <v>269</v>
      </c>
      <c r="AG28">
        <v>31</v>
      </c>
      <c r="AH28">
        <v>5963</v>
      </c>
      <c r="AI28">
        <v>13131</v>
      </c>
      <c r="AJ28">
        <v>1045</v>
      </c>
      <c r="AK28">
        <v>4780</v>
      </c>
      <c r="AL28">
        <v>244</v>
      </c>
      <c r="AM28">
        <v>82</v>
      </c>
      <c r="AN28" t="s">
        <v>464</v>
      </c>
      <c r="AO28">
        <f>AVERAGE(Tabla2[[#This Row],[total_kills]:[rating]])</f>
        <v>8434.15</v>
      </c>
      <c r="AP28" t="str">
        <f>VLOOKUP(Tabla2[[#This Row],[KPI]],$AS$2:$AT$5,2,1)</f>
        <v>Superior</v>
      </c>
    </row>
    <row r="29" spans="1:42" x14ac:dyDescent="0.3">
      <c r="A29">
        <v>964</v>
      </c>
      <c r="B29" t="s">
        <v>1391</v>
      </c>
      <c r="C29" t="s">
        <v>1392</v>
      </c>
      <c r="D29">
        <v>30</v>
      </c>
      <c r="E29" t="s">
        <v>1144</v>
      </c>
      <c r="F29" t="s">
        <v>3514</v>
      </c>
      <c r="G29" t="s">
        <v>1393</v>
      </c>
      <c r="H29">
        <v>28048</v>
      </c>
      <c r="I29">
        <v>25564</v>
      </c>
      <c r="J29" t="s">
        <v>1114</v>
      </c>
      <c r="K29" t="s">
        <v>800</v>
      </c>
      <c r="L29">
        <v>4</v>
      </c>
      <c r="M29">
        <v>1489</v>
      </c>
      <c r="N29">
        <v>39475</v>
      </c>
      <c r="O29" t="s">
        <v>646</v>
      </c>
      <c r="P29" t="s">
        <v>67</v>
      </c>
      <c r="Q29" t="s">
        <v>276</v>
      </c>
      <c r="R29" t="s">
        <v>66</v>
      </c>
      <c r="S29" t="s">
        <v>96</v>
      </c>
      <c r="T29">
        <v>18989</v>
      </c>
      <c r="U29" t="s">
        <v>51</v>
      </c>
      <c r="V29">
        <v>4836</v>
      </c>
      <c r="W29">
        <v>3930</v>
      </c>
      <c r="X29" t="s">
        <v>101</v>
      </c>
      <c r="Y29" t="s">
        <v>362</v>
      </c>
      <c r="Z29" t="s">
        <v>473</v>
      </c>
      <c r="AA29" t="s">
        <v>665</v>
      </c>
      <c r="AB29">
        <v>20486</v>
      </c>
      <c r="AC29">
        <v>12087</v>
      </c>
      <c r="AD29">
        <v>5072</v>
      </c>
      <c r="AE29">
        <v>1536</v>
      </c>
      <c r="AF29">
        <v>274</v>
      </c>
      <c r="AG29">
        <v>20</v>
      </c>
      <c r="AH29">
        <v>6302</v>
      </c>
      <c r="AI29">
        <v>15808</v>
      </c>
      <c r="AJ29">
        <v>813</v>
      </c>
      <c r="AK29">
        <v>4672</v>
      </c>
      <c r="AL29">
        <v>413</v>
      </c>
      <c r="AM29">
        <v>77</v>
      </c>
      <c r="AN29" t="s">
        <v>304</v>
      </c>
      <c r="AO29">
        <f>AVERAGE(Tabla2[[#This Row],[total_kills]:[rating]])</f>
        <v>9494.75</v>
      </c>
      <c r="AP29" t="str">
        <f>VLOOKUP(Tabla2[[#This Row],[KPI]],$AS$2:$AT$5,2,1)</f>
        <v>Superior</v>
      </c>
    </row>
    <row r="30" spans="1:42" x14ac:dyDescent="0.3">
      <c r="A30">
        <v>4373</v>
      </c>
      <c r="B30" t="s">
        <v>2085</v>
      </c>
      <c r="C30" t="s">
        <v>2086</v>
      </c>
      <c r="D30">
        <v>28</v>
      </c>
      <c r="E30" t="s">
        <v>683</v>
      </c>
      <c r="F30" t="s">
        <v>3514</v>
      </c>
      <c r="G30" t="s">
        <v>2087</v>
      </c>
      <c r="H30">
        <v>9017</v>
      </c>
      <c r="I30">
        <v>8646</v>
      </c>
      <c r="J30" t="s">
        <v>2088</v>
      </c>
      <c r="K30" t="s">
        <v>2089</v>
      </c>
      <c r="L30" t="s">
        <v>275</v>
      </c>
      <c r="M30">
        <v>500</v>
      </c>
      <c r="N30">
        <v>13298</v>
      </c>
      <c r="O30" t="s">
        <v>167</v>
      </c>
      <c r="P30" t="s">
        <v>96</v>
      </c>
      <c r="Q30" t="s">
        <v>276</v>
      </c>
      <c r="R30" t="s">
        <v>50</v>
      </c>
      <c r="S30" t="s">
        <v>50</v>
      </c>
      <c r="T30">
        <v>6177</v>
      </c>
      <c r="U30" t="s">
        <v>51</v>
      </c>
      <c r="V30">
        <v>1530</v>
      </c>
      <c r="W30">
        <v>1214</v>
      </c>
      <c r="X30" t="s">
        <v>87</v>
      </c>
      <c r="Y30" t="s">
        <v>295</v>
      </c>
      <c r="Z30" t="s">
        <v>821</v>
      </c>
      <c r="AA30" t="s">
        <v>100</v>
      </c>
      <c r="AB30">
        <v>7121</v>
      </c>
      <c r="AC30">
        <v>4014</v>
      </c>
      <c r="AD30">
        <v>1616</v>
      </c>
      <c r="AE30">
        <v>431</v>
      </c>
      <c r="AF30">
        <v>102</v>
      </c>
      <c r="AG30">
        <v>14</v>
      </c>
      <c r="AH30">
        <v>1874</v>
      </c>
      <c r="AI30">
        <v>5193</v>
      </c>
      <c r="AJ30">
        <v>474</v>
      </c>
      <c r="AK30">
        <v>1390</v>
      </c>
      <c r="AL30">
        <v>86</v>
      </c>
      <c r="AM30">
        <v>17</v>
      </c>
      <c r="AN30" t="s">
        <v>255</v>
      </c>
      <c r="AO30">
        <f>AVERAGE(Tabla2[[#This Row],[total_kills]:[rating]])</f>
        <v>3300.7368421052633</v>
      </c>
      <c r="AP30" t="str">
        <f>VLOOKUP(Tabla2[[#This Row],[KPI]],$AS$2:$AT$5,2,1)</f>
        <v>Medio</v>
      </c>
    </row>
    <row r="31" spans="1:42" x14ac:dyDescent="0.3">
      <c r="A31">
        <v>16847</v>
      </c>
      <c r="B31" t="s">
        <v>325</v>
      </c>
      <c r="C31" t="s">
        <v>326</v>
      </c>
      <c r="D31">
        <v>20</v>
      </c>
      <c r="E31" t="s">
        <v>327</v>
      </c>
      <c r="F31" t="s">
        <v>328</v>
      </c>
      <c r="G31" t="s">
        <v>329</v>
      </c>
      <c r="H31">
        <v>10241</v>
      </c>
      <c r="I31">
        <v>8484</v>
      </c>
      <c r="J31" t="s">
        <v>330</v>
      </c>
      <c r="K31">
        <v>80</v>
      </c>
      <c r="L31" t="s">
        <v>331</v>
      </c>
      <c r="M31">
        <v>498</v>
      </c>
      <c r="N31">
        <v>13378</v>
      </c>
      <c r="O31" t="s">
        <v>81</v>
      </c>
      <c r="P31" t="s">
        <v>48</v>
      </c>
      <c r="Q31" t="s">
        <v>215</v>
      </c>
      <c r="R31" t="s">
        <v>50</v>
      </c>
      <c r="S31" t="s">
        <v>67</v>
      </c>
      <c r="T31">
        <v>6773</v>
      </c>
      <c r="U31" t="s">
        <v>51</v>
      </c>
      <c r="V31">
        <v>1656</v>
      </c>
      <c r="W31">
        <v>1114</v>
      </c>
      <c r="X31" t="s">
        <v>332</v>
      </c>
      <c r="Y31" t="s">
        <v>84</v>
      </c>
      <c r="Z31" t="s">
        <v>333</v>
      </c>
      <c r="AA31" t="s">
        <v>334</v>
      </c>
      <c r="AB31">
        <v>6605</v>
      </c>
      <c r="AC31">
        <v>4156</v>
      </c>
      <c r="AD31">
        <v>1896</v>
      </c>
      <c r="AE31">
        <v>596</v>
      </c>
      <c r="AF31">
        <v>120</v>
      </c>
      <c r="AG31">
        <v>5</v>
      </c>
      <c r="AH31">
        <v>2444</v>
      </c>
      <c r="AI31">
        <v>5801</v>
      </c>
      <c r="AJ31">
        <v>181</v>
      </c>
      <c r="AK31">
        <v>1687</v>
      </c>
      <c r="AL31">
        <v>153</v>
      </c>
      <c r="AM31">
        <v>16</v>
      </c>
      <c r="AN31" t="s">
        <v>172</v>
      </c>
      <c r="AO31">
        <f>AVERAGE(Tabla2[[#This Row],[total_kills]:[rating]])</f>
        <v>3294.2</v>
      </c>
      <c r="AP31" t="str">
        <f>VLOOKUP(Tabla2[[#This Row],[KPI]],$AS$2:$AT$5,2,1)</f>
        <v>Bajo</v>
      </c>
    </row>
    <row r="32" spans="1:42" x14ac:dyDescent="0.3">
      <c r="A32">
        <v>20097</v>
      </c>
      <c r="B32" t="s">
        <v>619</v>
      </c>
      <c r="C32" t="s">
        <v>620</v>
      </c>
      <c r="D32">
        <v>22</v>
      </c>
      <c r="E32" t="s">
        <v>467</v>
      </c>
      <c r="F32" t="s">
        <v>621</v>
      </c>
      <c r="G32" t="s">
        <v>622</v>
      </c>
      <c r="H32">
        <v>10915</v>
      </c>
      <c r="I32">
        <v>9130</v>
      </c>
      <c r="J32" t="s">
        <v>623</v>
      </c>
      <c r="K32" t="s">
        <v>624</v>
      </c>
      <c r="L32" t="s">
        <v>541</v>
      </c>
      <c r="M32">
        <v>566</v>
      </c>
      <c r="N32">
        <v>15106</v>
      </c>
      <c r="O32" t="s">
        <v>311</v>
      </c>
      <c r="P32" t="s">
        <v>50</v>
      </c>
      <c r="Q32" t="s">
        <v>134</v>
      </c>
      <c r="R32" t="s">
        <v>96</v>
      </c>
      <c r="S32" t="s">
        <v>96</v>
      </c>
      <c r="T32">
        <v>7367</v>
      </c>
      <c r="U32" t="s">
        <v>51</v>
      </c>
      <c r="V32">
        <v>1771</v>
      </c>
      <c r="W32">
        <v>1181</v>
      </c>
      <c r="X32" t="s">
        <v>216</v>
      </c>
      <c r="Y32" t="s">
        <v>370</v>
      </c>
      <c r="Z32" t="s">
        <v>517</v>
      </c>
      <c r="AA32" t="s">
        <v>113</v>
      </c>
      <c r="AB32">
        <v>7739</v>
      </c>
      <c r="AC32">
        <v>4690</v>
      </c>
      <c r="AD32">
        <v>1941</v>
      </c>
      <c r="AE32">
        <v>614</v>
      </c>
      <c r="AF32">
        <v>109</v>
      </c>
      <c r="AG32">
        <v>13</v>
      </c>
      <c r="AH32">
        <v>2778</v>
      </c>
      <c r="AI32">
        <v>6103</v>
      </c>
      <c r="AJ32">
        <v>221</v>
      </c>
      <c r="AK32">
        <v>1683</v>
      </c>
      <c r="AL32">
        <v>117</v>
      </c>
      <c r="AM32">
        <v>64</v>
      </c>
      <c r="AN32" t="s">
        <v>111</v>
      </c>
      <c r="AO32">
        <f>AVERAGE(Tabla2[[#This Row],[total_kills]:[rating]])</f>
        <v>3795.1578947368421</v>
      </c>
      <c r="AP32" t="str">
        <f>VLOOKUP(Tabla2[[#This Row],[KPI]],$AS$2:$AT$5,2,1)</f>
        <v>Medio</v>
      </c>
    </row>
    <row r="33" spans="1:42" x14ac:dyDescent="0.3">
      <c r="A33">
        <v>695</v>
      </c>
      <c r="B33" t="s">
        <v>688</v>
      </c>
      <c r="C33" t="s">
        <v>689</v>
      </c>
      <c r="D33">
        <v>30</v>
      </c>
      <c r="E33" t="s">
        <v>452</v>
      </c>
      <c r="F33" t="s">
        <v>690</v>
      </c>
      <c r="G33" t="s">
        <v>691</v>
      </c>
      <c r="H33">
        <v>31366</v>
      </c>
      <c r="I33">
        <v>27037</v>
      </c>
      <c r="J33" t="s">
        <v>623</v>
      </c>
      <c r="K33" t="s">
        <v>692</v>
      </c>
      <c r="L33" t="s">
        <v>46</v>
      </c>
      <c r="M33">
        <v>1615</v>
      </c>
      <c r="N33">
        <v>42334</v>
      </c>
      <c r="O33" t="s">
        <v>283</v>
      </c>
      <c r="P33" t="s">
        <v>67</v>
      </c>
      <c r="Q33" t="s">
        <v>65</v>
      </c>
      <c r="R33" t="s">
        <v>66</v>
      </c>
      <c r="S33" t="s">
        <v>96</v>
      </c>
      <c r="T33">
        <v>21027</v>
      </c>
      <c r="U33" t="s">
        <v>51</v>
      </c>
      <c r="V33">
        <v>5021</v>
      </c>
      <c r="W33">
        <v>3302</v>
      </c>
      <c r="X33" t="s">
        <v>647</v>
      </c>
      <c r="Y33" t="s">
        <v>98</v>
      </c>
      <c r="Z33" t="s">
        <v>333</v>
      </c>
      <c r="AA33" t="s">
        <v>354</v>
      </c>
      <c r="AB33">
        <v>21307</v>
      </c>
      <c r="AC33">
        <v>13181</v>
      </c>
      <c r="AD33">
        <v>5782</v>
      </c>
      <c r="AE33">
        <v>1697</v>
      </c>
      <c r="AF33">
        <v>336</v>
      </c>
      <c r="AG33">
        <v>31</v>
      </c>
      <c r="AH33">
        <v>8713</v>
      </c>
      <c r="AI33">
        <v>15102</v>
      </c>
      <c r="AJ33">
        <v>1531</v>
      </c>
      <c r="AK33">
        <v>5345</v>
      </c>
      <c r="AL33">
        <v>503</v>
      </c>
      <c r="AM33">
        <v>216</v>
      </c>
      <c r="AN33" t="s">
        <v>295</v>
      </c>
      <c r="AO33">
        <f>AVERAGE(Tabla2[[#This Row],[total_kills]:[rating]])</f>
        <v>10812.947368421053</v>
      </c>
      <c r="AP33" t="str">
        <f>VLOOKUP(Tabla2[[#This Row],[KPI]],$AS$2:$AT$5,2,1)</f>
        <v>Superior</v>
      </c>
    </row>
    <row r="34" spans="1:42" x14ac:dyDescent="0.3">
      <c r="A34">
        <v>13228</v>
      </c>
      <c r="B34" t="s">
        <v>1897</v>
      </c>
      <c r="C34" t="s">
        <v>1898</v>
      </c>
      <c r="D34">
        <v>22</v>
      </c>
      <c r="E34" t="s">
        <v>459</v>
      </c>
      <c r="F34" t="s">
        <v>571</v>
      </c>
      <c r="G34" t="s">
        <v>1899</v>
      </c>
      <c r="H34">
        <v>7407</v>
      </c>
      <c r="I34">
        <v>6823</v>
      </c>
      <c r="J34" t="s">
        <v>623</v>
      </c>
      <c r="K34" t="s">
        <v>1900</v>
      </c>
      <c r="L34" t="s">
        <v>275</v>
      </c>
      <c r="M34">
        <v>438</v>
      </c>
      <c r="N34">
        <v>11278</v>
      </c>
      <c r="O34" t="s">
        <v>322</v>
      </c>
      <c r="P34" t="s">
        <v>96</v>
      </c>
      <c r="Q34" t="s">
        <v>134</v>
      </c>
      <c r="R34" t="s">
        <v>96</v>
      </c>
      <c r="S34" t="s">
        <v>50</v>
      </c>
      <c r="T34">
        <v>5139</v>
      </c>
      <c r="U34" t="s">
        <v>51</v>
      </c>
      <c r="V34">
        <v>1165</v>
      </c>
      <c r="W34">
        <v>896</v>
      </c>
      <c r="X34" t="s">
        <v>516</v>
      </c>
      <c r="Y34" t="s">
        <v>304</v>
      </c>
      <c r="Z34" t="s">
        <v>718</v>
      </c>
      <c r="AA34" t="s">
        <v>648</v>
      </c>
      <c r="AB34">
        <v>6139</v>
      </c>
      <c r="AC34">
        <v>3402</v>
      </c>
      <c r="AD34">
        <v>1288</v>
      </c>
      <c r="AE34">
        <v>376</v>
      </c>
      <c r="AF34">
        <v>64</v>
      </c>
      <c r="AG34">
        <v>9</v>
      </c>
      <c r="AH34">
        <v>1985</v>
      </c>
      <c r="AI34">
        <v>3683</v>
      </c>
      <c r="AJ34">
        <v>379</v>
      </c>
      <c r="AK34">
        <v>1257</v>
      </c>
      <c r="AL34">
        <v>94</v>
      </c>
      <c r="AM34">
        <v>18</v>
      </c>
      <c r="AN34" t="s">
        <v>304</v>
      </c>
      <c r="AO34">
        <f>AVERAGE(Tabla2[[#This Row],[total_kills]:[rating]])</f>
        <v>2728.4210526315787</v>
      </c>
      <c r="AP34" t="str">
        <f>VLOOKUP(Tabla2[[#This Row],[KPI]],$AS$2:$AT$5,2,1)</f>
        <v>Bajo</v>
      </c>
    </row>
    <row r="35" spans="1:42" x14ac:dyDescent="0.3">
      <c r="A35">
        <v>17930</v>
      </c>
      <c r="B35" t="s">
        <v>2621</v>
      </c>
      <c r="C35" t="s">
        <v>2622</v>
      </c>
      <c r="D35">
        <v>21</v>
      </c>
      <c r="E35" t="s">
        <v>459</v>
      </c>
      <c r="F35" t="s">
        <v>1892</v>
      </c>
      <c r="G35" t="s">
        <v>1893</v>
      </c>
      <c r="H35">
        <v>8682</v>
      </c>
      <c r="I35">
        <v>8582</v>
      </c>
      <c r="J35" t="s">
        <v>2623</v>
      </c>
      <c r="K35" t="s">
        <v>2624</v>
      </c>
      <c r="L35" t="s">
        <v>201</v>
      </c>
      <c r="M35">
        <v>501</v>
      </c>
      <c r="N35">
        <v>13291</v>
      </c>
      <c r="O35" t="s">
        <v>276</v>
      </c>
      <c r="P35" t="s">
        <v>50</v>
      </c>
      <c r="Q35" t="s">
        <v>276</v>
      </c>
      <c r="R35" t="s">
        <v>96</v>
      </c>
      <c r="S35" t="s">
        <v>96</v>
      </c>
      <c r="T35">
        <v>6034</v>
      </c>
      <c r="U35" t="s">
        <v>51</v>
      </c>
      <c r="V35">
        <v>1323</v>
      </c>
      <c r="W35">
        <v>1080</v>
      </c>
      <c r="X35" t="s">
        <v>101</v>
      </c>
      <c r="Y35" t="s">
        <v>412</v>
      </c>
      <c r="Z35" t="s">
        <v>508</v>
      </c>
      <c r="AA35" t="s">
        <v>577</v>
      </c>
      <c r="AB35">
        <v>7257</v>
      </c>
      <c r="AC35">
        <v>3982</v>
      </c>
      <c r="AD35">
        <v>1557</v>
      </c>
      <c r="AE35">
        <v>405</v>
      </c>
      <c r="AF35">
        <v>79</v>
      </c>
      <c r="AG35">
        <v>11</v>
      </c>
      <c r="AH35">
        <v>2235</v>
      </c>
      <c r="AI35">
        <v>4685</v>
      </c>
      <c r="AJ35">
        <v>217</v>
      </c>
      <c r="AK35">
        <v>1434</v>
      </c>
      <c r="AL35">
        <v>110</v>
      </c>
      <c r="AM35">
        <v>37</v>
      </c>
      <c r="AN35" t="s">
        <v>449</v>
      </c>
      <c r="AO35">
        <f>AVERAGE(Tabla2[[#This Row],[total_kills]:[rating]])</f>
        <v>3236.9473684210525</v>
      </c>
      <c r="AP35" t="str">
        <f>VLOOKUP(Tabla2[[#This Row],[KPI]],$AS$2:$AT$5,2,1)</f>
        <v>Bajo</v>
      </c>
    </row>
    <row r="36" spans="1:42" x14ac:dyDescent="0.3">
      <c r="A36">
        <v>8565</v>
      </c>
      <c r="B36" t="s">
        <v>641</v>
      </c>
      <c r="C36" t="s">
        <v>642</v>
      </c>
      <c r="D36">
        <v>27</v>
      </c>
      <c r="E36" t="s">
        <v>104</v>
      </c>
      <c r="F36" t="s">
        <v>3514</v>
      </c>
      <c r="G36" t="s">
        <v>643</v>
      </c>
      <c r="H36">
        <v>20188</v>
      </c>
      <c r="I36">
        <v>16640</v>
      </c>
      <c r="J36" t="s">
        <v>644</v>
      </c>
      <c r="K36" t="s">
        <v>645</v>
      </c>
      <c r="L36" t="s">
        <v>331</v>
      </c>
      <c r="M36">
        <v>1101</v>
      </c>
      <c r="N36">
        <v>28598</v>
      </c>
      <c r="O36" t="s">
        <v>646</v>
      </c>
      <c r="P36" t="s">
        <v>48</v>
      </c>
      <c r="Q36" t="s">
        <v>284</v>
      </c>
      <c r="R36" t="s">
        <v>66</v>
      </c>
      <c r="S36" t="s">
        <v>96</v>
      </c>
      <c r="T36">
        <v>13719</v>
      </c>
      <c r="U36" t="s">
        <v>51</v>
      </c>
      <c r="V36">
        <v>3022</v>
      </c>
      <c r="W36">
        <v>1984</v>
      </c>
      <c r="X36" t="s">
        <v>647</v>
      </c>
      <c r="Y36" t="s">
        <v>277</v>
      </c>
      <c r="Z36" t="s">
        <v>183</v>
      </c>
      <c r="AA36" t="s">
        <v>648</v>
      </c>
      <c r="AB36">
        <v>14879</v>
      </c>
      <c r="AC36">
        <v>8790</v>
      </c>
      <c r="AD36">
        <v>3642</v>
      </c>
      <c r="AE36">
        <v>1054</v>
      </c>
      <c r="AF36">
        <v>213</v>
      </c>
      <c r="AG36">
        <v>20</v>
      </c>
      <c r="AH36">
        <v>5239</v>
      </c>
      <c r="AI36">
        <v>10163</v>
      </c>
      <c r="AJ36">
        <v>896</v>
      </c>
      <c r="AK36">
        <v>3609</v>
      </c>
      <c r="AL36">
        <v>230</v>
      </c>
      <c r="AM36">
        <v>98</v>
      </c>
      <c r="AN36" t="s">
        <v>561</v>
      </c>
      <c r="AO36">
        <f>AVERAGE(Tabla2[[#This Row],[total_kills]:[rating]])</f>
        <v>7057.105263157895</v>
      </c>
      <c r="AP36" t="str">
        <f>VLOOKUP(Tabla2[[#This Row],[KPI]],$AS$2:$AT$5,2,1)</f>
        <v>Superior</v>
      </c>
    </row>
    <row r="37" spans="1:42" x14ac:dyDescent="0.3">
      <c r="A37">
        <v>17793</v>
      </c>
      <c r="B37" t="s">
        <v>1817</v>
      </c>
      <c r="C37" t="s">
        <v>1818</v>
      </c>
      <c r="D37">
        <v>25</v>
      </c>
      <c r="E37" t="s">
        <v>1144</v>
      </c>
      <c r="F37" t="s">
        <v>1819</v>
      </c>
      <c r="G37" t="s">
        <v>1820</v>
      </c>
      <c r="H37">
        <v>8764</v>
      </c>
      <c r="I37">
        <v>8133</v>
      </c>
      <c r="J37" t="s">
        <v>644</v>
      </c>
      <c r="K37" t="s">
        <v>1529</v>
      </c>
      <c r="L37" t="s">
        <v>541</v>
      </c>
      <c r="M37">
        <v>478</v>
      </c>
      <c r="N37">
        <v>12883</v>
      </c>
      <c r="O37" t="s">
        <v>167</v>
      </c>
      <c r="P37" t="s">
        <v>50</v>
      </c>
      <c r="Q37" t="s">
        <v>215</v>
      </c>
      <c r="R37" t="s">
        <v>66</v>
      </c>
      <c r="S37" t="s">
        <v>96</v>
      </c>
      <c r="T37">
        <v>6052</v>
      </c>
      <c r="U37" t="s">
        <v>51</v>
      </c>
      <c r="V37">
        <v>1593</v>
      </c>
      <c r="W37">
        <v>1167</v>
      </c>
      <c r="X37" t="s">
        <v>254</v>
      </c>
      <c r="Y37" t="s">
        <v>98</v>
      </c>
      <c r="Z37" t="s">
        <v>635</v>
      </c>
      <c r="AA37" t="s">
        <v>629</v>
      </c>
      <c r="AB37">
        <v>6831</v>
      </c>
      <c r="AC37">
        <v>3944</v>
      </c>
      <c r="AD37">
        <v>1597</v>
      </c>
      <c r="AE37">
        <v>425</v>
      </c>
      <c r="AF37">
        <v>79</v>
      </c>
      <c r="AG37">
        <v>7</v>
      </c>
      <c r="AH37">
        <v>2009</v>
      </c>
      <c r="AI37">
        <v>5245</v>
      </c>
      <c r="AJ37">
        <v>213</v>
      </c>
      <c r="AK37">
        <v>1233</v>
      </c>
      <c r="AL37">
        <v>75</v>
      </c>
      <c r="AM37">
        <v>13</v>
      </c>
      <c r="AN37" t="s">
        <v>464</v>
      </c>
      <c r="AO37">
        <f>AVERAGE(Tabla2[[#This Row],[total_kills]:[rating]])</f>
        <v>3196.8947368421054</v>
      </c>
      <c r="AP37" t="str">
        <f>VLOOKUP(Tabla2[[#This Row],[KPI]],$AS$2:$AT$5,2,1)</f>
        <v>Bajo</v>
      </c>
    </row>
    <row r="38" spans="1:42" x14ac:dyDescent="0.3">
      <c r="A38">
        <v>9288</v>
      </c>
      <c r="B38" t="s">
        <v>1281</v>
      </c>
      <c r="C38" t="s">
        <v>1282</v>
      </c>
      <c r="D38">
        <v>29</v>
      </c>
      <c r="E38" t="s">
        <v>477</v>
      </c>
      <c r="F38" t="s">
        <v>3514</v>
      </c>
      <c r="G38" t="s">
        <v>1283</v>
      </c>
      <c r="H38">
        <v>8271</v>
      </c>
      <c r="I38">
        <v>7614</v>
      </c>
      <c r="J38" t="s">
        <v>1284</v>
      </c>
      <c r="K38">
        <v>77</v>
      </c>
      <c r="L38" t="s">
        <v>122</v>
      </c>
      <c r="M38">
        <v>452</v>
      </c>
      <c r="N38">
        <v>11472</v>
      </c>
      <c r="O38" t="s">
        <v>311</v>
      </c>
      <c r="P38" t="s">
        <v>48</v>
      </c>
      <c r="Q38" t="s">
        <v>322</v>
      </c>
      <c r="R38" t="s">
        <v>66</v>
      </c>
      <c r="S38" t="s">
        <v>96</v>
      </c>
      <c r="T38">
        <v>5547</v>
      </c>
      <c r="U38" t="s">
        <v>51</v>
      </c>
      <c r="V38">
        <v>1363</v>
      </c>
      <c r="W38">
        <v>1102</v>
      </c>
      <c r="X38" t="s">
        <v>69</v>
      </c>
      <c r="Y38" t="s">
        <v>561</v>
      </c>
      <c r="Z38" t="s">
        <v>901</v>
      </c>
      <c r="AA38" t="s">
        <v>392</v>
      </c>
      <c r="AB38">
        <v>5925</v>
      </c>
      <c r="AC38">
        <v>3512</v>
      </c>
      <c r="AD38">
        <v>1469</v>
      </c>
      <c r="AE38">
        <v>454</v>
      </c>
      <c r="AF38">
        <v>101</v>
      </c>
      <c r="AG38">
        <v>11</v>
      </c>
      <c r="AH38">
        <v>3205</v>
      </c>
      <c r="AI38">
        <v>3251</v>
      </c>
      <c r="AJ38">
        <v>528</v>
      </c>
      <c r="AK38">
        <v>1231</v>
      </c>
      <c r="AL38">
        <v>54</v>
      </c>
      <c r="AM38">
        <v>23</v>
      </c>
      <c r="AN38" t="s">
        <v>590</v>
      </c>
      <c r="AO38">
        <f>AVERAGE(Tabla2[[#This Row],[total_kills]:[rating]])</f>
        <v>2783.1</v>
      </c>
      <c r="AP38" t="str">
        <f>VLOOKUP(Tabla2[[#This Row],[KPI]],$AS$2:$AT$5,2,1)</f>
        <v>Bajo</v>
      </c>
    </row>
    <row r="39" spans="1:42" x14ac:dyDescent="0.3">
      <c r="A39">
        <v>7383</v>
      </c>
      <c r="B39" t="s">
        <v>2230</v>
      </c>
      <c r="C39" t="s">
        <v>2231</v>
      </c>
      <c r="D39">
        <v>30</v>
      </c>
      <c r="E39" t="s">
        <v>104</v>
      </c>
      <c r="F39" t="s">
        <v>2021</v>
      </c>
      <c r="G39" t="s">
        <v>2232</v>
      </c>
      <c r="H39">
        <v>13308</v>
      </c>
      <c r="I39">
        <v>12620</v>
      </c>
      <c r="J39" t="s">
        <v>1284</v>
      </c>
      <c r="K39" t="s">
        <v>2233</v>
      </c>
      <c r="L39" t="s">
        <v>331</v>
      </c>
      <c r="M39">
        <v>780</v>
      </c>
      <c r="N39">
        <v>20206</v>
      </c>
      <c r="O39" t="s">
        <v>322</v>
      </c>
      <c r="P39" t="s">
        <v>48</v>
      </c>
      <c r="Q39" t="s">
        <v>144</v>
      </c>
      <c r="R39" t="s">
        <v>96</v>
      </c>
      <c r="S39" t="s">
        <v>96</v>
      </c>
      <c r="T39">
        <v>9254</v>
      </c>
      <c r="U39" t="s">
        <v>51</v>
      </c>
      <c r="V39">
        <v>2398</v>
      </c>
      <c r="W39">
        <v>1798</v>
      </c>
      <c r="X39" t="s">
        <v>442</v>
      </c>
      <c r="Y39" t="s">
        <v>362</v>
      </c>
      <c r="Z39" t="s">
        <v>137</v>
      </c>
      <c r="AA39" t="s">
        <v>719</v>
      </c>
      <c r="AB39">
        <v>10952</v>
      </c>
      <c r="AC39">
        <v>6105</v>
      </c>
      <c r="AD39">
        <v>2389</v>
      </c>
      <c r="AE39">
        <v>635</v>
      </c>
      <c r="AF39">
        <v>114</v>
      </c>
      <c r="AG39">
        <v>11</v>
      </c>
      <c r="AH39">
        <v>2972</v>
      </c>
      <c r="AI39">
        <v>7363</v>
      </c>
      <c r="AJ39">
        <v>575</v>
      </c>
      <c r="AK39">
        <v>2187</v>
      </c>
      <c r="AL39">
        <v>176</v>
      </c>
      <c r="AM39">
        <v>71</v>
      </c>
      <c r="AN39">
        <v>1</v>
      </c>
      <c r="AO39">
        <f>AVERAGE(Tabla2[[#This Row],[total_kills]:[rating]])</f>
        <v>4695.75</v>
      </c>
      <c r="AP39" t="str">
        <f>VLOOKUP(Tabla2[[#This Row],[KPI]],$AS$2:$AT$5,2,1)</f>
        <v>Medio</v>
      </c>
    </row>
    <row r="40" spans="1:42" x14ac:dyDescent="0.3">
      <c r="A40">
        <v>7996</v>
      </c>
      <c r="B40" t="s">
        <v>1090</v>
      </c>
      <c r="C40" t="s">
        <v>1091</v>
      </c>
      <c r="D40">
        <v>25</v>
      </c>
      <c r="E40" t="s">
        <v>1092</v>
      </c>
      <c r="F40" t="s">
        <v>1093</v>
      </c>
      <c r="G40" t="s">
        <v>1094</v>
      </c>
      <c r="H40">
        <v>27809</v>
      </c>
      <c r="I40">
        <v>25011</v>
      </c>
      <c r="J40" t="s">
        <v>1095</v>
      </c>
      <c r="K40" t="s">
        <v>788</v>
      </c>
      <c r="L40" t="s">
        <v>425</v>
      </c>
      <c r="M40">
        <v>1472</v>
      </c>
      <c r="N40">
        <v>38605</v>
      </c>
      <c r="O40" t="s">
        <v>311</v>
      </c>
      <c r="P40" t="s">
        <v>50</v>
      </c>
      <c r="Q40" t="s">
        <v>276</v>
      </c>
      <c r="R40" t="s">
        <v>50</v>
      </c>
      <c r="S40" t="s">
        <v>67</v>
      </c>
      <c r="T40">
        <v>18614</v>
      </c>
      <c r="U40" t="s">
        <v>51</v>
      </c>
      <c r="V40">
        <v>4950</v>
      </c>
      <c r="W40">
        <v>3491</v>
      </c>
      <c r="X40" t="s">
        <v>369</v>
      </c>
      <c r="Y40" t="s">
        <v>206</v>
      </c>
      <c r="Z40" t="s">
        <v>347</v>
      </c>
      <c r="AA40" t="s">
        <v>906</v>
      </c>
      <c r="AB40">
        <v>19991</v>
      </c>
      <c r="AC40">
        <v>11708</v>
      </c>
      <c r="AD40">
        <v>5020</v>
      </c>
      <c r="AE40">
        <v>1523</v>
      </c>
      <c r="AF40">
        <v>324</v>
      </c>
      <c r="AG40">
        <v>39</v>
      </c>
      <c r="AH40">
        <v>6954</v>
      </c>
      <c r="AI40">
        <v>15051</v>
      </c>
      <c r="AJ40">
        <v>839</v>
      </c>
      <c r="AK40">
        <v>4693</v>
      </c>
      <c r="AL40">
        <v>272</v>
      </c>
      <c r="AM40">
        <v>66</v>
      </c>
      <c r="AN40" t="s">
        <v>464</v>
      </c>
      <c r="AO40">
        <f>AVERAGE(Tabla2[[#This Row],[total_kills]:[rating]])</f>
        <v>9812.21052631579</v>
      </c>
      <c r="AP40" t="str">
        <f>VLOOKUP(Tabla2[[#This Row],[KPI]],$AS$2:$AT$5,2,1)</f>
        <v>Superior</v>
      </c>
    </row>
    <row r="41" spans="1:42" x14ac:dyDescent="0.3">
      <c r="A41">
        <v>18072</v>
      </c>
      <c r="B41" t="s">
        <v>185</v>
      </c>
      <c r="C41" t="s">
        <v>186</v>
      </c>
      <c r="D41">
        <v>20</v>
      </c>
      <c r="E41" t="s">
        <v>187</v>
      </c>
      <c r="F41" t="s">
        <v>188</v>
      </c>
      <c r="G41" t="s">
        <v>189</v>
      </c>
      <c r="H41">
        <v>9904</v>
      </c>
      <c r="I41">
        <v>7896</v>
      </c>
      <c r="J41" t="s">
        <v>190</v>
      </c>
      <c r="K41">
        <v>78</v>
      </c>
      <c r="L41" t="s">
        <v>143</v>
      </c>
      <c r="M41">
        <v>478</v>
      </c>
      <c r="N41">
        <v>12776</v>
      </c>
      <c r="O41" t="s">
        <v>123</v>
      </c>
      <c r="P41" t="s">
        <v>96</v>
      </c>
      <c r="Q41" t="s">
        <v>144</v>
      </c>
      <c r="R41" t="s">
        <v>66</v>
      </c>
      <c r="S41" t="s">
        <v>67</v>
      </c>
      <c r="T41">
        <v>6499</v>
      </c>
      <c r="U41" t="s">
        <v>51</v>
      </c>
      <c r="V41">
        <v>1578</v>
      </c>
      <c r="W41">
        <v>1028</v>
      </c>
      <c r="X41" t="s">
        <v>191</v>
      </c>
      <c r="Y41" t="s">
        <v>84</v>
      </c>
      <c r="Z41" t="s">
        <v>192</v>
      </c>
      <c r="AA41" t="s">
        <v>193</v>
      </c>
      <c r="AB41">
        <v>6277</v>
      </c>
      <c r="AC41">
        <v>4001</v>
      </c>
      <c r="AD41">
        <v>1751</v>
      </c>
      <c r="AE41">
        <v>603</v>
      </c>
      <c r="AF41">
        <v>128</v>
      </c>
      <c r="AG41">
        <v>16</v>
      </c>
      <c r="AH41">
        <v>2352</v>
      </c>
      <c r="AI41">
        <v>5696</v>
      </c>
      <c r="AJ41">
        <v>183</v>
      </c>
      <c r="AK41">
        <v>1606</v>
      </c>
      <c r="AL41">
        <v>83</v>
      </c>
      <c r="AM41">
        <v>39</v>
      </c>
      <c r="AN41" t="s">
        <v>169</v>
      </c>
      <c r="AO41">
        <f>AVERAGE(Tabla2[[#This Row],[total_kills]:[rating]])</f>
        <v>3148.6</v>
      </c>
      <c r="AP41" t="str">
        <f>VLOOKUP(Tabla2[[#This Row],[KPI]],$AS$2:$AT$5,2,1)</f>
        <v>Bajo</v>
      </c>
    </row>
    <row r="42" spans="1:42" x14ac:dyDescent="0.3">
      <c r="A42">
        <v>5799</v>
      </c>
      <c r="B42" t="s">
        <v>917</v>
      </c>
      <c r="C42" t="s">
        <v>918</v>
      </c>
      <c r="D42">
        <v>30</v>
      </c>
      <c r="E42" t="s">
        <v>708</v>
      </c>
      <c r="F42" t="s">
        <v>3514</v>
      </c>
      <c r="G42" t="s">
        <v>919</v>
      </c>
      <c r="H42">
        <v>11408</v>
      </c>
      <c r="I42">
        <v>10191</v>
      </c>
      <c r="J42" t="s">
        <v>190</v>
      </c>
      <c r="K42" t="s">
        <v>920</v>
      </c>
      <c r="L42" t="s">
        <v>275</v>
      </c>
      <c r="M42">
        <v>594</v>
      </c>
      <c r="N42">
        <v>15524</v>
      </c>
      <c r="O42" t="s">
        <v>495</v>
      </c>
      <c r="P42" t="s">
        <v>96</v>
      </c>
      <c r="Q42" t="s">
        <v>322</v>
      </c>
      <c r="R42" t="s">
        <v>66</v>
      </c>
      <c r="S42" t="s">
        <v>66</v>
      </c>
      <c r="T42">
        <v>7599</v>
      </c>
      <c r="U42" t="s">
        <v>51</v>
      </c>
      <c r="V42">
        <v>2319</v>
      </c>
      <c r="W42">
        <v>1664</v>
      </c>
      <c r="X42" t="s">
        <v>532</v>
      </c>
      <c r="Y42" t="s">
        <v>101</v>
      </c>
      <c r="Z42" t="s">
        <v>517</v>
      </c>
      <c r="AA42" t="s">
        <v>921</v>
      </c>
      <c r="AB42">
        <v>7925</v>
      </c>
      <c r="AC42">
        <v>4764</v>
      </c>
      <c r="AD42">
        <v>2037</v>
      </c>
      <c r="AE42">
        <v>638</v>
      </c>
      <c r="AF42">
        <v>145</v>
      </c>
      <c r="AG42">
        <v>15</v>
      </c>
      <c r="AH42">
        <v>1226</v>
      </c>
      <c r="AI42">
        <v>6634</v>
      </c>
      <c r="AJ42">
        <v>1105</v>
      </c>
      <c r="AK42">
        <v>2267</v>
      </c>
      <c r="AL42">
        <v>117</v>
      </c>
      <c r="AM42">
        <v>70</v>
      </c>
      <c r="AN42" t="s">
        <v>277</v>
      </c>
      <c r="AO42">
        <f>AVERAGE(Tabla2[[#This Row],[total_kills]:[rating]])</f>
        <v>4012.7368421052633</v>
      </c>
      <c r="AP42" t="str">
        <f>VLOOKUP(Tabla2[[#This Row],[KPI]],$AS$2:$AT$5,2,1)</f>
        <v>Medio</v>
      </c>
    </row>
    <row r="43" spans="1:42" x14ac:dyDescent="0.3">
      <c r="A43">
        <v>2529</v>
      </c>
      <c r="B43" t="s">
        <v>1867</v>
      </c>
      <c r="C43" t="s">
        <v>1868</v>
      </c>
      <c r="D43">
        <v>32</v>
      </c>
      <c r="E43" t="s">
        <v>104</v>
      </c>
      <c r="F43" t="s">
        <v>1125</v>
      </c>
      <c r="G43" t="s">
        <v>1125</v>
      </c>
      <c r="H43">
        <v>19000</v>
      </c>
      <c r="I43">
        <v>17886</v>
      </c>
      <c r="J43" t="s">
        <v>190</v>
      </c>
      <c r="K43" t="s">
        <v>486</v>
      </c>
      <c r="L43" t="s">
        <v>1352</v>
      </c>
      <c r="M43">
        <v>1064</v>
      </c>
      <c r="N43">
        <v>27603</v>
      </c>
      <c r="O43" t="s">
        <v>463</v>
      </c>
      <c r="P43" t="s">
        <v>67</v>
      </c>
      <c r="Q43" t="s">
        <v>276</v>
      </c>
      <c r="R43" t="s">
        <v>96</v>
      </c>
      <c r="S43" t="s">
        <v>66</v>
      </c>
      <c r="T43">
        <v>13043</v>
      </c>
      <c r="U43" t="s">
        <v>51</v>
      </c>
      <c r="V43">
        <v>3367</v>
      </c>
      <c r="W43">
        <v>2551</v>
      </c>
      <c r="X43" t="s">
        <v>56</v>
      </c>
      <c r="Y43" t="s">
        <v>370</v>
      </c>
      <c r="Z43" t="s">
        <v>183</v>
      </c>
      <c r="AA43" t="s">
        <v>354</v>
      </c>
      <c r="AB43">
        <v>14560</v>
      </c>
      <c r="AC43">
        <v>8459</v>
      </c>
      <c r="AD43">
        <v>3421</v>
      </c>
      <c r="AE43">
        <v>967</v>
      </c>
      <c r="AF43">
        <v>182</v>
      </c>
      <c r="AG43">
        <v>14</v>
      </c>
      <c r="AH43">
        <v>4040</v>
      </c>
      <c r="AI43">
        <v>10792</v>
      </c>
      <c r="AJ43">
        <v>735</v>
      </c>
      <c r="AK43">
        <v>3036</v>
      </c>
      <c r="AL43">
        <v>375</v>
      </c>
      <c r="AM43">
        <v>65</v>
      </c>
      <c r="AN43" t="s">
        <v>464</v>
      </c>
      <c r="AO43">
        <f>AVERAGE(Tabla2[[#This Row],[total_kills]:[rating]])</f>
        <v>6903.1578947368425</v>
      </c>
      <c r="AP43" t="str">
        <f>VLOOKUP(Tabla2[[#This Row],[KPI]],$AS$2:$AT$5,2,1)</f>
        <v>Superior</v>
      </c>
    </row>
    <row r="44" spans="1:42" x14ac:dyDescent="0.3">
      <c r="A44">
        <v>16726</v>
      </c>
      <c r="B44" t="s">
        <v>1591</v>
      </c>
      <c r="C44" t="s">
        <v>1592</v>
      </c>
      <c r="D44">
        <v>19</v>
      </c>
      <c r="E44" t="s">
        <v>545</v>
      </c>
      <c r="F44" t="s">
        <v>3514</v>
      </c>
      <c r="G44" t="s">
        <v>1593</v>
      </c>
      <c r="H44">
        <v>8450</v>
      </c>
      <c r="I44">
        <v>7744</v>
      </c>
      <c r="J44" t="s">
        <v>1594</v>
      </c>
      <c r="K44">
        <v>72</v>
      </c>
      <c r="L44" t="s">
        <v>425</v>
      </c>
      <c r="M44">
        <v>461</v>
      </c>
      <c r="N44">
        <v>12400</v>
      </c>
      <c r="O44" t="s">
        <v>167</v>
      </c>
      <c r="P44" t="s">
        <v>50</v>
      </c>
      <c r="Q44" t="s">
        <v>144</v>
      </c>
      <c r="R44" t="s">
        <v>96</v>
      </c>
      <c r="S44" t="s">
        <v>66</v>
      </c>
      <c r="T44">
        <v>5769</v>
      </c>
      <c r="U44" t="s">
        <v>51</v>
      </c>
      <c r="V44">
        <v>1213</v>
      </c>
      <c r="W44">
        <v>1029</v>
      </c>
      <c r="X44" t="s">
        <v>169</v>
      </c>
      <c r="Y44" t="s">
        <v>449</v>
      </c>
      <c r="Z44" t="s">
        <v>473</v>
      </c>
      <c r="AA44" t="s">
        <v>577</v>
      </c>
      <c r="AB44">
        <v>6631</v>
      </c>
      <c r="AC44">
        <v>3724</v>
      </c>
      <c r="AD44">
        <v>1505</v>
      </c>
      <c r="AE44">
        <v>454</v>
      </c>
      <c r="AF44">
        <v>76</v>
      </c>
      <c r="AG44">
        <v>10</v>
      </c>
      <c r="AH44">
        <v>2736</v>
      </c>
      <c r="AI44">
        <v>3909</v>
      </c>
      <c r="AJ44">
        <v>181</v>
      </c>
      <c r="AK44">
        <v>1552</v>
      </c>
      <c r="AL44">
        <v>67</v>
      </c>
      <c r="AM44">
        <v>48</v>
      </c>
      <c r="AN44" t="s">
        <v>464</v>
      </c>
      <c r="AO44">
        <f>AVERAGE(Tabla2[[#This Row],[total_kills]:[rating]])</f>
        <v>2901.55</v>
      </c>
      <c r="AP44" t="str">
        <f>VLOOKUP(Tabla2[[#This Row],[KPI]],$AS$2:$AT$5,2,1)</f>
        <v>Bajo</v>
      </c>
    </row>
    <row r="45" spans="1:42" x14ac:dyDescent="0.3">
      <c r="A45">
        <v>18736</v>
      </c>
      <c r="B45" t="s">
        <v>934</v>
      </c>
      <c r="C45" t="s">
        <v>935</v>
      </c>
      <c r="D45">
        <v>22</v>
      </c>
      <c r="E45" t="s">
        <v>299</v>
      </c>
      <c r="F45" t="s">
        <v>936</v>
      </c>
      <c r="G45" t="s">
        <v>937</v>
      </c>
      <c r="H45">
        <v>8219</v>
      </c>
      <c r="I45">
        <v>7244</v>
      </c>
      <c r="J45" t="s">
        <v>938</v>
      </c>
      <c r="K45" t="s">
        <v>939</v>
      </c>
      <c r="L45" t="s">
        <v>282</v>
      </c>
      <c r="M45">
        <v>441</v>
      </c>
      <c r="N45">
        <v>11492</v>
      </c>
      <c r="O45" t="s">
        <v>311</v>
      </c>
      <c r="P45" t="s">
        <v>48</v>
      </c>
      <c r="Q45" t="s">
        <v>215</v>
      </c>
      <c r="R45" t="s">
        <v>96</v>
      </c>
      <c r="S45" t="s">
        <v>96</v>
      </c>
      <c r="T45">
        <v>5488</v>
      </c>
      <c r="U45" t="s">
        <v>51</v>
      </c>
      <c r="V45">
        <v>1400</v>
      </c>
      <c r="W45">
        <v>1053</v>
      </c>
      <c r="X45" t="s">
        <v>442</v>
      </c>
      <c r="Y45" t="s">
        <v>370</v>
      </c>
      <c r="Z45" t="s">
        <v>508</v>
      </c>
      <c r="AA45" t="s">
        <v>719</v>
      </c>
      <c r="AB45">
        <v>6004</v>
      </c>
      <c r="AC45">
        <v>3451</v>
      </c>
      <c r="AD45">
        <v>1463</v>
      </c>
      <c r="AE45">
        <v>462</v>
      </c>
      <c r="AF45">
        <v>104</v>
      </c>
      <c r="AG45">
        <v>8</v>
      </c>
      <c r="AH45">
        <v>2227</v>
      </c>
      <c r="AI45">
        <v>4198</v>
      </c>
      <c r="AJ45">
        <v>276</v>
      </c>
      <c r="AK45">
        <v>1337</v>
      </c>
      <c r="AL45">
        <v>156</v>
      </c>
      <c r="AM45">
        <v>54</v>
      </c>
      <c r="AN45" t="s">
        <v>370</v>
      </c>
      <c r="AO45">
        <f>AVERAGE(Tabla2[[#This Row],[total_kills]:[rating]])</f>
        <v>2898.7894736842104</v>
      </c>
      <c r="AP45" t="str">
        <f>VLOOKUP(Tabla2[[#This Row],[KPI]],$AS$2:$AT$5,2,1)</f>
        <v>Bajo</v>
      </c>
    </row>
    <row r="46" spans="1:42" x14ac:dyDescent="0.3">
      <c r="A46">
        <v>9574</v>
      </c>
      <c r="B46" t="s">
        <v>1175</v>
      </c>
      <c r="C46" t="s">
        <v>1176</v>
      </c>
      <c r="D46">
        <v>24</v>
      </c>
      <c r="E46" t="s">
        <v>327</v>
      </c>
      <c r="F46" t="s">
        <v>3514</v>
      </c>
      <c r="G46" t="s">
        <v>1177</v>
      </c>
      <c r="H46">
        <v>30207</v>
      </c>
      <c r="I46">
        <v>27738</v>
      </c>
      <c r="J46" t="s">
        <v>938</v>
      </c>
      <c r="K46" t="s">
        <v>1089</v>
      </c>
      <c r="L46" t="s">
        <v>52</v>
      </c>
      <c r="M46">
        <v>1557</v>
      </c>
      <c r="N46">
        <v>41766</v>
      </c>
      <c r="O46" t="s">
        <v>311</v>
      </c>
      <c r="P46" t="s">
        <v>96</v>
      </c>
      <c r="Q46" t="s">
        <v>322</v>
      </c>
      <c r="R46" t="s">
        <v>66</v>
      </c>
      <c r="S46" t="s">
        <v>96</v>
      </c>
      <c r="T46">
        <v>19967</v>
      </c>
      <c r="U46" t="s">
        <v>51</v>
      </c>
      <c r="V46">
        <v>5450</v>
      </c>
      <c r="W46">
        <v>4320</v>
      </c>
      <c r="X46" t="s">
        <v>87</v>
      </c>
      <c r="Y46" t="s">
        <v>84</v>
      </c>
      <c r="Z46" t="s">
        <v>256</v>
      </c>
      <c r="AA46" t="s">
        <v>184</v>
      </c>
      <c r="AB46">
        <v>21799</v>
      </c>
      <c r="AC46">
        <v>12351</v>
      </c>
      <c r="AD46">
        <v>5464</v>
      </c>
      <c r="AE46">
        <v>1727</v>
      </c>
      <c r="AF46">
        <v>378</v>
      </c>
      <c r="AG46">
        <v>47</v>
      </c>
      <c r="AH46">
        <v>6210</v>
      </c>
      <c r="AI46">
        <v>17827</v>
      </c>
      <c r="AJ46">
        <v>1226</v>
      </c>
      <c r="AK46">
        <v>4710</v>
      </c>
      <c r="AL46">
        <v>192</v>
      </c>
      <c r="AM46">
        <v>98</v>
      </c>
      <c r="AN46" t="s">
        <v>590</v>
      </c>
      <c r="AO46">
        <f>AVERAGE(Tabla2[[#This Row],[total_kills]:[rating]])</f>
        <v>10686</v>
      </c>
      <c r="AP46" t="str">
        <f>VLOOKUP(Tabla2[[#This Row],[KPI]],$AS$2:$AT$5,2,1)</f>
        <v>Superior</v>
      </c>
    </row>
    <row r="47" spans="1:42" x14ac:dyDescent="0.3">
      <c r="A47">
        <v>7266</v>
      </c>
      <c r="B47" t="s">
        <v>706</v>
      </c>
      <c r="C47" t="s">
        <v>707</v>
      </c>
      <c r="D47">
        <v>26</v>
      </c>
      <c r="E47" t="s">
        <v>708</v>
      </c>
      <c r="F47" t="s">
        <v>709</v>
      </c>
      <c r="G47" t="s">
        <v>710</v>
      </c>
      <c r="H47">
        <v>33692</v>
      </c>
      <c r="I47">
        <v>29045</v>
      </c>
      <c r="J47" t="s">
        <v>711</v>
      </c>
      <c r="K47" t="s">
        <v>494</v>
      </c>
      <c r="L47" t="s">
        <v>143</v>
      </c>
      <c r="M47">
        <v>1735</v>
      </c>
      <c r="N47">
        <v>46095</v>
      </c>
      <c r="O47" t="s">
        <v>495</v>
      </c>
      <c r="P47" t="s">
        <v>50</v>
      </c>
      <c r="Q47" t="s">
        <v>215</v>
      </c>
      <c r="R47" t="s">
        <v>66</v>
      </c>
      <c r="S47" t="s">
        <v>96</v>
      </c>
      <c r="T47">
        <v>22550</v>
      </c>
      <c r="U47" t="s">
        <v>51</v>
      </c>
      <c r="V47">
        <v>6366</v>
      </c>
      <c r="W47">
        <v>4518</v>
      </c>
      <c r="X47" t="s">
        <v>525</v>
      </c>
      <c r="Y47" t="s">
        <v>127</v>
      </c>
      <c r="Z47" t="s">
        <v>533</v>
      </c>
      <c r="AA47" t="s">
        <v>712</v>
      </c>
      <c r="AB47">
        <v>23545</v>
      </c>
      <c r="AC47">
        <v>14140</v>
      </c>
      <c r="AD47">
        <v>6097</v>
      </c>
      <c r="AE47">
        <v>1930</v>
      </c>
      <c r="AF47">
        <v>351</v>
      </c>
      <c r="AG47">
        <v>32</v>
      </c>
      <c r="AH47">
        <v>5382</v>
      </c>
      <c r="AI47">
        <v>20663</v>
      </c>
      <c r="AJ47">
        <v>1967</v>
      </c>
      <c r="AK47">
        <v>5329</v>
      </c>
      <c r="AL47">
        <v>318</v>
      </c>
      <c r="AM47">
        <v>117</v>
      </c>
      <c r="AN47" t="s">
        <v>295</v>
      </c>
      <c r="AO47">
        <f>AVERAGE(Tabla2[[#This Row],[total_kills]:[rating]])</f>
        <v>11782.736842105263</v>
      </c>
      <c r="AP47" t="str">
        <f>VLOOKUP(Tabla2[[#This Row],[KPI]],$AS$2:$AT$5,2,1)</f>
        <v>Superior</v>
      </c>
    </row>
    <row r="48" spans="1:42" x14ac:dyDescent="0.3">
      <c r="A48">
        <v>14494</v>
      </c>
      <c r="B48" t="s">
        <v>1015</v>
      </c>
      <c r="C48" t="s">
        <v>1016</v>
      </c>
      <c r="D48">
        <v>21</v>
      </c>
      <c r="E48" t="s">
        <v>459</v>
      </c>
      <c r="F48" t="s">
        <v>812</v>
      </c>
      <c r="G48" t="s">
        <v>1017</v>
      </c>
      <c r="H48">
        <v>8904</v>
      </c>
      <c r="I48">
        <v>7642</v>
      </c>
      <c r="J48" t="s">
        <v>711</v>
      </c>
      <c r="K48" t="s">
        <v>1018</v>
      </c>
      <c r="L48" t="s">
        <v>487</v>
      </c>
      <c r="M48">
        <v>485</v>
      </c>
      <c r="N48">
        <v>12690</v>
      </c>
      <c r="O48" t="s">
        <v>905</v>
      </c>
      <c r="P48" t="s">
        <v>96</v>
      </c>
      <c r="Q48" t="s">
        <v>134</v>
      </c>
      <c r="R48" t="s">
        <v>66</v>
      </c>
      <c r="S48" t="s">
        <v>50</v>
      </c>
      <c r="T48">
        <v>6086</v>
      </c>
      <c r="U48" t="s">
        <v>51</v>
      </c>
      <c r="V48">
        <v>1419</v>
      </c>
      <c r="W48">
        <v>905</v>
      </c>
      <c r="X48" t="s">
        <v>1019</v>
      </c>
      <c r="Y48" t="s">
        <v>362</v>
      </c>
      <c r="Z48" t="s">
        <v>1020</v>
      </c>
      <c r="AA48" t="s">
        <v>436</v>
      </c>
      <c r="AB48">
        <v>6604</v>
      </c>
      <c r="AC48">
        <v>3887</v>
      </c>
      <c r="AD48">
        <v>1664</v>
      </c>
      <c r="AE48">
        <v>456</v>
      </c>
      <c r="AF48">
        <v>74</v>
      </c>
      <c r="AG48">
        <v>5</v>
      </c>
      <c r="AH48">
        <v>1821</v>
      </c>
      <c r="AI48">
        <v>5469</v>
      </c>
      <c r="AJ48">
        <v>127</v>
      </c>
      <c r="AK48">
        <v>1434</v>
      </c>
      <c r="AL48">
        <v>60</v>
      </c>
      <c r="AM48">
        <v>19</v>
      </c>
      <c r="AN48" t="s">
        <v>561</v>
      </c>
      <c r="AO48">
        <f>AVERAGE(Tabla2[[#This Row],[total_kills]:[rating]])</f>
        <v>3144.7894736842104</v>
      </c>
      <c r="AP48" t="str">
        <f>VLOOKUP(Tabla2[[#This Row],[KPI]],$AS$2:$AT$5,2,1)</f>
        <v>Bajo</v>
      </c>
    </row>
    <row r="49" spans="1:42" x14ac:dyDescent="0.3">
      <c r="A49">
        <v>15370</v>
      </c>
      <c r="B49" t="s">
        <v>1084</v>
      </c>
      <c r="C49" t="s">
        <v>1085</v>
      </c>
      <c r="D49">
        <v>23</v>
      </c>
      <c r="E49" t="s">
        <v>708</v>
      </c>
      <c r="F49" t="s">
        <v>1086</v>
      </c>
      <c r="G49" t="s">
        <v>1087</v>
      </c>
      <c r="H49">
        <v>17820</v>
      </c>
      <c r="I49">
        <v>15712</v>
      </c>
      <c r="J49" t="s">
        <v>1088</v>
      </c>
      <c r="K49" t="s">
        <v>1089</v>
      </c>
      <c r="L49" t="s">
        <v>471</v>
      </c>
      <c r="M49">
        <v>936</v>
      </c>
      <c r="N49">
        <v>25351</v>
      </c>
      <c r="O49" t="s">
        <v>905</v>
      </c>
      <c r="P49" t="s">
        <v>50</v>
      </c>
      <c r="Q49" t="s">
        <v>144</v>
      </c>
      <c r="R49" t="s">
        <v>96</v>
      </c>
      <c r="S49" t="s">
        <v>96</v>
      </c>
      <c r="T49">
        <v>12039</v>
      </c>
      <c r="U49" t="s">
        <v>51</v>
      </c>
      <c r="V49">
        <v>3330</v>
      </c>
      <c r="W49">
        <v>2173</v>
      </c>
      <c r="X49" t="s">
        <v>426</v>
      </c>
      <c r="Y49" t="s">
        <v>169</v>
      </c>
      <c r="Z49" t="s">
        <v>383</v>
      </c>
      <c r="AA49" t="s">
        <v>428</v>
      </c>
      <c r="AB49">
        <v>13312</v>
      </c>
      <c r="AC49">
        <v>7691</v>
      </c>
      <c r="AD49">
        <v>3157</v>
      </c>
      <c r="AE49">
        <v>978</v>
      </c>
      <c r="AF49">
        <v>184</v>
      </c>
      <c r="AG49">
        <v>29</v>
      </c>
      <c r="AH49">
        <v>2771</v>
      </c>
      <c r="AI49">
        <v>11847</v>
      </c>
      <c r="AJ49">
        <v>415</v>
      </c>
      <c r="AK49">
        <v>2660</v>
      </c>
      <c r="AL49">
        <v>151</v>
      </c>
      <c r="AM49">
        <v>43</v>
      </c>
      <c r="AN49" t="s">
        <v>362</v>
      </c>
      <c r="AO49">
        <f>AVERAGE(Tabla2[[#This Row],[total_kills]:[rating]])</f>
        <v>6347.3157894736842</v>
      </c>
      <c r="AP49" t="str">
        <f>VLOOKUP(Tabla2[[#This Row],[KPI]],$AS$2:$AT$5,2,1)</f>
        <v>Alto</v>
      </c>
    </row>
    <row r="50" spans="1:42" x14ac:dyDescent="0.3">
      <c r="A50">
        <v>2757</v>
      </c>
      <c r="B50" t="s">
        <v>519</v>
      </c>
      <c r="C50" t="s">
        <v>520</v>
      </c>
      <c r="D50">
        <v>31</v>
      </c>
      <c r="E50" t="s">
        <v>379</v>
      </c>
      <c r="F50" t="s">
        <v>521</v>
      </c>
      <c r="G50" t="s">
        <v>522</v>
      </c>
      <c r="H50">
        <v>30535</v>
      </c>
      <c r="I50">
        <v>25774</v>
      </c>
      <c r="J50" t="s">
        <v>523</v>
      </c>
      <c r="K50" t="s">
        <v>524</v>
      </c>
      <c r="L50" t="s">
        <v>275</v>
      </c>
      <c r="M50">
        <v>1578</v>
      </c>
      <c r="N50">
        <v>41357</v>
      </c>
      <c r="O50" t="s">
        <v>283</v>
      </c>
      <c r="P50" t="s">
        <v>67</v>
      </c>
      <c r="Q50" t="s">
        <v>144</v>
      </c>
      <c r="R50" t="s">
        <v>66</v>
      </c>
      <c r="S50" t="s">
        <v>96</v>
      </c>
      <c r="T50">
        <v>20238</v>
      </c>
      <c r="U50" t="s">
        <v>51</v>
      </c>
      <c r="V50">
        <v>5307</v>
      </c>
      <c r="W50">
        <v>3777</v>
      </c>
      <c r="X50" t="s">
        <v>525</v>
      </c>
      <c r="Y50" t="s">
        <v>206</v>
      </c>
      <c r="Z50" t="s">
        <v>99</v>
      </c>
      <c r="AA50" t="s">
        <v>497</v>
      </c>
      <c r="AB50">
        <v>21119</v>
      </c>
      <c r="AC50">
        <v>12563</v>
      </c>
      <c r="AD50">
        <v>5497</v>
      </c>
      <c r="AE50">
        <v>1828</v>
      </c>
      <c r="AF50">
        <v>313</v>
      </c>
      <c r="AG50">
        <v>37</v>
      </c>
      <c r="AH50">
        <v>6940</v>
      </c>
      <c r="AI50">
        <v>17441</v>
      </c>
      <c r="AJ50">
        <v>706</v>
      </c>
      <c r="AK50">
        <v>5096</v>
      </c>
      <c r="AL50">
        <v>326</v>
      </c>
      <c r="AM50">
        <v>68</v>
      </c>
      <c r="AN50" t="s">
        <v>362</v>
      </c>
      <c r="AO50">
        <f>AVERAGE(Tabla2[[#This Row],[total_kills]:[rating]])</f>
        <v>10552.631578947368</v>
      </c>
      <c r="AP50" t="str">
        <f>VLOOKUP(Tabla2[[#This Row],[KPI]],$AS$2:$AT$5,2,1)</f>
        <v>Superior</v>
      </c>
    </row>
    <row r="51" spans="1:42" x14ac:dyDescent="0.3">
      <c r="A51">
        <v>11276</v>
      </c>
      <c r="B51" t="s">
        <v>1918</v>
      </c>
      <c r="C51" t="s">
        <v>1919</v>
      </c>
      <c r="D51">
        <v>23</v>
      </c>
      <c r="E51" t="s">
        <v>327</v>
      </c>
      <c r="F51" t="s">
        <v>1408</v>
      </c>
      <c r="G51" t="s">
        <v>1920</v>
      </c>
      <c r="H51">
        <v>12341</v>
      </c>
      <c r="I51">
        <v>11539</v>
      </c>
      <c r="J51" t="s">
        <v>523</v>
      </c>
      <c r="K51" t="s">
        <v>862</v>
      </c>
      <c r="L51" t="s">
        <v>471</v>
      </c>
      <c r="M51">
        <v>682</v>
      </c>
      <c r="N51">
        <v>18314</v>
      </c>
      <c r="O51" t="s">
        <v>225</v>
      </c>
      <c r="P51" t="s">
        <v>67</v>
      </c>
      <c r="Q51" t="s">
        <v>215</v>
      </c>
      <c r="R51" t="s">
        <v>66</v>
      </c>
      <c r="S51" t="s">
        <v>66</v>
      </c>
      <c r="T51">
        <v>8511</v>
      </c>
      <c r="U51" t="s">
        <v>51</v>
      </c>
      <c r="V51">
        <v>1954</v>
      </c>
      <c r="W51">
        <v>1519</v>
      </c>
      <c r="X51" t="s">
        <v>168</v>
      </c>
      <c r="Y51" t="s">
        <v>590</v>
      </c>
      <c r="Z51" t="s">
        <v>399</v>
      </c>
      <c r="AA51" t="s">
        <v>789</v>
      </c>
      <c r="AB51">
        <v>9803</v>
      </c>
      <c r="AC51">
        <v>5531</v>
      </c>
      <c r="AD51">
        <v>2266</v>
      </c>
      <c r="AE51">
        <v>589</v>
      </c>
      <c r="AF51">
        <v>114</v>
      </c>
      <c r="AG51">
        <v>11</v>
      </c>
      <c r="AH51">
        <v>3439</v>
      </c>
      <c r="AI51">
        <v>6309</v>
      </c>
      <c r="AJ51">
        <v>488</v>
      </c>
      <c r="AK51">
        <v>1964</v>
      </c>
      <c r="AL51">
        <v>136</v>
      </c>
      <c r="AM51">
        <v>38</v>
      </c>
      <c r="AN51" t="s">
        <v>590</v>
      </c>
      <c r="AO51">
        <f>AVERAGE(Tabla2[[#This Row],[total_kills]:[rating]])</f>
        <v>4502.5263157894733</v>
      </c>
      <c r="AP51" t="str">
        <f>VLOOKUP(Tabla2[[#This Row],[KPI]],$AS$2:$AT$5,2,1)</f>
        <v>Medio</v>
      </c>
    </row>
    <row r="52" spans="1:42" x14ac:dyDescent="0.3">
      <c r="A52">
        <v>8255</v>
      </c>
      <c r="B52" t="s">
        <v>1797</v>
      </c>
      <c r="C52" t="s">
        <v>1798</v>
      </c>
      <c r="D52">
        <v>27</v>
      </c>
      <c r="E52" t="s">
        <v>742</v>
      </c>
      <c r="F52" t="s">
        <v>3514</v>
      </c>
      <c r="G52" t="s">
        <v>1799</v>
      </c>
      <c r="H52">
        <v>9080</v>
      </c>
      <c r="I52">
        <v>8760</v>
      </c>
      <c r="J52" t="s">
        <v>1800</v>
      </c>
      <c r="K52" t="s">
        <v>582</v>
      </c>
      <c r="L52">
        <v>2</v>
      </c>
      <c r="M52">
        <v>491</v>
      </c>
      <c r="N52">
        <v>12779</v>
      </c>
      <c r="O52" t="s">
        <v>646</v>
      </c>
      <c r="P52" t="s">
        <v>67</v>
      </c>
      <c r="Q52" t="s">
        <v>463</v>
      </c>
      <c r="R52" t="s">
        <v>66</v>
      </c>
      <c r="S52" t="s">
        <v>66</v>
      </c>
      <c r="T52">
        <v>6112</v>
      </c>
      <c r="U52" t="s">
        <v>51</v>
      </c>
      <c r="V52">
        <v>1736</v>
      </c>
      <c r="W52">
        <v>1383</v>
      </c>
      <c r="X52" t="s">
        <v>87</v>
      </c>
      <c r="Y52" t="s">
        <v>172</v>
      </c>
      <c r="Z52" t="s">
        <v>1462</v>
      </c>
      <c r="AA52" t="s">
        <v>712</v>
      </c>
      <c r="AB52">
        <v>6667</v>
      </c>
      <c r="AC52">
        <v>3869</v>
      </c>
      <c r="AD52">
        <v>1654</v>
      </c>
      <c r="AE52">
        <v>472</v>
      </c>
      <c r="AF52">
        <v>101</v>
      </c>
      <c r="AG52">
        <v>16</v>
      </c>
      <c r="AH52">
        <v>2153</v>
      </c>
      <c r="AI52">
        <v>4835</v>
      </c>
      <c r="AJ52">
        <v>340</v>
      </c>
      <c r="AK52">
        <v>1655</v>
      </c>
      <c r="AL52">
        <v>86</v>
      </c>
      <c r="AM52">
        <v>17</v>
      </c>
      <c r="AN52" t="s">
        <v>449</v>
      </c>
      <c r="AO52">
        <f>AVERAGE(Tabla2[[#This Row],[total_kills]:[rating]])</f>
        <v>3110.4</v>
      </c>
      <c r="AP52" t="str">
        <f>VLOOKUP(Tabla2[[#This Row],[KPI]],$AS$2:$AT$5,2,1)</f>
        <v>Bajo</v>
      </c>
    </row>
    <row r="53" spans="1:42" x14ac:dyDescent="0.3">
      <c r="A53">
        <v>16848</v>
      </c>
      <c r="B53" t="s">
        <v>796</v>
      </c>
      <c r="C53" t="s">
        <v>797</v>
      </c>
      <c r="D53">
        <v>22</v>
      </c>
      <c r="E53" t="s">
        <v>327</v>
      </c>
      <c r="F53" t="s">
        <v>701</v>
      </c>
      <c r="G53" t="s">
        <v>798</v>
      </c>
      <c r="H53">
        <v>11782</v>
      </c>
      <c r="I53">
        <v>10081</v>
      </c>
      <c r="J53" t="s">
        <v>799</v>
      </c>
      <c r="K53" t="s">
        <v>800</v>
      </c>
      <c r="L53" t="s">
        <v>214</v>
      </c>
      <c r="M53">
        <v>602</v>
      </c>
      <c r="N53">
        <v>16157</v>
      </c>
      <c r="O53" t="s">
        <v>495</v>
      </c>
      <c r="P53" t="s">
        <v>96</v>
      </c>
      <c r="Q53" t="s">
        <v>144</v>
      </c>
      <c r="R53" t="s">
        <v>135</v>
      </c>
      <c r="S53" t="s">
        <v>66</v>
      </c>
      <c r="T53">
        <v>8005</v>
      </c>
      <c r="U53" t="s">
        <v>51</v>
      </c>
      <c r="V53">
        <v>1871</v>
      </c>
      <c r="W53">
        <v>1197</v>
      </c>
      <c r="X53" t="s">
        <v>801</v>
      </c>
      <c r="Y53" t="s">
        <v>370</v>
      </c>
      <c r="Z53" t="s">
        <v>296</v>
      </c>
      <c r="AA53" t="s">
        <v>126</v>
      </c>
      <c r="AB53">
        <v>8152</v>
      </c>
      <c r="AC53">
        <v>5102</v>
      </c>
      <c r="AD53">
        <v>2149</v>
      </c>
      <c r="AE53">
        <v>641</v>
      </c>
      <c r="AF53">
        <v>106</v>
      </c>
      <c r="AG53">
        <v>7</v>
      </c>
      <c r="AH53">
        <v>3304</v>
      </c>
      <c r="AI53">
        <v>6428</v>
      </c>
      <c r="AJ53">
        <v>111</v>
      </c>
      <c r="AK53">
        <v>1896</v>
      </c>
      <c r="AL53">
        <v>56</v>
      </c>
      <c r="AM53">
        <v>22</v>
      </c>
      <c r="AN53" t="s">
        <v>362</v>
      </c>
      <c r="AO53">
        <f>AVERAGE(Tabla2[[#This Row],[total_kills]:[rating]])</f>
        <v>4087.8421052631579</v>
      </c>
      <c r="AP53" t="str">
        <f>VLOOKUP(Tabla2[[#This Row],[KPI]],$AS$2:$AT$5,2,1)</f>
        <v>Medio</v>
      </c>
    </row>
    <row r="54" spans="1:42" x14ac:dyDescent="0.3">
      <c r="A54">
        <v>3543</v>
      </c>
      <c r="B54" t="s">
        <v>893</v>
      </c>
      <c r="C54" t="s">
        <v>894</v>
      </c>
      <c r="D54">
        <v>29</v>
      </c>
      <c r="E54" t="s">
        <v>895</v>
      </c>
      <c r="F54" t="s">
        <v>896</v>
      </c>
      <c r="G54" t="s">
        <v>897</v>
      </c>
      <c r="H54">
        <v>9002</v>
      </c>
      <c r="I54">
        <v>7798</v>
      </c>
      <c r="J54" t="s">
        <v>799</v>
      </c>
      <c r="K54">
        <v>73</v>
      </c>
      <c r="L54" t="s">
        <v>122</v>
      </c>
      <c r="M54">
        <v>489</v>
      </c>
      <c r="N54">
        <v>12531</v>
      </c>
      <c r="O54" t="s">
        <v>311</v>
      </c>
      <c r="P54" t="s">
        <v>50</v>
      </c>
      <c r="Q54" t="s">
        <v>144</v>
      </c>
      <c r="R54" t="s">
        <v>96</v>
      </c>
      <c r="S54" t="s">
        <v>50</v>
      </c>
      <c r="T54">
        <v>6060</v>
      </c>
      <c r="U54" t="s">
        <v>51</v>
      </c>
      <c r="V54">
        <v>1599</v>
      </c>
      <c r="W54">
        <v>1141</v>
      </c>
      <c r="X54" t="s">
        <v>203</v>
      </c>
      <c r="Y54" t="s">
        <v>84</v>
      </c>
      <c r="Z54" t="s">
        <v>887</v>
      </c>
      <c r="AA54" t="s">
        <v>805</v>
      </c>
      <c r="AB54">
        <v>6471</v>
      </c>
      <c r="AC54">
        <v>3811</v>
      </c>
      <c r="AD54">
        <v>1653</v>
      </c>
      <c r="AE54">
        <v>508</v>
      </c>
      <c r="AF54">
        <v>80</v>
      </c>
      <c r="AG54">
        <v>8</v>
      </c>
      <c r="AH54">
        <v>1914</v>
      </c>
      <c r="AI54">
        <v>4730</v>
      </c>
      <c r="AJ54">
        <v>539</v>
      </c>
      <c r="AK54">
        <v>1693</v>
      </c>
      <c r="AL54">
        <v>99</v>
      </c>
      <c r="AM54">
        <v>45</v>
      </c>
      <c r="AN54" t="s">
        <v>277</v>
      </c>
      <c r="AO54">
        <f>AVERAGE(Tabla2[[#This Row],[total_kills]:[rating]])</f>
        <v>3012.2</v>
      </c>
      <c r="AP54" t="str">
        <f>VLOOKUP(Tabla2[[#This Row],[KPI]],$AS$2:$AT$5,2,1)</f>
        <v>Bajo</v>
      </c>
    </row>
    <row r="55" spans="1:42" x14ac:dyDescent="0.3">
      <c r="A55">
        <v>7980</v>
      </c>
      <c r="B55" t="s">
        <v>2185</v>
      </c>
      <c r="C55" t="s">
        <v>2186</v>
      </c>
      <c r="D55">
        <v>29</v>
      </c>
      <c r="E55" t="s">
        <v>159</v>
      </c>
      <c r="F55" t="s">
        <v>3514</v>
      </c>
      <c r="G55" t="s">
        <v>2187</v>
      </c>
      <c r="H55">
        <v>8068</v>
      </c>
      <c r="I55">
        <v>7748</v>
      </c>
      <c r="J55" t="s">
        <v>799</v>
      </c>
      <c r="K55" t="s">
        <v>2089</v>
      </c>
      <c r="L55" t="s">
        <v>143</v>
      </c>
      <c r="M55">
        <v>468</v>
      </c>
      <c r="N55">
        <v>12127</v>
      </c>
      <c r="O55" t="s">
        <v>225</v>
      </c>
      <c r="P55" t="s">
        <v>67</v>
      </c>
      <c r="Q55" t="s">
        <v>65</v>
      </c>
      <c r="R55" t="s">
        <v>66</v>
      </c>
      <c r="S55" t="s">
        <v>66</v>
      </c>
      <c r="T55">
        <v>5555</v>
      </c>
      <c r="U55" t="s">
        <v>51</v>
      </c>
      <c r="V55">
        <v>1436</v>
      </c>
      <c r="W55">
        <v>1231</v>
      </c>
      <c r="X55" t="s">
        <v>172</v>
      </c>
      <c r="Y55" t="s">
        <v>295</v>
      </c>
      <c r="Z55" t="s">
        <v>1656</v>
      </c>
      <c r="AA55" t="s">
        <v>100</v>
      </c>
      <c r="AB55">
        <v>6572</v>
      </c>
      <c r="AC55">
        <v>3661</v>
      </c>
      <c r="AD55">
        <v>1391</v>
      </c>
      <c r="AE55">
        <v>403</v>
      </c>
      <c r="AF55">
        <v>86</v>
      </c>
      <c r="AG55">
        <v>14</v>
      </c>
      <c r="AH55">
        <v>1996</v>
      </c>
      <c r="AI55">
        <v>3956</v>
      </c>
      <c r="AJ55">
        <v>496</v>
      </c>
      <c r="AK55">
        <v>1549</v>
      </c>
      <c r="AL55">
        <v>70</v>
      </c>
      <c r="AM55">
        <v>6</v>
      </c>
      <c r="AN55" t="s">
        <v>255</v>
      </c>
      <c r="AO55">
        <f>AVERAGE(Tabla2[[#This Row],[total_kills]:[rating]])</f>
        <v>2991.2105263157896</v>
      </c>
      <c r="AP55" t="str">
        <f>VLOOKUP(Tabla2[[#This Row],[KPI]],$AS$2:$AT$5,2,1)</f>
        <v>Bajo</v>
      </c>
    </row>
    <row r="56" spans="1:42" x14ac:dyDescent="0.3">
      <c r="A56">
        <v>10560</v>
      </c>
      <c r="B56" t="s">
        <v>1937</v>
      </c>
      <c r="C56" t="s">
        <v>1938</v>
      </c>
      <c r="D56">
        <v>30</v>
      </c>
      <c r="E56" t="s">
        <v>104</v>
      </c>
      <c r="F56" t="s">
        <v>3514</v>
      </c>
      <c r="G56" t="s">
        <v>1939</v>
      </c>
      <c r="H56">
        <v>16256</v>
      </c>
      <c r="I56">
        <v>15220</v>
      </c>
      <c r="J56" t="s">
        <v>1940</v>
      </c>
      <c r="K56" t="s">
        <v>1550</v>
      </c>
      <c r="L56">
        <v>3</v>
      </c>
      <c r="M56">
        <v>930</v>
      </c>
      <c r="N56">
        <v>24064</v>
      </c>
      <c r="O56" t="s">
        <v>167</v>
      </c>
      <c r="P56" t="s">
        <v>67</v>
      </c>
      <c r="Q56" t="s">
        <v>215</v>
      </c>
      <c r="R56" t="s">
        <v>96</v>
      </c>
      <c r="S56" t="s">
        <v>96</v>
      </c>
      <c r="T56">
        <v>11243</v>
      </c>
      <c r="U56" t="s">
        <v>51</v>
      </c>
      <c r="V56">
        <v>2888</v>
      </c>
      <c r="W56">
        <v>2403</v>
      </c>
      <c r="X56" t="s">
        <v>147</v>
      </c>
      <c r="Y56" t="s">
        <v>561</v>
      </c>
      <c r="Z56" t="s">
        <v>821</v>
      </c>
      <c r="AA56" t="s">
        <v>126</v>
      </c>
      <c r="AB56">
        <v>12821</v>
      </c>
      <c r="AC56">
        <v>7369</v>
      </c>
      <c r="AD56">
        <v>2901</v>
      </c>
      <c r="AE56">
        <v>825</v>
      </c>
      <c r="AF56">
        <v>130</v>
      </c>
      <c r="AG56">
        <v>18</v>
      </c>
      <c r="AH56">
        <v>4976</v>
      </c>
      <c r="AI56">
        <v>7335</v>
      </c>
      <c r="AJ56">
        <v>989</v>
      </c>
      <c r="AK56">
        <v>2769</v>
      </c>
      <c r="AL56">
        <v>186</v>
      </c>
      <c r="AM56">
        <v>46</v>
      </c>
      <c r="AN56" t="s">
        <v>449</v>
      </c>
      <c r="AO56">
        <f>AVERAGE(Tabla2[[#This Row],[total_kills]:[rating]])</f>
        <v>5668.6</v>
      </c>
      <c r="AP56" t="str">
        <f>VLOOKUP(Tabla2[[#This Row],[KPI]],$AS$2:$AT$5,2,1)</f>
        <v>Alto</v>
      </c>
    </row>
    <row r="57" spans="1:42" x14ac:dyDescent="0.3">
      <c r="A57">
        <v>7965</v>
      </c>
      <c r="B57" t="s">
        <v>2541</v>
      </c>
      <c r="C57" t="s">
        <v>2542</v>
      </c>
      <c r="D57">
        <v>25</v>
      </c>
      <c r="E57" t="s">
        <v>196</v>
      </c>
      <c r="F57" t="s">
        <v>1488</v>
      </c>
      <c r="G57" t="s">
        <v>2543</v>
      </c>
      <c r="H57">
        <v>10597</v>
      </c>
      <c r="I57">
        <v>10456</v>
      </c>
      <c r="J57" t="s">
        <v>2544</v>
      </c>
      <c r="K57">
        <v>70</v>
      </c>
      <c r="L57" t="s">
        <v>294</v>
      </c>
      <c r="M57">
        <v>607</v>
      </c>
      <c r="N57">
        <v>16049</v>
      </c>
      <c r="O57" t="s">
        <v>322</v>
      </c>
      <c r="P57" t="s">
        <v>50</v>
      </c>
      <c r="Q57" t="s">
        <v>276</v>
      </c>
      <c r="R57" t="s">
        <v>96</v>
      </c>
      <c r="S57" t="s">
        <v>135</v>
      </c>
      <c r="T57">
        <v>7364</v>
      </c>
      <c r="U57" t="s">
        <v>51</v>
      </c>
      <c r="V57">
        <v>1905</v>
      </c>
      <c r="W57">
        <v>1487</v>
      </c>
      <c r="X57" t="s">
        <v>53</v>
      </c>
      <c r="Y57" t="s">
        <v>362</v>
      </c>
      <c r="Z57" t="s">
        <v>653</v>
      </c>
      <c r="AA57" t="s">
        <v>354</v>
      </c>
      <c r="AB57">
        <v>8685</v>
      </c>
      <c r="AC57">
        <v>4903</v>
      </c>
      <c r="AD57">
        <v>1836</v>
      </c>
      <c r="AE57">
        <v>494</v>
      </c>
      <c r="AF57">
        <v>115</v>
      </c>
      <c r="AG57">
        <v>16</v>
      </c>
      <c r="AH57">
        <v>2537</v>
      </c>
      <c r="AI57">
        <v>5796</v>
      </c>
      <c r="AJ57">
        <v>328</v>
      </c>
      <c r="AK57">
        <v>1785</v>
      </c>
      <c r="AL57">
        <v>143</v>
      </c>
      <c r="AM57">
        <v>34</v>
      </c>
      <c r="AN57" t="s">
        <v>285</v>
      </c>
      <c r="AO57">
        <f>AVERAGE(Tabla2[[#This Row],[total_kills]:[rating]])</f>
        <v>3760.35</v>
      </c>
      <c r="AP57" t="str">
        <f>VLOOKUP(Tabla2[[#This Row],[KPI]],$AS$2:$AT$5,2,1)</f>
        <v>Medio</v>
      </c>
    </row>
    <row r="58" spans="1:42" x14ac:dyDescent="0.3">
      <c r="A58">
        <v>8503</v>
      </c>
      <c r="B58" t="s">
        <v>1778</v>
      </c>
      <c r="C58" t="s">
        <v>1779</v>
      </c>
      <c r="D58">
        <v>29</v>
      </c>
      <c r="E58" t="s">
        <v>459</v>
      </c>
      <c r="F58" t="s">
        <v>749</v>
      </c>
      <c r="G58" t="s">
        <v>749</v>
      </c>
      <c r="H58">
        <v>12430</v>
      </c>
      <c r="I58">
        <v>11781</v>
      </c>
      <c r="J58" t="s">
        <v>1780</v>
      </c>
      <c r="K58">
        <v>74</v>
      </c>
      <c r="L58" t="s">
        <v>46</v>
      </c>
      <c r="M58">
        <v>674</v>
      </c>
      <c r="N58">
        <v>17775</v>
      </c>
      <c r="O58" t="s">
        <v>905</v>
      </c>
      <c r="P58" t="s">
        <v>48</v>
      </c>
      <c r="Q58" t="s">
        <v>322</v>
      </c>
      <c r="R58" t="s">
        <v>50</v>
      </c>
      <c r="S58" t="s">
        <v>50</v>
      </c>
      <c r="T58">
        <v>8451</v>
      </c>
      <c r="U58" t="s">
        <v>51</v>
      </c>
      <c r="V58">
        <v>1929</v>
      </c>
      <c r="W58">
        <v>1696</v>
      </c>
      <c r="X58" t="s">
        <v>111</v>
      </c>
      <c r="Y58" t="s">
        <v>304</v>
      </c>
      <c r="Z58" t="s">
        <v>554</v>
      </c>
      <c r="AA58" t="s">
        <v>882</v>
      </c>
      <c r="AB58">
        <v>9324</v>
      </c>
      <c r="AC58">
        <v>5411</v>
      </c>
      <c r="AD58">
        <v>2256</v>
      </c>
      <c r="AE58">
        <v>647</v>
      </c>
      <c r="AF58">
        <v>121</v>
      </c>
      <c r="AG58">
        <v>16</v>
      </c>
      <c r="AH58">
        <v>3698</v>
      </c>
      <c r="AI58">
        <v>5521</v>
      </c>
      <c r="AJ58">
        <v>570</v>
      </c>
      <c r="AK58">
        <v>2427</v>
      </c>
      <c r="AL58">
        <v>164</v>
      </c>
      <c r="AM58">
        <v>82</v>
      </c>
      <c r="AN58" t="s">
        <v>412</v>
      </c>
      <c r="AO58">
        <f>AVERAGE(Tabla2[[#This Row],[total_kills]:[rating]])</f>
        <v>4252.3500000000004</v>
      </c>
      <c r="AP58" t="str">
        <f>VLOOKUP(Tabla2[[#This Row],[KPI]],$AS$2:$AT$5,2,1)</f>
        <v>Medio</v>
      </c>
    </row>
    <row r="59" spans="1:42" x14ac:dyDescent="0.3">
      <c r="A59">
        <v>9279</v>
      </c>
      <c r="B59" t="s">
        <v>1686</v>
      </c>
      <c r="C59" t="s">
        <v>1687</v>
      </c>
      <c r="D59">
        <v>29</v>
      </c>
      <c r="E59" t="s">
        <v>545</v>
      </c>
      <c r="F59" t="s">
        <v>3514</v>
      </c>
      <c r="G59" t="s">
        <v>1688</v>
      </c>
      <c r="H59">
        <v>21475</v>
      </c>
      <c r="I59">
        <v>19530</v>
      </c>
      <c r="J59" t="s">
        <v>1689</v>
      </c>
      <c r="K59" t="s">
        <v>1529</v>
      </c>
      <c r="L59" t="s">
        <v>201</v>
      </c>
      <c r="M59">
        <v>1203</v>
      </c>
      <c r="N59">
        <v>32043</v>
      </c>
      <c r="O59" t="s">
        <v>225</v>
      </c>
      <c r="P59" t="s">
        <v>48</v>
      </c>
      <c r="Q59" t="s">
        <v>49</v>
      </c>
      <c r="R59" t="s">
        <v>96</v>
      </c>
      <c r="S59" t="s">
        <v>96</v>
      </c>
      <c r="T59">
        <v>14869</v>
      </c>
      <c r="U59" t="s">
        <v>51</v>
      </c>
      <c r="V59">
        <v>3384</v>
      </c>
      <c r="W59">
        <v>2520</v>
      </c>
      <c r="X59" t="s">
        <v>1106</v>
      </c>
      <c r="Y59" t="s">
        <v>590</v>
      </c>
      <c r="Z59" t="s">
        <v>324</v>
      </c>
      <c r="AA59" t="s">
        <v>659</v>
      </c>
      <c r="AB59">
        <v>17174</v>
      </c>
      <c r="AC59">
        <v>9754</v>
      </c>
      <c r="AD59">
        <v>3860</v>
      </c>
      <c r="AE59">
        <v>1042</v>
      </c>
      <c r="AF59">
        <v>190</v>
      </c>
      <c r="AG59">
        <v>23</v>
      </c>
      <c r="AH59">
        <v>6922</v>
      </c>
      <c r="AI59">
        <v>9827</v>
      </c>
      <c r="AJ59">
        <v>608</v>
      </c>
      <c r="AK59">
        <v>3788</v>
      </c>
      <c r="AL59">
        <v>308</v>
      </c>
      <c r="AM59">
        <v>107</v>
      </c>
      <c r="AN59" t="s">
        <v>412</v>
      </c>
      <c r="AO59">
        <f>AVERAGE(Tabla2[[#This Row],[total_kills]:[rating]])</f>
        <v>7822.4736842105267</v>
      </c>
      <c r="AP59" t="str">
        <f>VLOOKUP(Tabla2[[#This Row],[KPI]],$AS$2:$AT$5,2,1)</f>
        <v>Superior</v>
      </c>
    </row>
    <row r="60" spans="1:42" x14ac:dyDescent="0.3">
      <c r="A60">
        <v>8950</v>
      </c>
      <c r="B60" t="s">
        <v>115</v>
      </c>
      <c r="C60" t="s">
        <v>116</v>
      </c>
      <c r="D60">
        <v>28</v>
      </c>
      <c r="E60" t="s">
        <v>117</v>
      </c>
      <c r="F60" t="s">
        <v>118</v>
      </c>
      <c r="G60" t="s">
        <v>119</v>
      </c>
      <c r="H60">
        <v>17675</v>
      </c>
      <c r="I60">
        <v>13384</v>
      </c>
      <c r="J60" t="s">
        <v>120</v>
      </c>
      <c r="K60" t="s">
        <v>121</v>
      </c>
      <c r="L60" t="s">
        <v>122</v>
      </c>
      <c r="M60">
        <v>864</v>
      </c>
      <c r="N60">
        <v>22588</v>
      </c>
      <c r="O60" t="s">
        <v>123</v>
      </c>
      <c r="P60" t="s">
        <v>67</v>
      </c>
      <c r="Q60" t="s">
        <v>95</v>
      </c>
      <c r="R60" t="s">
        <v>66</v>
      </c>
      <c r="S60" t="s">
        <v>50</v>
      </c>
      <c r="T60">
        <v>11485</v>
      </c>
      <c r="U60" t="s">
        <v>51</v>
      </c>
      <c r="V60">
        <v>2688</v>
      </c>
      <c r="W60">
        <v>1586</v>
      </c>
      <c r="X60" t="s">
        <v>124</v>
      </c>
      <c r="Y60" t="s">
        <v>111</v>
      </c>
      <c r="Z60" t="s">
        <v>125</v>
      </c>
      <c r="AA60" t="s">
        <v>126</v>
      </c>
      <c r="AB60">
        <v>11103</v>
      </c>
      <c r="AC60">
        <v>6900</v>
      </c>
      <c r="AD60">
        <v>3249</v>
      </c>
      <c r="AE60">
        <v>1094</v>
      </c>
      <c r="AF60">
        <v>216</v>
      </c>
      <c r="AG60">
        <v>26</v>
      </c>
      <c r="AH60">
        <v>4893</v>
      </c>
      <c r="AI60">
        <v>9053</v>
      </c>
      <c r="AJ60">
        <v>577</v>
      </c>
      <c r="AK60">
        <v>2834</v>
      </c>
      <c r="AL60">
        <v>172</v>
      </c>
      <c r="AM60">
        <v>203</v>
      </c>
      <c r="AN60" t="s">
        <v>127</v>
      </c>
      <c r="AO60">
        <f>AVERAGE(Tabla2[[#This Row],[total_kills]:[rating]])</f>
        <v>5820.5263157894733</v>
      </c>
      <c r="AP60" t="str">
        <f>VLOOKUP(Tabla2[[#This Row],[KPI]],$AS$2:$AT$5,2,1)</f>
        <v>Alto</v>
      </c>
    </row>
    <row r="61" spans="1:42" x14ac:dyDescent="0.3">
      <c r="A61">
        <v>798</v>
      </c>
      <c r="B61" t="s">
        <v>335</v>
      </c>
      <c r="C61" t="s">
        <v>336</v>
      </c>
      <c r="D61">
        <v>31</v>
      </c>
      <c r="E61" t="s">
        <v>337</v>
      </c>
      <c r="F61" t="s">
        <v>338</v>
      </c>
      <c r="G61" t="s">
        <v>339</v>
      </c>
      <c r="H61">
        <v>29371</v>
      </c>
      <c r="I61">
        <v>24509</v>
      </c>
      <c r="J61" t="s">
        <v>340</v>
      </c>
      <c r="K61" t="s">
        <v>341</v>
      </c>
      <c r="L61" t="s">
        <v>93</v>
      </c>
      <c r="M61">
        <v>1460</v>
      </c>
      <c r="N61">
        <v>38504</v>
      </c>
      <c r="O61" t="s">
        <v>234</v>
      </c>
      <c r="P61" t="s">
        <v>50</v>
      </c>
      <c r="Q61" t="s">
        <v>65</v>
      </c>
      <c r="R61" t="s">
        <v>135</v>
      </c>
      <c r="S61" t="s">
        <v>66</v>
      </c>
      <c r="T61">
        <v>19306</v>
      </c>
      <c r="U61" t="s">
        <v>51</v>
      </c>
      <c r="V61">
        <v>5123</v>
      </c>
      <c r="W61">
        <v>3652</v>
      </c>
      <c r="X61" t="s">
        <v>203</v>
      </c>
      <c r="Y61" t="s">
        <v>172</v>
      </c>
      <c r="Z61" t="s">
        <v>324</v>
      </c>
      <c r="AA61" t="s">
        <v>205</v>
      </c>
      <c r="AB61">
        <v>19198</v>
      </c>
      <c r="AC61">
        <v>11802</v>
      </c>
      <c r="AD61">
        <v>5377</v>
      </c>
      <c r="AE61">
        <v>1731</v>
      </c>
      <c r="AF61">
        <v>363</v>
      </c>
      <c r="AG61">
        <v>33</v>
      </c>
      <c r="AH61">
        <v>5625</v>
      </c>
      <c r="AI61">
        <v>16854</v>
      </c>
      <c r="AJ61">
        <v>1023</v>
      </c>
      <c r="AK61">
        <v>5191</v>
      </c>
      <c r="AL61">
        <v>335</v>
      </c>
      <c r="AM61">
        <v>406</v>
      </c>
      <c r="AN61" t="s">
        <v>98</v>
      </c>
      <c r="AO61">
        <f>AVERAGE(Tabla2[[#This Row],[total_kills]:[rating]])</f>
        <v>9992.78947368421</v>
      </c>
      <c r="AP61" t="str">
        <f>VLOOKUP(Tabla2[[#This Row],[KPI]],$AS$2:$AT$5,2,1)</f>
        <v>Superior</v>
      </c>
    </row>
    <row r="62" spans="1:42" x14ac:dyDescent="0.3">
      <c r="A62">
        <v>7982</v>
      </c>
      <c r="B62" t="s">
        <v>2173</v>
      </c>
      <c r="C62" t="s">
        <v>2174</v>
      </c>
      <c r="D62">
        <v>27</v>
      </c>
      <c r="E62" t="s">
        <v>792</v>
      </c>
      <c r="F62" t="s">
        <v>2175</v>
      </c>
      <c r="G62" t="s">
        <v>2176</v>
      </c>
      <c r="H62">
        <v>15196</v>
      </c>
      <c r="I62">
        <v>14676</v>
      </c>
      <c r="J62" t="s">
        <v>340</v>
      </c>
      <c r="K62" t="s">
        <v>2177</v>
      </c>
      <c r="L62" t="s">
        <v>487</v>
      </c>
      <c r="M62">
        <v>850</v>
      </c>
      <c r="N62">
        <v>22377</v>
      </c>
      <c r="O62" t="s">
        <v>167</v>
      </c>
      <c r="P62" t="s">
        <v>50</v>
      </c>
      <c r="Q62" t="s">
        <v>322</v>
      </c>
      <c r="R62" t="s">
        <v>96</v>
      </c>
      <c r="S62" t="s">
        <v>50</v>
      </c>
      <c r="T62">
        <v>10426</v>
      </c>
      <c r="U62" t="s">
        <v>51</v>
      </c>
      <c r="V62">
        <v>2480</v>
      </c>
      <c r="W62">
        <v>1873</v>
      </c>
      <c r="X62" t="s">
        <v>56</v>
      </c>
      <c r="Y62" t="s">
        <v>277</v>
      </c>
      <c r="Z62" t="s">
        <v>383</v>
      </c>
      <c r="AA62" t="s">
        <v>882</v>
      </c>
      <c r="AB62">
        <v>11951</v>
      </c>
      <c r="AC62">
        <v>6828</v>
      </c>
      <c r="AD62">
        <v>2622</v>
      </c>
      <c r="AE62">
        <v>802</v>
      </c>
      <c r="AF62">
        <v>159</v>
      </c>
      <c r="AG62">
        <v>15</v>
      </c>
      <c r="AH62">
        <v>3874</v>
      </c>
      <c r="AI62">
        <v>7273</v>
      </c>
      <c r="AJ62">
        <v>641</v>
      </c>
      <c r="AK62">
        <v>3230</v>
      </c>
      <c r="AL62">
        <v>135</v>
      </c>
      <c r="AM62">
        <v>65</v>
      </c>
      <c r="AN62" t="s">
        <v>255</v>
      </c>
      <c r="AO62">
        <f>AVERAGE(Tabla2[[#This Row],[total_kills]:[rating]])</f>
        <v>5551.2105263157891</v>
      </c>
      <c r="AP62" t="str">
        <f>VLOOKUP(Tabla2[[#This Row],[KPI]],$AS$2:$AT$5,2,1)</f>
        <v>Alto</v>
      </c>
    </row>
    <row r="63" spans="1:42" x14ac:dyDescent="0.3">
      <c r="A63">
        <v>14390</v>
      </c>
      <c r="B63" t="s">
        <v>2648</v>
      </c>
      <c r="C63" t="s">
        <v>2649</v>
      </c>
      <c r="D63">
        <v>27</v>
      </c>
      <c r="E63" t="s">
        <v>104</v>
      </c>
      <c r="F63" t="s">
        <v>3514</v>
      </c>
      <c r="G63" t="s">
        <v>2650</v>
      </c>
      <c r="H63">
        <v>9283</v>
      </c>
      <c r="I63">
        <v>9009</v>
      </c>
      <c r="J63" t="s">
        <v>340</v>
      </c>
      <c r="K63" t="s">
        <v>1905</v>
      </c>
      <c r="L63" t="s">
        <v>1846</v>
      </c>
      <c r="M63">
        <v>547</v>
      </c>
      <c r="N63">
        <v>14292</v>
      </c>
      <c r="O63" t="s">
        <v>276</v>
      </c>
      <c r="P63" t="s">
        <v>48</v>
      </c>
      <c r="Q63" t="s">
        <v>215</v>
      </c>
      <c r="R63" t="s">
        <v>66</v>
      </c>
      <c r="S63" t="s">
        <v>66</v>
      </c>
      <c r="T63">
        <v>6560</v>
      </c>
      <c r="U63" t="s">
        <v>51</v>
      </c>
      <c r="V63">
        <v>1380</v>
      </c>
      <c r="W63">
        <v>1236</v>
      </c>
      <c r="X63" t="s">
        <v>370</v>
      </c>
      <c r="Y63" t="s">
        <v>255</v>
      </c>
      <c r="Z63" t="s">
        <v>728</v>
      </c>
      <c r="AA63" t="s">
        <v>724</v>
      </c>
      <c r="AB63">
        <v>7732</v>
      </c>
      <c r="AC63">
        <v>4389</v>
      </c>
      <c r="AD63">
        <v>1690</v>
      </c>
      <c r="AE63">
        <v>419</v>
      </c>
      <c r="AF63">
        <v>53</v>
      </c>
      <c r="AG63">
        <v>9</v>
      </c>
      <c r="AH63">
        <v>3869</v>
      </c>
      <c r="AI63">
        <v>2792</v>
      </c>
      <c r="AJ63">
        <v>1034</v>
      </c>
      <c r="AK63">
        <v>1439</v>
      </c>
      <c r="AL63">
        <v>150</v>
      </c>
      <c r="AM63">
        <v>29</v>
      </c>
      <c r="AN63" t="s">
        <v>407</v>
      </c>
      <c r="AO63">
        <f>AVERAGE(Tabla2[[#This Row],[total_kills]:[rating]])</f>
        <v>3469.0526315789475</v>
      </c>
      <c r="AP63" t="str">
        <f>VLOOKUP(Tabla2[[#This Row],[KPI]],$AS$2:$AT$5,2,1)</f>
        <v>Medio</v>
      </c>
    </row>
    <row r="64" spans="1:42" x14ac:dyDescent="0.3">
      <c r="A64">
        <v>11815</v>
      </c>
      <c r="B64" t="s">
        <v>1063</v>
      </c>
      <c r="C64" t="s">
        <v>1064</v>
      </c>
      <c r="D64">
        <v>22</v>
      </c>
      <c r="E64" t="s">
        <v>700</v>
      </c>
      <c r="F64" t="s">
        <v>1065</v>
      </c>
      <c r="G64" t="s">
        <v>1066</v>
      </c>
      <c r="H64">
        <v>13986</v>
      </c>
      <c r="I64">
        <v>12553</v>
      </c>
      <c r="J64" t="s">
        <v>1067</v>
      </c>
      <c r="K64" t="s">
        <v>999</v>
      </c>
      <c r="L64" t="s">
        <v>214</v>
      </c>
      <c r="M64">
        <v>724</v>
      </c>
      <c r="N64">
        <v>19400</v>
      </c>
      <c r="O64" t="s">
        <v>311</v>
      </c>
      <c r="P64" t="s">
        <v>96</v>
      </c>
      <c r="Q64" t="s">
        <v>276</v>
      </c>
      <c r="R64" t="s">
        <v>96</v>
      </c>
      <c r="S64" t="s">
        <v>66</v>
      </c>
      <c r="T64">
        <v>9354</v>
      </c>
      <c r="U64" t="s">
        <v>51</v>
      </c>
      <c r="V64">
        <v>2661</v>
      </c>
      <c r="W64">
        <v>1967</v>
      </c>
      <c r="X64" t="s">
        <v>323</v>
      </c>
      <c r="Y64" t="s">
        <v>169</v>
      </c>
      <c r="Z64" t="s">
        <v>347</v>
      </c>
      <c r="AA64" t="s">
        <v>712</v>
      </c>
      <c r="AB64">
        <v>10046</v>
      </c>
      <c r="AC64">
        <v>5890</v>
      </c>
      <c r="AD64">
        <v>2489</v>
      </c>
      <c r="AE64">
        <v>796</v>
      </c>
      <c r="AF64">
        <v>165</v>
      </c>
      <c r="AG64">
        <v>14</v>
      </c>
      <c r="AH64">
        <v>2631</v>
      </c>
      <c r="AI64">
        <v>8746</v>
      </c>
      <c r="AJ64">
        <v>408</v>
      </c>
      <c r="AK64">
        <v>2127</v>
      </c>
      <c r="AL64">
        <v>89</v>
      </c>
      <c r="AM64">
        <v>35</v>
      </c>
      <c r="AN64" t="s">
        <v>362</v>
      </c>
      <c r="AO64">
        <f>AVERAGE(Tabla2[[#This Row],[total_kills]:[rating]])</f>
        <v>4951.6315789473683</v>
      </c>
      <c r="AP64" t="str">
        <f>VLOOKUP(Tabla2[[#This Row],[KPI]],$AS$2:$AT$5,2,1)</f>
        <v>Alto</v>
      </c>
    </row>
    <row r="65" spans="1:42" x14ac:dyDescent="0.3">
      <c r="A65">
        <v>2023</v>
      </c>
      <c r="B65" t="s">
        <v>1172</v>
      </c>
      <c r="C65" t="s">
        <v>1173</v>
      </c>
      <c r="D65">
        <v>31</v>
      </c>
      <c r="E65" t="s">
        <v>104</v>
      </c>
      <c r="F65" t="s">
        <v>855</v>
      </c>
      <c r="G65" t="s">
        <v>856</v>
      </c>
      <c r="H65">
        <v>28701</v>
      </c>
      <c r="I65">
        <v>25025</v>
      </c>
      <c r="J65" t="s">
        <v>1067</v>
      </c>
      <c r="K65" t="s">
        <v>862</v>
      </c>
      <c r="L65" t="s">
        <v>462</v>
      </c>
      <c r="M65">
        <v>1583</v>
      </c>
      <c r="N65">
        <v>41454</v>
      </c>
      <c r="O65" t="s">
        <v>463</v>
      </c>
      <c r="P65" t="s">
        <v>67</v>
      </c>
      <c r="Q65" t="s">
        <v>134</v>
      </c>
      <c r="R65" t="s">
        <v>66</v>
      </c>
      <c r="S65" t="s">
        <v>66</v>
      </c>
      <c r="T65">
        <v>19590</v>
      </c>
      <c r="U65" t="s">
        <v>51</v>
      </c>
      <c r="V65">
        <v>4884</v>
      </c>
      <c r="W65">
        <v>3394</v>
      </c>
      <c r="X65" t="s">
        <v>1174</v>
      </c>
      <c r="Y65" t="s">
        <v>370</v>
      </c>
      <c r="Z65" t="s">
        <v>809</v>
      </c>
      <c r="AA65" t="s">
        <v>86</v>
      </c>
      <c r="AB65">
        <v>21864</v>
      </c>
      <c r="AC65">
        <v>12623</v>
      </c>
      <c r="AD65">
        <v>5154</v>
      </c>
      <c r="AE65">
        <v>1518</v>
      </c>
      <c r="AF65">
        <v>263</v>
      </c>
      <c r="AG65">
        <v>32</v>
      </c>
      <c r="AH65">
        <v>6574</v>
      </c>
      <c r="AI65">
        <v>15689</v>
      </c>
      <c r="AJ65">
        <v>1414</v>
      </c>
      <c r="AK65">
        <v>4540</v>
      </c>
      <c r="AL65">
        <v>357</v>
      </c>
      <c r="AM65">
        <v>194</v>
      </c>
      <c r="AN65" t="s">
        <v>590</v>
      </c>
      <c r="AO65">
        <f>AVERAGE(Tabla2[[#This Row],[total_kills]:[rating]])</f>
        <v>10255.421052631578</v>
      </c>
      <c r="AP65" t="str">
        <f>VLOOKUP(Tabla2[[#This Row],[KPI]],$AS$2:$AT$5,2,1)</f>
        <v>Superior</v>
      </c>
    </row>
    <row r="66" spans="1:42" x14ac:dyDescent="0.3">
      <c r="A66">
        <v>18835</v>
      </c>
      <c r="B66" t="s">
        <v>102</v>
      </c>
      <c r="C66" t="s">
        <v>103</v>
      </c>
      <c r="D66">
        <v>27</v>
      </c>
      <c r="E66" t="s">
        <v>104</v>
      </c>
      <c r="F66" t="s">
        <v>105</v>
      </c>
      <c r="G66" t="s">
        <v>106</v>
      </c>
      <c r="H66">
        <v>8482</v>
      </c>
      <c r="I66">
        <v>6517</v>
      </c>
      <c r="J66" t="s">
        <v>107</v>
      </c>
      <c r="K66" t="s">
        <v>108</v>
      </c>
      <c r="L66">
        <v>3</v>
      </c>
      <c r="M66">
        <v>404</v>
      </c>
      <c r="N66">
        <v>10701</v>
      </c>
      <c r="O66" t="s">
        <v>109</v>
      </c>
      <c r="P66" t="s">
        <v>50</v>
      </c>
      <c r="Q66" t="s">
        <v>49</v>
      </c>
      <c r="R66" t="s">
        <v>66</v>
      </c>
      <c r="S66" t="s">
        <v>50</v>
      </c>
      <c r="T66">
        <v>5488</v>
      </c>
      <c r="U66" t="s">
        <v>51</v>
      </c>
      <c r="V66">
        <v>1309</v>
      </c>
      <c r="W66">
        <v>892</v>
      </c>
      <c r="X66" t="s">
        <v>110</v>
      </c>
      <c r="Y66" t="s">
        <v>111</v>
      </c>
      <c r="Z66" t="s">
        <v>112</v>
      </c>
      <c r="AA66" t="s">
        <v>113</v>
      </c>
      <c r="AB66">
        <v>5213</v>
      </c>
      <c r="AC66">
        <v>3288</v>
      </c>
      <c r="AD66">
        <v>1548</v>
      </c>
      <c r="AE66">
        <v>524</v>
      </c>
      <c r="AF66">
        <v>114</v>
      </c>
      <c r="AG66">
        <v>14</v>
      </c>
      <c r="AH66">
        <v>2545</v>
      </c>
      <c r="AI66">
        <v>4412</v>
      </c>
      <c r="AJ66">
        <v>264</v>
      </c>
      <c r="AK66">
        <v>1209</v>
      </c>
      <c r="AL66">
        <v>52</v>
      </c>
      <c r="AM66">
        <v>28</v>
      </c>
      <c r="AN66" t="s">
        <v>114</v>
      </c>
      <c r="AO66">
        <f>AVERAGE(Tabla2[[#This Row],[total_kills]:[rating]])</f>
        <v>2650.35</v>
      </c>
      <c r="AP66" t="str">
        <f>VLOOKUP(Tabla2[[#This Row],[KPI]],$AS$2:$AT$5,2,1)</f>
        <v>Bajo</v>
      </c>
    </row>
    <row r="67" spans="1:42" x14ac:dyDescent="0.3">
      <c r="A67">
        <v>9255</v>
      </c>
      <c r="B67" t="s">
        <v>912</v>
      </c>
      <c r="C67" t="s">
        <v>913</v>
      </c>
      <c r="D67">
        <v>26</v>
      </c>
      <c r="E67" t="s">
        <v>545</v>
      </c>
      <c r="F67" t="s">
        <v>914</v>
      </c>
      <c r="G67" t="s">
        <v>915</v>
      </c>
      <c r="H67">
        <v>20957</v>
      </c>
      <c r="I67">
        <v>18273</v>
      </c>
      <c r="J67" t="s">
        <v>107</v>
      </c>
      <c r="K67" t="s">
        <v>916</v>
      </c>
      <c r="L67" t="s">
        <v>441</v>
      </c>
      <c r="M67">
        <v>1101</v>
      </c>
      <c r="N67">
        <v>29050</v>
      </c>
      <c r="O67" t="s">
        <v>311</v>
      </c>
      <c r="P67" t="s">
        <v>50</v>
      </c>
      <c r="Q67" t="s">
        <v>215</v>
      </c>
      <c r="R67" t="s">
        <v>66</v>
      </c>
      <c r="S67" t="s">
        <v>66</v>
      </c>
      <c r="T67">
        <v>14143</v>
      </c>
      <c r="U67" t="s">
        <v>51</v>
      </c>
      <c r="V67">
        <v>3899</v>
      </c>
      <c r="W67">
        <v>2947</v>
      </c>
      <c r="X67" t="s">
        <v>56</v>
      </c>
      <c r="Y67" t="s">
        <v>172</v>
      </c>
      <c r="Z67" t="s">
        <v>286</v>
      </c>
      <c r="AA67" t="s">
        <v>171</v>
      </c>
      <c r="AB67">
        <v>14907</v>
      </c>
      <c r="AC67">
        <v>8995</v>
      </c>
      <c r="AD67">
        <v>3730</v>
      </c>
      <c r="AE67">
        <v>1184</v>
      </c>
      <c r="AF67">
        <v>220</v>
      </c>
      <c r="AG67">
        <v>14</v>
      </c>
      <c r="AH67">
        <v>3759</v>
      </c>
      <c r="AI67">
        <v>12023</v>
      </c>
      <c r="AJ67">
        <v>1056</v>
      </c>
      <c r="AK67">
        <v>3946</v>
      </c>
      <c r="AL67">
        <v>159</v>
      </c>
      <c r="AM67">
        <v>53</v>
      </c>
      <c r="AN67" t="s">
        <v>277</v>
      </c>
      <c r="AO67">
        <f>AVERAGE(Tabla2[[#This Row],[total_kills]:[rating]])</f>
        <v>7390.3157894736842</v>
      </c>
      <c r="AP67" t="str">
        <f>VLOOKUP(Tabla2[[#This Row],[KPI]],$AS$2:$AT$5,2,1)</f>
        <v>Superior</v>
      </c>
    </row>
    <row r="68" spans="1:42" x14ac:dyDescent="0.3">
      <c r="A68">
        <v>10557</v>
      </c>
      <c r="B68" t="s">
        <v>1619</v>
      </c>
      <c r="C68" t="s">
        <v>1620</v>
      </c>
      <c r="D68">
        <v>28</v>
      </c>
      <c r="E68" t="s">
        <v>104</v>
      </c>
      <c r="F68" t="s">
        <v>1180</v>
      </c>
      <c r="G68" t="s">
        <v>1621</v>
      </c>
      <c r="H68">
        <v>13563</v>
      </c>
      <c r="I68">
        <v>12364</v>
      </c>
      <c r="J68" t="s">
        <v>1622</v>
      </c>
      <c r="K68" t="s">
        <v>1623</v>
      </c>
      <c r="L68" t="s">
        <v>214</v>
      </c>
      <c r="M68">
        <v>771</v>
      </c>
      <c r="N68">
        <v>20177</v>
      </c>
      <c r="O68" t="s">
        <v>225</v>
      </c>
      <c r="P68" t="s">
        <v>67</v>
      </c>
      <c r="Q68" t="s">
        <v>49</v>
      </c>
      <c r="R68" t="s">
        <v>66</v>
      </c>
      <c r="S68" t="s">
        <v>96</v>
      </c>
      <c r="T68">
        <v>9310</v>
      </c>
      <c r="U68" t="s">
        <v>51</v>
      </c>
      <c r="V68">
        <v>2343</v>
      </c>
      <c r="W68">
        <v>1737</v>
      </c>
      <c r="X68" t="s">
        <v>323</v>
      </c>
      <c r="Y68" t="s">
        <v>561</v>
      </c>
      <c r="Z68" t="s">
        <v>473</v>
      </c>
      <c r="AA68" t="s">
        <v>697</v>
      </c>
      <c r="AB68">
        <v>10867</v>
      </c>
      <c r="AC68">
        <v>6055</v>
      </c>
      <c r="AD68">
        <v>2423</v>
      </c>
      <c r="AE68">
        <v>682</v>
      </c>
      <c r="AF68">
        <v>134</v>
      </c>
      <c r="AG68">
        <v>16</v>
      </c>
      <c r="AH68">
        <v>2757</v>
      </c>
      <c r="AI68">
        <v>7755</v>
      </c>
      <c r="AJ68">
        <v>510</v>
      </c>
      <c r="AK68">
        <v>2413</v>
      </c>
      <c r="AL68">
        <v>101</v>
      </c>
      <c r="AM68">
        <v>54</v>
      </c>
      <c r="AN68" t="s">
        <v>412</v>
      </c>
      <c r="AO68">
        <f>AVERAGE(Tabla2[[#This Row],[total_kills]:[rating]])</f>
        <v>4949.0526315789475</v>
      </c>
      <c r="AP68" t="str">
        <f>VLOOKUP(Tabla2[[#This Row],[KPI]],$AS$2:$AT$5,2,1)</f>
        <v>Alto</v>
      </c>
    </row>
    <row r="69" spans="1:42" x14ac:dyDescent="0.3">
      <c r="A69">
        <v>9174</v>
      </c>
      <c r="B69" t="s">
        <v>1560</v>
      </c>
      <c r="C69" t="s">
        <v>1561</v>
      </c>
      <c r="D69">
        <v>27</v>
      </c>
      <c r="E69" t="s">
        <v>270</v>
      </c>
      <c r="F69" t="s">
        <v>3514</v>
      </c>
      <c r="G69" t="s">
        <v>1562</v>
      </c>
      <c r="H69">
        <v>9678</v>
      </c>
      <c r="I69">
        <v>8833</v>
      </c>
      <c r="J69" t="s">
        <v>1563</v>
      </c>
      <c r="K69" t="s">
        <v>776</v>
      </c>
      <c r="L69" t="s">
        <v>1170</v>
      </c>
      <c r="M69">
        <v>540</v>
      </c>
      <c r="N69">
        <v>13851</v>
      </c>
      <c r="O69" t="s">
        <v>905</v>
      </c>
      <c r="P69" t="s">
        <v>235</v>
      </c>
      <c r="Q69" t="s">
        <v>65</v>
      </c>
      <c r="R69" t="s">
        <v>48</v>
      </c>
      <c r="S69" t="s">
        <v>48</v>
      </c>
      <c r="T69">
        <v>6660</v>
      </c>
      <c r="U69" t="s">
        <v>51</v>
      </c>
      <c r="V69">
        <v>1480</v>
      </c>
      <c r="W69">
        <v>1057</v>
      </c>
      <c r="X69" t="s">
        <v>203</v>
      </c>
      <c r="Y69" t="s">
        <v>464</v>
      </c>
      <c r="Z69" t="s">
        <v>1289</v>
      </c>
      <c r="AA69" t="s">
        <v>789</v>
      </c>
      <c r="AB69">
        <v>7191</v>
      </c>
      <c r="AC69">
        <v>4344</v>
      </c>
      <c r="AD69">
        <v>1712</v>
      </c>
      <c r="AE69">
        <v>515</v>
      </c>
      <c r="AF69">
        <v>81</v>
      </c>
      <c r="AG69">
        <v>8</v>
      </c>
      <c r="AH69">
        <v>3834</v>
      </c>
      <c r="AI69">
        <v>3315</v>
      </c>
      <c r="AJ69">
        <v>470</v>
      </c>
      <c r="AK69">
        <v>1906</v>
      </c>
      <c r="AL69">
        <v>155</v>
      </c>
      <c r="AM69">
        <v>25</v>
      </c>
      <c r="AN69" t="s">
        <v>407</v>
      </c>
      <c r="AO69">
        <f>AVERAGE(Tabla2[[#This Row],[total_kills]:[rating]])</f>
        <v>3455.5263157894738</v>
      </c>
      <c r="AP69" t="str">
        <f>VLOOKUP(Tabla2[[#This Row],[KPI]],$AS$2:$AT$5,2,1)</f>
        <v>Medio</v>
      </c>
    </row>
    <row r="70" spans="1:42" x14ac:dyDescent="0.3">
      <c r="A70">
        <v>7167</v>
      </c>
      <c r="B70" t="s">
        <v>349</v>
      </c>
      <c r="C70" t="s">
        <v>350</v>
      </c>
      <c r="D70">
        <v>27</v>
      </c>
      <c r="E70" t="s">
        <v>42</v>
      </c>
      <c r="F70" t="s">
        <v>221</v>
      </c>
      <c r="G70" t="s">
        <v>351</v>
      </c>
      <c r="H70">
        <v>37067</v>
      </c>
      <c r="I70">
        <v>30736</v>
      </c>
      <c r="J70" t="s">
        <v>352</v>
      </c>
      <c r="K70" t="s">
        <v>353</v>
      </c>
      <c r="L70" t="s">
        <v>93</v>
      </c>
      <c r="M70">
        <v>1852</v>
      </c>
      <c r="N70">
        <v>48898</v>
      </c>
      <c r="O70" t="s">
        <v>234</v>
      </c>
      <c r="P70" t="s">
        <v>67</v>
      </c>
      <c r="Q70" t="s">
        <v>215</v>
      </c>
      <c r="R70" t="s">
        <v>96</v>
      </c>
      <c r="S70" t="s">
        <v>67</v>
      </c>
      <c r="T70">
        <v>24567</v>
      </c>
      <c r="U70" t="s">
        <v>51</v>
      </c>
      <c r="V70">
        <v>5847</v>
      </c>
      <c r="W70">
        <v>3969</v>
      </c>
      <c r="X70" t="s">
        <v>110</v>
      </c>
      <c r="Y70" t="s">
        <v>98</v>
      </c>
      <c r="Z70" t="s">
        <v>125</v>
      </c>
      <c r="AA70" t="s">
        <v>354</v>
      </c>
      <c r="AB70">
        <v>24331</v>
      </c>
      <c r="AC70">
        <v>15241</v>
      </c>
      <c r="AD70">
        <v>6747</v>
      </c>
      <c r="AE70">
        <v>2120</v>
      </c>
      <c r="AF70">
        <v>412</v>
      </c>
      <c r="AG70">
        <v>47</v>
      </c>
      <c r="AH70">
        <v>8533</v>
      </c>
      <c r="AI70">
        <v>19544</v>
      </c>
      <c r="AJ70">
        <v>843</v>
      </c>
      <c r="AK70">
        <v>7423</v>
      </c>
      <c r="AL70">
        <v>707</v>
      </c>
      <c r="AM70">
        <v>80</v>
      </c>
      <c r="AN70" t="s">
        <v>98</v>
      </c>
      <c r="AO70">
        <f>AVERAGE(Tabla2[[#This Row],[total_kills]:[rating]])</f>
        <v>12577.052631578947</v>
      </c>
      <c r="AP70" t="str">
        <f>VLOOKUP(Tabla2[[#This Row],[KPI]],$AS$2:$AT$5,2,1)</f>
        <v>Superior</v>
      </c>
    </row>
    <row r="71" spans="1:42" x14ac:dyDescent="0.3">
      <c r="A71">
        <v>10263</v>
      </c>
      <c r="B71" t="s">
        <v>677</v>
      </c>
      <c r="C71" t="s">
        <v>678</v>
      </c>
      <c r="D71">
        <v>24</v>
      </c>
      <c r="E71" t="s">
        <v>241</v>
      </c>
      <c r="F71" t="s">
        <v>271</v>
      </c>
      <c r="G71" t="s">
        <v>679</v>
      </c>
      <c r="H71">
        <v>13334</v>
      </c>
      <c r="I71">
        <v>11610</v>
      </c>
      <c r="J71" t="s">
        <v>352</v>
      </c>
      <c r="K71" t="s">
        <v>582</v>
      </c>
      <c r="L71" t="s">
        <v>680</v>
      </c>
      <c r="M71">
        <v>698</v>
      </c>
      <c r="N71">
        <v>18113</v>
      </c>
      <c r="O71" t="s">
        <v>283</v>
      </c>
      <c r="P71" t="s">
        <v>50</v>
      </c>
      <c r="Q71" t="s">
        <v>65</v>
      </c>
      <c r="R71" t="s">
        <v>50</v>
      </c>
      <c r="S71" t="s">
        <v>50</v>
      </c>
      <c r="T71">
        <v>8857</v>
      </c>
      <c r="U71" t="s">
        <v>51</v>
      </c>
      <c r="V71">
        <v>2102</v>
      </c>
      <c r="W71">
        <v>1535</v>
      </c>
      <c r="X71" t="s">
        <v>254</v>
      </c>
      <c r="Y71" t="s">
        <v>362</v>
      </c>
      <c r="Z71" t="s">
        <v>296</v>
      </c>
      <c r="AA71" t="s">
        <v>534</v>
      </c>
      <c r="AB71">
        <v>9256</v>
      </c>
      <c r="AC71">
        <v>5525</v>
      </c>
      <c r="AD71">
        <v>2381</v>
      </c>
      <c r="AE71">
        <v>774</v>
      </c>
      <c r="AF71">
        <v>160</v>
      </c>
      <c r="AG71">
        <v>17</v>
      </c>
      <c r="AH71">
        <v>3313</v>
      </c>
      <c r="AI71">
        <v>6969</v>
      </c>
      <c r="AJ71">
        <v>605</v>
      </c>
      <c r="AK71">
        <v>2367</v>
      </c>
      <c r="AL71">
        <v>86</v>
      </c>
      <c r="AM71">
        <v>20</v>
      </c>
      <c r="AN71" t="s">
        <v>295</v>
      </c>
      <c r="AO71">
        <f>AVERAGE(Tabla2[[#This Row],[total_kills]:[rating]])</f>
        <v>4616.9473684210525</v>
      </c>
      <c r="AP71" t="str">
        <f>VLOOKUP(Tabla2[[#This Row],[KPI]],$AS$2:$AT$5,2,1)</f>
        <v>Medio</v>
      </c>
    </row>
    <row r="72" spans="1:42" x14ac:dyDescent="0.3">
      <c r="A72">
        <v>14602</v>
      </c>
      <c r="B72" t="s">
        <v>1370</v>
      </c>
      <c r="C72" t="s">
        <v>1371</v>
      </c>
      <c r="D72">
        <v>23</v>
      </c>
      <c r="E72" t="s">
        <v>1070</v>
      </c>
      <c r="F72" t="s">
        <v>1372</v>
      </c>
      <c r="G72" t="s">
        <v>1373</v>
      </c>
      <c r="H72">
        <v>9052</v>
      </c>
      <c r="I72">
        <v>8397</v>
      </c>
      <c r="J72" t="s">
        <v>352</v>
      </c>
      <c r="K72" t="s">
        <v>582</v>
      </c>
      <c r="L72" t="s">
        <v>471</v>
      </c>
      <c r="M72">
        <v>472</v>
      </c>
      <c r="N72">
        <v>12716</v>
      </c>
      <c r="O72" t="s">
        <v>646</v>
      </c>
      <c r="P72" t="s">
        <v>50</v>
      </c>
      <c r="Q72" t="s">
        <v>322</v>
      </c>
      <c r="R72" t="s">
        <v>50</v>
      </c>
      <c r="S72" t="s">
        <v>67</v>
      </c>
      <c r="T72">
        <v>6050</v>
      </c>
      <c r="U72" t="s">
        <v>51</v>
      </c>
      <c r="V72">
        <v>1426</v>
      </c>
      <c r="W72">
        <v>1194</v>
      </c>
      <c r="X72" t="s">
        <v>127</v>
      </c>
      <c r="Y72" t="s">
        <v>464</v>
      </c>
      <c r="Z72" t="s">
        <v>237</v>
      </c>
      <c r="AA72" t="s">
        <v>100</v>
      </c>
      <c r="AB72">
        <v>6666</v>
      </c>
      <c r="AC72">
        <v>3819</v>
      </c>
      <c r="AD72">
        <v>1601</v>
      </c>
      <c r="AE72">
        <v>497</v>
      </c>
      <c r="AF72">
        <v>125</v>
      </c>
      <c r="AG72">
        <v>8</v>
      </c>
      <c r="AH72">
        <v>2402</v>
      </c>
      <c r="AI72">
        <v>4746</v>
      </c>
      <c r="AJ72">
        <v>267</v>
      </c>
      <c r="AK72">
        <v>1543</v>
      </c>
      <c r="AL72">
        <v>84</v>
      </c>
      <c r="AM72">
        <v>32</v>
      </c>
      <c r="AN72" t="s">
        <v>277</v>
      </c>
      <c r="AO72">
        <f>AVERAGE(Tabla2[[#This Row],[total_kills]:[rating]])</f>
        <v>3215.6315789473683</v>
      </c>
      <c r="AP72" t="str">
        <f>VLOOKUP(Tabla2[[#This Row],[KPI]],$AS$2:$AT$5,2,1)</f>
        <v>Bajo</v>
      </c>
    </row>
    <row r="73" spans="1:42" x14ac:dyDescent="0.3">
      <c r="A73">
        <v>18227</v>
      </c>
      <c r="B73" t="s">
        <v>173</v>
      </c>
      <c r="C73" t="s">
        <v>174</v>
      </c>
      <c r="D73">
        <v>23</v>
      </c>
      <c r="E73" t="s">
        <v>59</v>
      </c>
      <c r="F73" t="s">
        <v>175</v>
      </c>
      <c r="G73" t="s">
        <v>176</v>
      </c>
      <c r="H73">
        <v>9369</v>
      </c>
      <c r="I73">
        <v>6979</v>
      </c>
      <c r="J73" t="s">
        <v>177</v>
      </c>
      <c r="K73" t="s">
        <v>178</v>
      </c>
      <c r="L73" t="s">
        <v>179</v>
      </c>
      <c r="M73">
        <v>474</v>
      </c>
      <c r="N73">
        <v>12537</v>
      </c>
      <c r="O73" t="s">
        <v>180</v>
      </c>
      <c r="P73" t="s">
        <v>96</v>
      </c>
      <c r="Q73" t="s">
        <v>181</v>
      </c>
      <c r="R73" t="s">
        <v>135</v>
      </c>
      <c r="S73" t="s">
        <v>96</v>
      </c>
      <c r="T73">
        <v>6358</v>
      </c>
      <c r="U73" t="s">
        <v>51</v>
      </c>
      <c r="V73">
        <v>1612</v>
      </c>
      <c r="W73">
        <v>812</v>
      </c>
      <c r="X73" t="s">
        <v>182</v>
      </c>
      <c r="Y73" t="s">
        <v>147</v>
      </c>
      <c r="Z73" t="s">
        <v>183</v>
      </c>
      <c r="AA73" t="s">
        <v>184</v>
      </c>
      <c r="AB73">
        <v>6179</v>
      </c>
      <c r="AC73">
        <v>4062</v>
      </c>
      <c r="AD73">
        <v>1715</v>
      </c>
      <c r="AE73">
        <v>461</v>
      </c>
      <c r="AF73">
        <v>106</v>
      </c>
      <c r="AG73">
        <v>14</v>
      </c>
      <c r="AH73">
        <v>2118</v>
      </c>
      <c r="AI73">
        <v>5533</v>
      </c>
      <c r="AJ73">
        <v>202</v>
      </c>
      <c r="AK73">
        <v>1440</v>
      </c>
      <c r="AL73">
        <v>73</v>
      </c>
      <c r="AM73">
        <v>28</v>
      </c>
      <c r="AN73" t="s">
        <v>136</v>
      </c>
      <c r="AO73">
        <f>AVERAGE(Tabla2[[#This Row],[total_kills]:[rating]])</f>
        <v>3161.6842105263158</v>
      </c>
      <c r="AP73" t="str">
        <f>VLOOKUP(Tabla2[[#This Row],[KPI]],$AS$2:$AT$5,2,1)</f>
        <v>Bajo</v>
      </c>
    </row>
    <row r="74" spans="1:42" x14ac:dyDescent="0.3">
      <c r="A74">
        <v>8543</v>
      </c>
      <c r="B74" t="s">
        <v>1432</v>
      </c>
      <c r="C74" t="s">
        <v>1433</v>
      </c>
      <c r="D74">
        <v>25</v>
      </c>
      <c r="E74" t="s">
        <v>327</v>
      </c>
      <c r="F74" t="s">
        <v>3514</v>
      </c>
      <c r="G74" t="s">
        <v>1434</v>
      </c>
      <c r="H74">
        <v>8076</v>
      </c>
      <c r="I74">
        <v>7502</v>
      </c>
      <c r="J74" t="s">
        <v>177</v>
      </c>
      <c r="K74" t="s">
        <v>1435</v>
      </c>
      <c r="L74" t="s">
        <v>52</v>
      </c>
      <c r="M74">
        <v>429</v>
      </c>
      <c r="N74">
        <v>11195</v>
      </c>
      <c r="O74" t="s">
        <v>311</v>
      </c>
      <c r="P74" t="s">
        <v>96</v>
      </c>
      <c r="Q74" t="s">
        <v>225</v>
      </c>
      <c r="R74" t="s">
        <v>66</v>
      </c>
      <c r="S74" t="s">
        <v>50</v>
      </c>
      <c r="T74">
        <v>5421</v>
      </c>
      <c r="U74" t="s">
        <v>51</v>
      </c>
      <c r="V74">
        <v>1319</v>
      </c>
      <c r="W74">
        <v>880</v>
      </c>
      <c r="X74" t="s">
        <v>216</v>
      </c>
      <c r="Y74" t="s">
        <v>370</v>
      </c>
      <c r="Z74" t="s">
        <v>333</v>
      </c>
      <c r="AA74" t="s">
        <v>497</v>
      </c>
      <c r="AB74">
        <v>5774</v>
      </c>
      <c r="AC74">
        <v>3391</v>
      </c>
      <c r="AD74">
        <v>1503</v>
      </c>
      <c r="AE74">
        <v>436</v>
      </c>
      <c r="AF74">
        <v>84</v>
      </c>
      <c r="AG74">
        <v>7</v>
      </c>
      <c r="AH74">
        <v>2545</v>
      </c>
      <c r="AI74">
        <v>3905</v>
      </c>
      <c r="AJ74">
        <v>181</v>
      </c>
      <c r="AK74">
        <v>1393</v>
      </c>
      <c r="AL74">
        <v>51</v>
      </c>
      <c r="AM74">
        <v>10</v>
      </c>
      <c r="AN74" t="s">
        <v>304</v>
      </c>
      <c r="AO74">
        <f>AVERAGE(Tabla2[[#This Row],[total_kills]:[rating]])</f>
        <v>2847.4736842105262</v>
      </c>
      <c r="AP74" t="str">
        <f>VLOOKUP(Tabla2[[#This Row],[KPI]],$AS$2:$AT$5,2,1)</f>
        <v>Bajo</v>
      </c>
    </row>
    <row r="75" spans="1:42" x14ac:dyDescent="0.3">
      <c r="A75">
        <v>13466</v>
      </c>
      <c r="B75" t="s">
        <v>802</v>
      </c>
      <c r="C75" t="s">
        <v>803</v>
      </c>
      <c r="D75">
        <v>22</v>
      </c>
      <c r="E75" t="s">
        <v>467</v>
      </c>
      <c r="F75" t="s">
        <v>468</v>
      </c>
      <c r="G75" t="s">
        <v>468</v>
      </c>
      <c r="H75">
        <v>23081</v>
      </c>
      <c r="I75">
        <v>20130</v>
      </c>
      <c r="J75" t="s">
        <v>804</v>
      </c>
      <c r="K75" t="s">
        <v>692</v>
      </c>
      <c r="L75" t="s">
        <v>122</v>
      </c>
      <c r="M75">
        <v>1173</v>
      </c>
      <c r="N75">
        <v>31580</v>
      </c>
      <c r="O75" t="s">
        <v>495</v>
      </c>
      <c r="P75" t="s">
        <v>50</v>
      </c>
      <c r="Q75" t="s">
        <v>65</v>
      </c>
      <c r="R75" t="s">
        <v>66</v>
      </c>
      <c r="S75" t="s">
        <v>50</v>
      </c>
      <c r="T75">
        <v>15427</v>
      </c>
      <c r="U75" t="s">
        <v>51</v>
      </c>
      <c r="V75">
        <v>3935</v>
      </c>
      <c r="W75">
        <v>2767</v>
      </c>
      <c r="X75" t="s">
        <v>369</v>
      </c>
      <c r="Y75" t="s">
        <v>111</v>
      </c>
      <c r="Z75" t="s">
        <v>286</v>
      </c>
      <c r="AA75" t="s">
        <v>805</v>
      </c>
      <c r="AB75">
        <v>16153</v>
      </c>
      <c r="AC75">
        <v>9623</v>
      </c>
      <c r="AD75">
        <v>4269</v>
      </c>
      <c r="AE75">
        <v>1251</v>
      </c>
      <c r="AF75">
        <v>253</v>
      </c>
      <c r="AG75">
        <v>31</v>
      </c>
      <c r="AH75">
        <v>7579</v>
      </c>
      <c r="AI75">
        <v>11496</v>
      </c>
      <c r="AJ75">
        <v>588</v>
      </c>
      <c r="AK75">
        <v>3244</v>
      </c>
      <c r="AL75">
        <v>187</v>
      </c>
      <c r="AM75">
        <v>61</v>
      </c>
      <c r="AN75" t="s">
        <v>370</v>
      </c>
      <c r="AO75">
        <f>AVERAGE(Tabla2[[#This Row],[total_kills]:[rating]])</f>
        <v>8043.5789473684208</v>
      </c>
      <c r="AP75" t="str">
        <f>VLOOKUP(Tabla2[[#This Row],[KPI]],$AS$2:$AT$5,2,1)</f>
        <v>Superior</v>
      </c>
    </row>
    <row r="76" spans="1:42" x14ac:dyDescent="0.3">
      <c r="A76">
        <v>13273</v>
      </c>
      <c r="B76" t="s">
        <v>1914</v>
      </c>
      <c r="C76" t="s">
        <v>1915</v>
      </c>
      <c r="D76">
        <v>27</v>
      </c>
      <c r="E76" t="s">
        <v>459</v>
      </c>
      <c r="F76" t="s">
        <v>3514</v>
      </c>
      <c r="G76" t="s">
        <v>1916</v>
      </c>
      <c r="H76">
        <v>7922</v>
      </c>
      <c r="I76">
        <v>7352</v>
      </c>
      <c r="J76" t="s">
        <v>804</v>
      </c>
      <c r="K76" t="s">
        <v>1917</v>
      </c>
      <c r="L76" t="s">
        <v>214</v>
      </c>
      <c r="M76">
        <v>456</v>
      </c>
      <c r="N76">
        <v>11866</v>
      </c>
      <c r="O76" t="s">
        <v>225</v>
      </c>
      <c r="P76" t="s">
        <v>50</v>
      </c>
      <c r="Q76" t="s">
        <v>144</v>
      </c>
      <c r="R76" t="s">
        <v>96</v>
      </c>
      <c r="S76" t="s">
        <v>50</v>
      </c>
      <c r="T76">
        <v>5487</v>
      </c>
      <c r="U76" t="s">
        <v>51</v>
      </c>
      <c r="V76">
        <v>1353</v>
      </c>
      <c r="W76">
        <v>1031</v>
      </c>
      <c r="X76" t="s">
        <v>1120</v>
      </c>
      <c r="Y76" t="s">
        <v>295</v>
      </c>
      <c r="Z76" t="s">
        <v>170</v>
      </c>
      <c r="AA76" t="s">
        <v>267</v>
      </c>
      <c r="AB76">
        <v>6379</v>
      </c>
      <c r="AC76">
        <v>3604</v>
      </c>
      <c r="AD76">
        <v>1406</v>
      </c>
      <c r="AE76">
        <v>406</v>
      </c>
      <c r="AF76">
        <v>67</v>
      </c>
      <c r="AG76">
        <v>4</v>
      </c>
      <c r="AH76">
        <v>1508</v>
      </c>
      <c r="AI76">
        <v>4241</v>
      </c>
      <c r="AJ76">
        <v>498</v>
      </c>
      <c r="AK76">
        <v>1601</v>
      </c>
      <c r="AL76">
        <v>80</v>
      </c>
      <c r="AM76">
        <v>7</v>
      </c>
      <c r="AN76" t="s">
        <v>590</v>
      </c>
      <c r="AO76">
        <f>AVERAGE(Tabla2[[#This Row],[total_kills]:[rating]])</f>
        <v>2908.8421052631579</v>
      </c>
      <c r="AP76" t="str">
        <f>VLOOKUP(Tabla2[[#This Row],[KPI]],$AS$2:$AT$5,2,1)</f>
        <v>Bajo</v>
      </c>
    </row>
    <row r="77" spans="1:42" x14ac:dyDescent="0.3">
      <c r="A77">
        <v>12591</v>
      </c>
      <c r="B77" t="s">
        <v>148</v>
      </c>
      <c r="C77" t="s">
        <v>149</v>
      </c>
      <c r="D77">
        <v>24</v>
      </c>
      <c r="E77" t="s">
        <v>150</v>
      </c>
      <c r="F77" t="s">
        <v>151</v>
      </c>
      <c r="G77" t="s">
        <v>152</v>
      </c>
      <c r="H77">
        <v>17063</v>
      </c>
      <c r="I77">
        <v>13103</v>
      </c>
      <c r="J77" t="s">
        <v>153</v>
      </c>
      <c r="K77" t="s">
        <v>154</v>
      </c>
      <c r="L77">
        <v>4</v>
      </c>
      <c r="M77">
        <v>861</v>
      </c>
      <c r="N77">
        <v>22023</v>
      </c>
      <c r="O77" t="s">
        <v>81</v>
      </c>
      <c r="P77" t="s">
        <v>50</v>
      </c>
      <c r="Q77" t="s">
        <v>95</v>
      </c>
      <c r="R77" t="s">
        <v>66</v>
      </c>
      <c r="S77" t="s">
        <v>67</v>
      </c>
      <c r="T77">
        <v>11405</v>
      </c>
      <c r="U77" t="s">
        <v>51</v>
      </c>
      <c r="V77">
        <v>2599</v>
      </c>
      <c r="W77">
        <v>1390</v>
      </c>
      <c r="X77" t="s">
        <v>155</v>
      </c>
      <c r="Y77" t="s">
        <v>84</v>
      </c>
      <c r="Z77" t="s">
        <v>156</v>
      </c>
      <c r="AA77" t="s">
        <v>126</v>
      </c>
      <c r="AB77">
        <v>10618</v>
      </c>
      <c r="AC77">
        <v>7146</v>
      </c>
      <c r="AD77">
        <v>3098</v>
      </c>
      <c r="AE77">
        <v>945</v>
      </c>
      <c r="AF77">
        <v>194</v>
      </c>
      <c r="AG77">
        <v>22</v>
      </c>
      <c r="AH77">
        <v>5037</v>
      </c>
      <c r="AI77">
        <v>8539</v>
      </c>
      <c r="AJ77">
        <v>437</v>
      </c>
      <c r="AK77">
        <v>2848</v>
      </c>
      <c r="AL77">
        <v>198</v>
      </c>
      <c r="AM77">
        <v>41</v>
      </c>
      <c r="AN77" t="s">
        <v>147</v>
      </c>
      <c r="AO77">
        <f>AVERAGE(Tabla2[[#This Row],[total_kills]:[rating]])</f>
        <v>5378.55</v>
      </c>
      <c r="AP77" t="str">
        <f>VLOOKUP(Tabla2[[#This Row],[KPI]],$AS$2:$AT$5,2,1)</f>
        <v>Alto</v>
      </c>
    </row>
    <row r="78" spans="1:42" x14ac:dyDescent="0.3">
      <c r="A78">
        <v>13602</v>
      </c>
      <c r="B78" t="s">
        <v>990</v>
      </c>
      <c r="C78" t="s">
        <v>991</v>
      </c>
      <c r="D78">
        <v>21</v>
      </c>
      <c r="E78" t="s">
        <v>196</v>
      </c>
      <c r="F78" t="s">
        <v>605</v>
      </c>
      <c r="G78" t="s">
        <v>992</v>
      </c>
      <c r="H78">
        <v>13844</v>
      </c>
      <c r="I78">
        <v>12020</v>
      </c>
      <c r="J78" t="s">
        <v>153</v>
      </c>
      <c r="K78" t="s">
        <v>862</v>
      </c>
      <c r="L78" t="s">
        <v>471</v>
      </c>
      <c r="M78">
        <v>727</v>
      </c>
      <c r="N78">
        <v>19522</v>
      </c>
      <c r="O78" t="s">
        <v>646</v>
      </c>
      <c r="P78" t="s">
        <v>66</v>
      </c>
      <c r="Q78" t="s">
        <v>144</v>
      </c>
      <c r="R78" t="s">
        <v>96</v>
      </c>
      <c r="S78" t="s">
        <v>50</v>
      </c>
      <c r="T78">
        <v>9445</v>
      </c>
      <c r="U78" t="s">
        <v>51</v>
      </c>
      <c r="V78">
        <v>2238</v>
      </c>
      <c r="W78">
        <v>1384</v>
      </c>
      <c r="X78" t="s">
        <v>993</v>
      </c>
      <c r="Y78" t="s">
        <v>370</v>
      </c>
      <c r="Z78" t="s">
        <v>583</v>
      </c>
      <c r="AA78" t="s">
        <v>994</v>
      </c>
      <c r="AB78">
        <v>10077</v>
      </c>
      <c r="AC78">
        <v>6123</v>
      </c>
      <c r="AD78">
        <v>2411</v>
      </c>
      <c r="AE78">
        <v>757</v>
      </c>
      <c r="AF78">
        <v>142</v>
      </c>
      <c r="AG78">
        <v>12</v>
      </c>
      <c r="AH78">
        <v>3419</v>
      </c>
      <c r="AI78">
        <v>7679</v>
      </c>
      <c r="AJ78">
        <v>172</v>
      </c>
      <c r="AK78">
        <v>2459</v>
      </c>
      <c r="AL78">
        <v>128</v>
      </c>
      <c r="AM78">
        <v>43</v>
      </c>
      <c r="AN78" t="s">
        <v>561</v>
      </c>
      <c r="AO78">
        <f>AVERAGE(Tabla2[[#This Row],[total_kills]:[rating]])</f>
        <v>4873.7894736842109</v>
      </c>
      <c r="AP78" t="str">
        <f>VLOOKUP(Tabla2[[#This Row],[KPI]],$AS$2:$AT$5,2,1)</f>
        <v>Alto</v>
      </c>
    </row>
    <row r="79" spans="1:42" x14ac:dyDescent="0.3">
      <c r="A79">
        <v>9416</v>
      </c>
      <c r="B79" t="s">
        <v>2113</v>
      </c>
      <c r="C79" t="s">
        <v>2114</v>
      </c>
      <c r="D79">
        <v>26</v>
      </c>
      <c r="E79" t="s">
        <v>1643</v>
      </c>
      <c r="F79" t="s">
        <v>1962</v>
      </c>
      <c r="G79" t="s">
        <v>2115</v>
      </c>
      <c r="H79">
        <v>7278</v>
      </c>
      <c r="I79">
        <v>6855</v>
      </c>
      <c r="J79" t="s">
        <v>153</v>
      </c>
      <c r="K79" t="s">
        <v>2067</v>
      </c>
      <c r="L79" t="s">
        <v>122</v>
      </c>
      <c r="M79">
        <v>418</v>
      </c>
      <c r="N79">
        <v>10936</v>
      </c>
      <c r="O79" t="s">
        <v>225</v>
      </c>
      <c r="P79" t="s">
        <v>67</v>
      </c>
      <c r="Q79" t="s">
        <v>215</v>
      </c>
      <c r="R79" t="s">
        <v>96</v>
      </c>
      <c r="S79" t="s">
        <v>96</v>
      </c>
      <c r="T79">
        <v>5038</v>
      </c>
      <c r="U79" t="s">
        <v>51</v>
      </c>
      <c r="V79">
        <v>1170</v>
      </c>
      <c r="W79">
        <v>869</v>
      </c>
      <c r="X79" t="s">
        <v>323</v>
      </c>
      <c r="Y79" t="s">
        <v>464</v>
      </c>
      <c r="Z79" t="s">
        <v>728</v>
      </c>
      <c r="AA79" t="s">
        <v>267</v>
      </c>
      <c r="AB79">
        <v>5898</v>
      </c>
      <c r="AC79">
        <v>3309</v>
      </c>
      <c r="AD79">
        <v>1295</v>
      </c>
      <c r="AE79">
        <v>362</v>
      </c>
      <c r="AF79">
        <v>67</v>
      </c>
      <c r="AG79">
        <v>5</v>
      </c>
      <c r="AH79">
        <v>2306</v>
      </c>
      <c r="AI79">
        <v>3391</v>
      </c>
      <c r="AJ79">
        <v>256</v>
      </c>
      <c r="AK79">
        <v>1272</v>
      </c>
      <c r="AL79">
        <v>62</v>
      </c>
      <c r="AM79">
        <v>19</v>
      </c>
      <c r="AN79" t="s">
        <v>255</v>
      </c>
      <c r="AO79">
        <f>AVERAGE(Tabla2[[#This Row],[total_kills]:[rating]])</f>
        <v>2674</v>
      </c>
      <c r="AP79" t="str">
        <f>VLOOKUP(Tabla2[[#This Row],[KPI]],$AS$2:$AT$5,2,1)</f>
        <v>Bajo</v>
      </c>
    </row>
    <row r="80" spans="1:42" x14ac:dyDescent="0.3">
      <c r="A80">
        <v>13249</v>
      </c>
      <c r="B80" t="s">
        <v>526</v>
      </c>
      <c r="C80" t="s">
        <v>527</v>
      </c>
      <c r="D80">
        <v>23</v>
      </c>
      <c r="E80" t="s">
        <v>459</v>
      </c>
      <c r="F80" t="s">
        <v>528</v>
      </c>
      <c r="G80" t="s">
        <v>529</v>
      </c>
      <c r="H80">
        <v>21303</v>
      </c>
      <c r="I80">
        <v>17903</v>
      </c>
      <c r="J80" t="s">
        <v>530</v>
      </c>
      <c r="K80" t="s">
        <v>531</v>
      </c>
      <c r="L80" t="s">
        <v>122</v>
      </c>
      <c r="M80">
        <v>1103</v>
      </c>
      <c r="N80">
        <v>28680</v>
      </c>
      <c r="O80" t="s">
        <v>283</v>
      </c>
      <c r="P80" t="s">
        <v>67</v>
      </c>
      <c r="Q80" t="s">
        <v>144</v>
      </c>
      <c r="R80" t="s">
        <v>67</v>
      </c>
      <c r="S80" t="s">
        <v>48</v>
      </c>
      <c r="T80">
        <v>14323</v>
      </c>
      <c r="U80" t="s">
        <v>51</v>
      </c>
      <c r="V80">
        <v>3355</v>
      </c>
      <c r="W80">
        <v>2407</v>
      </c>
      <c r="X80" t="s">
        <v>532</v>
      </c>
      <c r="Y80" t="s">
        <v>362</v>
      </c>
      <c r="Z80" t="s">
        <v>533</v>
      </c>
      <c r="AA80" t="s">
        <v>534</v>
      </c>
      <c r="AB80">
        <v>14357</v>
      </c>
      <c r="AC80">
        <v>9043</v>
      </c>
      <c r="AD80">
        <v>3866</v>
      </c>
      <c r="AE80">
        <v>1146</v>
      </c>
      <c r="AF80">
        <v>250</v>
      </c>
      <c r="AG80">
        <v>18</v>
      </c>
      <c r="AH80">
        <v>7051</v>
      </c>
      <c r="AI80">
        <v>10272</v>
      </c>
      <c r="AJ80">
        <v>391</v>
      </c>
      <c r="AK80">
        <v>3442</v>
      </c>
      <c r="AL80">
        <v>173</v>
      </c>
      <c r="AM80">
        <v>35</v>
      </c>
      <c r="AN80" t="s">
        <v>84</v>
      </c>
      <c r="AO80">
        <f>AVERAGE(Tabla2[[#This Row],[total_kills]:[rating]])</f>
        <v>7322</v>
      </c>
      <c r="AP80" t="str">
        <f>VLOOKUP(Tabla2[[#This Row],[KPI]],$AS$2:$AT$5,2,1)</f>
        <v>Superior</v>
      </c>
    </row>
    <row r="81" spans="1:42" x14ac:dyDescent="0.3">
      <c r="A81">
        <v>15090</v>
      </c>
      <c r="B81" t="s">
        <v>713</v>
      </c>
      <c r="C81" t="s">
        <v>714</v>
      </c>
      <c r="D81">
        <v>31</v>
      </c>
      <c r="E81" t="s">
        <v>459</v>
      </c>
      <c r="F81" t="s">
        <v>715</v>
      </c>
      <c r="G81" t="s">
        <v>716</v>
      </c>
      <c r="H81">
        <v>17405</v>
      </c>
      <c r="I81">
        <v>15140</v>
      </c>
      <c r="J81" t="s">
        <v>530</v>
      </c>
      <c r="K81" t="s">
        <v>540</v>
      </c>
      <c r="L81" t="s">
        <v>93</v>
      </c>
      <c r="M81">
        <v>918</v>
      </c>
      <c r="N81">
        <v>23924</v>
      </c>
      <c r="O81" t="s">
        <v>495</v>
      </c>
      <c r="P81" t="s">
        <v>48</v>
      </c>
      <c r="Q81" t="s">
        <v>215</v>
      </c>
      <c r="R81" t="s">
        <v>50</v>
      </c>
      <c r="S81" t="s">
        <v>50</v>
      </c>
      <c r="T81">
        <v>11606</v>
      </c>
      <c r="U81" t="s">
        <v>51</v>
      </c>
      <c r="V81">
        <v>2928</v>
      </c>
      <c r="W81">
        <v>2298</v>
      </c>
      <c r="X81" t="s">
        <v>717</v>
      </c>
      <c r="Y81" t="s">
        <v>370</v>
      </c>
      <c r="Z81" t="s">
        <v>718</v>
      </c>
      <c r="AA81" t="s">
        <v>719</v>
      </c>
      <c r="AB81">
        <v>12318</v>
      </c>
      <c r="AC81">
        <v>7279</v>
      </c>
      <c r="AD81">
        <v>3143</v>
      </c>
      <c r="AE81">
        <v>938</v>
      </c>
      <c r="AF81">
        <v>204</v>
      </c>
      <c r="AG81">
        <v>42</v>
      </c>
      <c r="AH81">
        <v>4610</v>
      </c>
      <c r="AI81">
        <v>8162</v>
      </c>
      <c r="AJ81">
        <v>846</v>
      </c>
      <c r="AK81">
        <v>3364</v>
      </c>
      <c r="AL81">
        <v>194</v>
      </c>
      <c r="AM81">
        <v>284</v>
      </c>
      <c r="AN81" t="s">
        <v>111</v>
      </c>
      <c r="AO81">
        <f>AVERAGE(Tabla2[[#This Row],[total_kills]:[rating]])</f>
        <v>6084.3684210526317</v>
      </c>
      <c r="AP81" t="str">
        <f>VLOOKUP(Tabla2[[#This Row],[KPI]],$AS$2:$AT$5,2,1)</f>
        <v>Alto</v>
      </c>
    </row>
    <row r="82" spans="1:42" x14ac:dyDescent="0.3">
      <c r="A82">
        <v>14087</v>
      </c>
      <c r="B82" t="s">
        <v>450</v>
      </c>
      <c r="C82" t="s">
        <v>451</v>
      </c>
      <c r="D82">
        <v>21</v>
      </c>
      <c r="E82" t="s">
        <v>452</v>
      </c>
      <c r="F82" t="s">
        <v>3514</v>
      </c>
      <c r="G82" t="s">
        <v>453</v>
      </c>
      <c r="H82">
        <v>10302</v>
      </c>
      <c r="I82">
        <v>8894</v>
      </c>
      <c r="J82" t="s">
        <v>454</v>
      </c>
      <c r="K82" t="s">
        <v>341</v>
      </c>
      <c r="L82" t="s">
        <v>275</v>
      </c>
      <c r="M82">
        <v>503</v>
      </c>
      <c r="N82">
        <v>13449</v>
      </c>
      <c r="O82" t="s">
        <v>81</v>
      </c>
      <c r="P82" t="s">
        <v>50</v>
      </c>
      <c r="Q82" t="s">
        <v>322</v>
      </c>
      <c r="R82" t="s">
        <v>66</v>
      </c>
      <c r="S82" t="s">
        <v>96</v>
      </c>
      <c r="T82">
        <v>6747</v>
      </c>
      <c r="U82" t="s">
        <v>51</v>
      </c>
      <c r="V82">
        <v>2050</v>
      </c>
      <c r="W82">
        <v>1538</v>
      </c>
      <c r="X82" t="s">
        <v>442</v>
      </c>
      <c r="Y82" t="s">
        <v>69</v>
      </c>
      <c r="Z82" t="s">
        <v>455</v>
      </c>
      <c r="AA82" t="s">
        <v>456</v>
      </c>
      <c r="AB82">
        <v>6702</v>
      </c>
      <c r="AC82">
        <v>4128</v>
      </c>
      <c r="AD82">
        <v>1826</v>
      </c>
      <c r="AE82">
        <v>658</v>
      </c>
      <c r="AF82">
        <v>127</v>
      </c>
      <c r="AG82">
        <v>8</v>
      </c>
      <c r="AH82">
        <v>2872</v>
      </c>
      <c r="AI82">
        <v>5073</v>
      </c>
      <c r="AJ82">
        <v>421</v>
      </c>
      <c r="AK82">
        <v>1835</v>
      </c>
      <c r="AL82">
        <v>83</v>
      </c>
      <c r="AM82">
        <v>46</v>
      </c>
      <c r="AN82" t="s">
        <v>84</v>
      </c>
      <c r="AO82">
        <f>AVERAGE(Tabla2[[#This Row],[total_kills]:[rating]])</f>
        <v>3540.1052631578946</v>
      </c>
      <c r="AP82" t="str">
        <f>VLOOKUP(Tabla2[[#This Row],[KPI]],$AS$2:$AT$5,2,1)</f>
        <v>Medio</v>
      </c>
    </row>
    <row r="83" spans="1:42" x14ac:dyDescent="0.3">
      <c r="A83">
        <v>14171</v>
      </c>
      <c r="B83" t="s">
        <v>1637</v>
      </c>
      <c r="C83" t="s">
        <v>1638</v>
      </c>
      <c r="D83">
        <v>25</v>
      </c>
      <c r="E83" t="s">
        <v>59</v>
      </c>
      <c r="F83" t="s">
        <v>3514</v>
      </c>
      <c r="G83" t="s">
        <v>1639</v>
      </c>
      <c r="H83">
        <v>6850</v>
      </c>
      <c r="I83">
        <v>6166</v>
      </c>
      <c r="J83" t="s">
        <v>454</v>
      </c>
      <c r="K83" t="s">
        <v>1640</v>
      </c>
      <c r="L83" t="s">
        <v>1170</v>
      </c>
      <c r="M83">
        <v>382</v>
      </c>
      <c r="N83">
        <v>10184</v>
      </c>
      <c r="O83" t="s">
        <v>225</v>
      </c>
      <c r="P83" t="s">
        <v>50</v>
      </c>
      <c r="Q83" t="s">
        <v>49</v>
      </c>
      <c r="R83" t="s">
        <v>135</v>
      </c>
      <c r="S83" t="s">
        <v>96</v>
      </c>
      <c r="T83">
        <v>4767</v>
      </c>
      <c r="U83" t="s">
        <v>51</v>
      </c>
      <c r="V83">
        <v>1105</v>
      </c>
      <c r="W83">
        <v>774</v>
      </c>
      <c r="X83" t="s">
        <v>236</v>
      </c>
      <c r="Y83" t="s">
        <v>277</v>
      </c>
      <c r="Z83" t="s">
        <v>324</v>
      </c>
      <c r="AA83" t="s">
        <v>86</v>
      </c>
      <c r="AB83">
        <v>5417</v>
      </c>
      <c r="AC83">
        <v>3154</v>
      </c>
      <c r="AD83">
        <v>1206</v>
      </c>
      <c r="AE83">
        <v>346</v>
      </c>
      <c r="AF83">
        <v>59</v>
      </c>
      <c r="AG83">
        <v>2</v>
      </c>
      <c r="AH83">
        <v>1733</v>
      </c>
      <c r="AI83">
        <v>3560</v>
      </c>
      <c r="AJ83">
        <v>164</v>
      </c>
      <c r="AK83">
        <v>1273</v>
      </c>
      <c r="AL83">
        <v>118</v>
      </c>
      <c r="AM83">
        <v>33</v>
      </c>
      <c r="AN83" t="s">
        <v>464</v>
      </c>
      <c r="AO83">
        <f>AVERAGE(Tabla2[[#This Row],[total_kills]:[rating]])</f>
        <v>2489.1052631578946</v>
      </c>
      <c r="AP83" t="str">
        <f>VLOOKUP(Tabla2[[#This Row],[KPI]],$AS$2:$AT$5,2,1)</f>
        <v>Bajo</v>
      </c>
    </row>
    <row r="84" spans="1:42" x14ac:dyDescent="0.3">
      <c r="A84">
        <v>9686</v>
      </c>
      <c r="B84" t="s">
        <v>1299</v>
      </c>
      <c r="C84" t="s">
        <v>1300</v>
      </c>
      <c r="D84">
        <v>26</v>
      </c>
      <c r="E84" t="s">
        <v>150</v>
      </c>
      <c r="F84" t="s">
        <v>1301</v>
      </c>
      <c r="G84" t="s">
        <v>1302</v>
      </c>
      <c r="H84">
        <v>16191</v>
      </c>
      <c r="I84">
        <v>14502</v>
      </c>
      <c r="J84" t="s">
        <v>1303</v>
      </c>
      <c r="K84" t="s">
        <v>1234</v>
      </c>
      <c r="L84" t="s">
        <v>541</v>
      </c>
      <c r="M84">
        <v>897</v>
      </c>
      <c r="N84">
        <v>23347</v>
      </c>
      <c r="O84" t="s">
        <v>463</v>
      </c>
      <c r="P84" t="s">
        <v>48</v>
      </c>
      <c r="Q84" t="s">
        <v>144</v>
      </c>
      <c r="R84" t="s">
        <v>50</v>
      </c>
      <c r="S84" t="s">
        <v>50</v>
      </c>
      <c r="T84">
        <v>10996</v>
      </c>
      <c r="U84" t="s">
        <v>51</v>
      </c>
      <c r="V84">
        <v>2957</v>
      </c>
      <c r="W84">
        <v>2250</v>
      </c>
      <c r="X84" t="s">
        <v>1120</v>
      </c>
      <c r="Y84" t="s">
        <v>111</v>
      </c>
      <c r="Z84" t="s">
        <v>347</v>
      </c>
      <c r="AA84" t="s">
        <v>1122</v>
      </c>
      <c r="AB84">
        <v>12351</v>
      </c>
      <c r="AC84">
        <v>7054</v>
      </c>
      <c r="AD84">
        <v>2890</v>
      </c>
      <c r="AE84">
        <v>870</v>
      </c>
      <c r="AF84">
        <v>163</v>
      </c>
      <c r="AG84">
        <v>19</v>
      </c>
      <c r="AH84">
        <v>4576</v>
      </c>
      <c r="AI84">
        <v>8064</v>
      </c>
      <c r="AJ84">
        <v>592</v>
      </c>
      <c r="AK84">
        <v>2785</v>
      </c>
      <c r="AL84">
        <v>166</v>
      </c>
      <c r="AM84">
        <v>49</v>
      </c>
      <c r="AN84" t="s">
        <v>304</v>
      </c>
      <c r="AO84">
        <f>AVERAGE(Tabla2[[#This Row],[total_kills]:[rating]])</f>
        <v>5827.3157894736842</v>
      </c>
      <c r="AP84" t="str">
        <f>VLOOKUP(Tabla2[[#This Row],[KPI]],$AS$2:$AT$5,2,1)</f>
        <v>Alto</v>
      </c>
    </row>
    <row r="85" spans="1:42" x14ac:dyDescent="0.3">
      <c r="A85">
        <v>12877</v>
      </c>
      <c r="B85" t="s">
        <v>393</v>
      </c>
      <c r="C85" t="s">
        <v>394</v>
      </c>
      <c r="D85">
        <v>22</v>
      </c>
      <c r="E85" t="s">
        <v>150</v>
      </c>
      <c r="F85" t="s">
        <v>3514</v>
      </c>
      <c r="G85" t="s">
        <v>395</v>
      </c>
      <c r="H85">
        <v>11270</v>
      </c>
      <c r="I85">
        <v>9818</v>
      </c>
      <c r="J85" t="s">
        <v>396</v>
      </c>
      <c r="K85" t="s">
        <v>397</v>
      </c>
      <c r="L85" t="s">
        <v>398</v>
      </c>
      <c r="M85">
        <v>560</v>
      </c>
      <c r="N85">
        <v>14454</v>
      </c>
      <c r="O85" t="s">
        <v>123</v>
      </c>
      <c r="P85" t="s">
        <v>202</v>
      </c>
      <c r="Q85" t="s">
        <v>167</v>
      </c>
      <c r="R85" t="s">
        <v>50</v>
      </c>
      <c r="S85" t="s">
        <v>96</v>
      </c>
      <c r="T85">
        <v>7347</v>
      </c>
      <c r="U85" t="s">
        <v>51</v>
      </c>
      <c r="V85">
        <v>2574</v>
      </c>
      <c r="W85">
        <v>2036</v>
      </c>
      <c r="X85" t="s">
        <v>87</v>
      </c>
      <c r="Y85" t="s">
        <v>56</v>
      </c>
      <c r="Z85" t="s">
        <v>399</v>
      </c>
      <c r="AA85" t="s">
        <v>400</v>
      </c>
      <c r="AB85">
        <v>7107</v>
      </c>
      <c r="AC85">
        <v>4471</v>
      </c>
      <c r="AD85">
        <v>2021</v>
      </c>
      <c r="AE85">
        <v>679</v>
      </c>
      <c r="AF85">
        <v>160</v>
      </c>
      <c r="AG85">
        <v>16</v>
      </c>
      <c r="AH85">
        <v>3548</v>
      </c>
      <c r="AI85">
        <v>5692</v>
      </c>
      <c r="AJ85">
        <v>260</v>
      </c>
      <c r="AK85">
        <v>1601</v>
      </c>
      <c r="AL85">
        <v>160</v>
      </c>
      <c r="AM85">
        <v>35</v>
      </c>
      <c r="AN85" t="s">
        <v>147</v>
      </c>
      <c r="AO85">
        <f>AVERAGE(Tabla2[[#This Row],[total_kills]:[rating]])</f>
        <v>3884.6842105263158</v>
      </c>
      <c r="AP85" t="str">
        <f>VLOOKUP(Tabla2[[#This Row],[KPI]],$AS$2:$AT$5,2,1)</f>
        <v>Medio</v>
      </c>
    </row>
    <row r="86" spans="1:42" x14ac:dyDescent="0.3">
      <c r="A86">
        <v>8574</v>
      </c>
      <c r="B86" t="s">
        <v>414</v>
      </c>
      <c r="C86" t="s">
        <v>415</v>
      </c>
      <c r="D86">
        <v>23</v>
      </c>
      <c r="E86" t="s">
        <v>159</v>
      </c>
      <c r="F86" t="s">
        <v>160</v>
      </c>
      <c r="G86" t="s">
        <v>416</v>
      </c>
      <c r="H86">
        <v>22815</v>
      </c>
      <c r="I86">
        <v>18947</v>
      </c>
      <c r="J86" t="s">
        <v>417</v>
      </c>
      <c r="K86" t="s">
        <v>418</v>
      </c>
      <c r="L86" t="s">
        <v>63</v>
      </c>
      <c r="M86">
        <v>1178</v>
      </c>
      <c r="N86">
        <v>30952</v>
      </c>
      <c r="O86" t="s">
        <v>283</v>
      </c>
      <c r="P86" t="s">
        <v>67</v>
      </c>
      <c r="Q86" t="s">
        <v>49</v>
      </c>
      <c r="R86" t="s">
        <v>66</v>
      </c>
      <c r="S86" t="s">
        <v>50</v>
      </c>
      <c r="T86">
        <v>15130</v>
      </c>
      <c r="U86" t="s">
        <v>51</v>
      </c>
      <c r="V86">
        <v>3693</v>
      </c>
      <c r="W86">
        <v>2485</v>
      </c>
      <c r="X86" t="s">
        <v>332</v>
      </c>
      <c r="Y86" t="s">
        <v>98</v>
      </c>
      <c r="Z86" t="s">
        <v>112</v>
      </c>
      <c r="AA86" t="s">
        <v>113</v>
      </c>
      <c r="AB86">
        <v>15822</v>
      </c>
      <c r="AC86">
        <v>9398</v>
      </c>
      <c r="AD86">
        <v>4130</v>
      </c>
      <c r="AE86">
        <v>1287</v>
      </c>
      <c r="AF86">
        <v>279</v>
      </c>
      <c r="AG86">
        <v>36</v>
      </c>
      <c r="AH86">
        <v>6232</v>
      </c>
      <c r="AI86">
        <v>12438</v>
      </c>
      <c r="AJ86">
        <v>462</v>
      </c>
      <c r="AK86">
        <v>3472</v>
      </c>
      <c r="AL86">
        <v>214</v>
      </c>
      <c r="AM86">
        <v>84</v>
      </c>
      <c r="AN86" t="s">
        <v>370</v>
      </c>
      <c r="AO86">
        <f>AVERAGE(Tabla2[[#This Row],[total_kills]:[rating]])</f>
        <v>7844.9473684210525</v>
      </c>
      <c r="AP86" t="str">
        <f>VLOOKUP(Tabla2[[#This Row],[KPI]],$AS$2:$AT$5,2,1)</f>
        <v>Superior</v>
      </c>
    </row>
    <row r="87" spans="1:42" x14ac:dyDescent="0.3">
      <c r="A87">
        <v>629</v>
      </c>
      <c r="B87" t="s">
        <v>1960</v>
      </c>
      <c r="C87" t="s">
        <v>1961</v>
      </c>
      <c r="D87">
        <v>35</v>
      </c>
      <c r="E87" t="s">
        <v>1643</v>
      </c>
      <c r="F87" t="s">
        <v>1962</v>
      </c>
      <c r="G87" t="s">
        <v>1963</v>
      </c>
      <c r="H87">
        <v>19461</v>
      </c>
      <c r="I87">
        <v>18938</v>
      </c>
      <c r="J87" t="s">
        <v>417</v>
      </c>
      <c r="K87" t="s">
        <v>1042</v>
      </c>
      <c r="L87" t="s">
        <v>471</v>
      </c>
      <c r="M87">
        <v>1058</v>
      </c>
      <c r="N87">
        <v>27636</v>
      </c>
      <c r="O87" t="s">
        <v>905</v>
      </c>
      <c r="P87" t="s">
        <v>202</v>
      </c>
      <c r="Q87" t="s">
        <v>463</v>
      </c>
      <c r="R87" t="s">
        <v>50</v>
      </c>
      <c r="S87" t="s">
        <v>96</v>
      </c>
      <c r="T87">
        <v>13085</v>
      </c>
      <c r="U87" t="s">
        <v>51</v>
      </c>
      <c r="V87">
        <v>3965</v>
      </c>
      <c r="W87">
        <v>3470</v>
      </c>
      <c r="X87" t="s">
        <v>111</v>
      </c>
      <c r="Y87" t="s">
        <v>172</v>
      </c>
      <c r="Z87" t="s">
        <v>455</v>
      </c>
      <c r="AA87" t="s">
        <v>1964</v>
      </c>
      <c r="AB87">
        <v>14551</v>
      </c>
      <c r="AC87">
        <v>8281</v>
      </c>
      <c r="AD87">
        <v>3501</v>
      </c>
      <c r="AE87">
        <v>1074</v>
      </c>
      <c r="AF87">
        <v>211</v>
      </c>
      <c r="AG87">
        <v>18</v>
      </c>
      <c r="AH87">
        <v>7300</v>
      </c>
      <c r="AI87">
        <v>7778</v>
      </c>
      <c r="AJ87">
        <v>682</v>
      </c>
      <c r="AK87">
        <v>3509</v>
      </c>
      <c r="AL87">
        <v>201</v>
      </c>
      <c r="AM87">
        <v>28</v>
      </c>
      <c r="AN87" t="s">
        <v>449</v>
      </c>
      <c r="AO87">
        <f>AVERAGE(Tabla2[[#This Row],[total_kills]:[rating]])</f>
        <v>7091.9473684210525</v>
      </c>
      <c r="AP87" t="str">
        <f>VLOOKUP(Tabla2[[#This Row],[KPI]],$AS$2:$AT$5,2,1)</f>
        <v>Superior</v>
      </c>
    </row>
    <row r="88" spans="1:42" x14ac:dyDescent="0.3">
      <c r="A88">
        <v>8576</v>
      </c>
      <c r="B88" t="s">
        <v>784</v>
      </c>
      <c r="C88" t="s">
        <v>785</v>
      </c>
      <c r="D88">
        <v>28</v>
      </c>
      <c r="E88" t="s">
        <v>452</v>
      </c>
      <c r="F88" t="s">
        <v>690</v>
      </c>
      <c r="G88" t="s">
        <v>786</v>
      </c>
      <c r="H88">
        <v>31855</v>
      </c>
      <c r="I88">
        <v>27425</v>
      </c>
      <c r="J88" t="s">
        <v>787</v>
      </c>
      <c r="K88" t="s">
        <v>788</v>
      </c>
      <c r="L88" t="s">
        <v>589</v>
      </c>
      <c r="M88">
        <v>1661</v>
      </c>
      <c r="N88">
        <v>44157</v>
      </c>
      <c r="O88" t="s">
        <v>311</v>
      </c>
      <c r="P88" t="s">
        <v>50</v>
      </c>
      <c r="Q88" t="s">
        <v>144</v>
      </c>
      <c r="R88" t="s">
        <v>66</v>
      </c>
      <c r="S88" t="s">
        <v>50</v>
      </c>
      <c r="T88">
        <v>21438</v>
      </c>
      <c r="U88" t="s">
        <v>51</v>
      </c>
      <c r="V88">
        <v>4748</v>
      </c>
      <c r="W88">
        <v>3508</v>
      </c>
      <c r="X88" t="s">
        <v>323</v>
      </c>
      <c r="Y88" t="s">
        <v>464</v>
      </c>
      <c r="Z88" t="s">
        <v>473</v>
      </c>
      <c r="AA88" t="s">
        <v>789</v>
      </c>
      <c r="AB88">
        <v>22719</v>
      </c>
      <c r="AC88">
        <v>13573</v>
      </c>
      <c r="AD88">
        <v>5715</v>
      </c>
      <c r="AE88">
        <v>1777</v>
      </c>
      <c r="AF88">
        <v>344</v>
      </c>
      <c r="AG88">
        <v>29</v>
      </c>
      <c r="AH88">
        <v>9260</v>
      </c>
      <c r="AI88">
        <v>15053</v>
      </c>
      <c r="AJ88">
        <v>1601</v>
      </c>
      <c r="AK88">
        <v>5526</v>
      </c>
      <c r="AL88">
        <v>328</v>
      </c>
      <c r="AM88">
        <v>141</v>
      </c>
      <c r="AN88" t="s">
        <v>295</v>
      </c>
      <c r="AO88">
        <f>AVERAGE(Tabla2[[#This Row],[total_kills]:[rating]])</f>
        <v>11097.78947368421</v>
      </c>
      <c r="AP88" t="str">
        <f>VLOOKUP(Tabla2[[#This Row],[KPI]],$AS$2:$AT$5,2,1)</f>
        <v>Superior</v>
      </c>
    </row>
    <row r="89" spans="1:42" x14ac:dyDescent="0.3">
      <c r="A89">
        <v>15007</v>
      </c>
      <c r="B89" t="s">
        <v>747</v>
      </c>
      <c r="C89" t="s">
        <v>748</v>
      </c>
      <c r="D89">
        <v>28</v>
      </c>
      <c r="E89" t="s">
        <v>459</v>
      </c>
      <c r="F89" t="s">
        <v>749</v>
      </c>
      <c r="G89" t="s">
        <v>750</v>
      </c>
      <c r="H89">
        <v>14703</v>
      </c>
      <c r="I89">
        <v>12697</v>
      </c>
      <c r="J89" t="s">
        <v>751</v>
      </c>
      <c r="K89">
        <v>74</v>
      </c>
      <c r="L89" t="s">
        <v>487</v>
      </c>
      <c r="M89">
        <v>771</v>
      </c>
      <c r="N89">
        <v>19991</v>
      </c>
      <c r="O89" t="s">
        <v>283</v>
      </c>
      <c r="P89" t="s">
        <v>96</v>
      </c>
      <c r="Q89" t="s">
        <v>65</v>
      </c>
      <c r="R89" t="s">
        <v>96</v>
      </c>
      <c r="S89" t="s">
        <v>50</v>
      </c>
      <c r="T89">
        <v>9890</v>
      </c>
      <c r="U89" t="s">
        <v>51</v>
      </c>
      <c r="V89">
        <v>2420</v>
      </c>
      <c r="W89">
        <v>1820</v>
      </c>
      <c r="X89" t="s">
        <v>442</v>
      </c>
      <c r="Y89" t="s">
        <v>370</v>
      </c>
      <c r="Z89" t="s">
        <v>583</v>
      </c>
      <c r="AA89" t="s">
        <v>113</v>
      </c>
      <c r="AB89">
        <v>10101</v>
      </c>
      <c r="AC89">
        <v>6220</v>
      </c>
      <c r="AD89">
        <v>2695</v>
      </c>
      <c r="AE89">
        <v>819</v>
      </c>
      <c r="AF89">
        <v>144</v>
      </c>
      <c r="AG89">
        <v>12</v>
      </c>
      <c r="AH89">
        <v>4855</v>
      </c>
      <c r="AI89">
        <v>6855</v>
      </c>
      <c r="AJ89">
        <v>504</v>
      </c>
      <c r="AK89">
        <v>2381</v>
      </c>
      <c r="AL89">
        <v>89</v>
      </c>
      <c r="AM89">
        <v>44</v>
      </c>
      <c r="AN89" t="s">
        <v>370</v>
      </c>
      <c r="AO89">
        <f>AVERAGE(Tabla2[[#This Row],[total_kills]:[rating]])</f>
        <v>4854.25</v>
      </c>
      <c r="AP89" t="str">
        <f>VLOOKUP(Tabla2[[#This Row],[KPI]],$AS$2:$AT$5,2,1)</f>
        <v>Alto</v>
      </c>
    </row>
    <row r="90" spans="1:42" x14ac:dyDescent="0.3">
      <c r="A90">
        <v>8124</v>
      </c>
      <c r="B90" t="s">
        <v>1495</v>
      </c>
      <c r="C90" t="s">
        <v>1496</v>
      </c>
      <c r="D90">
        <v>26</v>
      </c>
      <c r="E90" t="s">
        <v>75</v>
      </c>
      <c r="F90" t="s">
        <v>1497</v>
      </c>
      <c r="G90" t="s">
        <v>1498</v>
      </c>
      <c r="H90">
        <v>23631</v>
      </c>
      <c r="I90">
        <v>21705</v>
      </c>
      <c r="J90" t="s">
        <v>751</v>
      </c>
      <c r="K90" t="s">
        <v>1499</v>
      </c>
      <c r="L90" t="s">
        <v>471</v>
      </c>
      <c r="M90">
        <v>1279</v>
      </c>
      <c r="N90">
        <v>33713</v>
      </c>
      <c r="O90" t="s">
        <v>905</v>
      </c>
      <c r="P90" t="s">
        <v>48</v>
      </c>
      <c r="Q90" t="s">
        <v>65</v>
      </c>
      <c r="R90" t="s">
        <v>96</v>
      </c>
      <c r="S90" t="s">
        <v>96</v>
      </c>
      <c r="T90">
        <v>16050</v>
      </c>
      <c r="U90" t="s">
        <v>51</v>
      </c>
      <c r="V90">
        <v>3711</v>
      </c>
      <c r="W90">
        <v>2752</v>
      </c>
      <c r="X90" t="s">
        <v>323</v>
      </c>
      <c r="Y90" t="s">
        <v>277</v>
      </c>
      <c r="Z90" t="s">
        <v>473</v>
      </c>
      <c r="AA90" t="s">
        <v>267</v>
      </c>
      <c r="AB90">
        <v>17663</v>
      </c>
      <c r="AC90">
        <v>10292</v>
      </c>
      <c r="AD90">
        <v>4253</v>
      </c>
      <c r="AE90">
        <v>1219</v>
      </c>
      <c r="AF90">
        <v>258</v>
      </c>
      <c r="AG90">
        <v>28</v>
      </c>
      <c r="AH90">
        <v>5078</v>
      </c>
      <c r="AI90">
        <v>11946</v>
      </c>
      <c r="AJ90">
        <v>1134</v>
      </c>
      <c r="AK90">
        <v>5142</v>
      </c>
      <c r="AL90">
        <v>290</v>
      </c>
      <c r="AM90">
        <v>78</v>
      </c>
      <c r="AN90" t="s">
        <v>407</v>
      </c>
      <c r="AO90">
        <f>AVERAGE(Tabla2[[#This Row],[total_kills]:[rating]])</f>
        <v>8432.7368421052633</v>
      </c>
      <c r="AP90" t="str">
        <f>VLOOKUP(Tabla2[[#This Row],[KPI]],$AS$2:$AT$5,2,1)</f>
        <v>Superior</v>
      </c>
    </row>
    <row r="91" spans="1:42" x14ac:dyDescent="0.3">
      <c r="A91">
        <v>9895</v>
      </c>
      <c r="B91" t="s">
        <v>613</v>
      </c>
      <c r="C91" t="s">
        <v>614</v>
      </c>
      <c r="D91">
        <v>23</v>
      </c>
      <c r="E91" t="s">
        <v>196</v>
      </c>
      <c r="F91" t="s">
        <v>3514</v>
      </c>
      <c r="G91" t="s">
        <v>615</v>
      </c>
      <c r="H91">
        <v>19077</v>
      </c>
      <c r="I91">
        <v>16483</v>
      </c>
      <c r="J91" t="s">
        <v>616</v>
      </c>
      <c r="K91" t="s">
        <v>617</v>
      </c>
      <c r="L91" t="s">
        <v>63</v>
      </c>
      <c r="M91">
        <v>955</v>
      </c>
      <c r="N91">
        <v>25333</v>
      </c>
      <c r="O91" t="s">
        <v>180</v>
      </c>
      <c r="P91" t="s">
        <v>50</v>
      </c>
      <c r="Q91" t="s">
        <v>276</v>
      </c>
      <c r="R91" t="s">
        <v>50</v>
      </c>
      <c r="S91" t="s">
        <v>50</v>
      </c>
      <c r="T91">
        <v>12723</v>
      </c>
      <c r="U91" t="s">
        <v>51</v>
      </c>
      <c r="V91">
        <v>3710</v>
      </c>
      <c r="W91">
        <v>2616</v>
      </c>
      <c r="X91" t="s">
        <v>369</v>
      </c>
      <c r="Y91" t="s">
        <v>101</v>
      </c>
      <c r="Z91" t="s">
        <v>237</v>
      </c>
      <c r="AA91" t="s">
        <v>618</v>
      </c>
      <c r="AB91">
        <v>12610</v>
      </c>
      <c r="AC91">
        <v>7947</v>
      </c>
      <c r="AD91">
        <v>3448</v>
      </c>
      <c r="AE91">
        <v>1096</v>
      </c>
      <c r="AF91">
        <v>214</v>
      </c>
      <c r="AG91">
        <v>18</v>
      </c>
      <c r="AH91">
        <v>3881</v>
      </c>
      <c r="AI91">
        <v>10977</v>
      </c>
      <c r="AJ91">
        <v>630</v>
      </c>
      <c r="AK91">
        <v>3478</v>
      </c>
      <c r="AL91">
        <v>142</v>
      </c>
      <c r="AM91">
        <v>35</v>
      </c>
      <c r="AN91" t="s">
        <v>561</v>
      </c>
      <c r="AO91">
        <f>AVERAGE(Tabla2[[#This Row],[total_kills]:[rating]])</f>
        <v>6598.5789473684208</v>
      </c>
      <c r="AP91" t="str">
        <f>VLOOKUP(Tabla2[[#This Row],[KPI]],$AS$2:$AT$5,2,1)</f>
        <v>Alto</v>
      </c>
    </row>
    <row r="92" spans="1:42" x14ac:dyDescent="0.3">
      <c r="A92">
        <v>8396</v>
      </c>
      <c r="B92" t="s">
        <v>2449</v>
      </c>
      <c r="C92" t="s">
        <v>2450</v>
      </c>
      <c r="D92">
        <v>26</v>
      </c>
      <c r="E92" t="s">
        <v>545</v>
      </c>
      <c r="F92" t="s">
        <v>2451</v>
      </c>
      <c r="G92" t="s">
        <v>2452</v>
      </c>
      <c r="H92">
        <v>16055</v>
      </c>
      <c r="I92">
        <v>15918</v>
      </c>
      <c r="J92" t="s">
        <v>616</v>
      </c>
      <c r="K92" t="s">
        <v>1062</v>
      </c>
      <c r="L92" t="s">
        <v>1352</v>
      </c>
      <c r="M92">
        <v>878</v>
      </c>
      <c r="N92">
        <v>23318</v>
      </c>
      <c r="O92" t="s">
        <v>463</v>
      </c>
      <c r="P92" t="s">
        <v>235</v>
      </c>
      <c r="Q92" t="s">
        <v>167</v>
      </c>
      <c r="R92" t="s">
        <v>50</v>
      </c>
      <c r="S92" t="s">
        <v>50</v>
      </c>
      <c r="T92">
        <v>10999</v>
      </c>
      <c r="U92" t="s">
        <v>51</v>
      </c>
      <c r="V92">
        <v>2352</v>
      </c>
      <c r="W92">
        <v>2005</v>
      </c>
      <c r="X92" t="s">
        <v>172</v>
      </c>
      <c r="Y92" t="s">
        <v>412</v>
      </c>
      <c r="Z92" t="s">
        <v>728</v>
      </c>
      <c r="AA92" t="s">
        <v>602</v>
      </c>
      <c r="AB92">
        <v>12319</v>
      </c>
      <c r="AC92">
        <v>7080</v>
      </c>
      <c r="AD92">
        <v>2953</v>
      </c>
      <c r="AE92">
        <v>811</v>
      </c>
      <c r="AF92">
        <v>144</v>
      </c>
      <c r="AG92">
        <v>11</v>
      </c>
      <c r="AH92">
        <v>6621</v>
      </c>
      <c r="AI92">
        <v>5144</v>
      </c>
      <c r="AJ92">
        <v>729</v>
      </c>
      <c r="AK92">
        <v>3233</v>
      </c>
      <c r="AL92">
        <v>340</v>
      </c>
      <c r="AM92">
        <v>10</v>
      </c>
      <c r="AN92" t="s">
        <v>285</v>
      </c>
      <c r="AO92">
        <f>AVERAGE(Tabla2[[#This Row],[total_kills]:[rating]])</f>
        <v>5837.894736842105</v>
      </c>
      <c r="AP92" t="str">
        <f>VLOOKUP(Tabla2[[#This Row],[KPI]],$AS$2:$AT$5,2,1)</f>
        <v>Alto</v>
      </c>
    </row>
    <row r="93" spans="1:42" x14ac:dyDescent="0.3">
      <c r="A93">
        <v>5736</v>
      </c>
      <c r="B93" t="s">
        <v>437</v>
      </c>
      <c r="C93" t="s">
        <v>438</v>
      </c>
      <c r="D93">
        <v>29</v>
      </c>
      <c r="E93" t="s">
        <v>104</v>
      </c>
      <c r="F93" t="s">
        <v>3514</v>
      </c>
      <c r="G93" t="s">
        <v>439</v>
      </c>
      <c r="H93">
        <v>16548</v>
      </c>
      <c r="I93">
        <v>14142</v>
      </c>
      <c r="J93" t="s">
        <v>440</v>
      </c>
      <c r="K93" t="s">
        <v>424</v>
      </c>
      <c r="L93" t="s">
        <v>441</v>
      </c>
      <c r="M93">
        <v>827</v>
      </c>
      <c r="N93">
        <v>21606</v>
      </c>
      <c r="O93" t="s">
        <v>81</v>
      </c>
      <c r="P93" t="s">
        <v>50</v>
      </c>
      <c r="Q93" t="s">
        <v>276</v>
      </c>
      <c r="R93" t="s">
        <v>66</v>
      </c>
      <c r="S93" t="s">
        <v>96</v>
      </c>
      <c r="T93">
        <v>10956</v>
      </c>
      <c r="U93" t="s">
        <v>51</v>
      </c>
      <c r="V93">
        <v>2929</v>
      </c>
      <c r="W93">
        <v>2200</v>
      </c>
      <c r="X93" t="s">
        <v>442</v>
      </c>
      <c r="Y93" t="s">
        <v>172</v>
      </c>
      <c r="Z93" t="s">
        <v>443</v>
      </c>
      <c r="AA93" t="s">
        <v>171</v>
      </c>
      <c r="AB93">
        <v>10650</v>
      </c>
      <c r="AC93">
        <v>6792</v>
      </c>
      <c r="AD93">
        <v>2989</v>
      </c>
      <c r="AE93">
        <v>945</v>
      </c>
      <c r="AF93">
        <v>207</v>
      </c>
      <c r="AG93">
        <v>23</v>
      </c>
      <c r="AH93">
        <v>5082</v>
      </c>
      <c r="AI93">
        <v>7983</v>
      </c>
      <c r="AJ93">
        <v>732</v>
      </c>
      <c r="AK93">
        <v>2586</v>
      </c>
      <c r="AL93">
        <v>142</v>
      </c>
      <c r="AM93">
        <v>48</v>
      </c>
      <c r="AN93" t="s">
        <v>370</v>
      </c>
      <c r="AO93">
        <f>AVERAGE(Tabla2[[#This Row],[total_kills]:[rating]])</f>
        <v>5651.9473684210525</v>
      </c>
      <c r="AP93" t="str">
        <f>VLOOKUP(Tabla2[[#This Row],[KPI]],$AS$2:$AT$5,2,1)</f>
        <v>Alto</v>
      </c>
    </row>
    <row r="94" spans="1:42" x14ac:dyDescent="0.3">
      <c r="A94">
        <v>15565</v>
      </c>
      <c r="B94" t="s">
        <v>1760</v>
      </c>
      <c r="C94" t="s">
        <v>1761</v>
      </c>
      <c r="D94">
        <v>21</v>
      </c>
      <c r="E94" t="s">
        <v>452</v>
      </c>
      <c r="F94" t="s">
        <v>537</v>
      </c>
      <c r="G94" t="s">
        <v>1762</v>
      </c>
      <c r="H94">
        <v>8415</v>
      </c>
      <c r="I94">
        <v>8026</v>
      </c>
      <c r="J94" t="s">
        <v>1763</v>
      </c>
      <c r="K94" t="s">
        <v>1764</v>
      </c>
      <c r="L94" t="s">
        <v>214</v>
      </c>
      <c r="M94">
        <v>448</v>
      </c>
      <c r="N94">
        <v>12107</v>
      </c>
      <c r="O94" t="s">
        <v>905</v>
      </c>
      <c r="P94" t="s">
        <v>96</v>
      </c>
      <c r="Q94" t="s">
        <v>322</v>
      </c>
      <c r="R94" t="s">
        <v>96</v>
      </c>
      <c r="S94" t="s">
        <v>96</v>
      </c>
      <c r="T94">
        <v>5678</v>
      </c>
      <c r="U94" t="s">
        <v>51</v>
      </c>
      <c r="V94">
        <v>1527</v>
      </c>
      <c r="W94">
        <v>1216</v>
      </c>
      <c r="X94" t="s">
        <v>87</v>
      </c>
      <c r="Y94" t="s">
        <v>98</v>
      </c>
      <c r="Z94" t="s">
        <v>1765</v>
      </c>
      <c r="AA94" t="s">
        <v>497</v>
      </c>
      <c r="AB94">
        <v>6429</v>
      </c>
      <c r="AC94">
        <v>3641</v>
      </c>
      <c r="AD94">
        <v>1449</v>
      </c>
      <c r="AE94">
        <v>484</v>
      </c>
      <c r="AF94">
        <v>96</v>
      </c>
      <c r="AG94">
        <v>8</v>
      </c>
      <c r="AH94">
        <v>2149</v>
      </c>
      <c r="AI94">
        <v>4521</v>
      </c>
      <c r="AJ94">
        <v>226</v>
      </c>
      <c r="AK94">
        <v>1448</v>
      </c>
      <c r="AL94">
        <v>63</v>
      </c>
      <c r="AM94">
        <v>36</v>
      </c>
      <c r="AN94" t="s">
        <v>304</v>
      </c>
      <c r="AO94">
        <f>AVERAGE(Tabla2[[#This Row],[total_kills]:[rating]])</f>
        <v>3050.8947368421054</v>
      </c>
      <c r="AP94" t="str">
        <f>VLOOKUP(Tabla2[[#This Row],[KPI]],$AS$2:$AT$5,2,1)</f>
        <v>Bajo</v>
      </c>
    </row>
    <row r="95" spans="1:42" x14ac:dyDescent="0.3">
      <c r="A95">
        <v>8848</v>
      </c>
      <c r="B95" t="s">
        <v>970</v>
      </c>
      <c r="C95" t="s">
        <v>971</v>
      </c>
      <c r="D95">
        <v>25</v>
      </c>
      <c r="E95" t="s">
        <v>196</v>
      </c>
      <c r="F95" t="s">
        <v>972</v>
      </c>
      <c r="G95" t="s">
        <v>973</v>
      </c>
      <c r="H95">
        <v>15855</v>
      </c>
      <c r="I95">
        <v>13957</v>
      </c>
      <c r="J95" t="s">
        <v>974</v>
      </c>
      <c r="K95" t="s">
        <v>178</v>
      </c>
      <c r="L95" t="s">
        <v>975</v>
      </c>
      <c r="M95">
        <v>841</v>
      </c>
      <c r="N95">
        <v>22116</v>
      </c>
      <c r="O95" t="s">
        <v>311</v>
      </c>
      <c r="P95" t="s">
        <v>48</v>
      </c>
      <c r="Q95" t="s">
        <v>215</v>
      </c>
      <c r="R95" t="s">
        <v>96</v>
      </c>
      <c r="S95" t="s">
        <v>50</v>
      </c>
      <c r="T95">
        <v>10637</v>
      </c>
      <c r="U95" t="s">
        <v>51</v>
      </c>
      <c r="V95">
        <v>2445</v>
      </c>
      <c r="W95">
        <v>1817</v>
      </c>
      <c r="X95" t="s">
        <v>323</v>
      </c>
      <c r="Y95" t="s">
        <v>277</v>
      </c>
      <c r="Z95" t="s">
        <v>137</v>
      </c>
      <c r="AA95" t="s">
        <v>882</v>
      </c>
      <c r="AB95">
        <v>11479</v>
      </c>
      <c r="AC95">
        <v>6701</v>
      </c>
      <c r="AD95">
        <v>2845</v>
      </c>
      <c r="AE95">
        <v>916</v>
      </c>
      <c r="AF95">
        <v>160</v>
      </c>
      <c r="AG95">
        <v>15</v>
      </c>
      <c r="AH95">
        <v>4026</v>
      </c>
      <c r="AI95">
        <v>7747</v>
      </c>
      <c r="AJ95">
        <v>917</v>
      </c>
      <c r="AK95">
        <v>2840</v>
      </c>
      <c r="AL95">
        <v>333</v>
      </c>
      <c r="AM95">
        <v>28</v>
      </c>
      <c r="AN95" t="s">
        <v>277</v>
      </c>
      <c r="AO95">
        <f>AVERAGE(Tabla2[[#This Row],[total_kills]:[rating]])</f>
        <v>5561.8421052631575</v>
      </c>
      <c r="AP95" t="str">
        <f>VLOOKUP(Tabla2[[#This Row],[KPI]],$AS$2:$AT$5,2,1)</f>
        <v>Alto</v>
      </c>
    </row>
    <row r="96" spans="1:42" x14ac:dyDescent="0.3">
      <c r="A96">
        <v>8526</v>
      </c>
      <c r="B96" t="s">
        <v>1053</v>
      </c>
      <c r="C96" t="s">
        <v>1054</v>
      </c>
      <c r="D96">
        <v>24</v>
      </c>
      <c r="E96" t="s">
        <v>59</v>
      </c>
      <c r="F96" t="s">
        <v>1055</v>
      </c>
      <c r="G96" t="s">
        <v>1056</v>
      </c>
      <c r="H96">
        <v>9299</v>
      </c>
      <c r="I96">
        <v>8644</v>
      </c>
      <c r="J96" t="s">
        <v>974</v>
      </c>
      <c r="K96" t="s">
        <v>1057</v>
      </c>
      <c r="L96" t="s">
        <v>203</v>
      </c>
      <c r="M96">
        <v>480</v>
      </c>
      <c r="N96">
        <v>12461</v>
      </c>
      <c r="O96" t="s">
        <v>180</v>
      </c>
      <c r="P96" t="s">
        <v>50</v>
      </c>
      <c r="Q96" t="s">
        <v>463</v>
      </c>
      <c r="R96" t="s">
        <v>96</v>
      </c>
      <c r="S96" t="s">
        <v>66</v>
      </c>
      <c r="T96">
        <v>6095</v>
      </c>
      <c r="U96" t="s">
        <v>51</v>
      </c>
      <c r="V96">
        <v>1897</v>
      </c>
      <c r="W96">
        <v>1490</v>
      </c>
      <c r="X96" t="s">
        <v>717</v>
      </c>
      <c r="Y96" t="s">
        <v>101</v>
      </c>
      <c r="Z96" t="s">
        <v>286</v>
      </c>
      <c r="AA96" t="s">
        <v>1058</v>
      </c>
      <c r="AB96">
        <v>6366</v>
      </c>
      <c r="AC96">
        <v>3757</v>
      </c>
      <c r="AD96">
        <v>1616</v>
      </c>
      <c r="AE96">
        <v>592</v>
      </c>
      <c r="AF96">
        <v>116</v>
      </c>
      <c r="AG96">
        <v>14</v>
      </c>
      <c r="AH96">
        <v>2091</v>
      </c>
      <c r="AI96">
        <v>4861</v>
      </c>
      <c r="AJ96">
        <v>377</v>
      </c>
      <c r="AK96">
        <v>1927</v>
      </c>
      <c r="AL96">
        <v>41</v>
      </c>
      <c r="AM96">
        <v>22</v>
      </c>
      <c r="AN96" t="s">
        <v>464</v>
      </c>
      <c r="AO96">
        <f>AVERAGE(Tabla2[[#This Row],[total_kills]:[rating]])</f>
        <v>3270.8421052631579</v>
      </c>
      <c r="AP96" t="str">
        <f>VLOOKUP(Tabla2[[#This Row],[KPI]],$AS$2:$AT$5,2,1)</f>
        <v>Bajo</v>
      </c>
    </row>
    <row r="97" spans="1:42" x14ac:dyDescent="0.3">
      <c r="A97">
        <v>4576</v>
      </c>
      <c r="B97" t="s">
        <v>1615</v>
      </c>
      <c r="C97" t="s">
        <v>1616</v>
      </c>
      <c r="D97">
        <v>26</v>
      </c>
      <c r="E97" t="s">
        <v>895</v>
      </c>
      <c r="F97" t="s">
        <v>1617</v>
      </c>
      <c r="G97" t="s">
        <v>1618</v>
      </c>
      <c r="H97">
        <v>8385</v>
      </c>
      <c r="I97">
        <v>7808</v>
      </c>
      <c r="J97" t="s">
        <v>974</v>
      </c>
      <c r="K97" t="s">
        <v>1089</v>
      </c>
      <c r="L97" t="s">
        <v>122</v>
      </c>
      <c r="M97">
        <v>449</v>
      </c>
      <c r="N97">
        <v>11891</v>
      </c>
      <c r="O97" t="s">
        <v>646</v>
      </c>
      <c r="P97" t="s">
        <v>50</v>
      </c>
      <c r="Q97" t="s">
        <v>322</v>
      </c>
      <c r="R97" t="s">
        <v>96</v>
      </c>
      <c r="S97" t="s">
        <v>50</v>
      </c>
      <c r="T97">
        <v>5715</v>
      </c>
      <c r="U97" t="s">
        <v>51</v>
      </c>
      <c r="V97">
        <v>1333</v>
      </c>
      <c r="W97">
        <v>1047</v>
      </c>
      <c r="X97" t="s">
        <v>717</v>
      </c>
      <c r="Y97" t="s">
        <v>277</v>
      </c>
      <c r="Z97" t="s">
        <v>427</v>
      </c>
      <c r="AA97" t="s">
        <v>534</v>
      </c>
      <c r="AB97">
        <v>6176</v>
      </c>
      <c r="AC97">
        <v>3662</v>
      </c>
      <c r="AD97">
        <v>1528</v>
      </c>
      <c r="AE97">
        <v>443</v>
      </c>
      <c r="AF97">
        <v>72</v>
      </c>
      <c r="AG97">
        <v>10</v>
      </c>
      <c r="AH97">
        <v>2086</v>
      </c>
      <c r="AI97">
        <v>4246</v>
      </c>
      <c r="AJ97">
        <v>512</v>
      </c>
      <c r="AK97">
        <v>1468</v>
      </c>
      <c r="AL97">
        <v>72</v>
      </c>
      <c r="AM97">
        <v>33</v>
      </c>
      <c r="AN97" t="s">
        <v>464</v>
      </c>
      <c r="AO97">
        <f>AVERAGE(Tabla2[[#This Row],[total_kills]:[rating]])</f>
        <v>2996.6315789473683</v>
      </c>
      <c r="AP97" t="str">
        <f>VLOOKUP(Tabla2[[#This Row],[KPI]],$AS$2:$AT$5,2,1)</f>
        <v>Bajo</v>
      </c>
    </row>
    <row r="98" spans="1:42" x14ac:dyDescent="0.3">
      <c r="A98">
        <v>15501</v>
      </c>
      <c r="B98" t="s">
        <v>1785</v>
      </c>
      <c r="C98" t="s">
        <v>1786</v>
      </c>
      <c r="D98">
        <v>24</v>
      </c>
      <c r="E98" t="s">
        <v>545</v>
      </c>
      <c r="F98" t="s">
        <v>1544</v>
      </c>
      <c r="G98" t="s">
        <v>1787</v>
      </c>
      <c r="H98">
        <v>9950</v>
      </c>
      <c r="I98">
        <v>9399</v>
      </c>
      <c r="J98" t="s">
        <v>1788</v>
      </c>
      <c r="K98" t="s">
        <v>920</v>
      </c>
      <c r="L98" t="s">
        <v>949</v>
      </c>
      <c r="M98">
        <v>542</v>
      </c>
      <c r="N98">
        <v>14478</v>
      </c>
      <c r="O98" t="s">
        <v>463</v>
      </c>
      <c r="P98" t="s">
        <v>67</v>
      </c>
      <c r="Q98" t="s">
        <v>276</v>
      </c>
      <c r="R98" t="s">
        <v>96</v>
      </c>
      <c r="S98" t="s">
        <v>66</v>
      </c>
      <c r="T98">
        <v>6750</v>
      </c>
      <c r="U98" t="s">
        <v>51</v>
      </c>
      <c r="V98">
        <v>1892</v>
      </c>
      <c r="W98">
        <v>1548</v>
      </c>
      <c r="X98" t="s">
        <v>114</v>
      </c>
      <c r="Y98" t="s">
        <v>111</v>
      </c>
      <c r="Z98" t="s">
        <v>554</v>
      </c>
      <c r="AA98" t="s">
        <v>138</v>
      </c>
      <c r="AB98">
        <v>7728</v>
      </c>
      <c r="AC98">
        <v>4315</v>
      </c>
      <c r="AD98">
        <v>1798</v>
      </c>
      <c r="AE98">
        <v>520</v>
      </c>
      <c r="AF98">
        <v>106</v>
      </c>
      <c r="AG98">
        <v>11</v>
      </c>
      <c r="AH98">
        <v>3034</v>
      </c>
      <c r="AI98">
        <v>4937</v>
      </c>
      <c r="AJ98">
        <v>314</v>
      </c>
      <c r="AK98">
        <v>1494</v>
      </c>
      <c r="AL98">
        <v>131</v>
      </c>
      <c r="AM98">
        <v>69</v>
      </c>
      <c r="AN98" t="s">
        <v>277</v>
      </c>
      <c r="AO98">
        <f>AVERAGE(Tabla2[[#This Row],[total_kills]:[rating]])</f>
        <v>3632.4210526315787</v>
      </c>
      <c r="AP98" t="str">
        <f>VLOOKUP(Tabla2[[#This Row],[KPI]],$AS$2:$AT$5,2,1)</f>
        <v>Medio</v>
      </c>
    </row>
    <row r="99" spans="1:42" x14ac:dyDescent="0.3">
      <c r="A99">
        <v>973</v>
      </c>
      <c r="B99" t="s">
        <v>2331</v>
      </c>
      <c r="C99" t="s">
        <v>2332</v>
      </c>
      <c r="D99">
        <v>31</v>
      </c>
      <c r="E99" t="s">
        <v>327</v>
      </c>
      <c r="F99" t="s">
        <v>3514</v>
      </c>
      <c r="G99" t="s">
        <v>2333</v>
      </c>
      <c r="H99">
        <v>36985</v>
      </c>
      <c r="I99">
        <v>36135</v>
      </c>
      <c r="J99" t="s">
        <v>1788</v>
      </c>
      <c r="K99" t="s">
        <v>1529</v>
      </c>
      <c r="L99" t="s">
        <v>93</v>
      </c>
      <c r="M99">
        <v>2058</v>
      </c>
      <c r="N99">
        <v>54420</v>
      </c>
      <c r="O99" t="s">
        <v>167</v>
      </c>
      <c r="P99" t="s">
        <v>48</v>
      </c>
      <c r="Q99" t="s">
        <v>322</v>
      </c>
      <c r="R99" t="s">
        <v>135</v>
      </c>
      <c r="S99" t="s">
        <v>135</v>
      </c>
      <c r="T99">
        <v>25423</v>
      </c>
      <c r="U99" t="s">
        <v>51</v>
      </c>
      <c r="V99">
        <v>6407</v>
      </c>
      <c r="W99">
        <v>5753</v>
      </c>
      <c r="X99" t="s">
        <v>362</v>
      </c>
      <c r="Y99" t="s">
        <v>277</v>
      </c>
      <c r="Z99" t="s">
        <v>635</v>
      </c>
      <c r="AA99" t="s">
        <v>315</v>
      </c>
      <c r="AB99">
        <v>28997</v>
      </c>
      <c r="AC99">
        <v>16587</v>
      </c>
      <c r="AD99">
        <v>6530</v>
      </c>
      <c r="AE99">
        <v>1924</v>
      </c>
      <c r="AF99">
        <v>358</v>
      </c>
      <c r="AG99">
        <v>24</v>
      </c>
      <c r="AH99">
        <v>13721</v>
      </c>
      <c r="AI99">
        <v>14286</v>
      </c>
      <c r="AJ99">
        <v>1747</v>
      </c>
      <c r="AK99">
        <v>6492</v>
      </c>
      <c r="AL99">
        <v>525</v>
      </c>
      <c r="AM99">
        <v>291</v>
      </c>
      <c r="AN99">
        <v>1</v>
      </c>
      <c r="AO99">
        <f>AVERAGE(Tabla2[[#This Row],[total_kills]:[rating]])</f>
        <v>12933.2</v>
      </c>
      <c r="AP99" t="str">
        <f>VLOOKUP(Tabla2[[#This Row],[KPI]],$AS$2:$AT$5,2,1)</f>
        <v>Superior</v>
      </c>
    </row>
    <row r="100" spans="1:42" x14ac:dyDescent="0.3">
      <c r="A100">
        <v>16487</v>
      </c>
      <c r="B100" t="s">
        <v>1598</v>
      </c>
      <c r="C100" t="s">
        <v>1599</v>
      </c>
      <c r="D100">
        <v>20</v>
      </c>
      <c r="E100" t="s">
        <v>545</v>
      </c>
      <c r="F100" t="s">
        <v>1600</v>
      </c>
      <c r="G100" t="s">
        <v>1355</v>
      </c>
      <c r="H100">
        <v>11072</v>
      </c>
      <c r="I100">
        <v>10401</v>
      </c>
      <c r="J100" t="s">
        <v>1601</v>
      </c>
      <c r="K100" t="s">
        <v>999</v>
      </c>
      <c r="L100" t="s">
        <v>93</v>
      </c>
      <c r="M100">
        <v>579</v>
      </c>
      <c r="N100">
        <v>15674</v>
      </c>
      <c r="O100" t="s">
        <v>646</v>
      </c>
      <c r="P100" t="s">
        <v>50</v>
      </c>
      <c r="Q100" t="s">
        <v>322</v>
      </c>
      <c r="R100" t="s">
        <v>66</v>
      </c>
      <c r="S100" t="s">
        <v>96</v>
      </c>
      <c r="T100">
        <v>7495</v>
      </c>
      <c r="U100" t="s">
        <v>51</v>
      </c>
      <c r="V100">
        <v>1832</v>
      </c>
      <c r="W100">
        <v>1524</v>
      </c>
      <c r="X100" t="s">
        <v>147</v>
      </c>
      <c r="Y100" t="s">
        <v>295</v>
      </c>
      <c r="Z100" t="s">
        <v>427</v>
      </c>
      <c r="AA100" t="s">
        <v>994</v>
      </c>
      <c r="AB100">
        <v>8179</v>
      </c>
      <c r="AC100">
        <v>4783</v>
      </c>
      <c r="AD100">
        <v>2001</v>
      </c>
      <c r="AE100">
        <v>568</v>
      </c>
      <c r="AF100">
        <v>132</v>
      </c>
      <c r="AG100">
        <v>11</v>
      </c>
      <c r="AH100">
        <v>3661</v>
      </c>
      <c r="AI100">
        <v>5245</v>
      </c>
      <c r="AJ100">
        <v>264</v>
      </c>
      <c r="AK100">
        <v>1785</v>
      </c>
      <c r="AL100">
        <v>121</v>
      </c>
      <c r="AM100">
        <v>35</v>
      </c>
      <c r="AN100" t="s">
        <v>590</v>
      </c>
      <c r="AO100">
        <f>AVERAGE(Tabla2[[#This Row],[total_kills]:[rating]])</f>
        <v>3966.4210526315787</v>
      </c>
      <c r="AP100" t="str">
        <f>VLOOKUP(Tabla2[[#This Row],[KPI]],$AS$2:$AT$5,2,1)</f>
        <v>Medio</v>
      </c>
    </row>
    <row r="101" spans="1:42" x14ac:dyDescent="0.3">
      <c r="A101">
        <v>12126</v>
      </c>
      <c r="B101" t="s">
        <v>603</v>
      </c>
      <c r="C101" t="s">
        <v>604</v>
      </c>
      <c r="D101">
        <v>23</v>
      </c>
      <c r="E101" t="s">
        <v>467</v>
      </c>
      <c r="F101" t="s">
        <v>605</v>
      </c>
      <c r="G101" t="s">
        <v>606</v>
      </c>
      <c r="H101">
        <v>21485</v>
      </c>
      <c r="I101">
        <v>18630</v>
      </c>
      <c r="J101" t="s">
        <v>607</v>
      </c>
      <c r="K101">
        <v>78</v>
      </c>
      <c r="L101" t="s">
        <v>331</v>
      </c>
      <c r="M101">
        <v>1101</v>
      </c>
      <c r="N101">
        <v>29160</v>
      </c>
      <c r="O101" t="s">
        <v>283</v>
      </c>
      <c r="P101" t="s">
        <v>48</v>
      </c>
      <c r="Q101" t="s">
        <v>65</v>
      </c>
      <c r="R101" t="s">
        <v>96</v>
      </c>
      <c r="S101" t="s">
        <v>50</v>
      </c>
      <c r="T101">
        <v>14140</v>
      </c>
      <c r="U101" t="s">
        <v>51</v>
      </c>
      <c r="V101">
        <v>3694</v>
      </c>
      <c r="W101">
        <v>2772</v>
      </c>
      <c r="X101" t="s">
        <v>442</v>
      </c>
      <c r="Y101" t="s">
        <v>111</v>
      </c>
      <c r="Z101" t="s">
        <v>192</v>
      </c>
      <c r="AA101" t="s">
        <v>334</v>
      </c>
      <c r="AB101">
        <v>15020</v>
      </c>
      <c r="AC101">
        <v>8731</v>
      </c>
      <c r="AD101">
        <v>3815</v>
      </c>
      <c r="AE101">
        <v>1285</v>
      </c>
      <c r="AF101">
        <v>276</v>
      </c>
      <c r="AG101">
        <v>33</v>
      </c>
      <c r="AH101">
        <v>6183</v>
      </c>
      <c r="AI101">
        <v>11134</v>
      </c>
      <c r="AJ101">
        <v>375</v>
      </c>
      <c r="AK101">
        <v>3612</v>
      </c>
      <c r="AL101">
        <v>213</v>
      </c>
      <c r="AM101">
        <v>30</v>
      </c>
      <c r="AN101" t="s">
        <v>111</v>
      </c>
      <c r="AO101">
        <f>AVERAGE(Tabla2[[#This Row],[total_kills]:[rating]])</f>
        <v>7088.35</v>
      </c>
      <c r="AP101" t="str">
        <f>VLOOKUP(Tabla2[[#This Row],[KPI]],$AS$2:$AT$5,2,1)</f>
        <v>Superior</v>
      </c>
    </row>
    <row r="102" spans="1:42" x14ac:dyDescent="0.3">
      <c r="A102">
        <v>13300</v>
      </c>
      <c r="B102" t="s">
        <v>859</v>
      </c>
      <c r="C102" t="s">
        <v>860</v>
      </c>
      <c r="D102">
        <v>23</v>
      </c>
      <c r="E102" t="s">
        <v>196</v>
      </c>
      <c r="F102" t="s">
        <v>229</v>
      </c>
      <c r="G102" t="s">
        <v>861</v>
      </c>
      <c r="H102">
        <v>14044</v>
      </c>
      <c r="I102">
        <v>12253</v>
      </c>
      <c r="J102" t="s">
        <v>607</v>
      </c>
      <c r="K102" t="s">
        <v>862</v>
      </c>
      <c r="L102" t="s">
        <v>63</v>
      </c>
      <c r="M102">
        <v>731</v>
      </c>
      <c r="N102">
        <v>19507</v>
      </c>
      <c r="O102" t="s">
        <v>311</v>
      </c>
      <c r="P102" t="s">
        <v>96</v>
      </c>
      <c r="Q102" t="s">
        <v>215</v>
      </c>
      <c r="R102" t="s">
        <v>66</v>
      </c>
      <c r="S102" t="s">
        <v>50</v>
      </c>
      <c r="T102">
        <v>9419</v>
      </c>
      <c r="U102" t="s">
        <v>51</v>
      </c>
      <c r="V102">
        <v>2407</v>
      </c>
      <c r="W102">
        <v>1582</v>
      </c>
      <c r="X102" t="s">
        <v>647</v>
      </c>
      <c r="Y102" t="s">
        <v>84</v>
      </c>
      <c r="Z102" t="s">
        <v>517</v>
      </c>
      <c r="AA102" t="s">
        <v>863</v>
      </c>
      <c r="AB102">
        <v>10088</v>
      </c>
      <c r="AC102">
        <v>5957</v>
      </c>
      <c r="AD102">
        <v>2493</v>
      </c>
      <c r="AE102">
        <v>791</v>
      </c>
      <c r="AF102">
        <v>162</v>
      </c>
      <c r="AG102">
        <v>16</v>
      </c>
      <c r="AH102">
        <v>3897</v>
      </c>
      <c r="AI102">
        <v>7374</v>
      </c>
      <c r="AJ102">
        <v>295</v>
      </c>
      <c r="AK102">
        <v>2370</v>
      </c>
      <c r="AL102">
        <v>119</v>
      </c>
      <c r="AM102">
        <v>29</v>
      </c>
      <c r="AN102" t="s">
        <v>561</v>
      </c>
      <c r="AO102">
        <f>AVERAGE(Tabla2[[#This Row],[total_kills]:[rating]])</f>
        <v>4922.8421052631575</v>
      </c>
      <c r="AP102" t="str">
        <f>VLOOKUP(Tabla2[[#This Row],[KPI]],$AS$2:$AT$5,2,1)</f>
        <v>Alto</v>
      </c>
    </row>
    <row r="103" spans="1:42" x14ac:dyDescent="0.3">
      <c r="A103">
        <v>10587</v>
      </c>
      <c r="B103" t="s">
        <v>1102</v>
      </c>
      <c r="C103" t="s">
        <v>1103</v>
      </c>
      <c r="D103">
        <v>27</v>
      </c>
      <c r="E103" t="s">
        <v>299</v>
      </c>
      <c r="F103" t="s">
        <v>3514</v>
      </c>
      <c r="G103" t="s">
        <v>1104</v>
      </c>
      <c r="H103">
        <v>8937</v>
      </c>
      <c r="I103">
        <v>8017</v>
      </c>
      <c r="J103" t="s">
        <v>1105</v>
      </c>
      <c r="K103" t="s">
        <v>540</v>
      </c>
      <c r="L103" t="s">
        <v>294</v>
      </c>
      <c r="M103">
        <v>479</v>
      </c>
      <c r="N103">
        <v>12350</v>
      </c>
      <c r="O103" t="s">
        <v>311</v>
      </c>
      <c r="P103" t="s">
        <v>48</v>
      </c>
      <c r="Q103" t="s">
        <v>276</v>
      </c>
      <c r="R103" t="s">
        <v>96</v>
      </c>
      <c r="S103" t="s">
        <v>50</v>
      </c>
      <c r="T103">
        <v>5989</v>
      </c>
      <c r="U103" t="s">
        <v>51</v>
      </c>
      <c r="V103">
        <v>1635</v>
      </c>
      <c r="W103">
        <v>1217</v>
      </c>
      <c r="X103" t="s">
        <v>1106</v>
      </c>
      <c r="Y103" t="s">
        <v>206</v>
      </c>
      <c r="Z103" t="s">
        <v>246</v>
      </c>
      <c r="AA103" t="s">
        <v>138</v>
      </c>
      <c r="AB103">
        <v>6361</v>
      </c>
      <c r="AC103">
        <v>3745</v>
      </c>
      <c r="AD103">
        <v>1656</v>
      </c>
      <c r="AE103">
        <v>480</v>
      </c>
      <c r="AF103">
        <v>100</v>
      </c>
      <c r="AG103">
        <v>8</v>
      </c>
      <c r="AH103">
        <v>2367</v>
      </c>
      <c r="AI103">
        <v>4240</v>
      </c>
      <c r="AJ103">
        <v>351</v>
      </c>
      <c r="AK103">
        <v>1823</v>
      </c>
      <c r="AL103">
        <v>132</v>
      </c>
      <c r="AM103">
        <v>62</v>
      </c>
      <c r="AN103" t="s">
        <v>464</v>
      </c>
      <c r="AO103">
        <f>AVERAGE(Tabla2[[#This Row],[total_kills]:[rating]])</f>
        <v>3155.2105263157896</v>
      </c>
      <c r="AP103" t="str">
        <f>VLOOKUP(Tabla2[[#This Row],[KPI]],$AS$2:$AT$5,2,1)</f>
        <v>Bajo</v>
      </c>
    </row>
    <row r="104" spans="1:42" x14ac:dyDescent="0.3">
      <c r="A104">
        <v>11842</v>
      </c>
      <c r="B104" t="s">
        <v>1359</v>
      </c>
      <c r="C104" t="s">
        <v>1360</v>
      </c>
      <c r="D104">
        <v>22</v>
      </c>
      <c r="E104" t="s">
        <v>1144</v>
      </c>
      <c r="F104" t="s">
        <v>1361</v>
      </c>
      <c r="G104" t="s">
        <v>1362</v>
      </c>
      <c r="H104">
        <v>8110</v>
      </c>
      <c r="I104">
        <v>7557</v>
      </c>
      <c r="J104" t="s">
        <v>1105</v>
      </c>
      <c r="K104" t="s">
        <v>1363</v>
      </c>
      <c r="L104" t="s">
        <v>216</v>
      </c>
      <c r="M104">
        <v>425</v>
      </c>
      <c r="N104">
        <v>11070</v>
      </c>
      <c r="O104" t="s">
        <v>495</v>
      </c>
      <c r="P104" t="s">
        <v>50</v>
      </c>
      <c r="Q104" t="s">
        <v>167</v>
      </c>
      <c r="R104" t="s">
        <v>135</v>
      </c>
      <c r="S104" t="s">
        <v>66</v>
      </c>
      <c r="T104">
        <v>5420</v>
      </c>
      <c r="U104" t="s">
        <v>51</v>
      </c>
      <c r="V104">
        <v>1558</v>
      </c>
      <c r="W104">
        <v>1275</v>
      </c>
      <c r="X104" t="s">
        <v>114</v>
      </c>
      <c r="Y104" t="s">
        <v>169</v>
      </c>
      <c r="Z104" t="s">
        <v>324</v>
      </c>
      <c r="AA104" t="s">
        <v>1364</v>
      </c>
      <c r="AB104">
        <v>5650</v>
      </c>
      <c r="AC104">
        <v>3377</v>
      </c>
      <c r="AD104">
        <v>1494</v>
      </c>
      <c r="AE104">
        <v>457</v>
      </c>
      <c r="AF104">
        <v>86</v>
      </c>
      <c r="AG104">
        <v>6</v>
      </c>
      <c r="AH104">
        <v>2720</v>
      </c>
      <c r="AI104">
        <v>3573</v>
      </c>
      <c r="AJ104">
        <v>231</v>
      </c>
      <c r="AK104">
        <v>1528</v>
      </c>
      <c r="AL104">
        <v>57</v>
      </c>
      <c r="AM104">
        <v>11</v>
      </c>
      <c r="AN104" t="s">
        <v>295</v>
      </c>
      <c r="AO104">
        <f>AVERAGE(Tabla2[[#This Row],[total_kills]:[rating]])</f>
        <v>2873.9473684210525</v>
      </c>
      <c r="AP104" t="str">
        <f>VLOOKUP(Tabla2[[#This Row],[KPI]],$AS$2:$AT$5,2,1)</f>
        <v>Bajo</v>
      </c>
    </row>
    <row r="105" spans="1:42" x14ac:dyDescent="0.3">
      <c r="A105">
        <v>7810</v>
      </c>
      <c r="B105" t="s">
        <v>940</v>
      </c>
      <c r="C105" t="s">
        <v>941</v>
      </c>
      <c r="D105">
        <v>28</v>
      </c>
      <c r="E105" t="s">
        <v>459</v>
      </c>
      <c r="F105" t="s">
        <v>3514</v>
      </c>
      <c r="G105" t="s">
        <v>942</v>
      </c>
      <c r="H105">
        <v>18509</v>
      </c>
      <c r="I105">
        <v>16451</v>
      </c>
      <c r="J105" t="s">
        <v>943</v>
      </c>
      <c r="K105" t="s">
        <v>645</v>
      </c>
      <c r="L105" t="s">
        <v>63</v>
      </c>
      <c r="M105">
        <v>966</v>
      </c>
      <c r="N105">
        <v>25252</v>
      </c>
      <c r="O105" t="s">
        <v>495</v>
      </c>
      <c r="P105" t="s">
        <v>50</v>
      </c>
      <c r="Q105" t="s">
        <v>276</v>
      </c>
      <c r="R105" t="s">
        <v>96</v>
      </c>
      <c r="S105" t="s">
        <v>50</v>
      </c>
      <c r="T105">
        <v>12368</v>
      </c>
      <c r="U105" t="s">
        <v>51</v>
      </c>
      <c r="V105">
        <v>3270</v>
      </c>
      <c r="W105">
        <v>2472</v>
      </c>
      <c r="X105" t="s">
        <v>56</v>
      </c>
      <c r="Y105" t="s">
        <v>84</v>
      </c>
      <c r="Z105" t="s">
        <v>347</v>
      </c>
      <c r="AA105" t="s">
        <v>906</v>
      </c>
      <c r="AB105">
        <v>12884</v>
      </c>
      <c r="AC105">
        <v>7748</v>
      </c>
      <c r="AD105">
        <v>3362</v>
      </c>
      <c r="AE105">
        <v>1037</v>
      </c>
      <c r="AF105">
        <v>193</v>
      </c>
      <c r="AG105">
        <v>28</v>
      </c>
      <c r="AH105">
        <v>4329</v>
      </c>
      <c r="AI105">
        <v>9773</v>
      </c>
      <c r="AJ105">
        <v>465</v>
      </c>
      <c r="AK105">
        <v>3816</v>
      </c>
      <c r="AL105">
        <v>118</v>
      </c>
      <c r="AM105">
        <v>36</v>
      </c>
      <c r="AN105" t="s">
        <v>277</v>
      </c>
      <c r="AO105">
        <f>AVERAGE(Tabla2[[#This Row],[total_kills]:[rating]])</f>
        <v>6477.7368421052633</v>
      </c>
      <c r="AP105" t="str">
        <f>VLOOKUP(Tabla2[[#This Row],[KPI]],$AS$2:$AT$5,2,1)</f>
        <v>Alto</v>
      </c>
    </row>
    <row r="106" spans="1:42" x14ac:dyDescent="0.3">
      <c r="A106">
        <v>8786</v>
      </c>
      <c r="B106" t="s">
        <v>2181</v>
      </c>
      <c r="C106" t="s">
        <v>2182</v>
      </c>
      <c r="D106">
        <v>28</v>
      </c>
      <c r="E106" t="s">
        <v>59</v>
      </c>
      <c r="F106" t="s">
        <v>2183</v>
      </c>
      <c r="G106" t="s">
        <v>2184</v>
      </c>
      <c r="H106">
        <v>16101</v>
      </c>
      <c r="I106">
        <v>15547</v>
      </c>
      <c r="J106" t="s">
        <v>943</v>
      </c>
      <c r="K106" t="s">
        <v>1550</v>
      </c>
      <c r="L106" t="s">
        <v>541</v>
      </c>
      <c r="M106">
        <v>892</v>
      </c>
      <c r="N106">
        <v>23804</v>
      </c>
      <c r="O106" t="s">
        <v>167</v>
      </c>
      <c r="P106" t="s">
        <v>67</v>
      </c>
      <c r="Q106" t="s">
        <v>276</v>
      </c>
      <c r="R106" t="s">
        <v>66</v>
      </c>
      <c r="S106" t="s">
        <v>135</v>
      </c>
      <c r="T106">
        <v>11015</v>
      </c>
      <c r="U106" t="s">
        <v>51</v>
      </c>
      <c r="V106">
        <v>2992</v>
      </c>
      <c r="W106">
        <v>2625</v>
      </c>
      <c r="X106" t="s">
        <v>111</v>
      </c>
      <c r="Y106" t="s">
        <v>362</v>
      </c>
      <c r="Z106" t="s">
        <v>1165</v>
      </c>
      <c r="AA106" t="s">
        <v>863</v>
      </c>
      <c r="AB106">
        <v>12789</v>
      </c>
      <c r="AC106">
        <v>7131</v>
      </c>
      <c r="AD106">
        <v>2872</v>
      </c>
      <c r="AE106">
        <v>837</v>
      </c>
      <c r="AF106">
        <v>161</v>
      </c>
      <c r="AG106">
        <v>14</v>
      </c>
      <c r="AH106">
        <v>3890</v>
      </c>
      <c r="AI106">
        <v>8352</v>
      </c>
      <c r="AJ106">
        <v>815</v>
      </c>
      <c r="AK106">
        <v>2845</v>
      </c>
      <c r="AL106">
        <v>166</v>
      </c>
      <c r="AM106">
        <v>72</v>
      </c>
      <c r="AN106" t="s">
        <v>255</v>
      </c>
      <c r="AO106">
        <f>AVERAGE(Tabla2[[#This Row],[total_kills]:[rating]])</f>
        <v>5943.1578947368425</v>
      </c>
      <c r="AP106" t="str">
        <f>VLOOKUP(Tabla2[[#This Row],[KPI]],$AS$2:$AT$5,2,1)</f>
        <v>Alto</v>
      </c>
    </row>
    <row r="107" spans="1:42" x14ac:dyDescent="0.3">
      <c r="A107">
        <v>7369</v>
      </c>
      <c r="B107" t="s">
        <v>2355</v>
      </c>
      <c r="C107" t="s">
        <v>2356</v>
      </c>
      <c r="D107">
        <v>31</v>
      </c>
      <c r="E107" t="s">
        <v>327</v>
      </c>
      <c r="F107" t="s">
        <v>3514</v>
      </c>
      <c r="G107" t="s">
        <v>2357</v>
      </c>
      <c r="H107">
        <v>6788</v>
      </c>
      <c r="I107">
        <v>6691</v>
      </c>
      <c r="J107" t="s">
        <v>943</v>
      </c>
      <c r="K107">
        <v>71</v>
      </c>
      <c r="L107" t="s">
        <v>441</v>
      </c>
      <c r="M107">
        <v>379</v>
      </c>
      <c r="N107">
        <v>9993</v>
      </c>
      <c r="O107" t="s">
        <v>167</v>
      </c>
      <c r="P107" t="s">
        <v>48</v>
      </c>
      <c r="Q107" t="s">
        <v>225</v>
      </c>
      <c r="R107" t="s">
        <v>50</v>
      </c>
      <c r="S107" t="s">
        <v>50</v>
      </c>
      <c r="T107">
        <v>4623</v>
      </c>
      <c r="U107" t="s">
        <v>51</v>
      </c>
      <c r="V107">
        <v>1193</v>
      </c>
      <c r="W107">
        <v>989</v>
      </c>
      <c r="X107" t="s">
        <v>136</v>
      </c>
      <c r="Y107" t="s">
        <v>561</v>
      </c>
      <c r="Z107" t="s">
        <v>183</v>
      </c>
      <c r="AA107" t="s">
        <v>354</v>
      </c>
      <c r="AB107">
        <v>5370</v>
      </c>
      <c r="AC107">
        <v>2985</v>
      </c>
      <c r="AD107">
        <v>1200</v>
      </c>
      <c r="AE107">
        <v>366</v>
      </c>
      <c r="AF107">
        <v>64</v>
      </c>
      <c r="AG107">
        <v>8</v>
      </c>
      <c r="AH107">
        <v>2930</v>
      </c>
      <c r="AI107">
        <v>2378</v>
      </c>
      <c r="AJ107">
        <v>232</v>
      </c>
      <c r="AK107">
        <v>1161</v>
      </c>
      <c r="AL107">
        <v>61</v>
      </c>
      <c r="AM107">
        <v>28</v>
      </c>
      <c r="AN107">
        <v>1</v>
      </c>
      <c r="AO107">
        <f>AVERAGE(Tabla2[[#This Row],[total_kills]:[rating]])</f>
        <v>2262.4285714285716</v>
      </c>
      <c r="AP107" t="str">
        <f>VLOOKUP(Tabla2[[#This Row],[KPI]],$AS$2:$AT$5,2,1)</f>
        <v>Bajo</v>
      </c>
    </row>
    <row r="108" spans="1:42" x14ac:dyDescent="0.3">
      <c r="A108">
        <v>12840</v>
      </c>
      <c r="B108" t="s">
        <v>1068</v>
      </c>
      <c r="C108" t="s">
        <v>1069</v>
      </c>
      <c r="D108">
        <v>22</v>
      </c>
      <c r="E108" t="s">
        <v>1070</v>
      </c>
      <c r="F108" t="s">
        <v>812</v>
      </c>
      <c r="G108" t="s">
        <v>1071</v>
      </c>
      <c r="H108">
        <v>14681</v>
      </c>
      <c r="I108">
        <v>13276</v>
      </c>
      <c r="J108" t="s">
        <v>1072</v>
      </c>
      <c r="K108">
        <v>74</v>
      </c>
      <c r="L108" t="s">
        <v>390</v>
      </c>
      <c r="M108">
        <v>746</v>
      </c>
      <c r="N108">
        <v>20275</v>
      </c>
      <c r="O108" t="s">
        <v>311</v>
      </c>
      <c r="P108" t="s">
        <v>96</v>
      </c>
      <c r="Q108" t="s">
        <v>276</v>
      </c>
      <c r="R108" t="s">
        <v>50</v>
      </c>
      <c r="S108" t="s">
        <v>67</v>
      </c>
      <c r="T108">
        <v>9763</v>
      </c>
      <c r="U108" t="s">
        <v>51</v>
      </c>
      <c r="V108">
        <v>2557</v>
      </c>
      <c r="W108">
        <v>1895</v>
      </c>
      <c r="X108" t="s">
        <v>323</v>
      </c>
      <c r="Y108" t="s">
        <v>111</v>
      </c>
      <c r="Z108" t="s">
        <v>635</v>
      </c>
      <c r="AA108" t="s">
        <v>497</v>
      </c>
      <c r="AB108">
        <v>10512</v>
      </c>
      <c r="AC108">
        <v>6073</v>
      </c>
      <c r="AD108">
        <v>2688</v>
      </c>
      <c r="AE108">
        <v>810</v>
      </c>
      <c r="AF108">
        <v>158</v>
      </c>
      <c r="AG108">
        <v>34</v>
      </c>
      <c r="AH108">
        <v>3690</v>
      </c>
      <c r="AI108">
        <v>7933</v>
      </c>
      <c r="AJ108">
        <v>365</v>
      </c>
      <c r="AK108">
        <v>2570</v>
      </c>
      <c r="AL108">
        <v>124</v>
      </c>
      <c r="AM108">
        <v>41</v>
      </c>
      <c r="AN108" t="s">
        <v>561</v>
      </c>
      <c r="AO108">
        <f>AVERAGE(Tabla2[[#This Row],[total_kills]:[rating]])</f>
        <v>4913.25</v>
      </c>
      <c r="AP108" t="str">
        <f>VLOOKUP(Tabla2[[#This Row],[KPI]],$AS$2:$AT$5,2,1)</f>
        <v>Alto</v>
      </c>
    </row>
    <row r="109" spans="1:42" x14ac:dyDescent="0.3">
      <c r="A109">
        <v>9358</v>
      </c>
      <c r="B109" t="s">
        <v>1693</v>
      </c>
      <c r="C109" t="s">
        <v>1694</v>
      </c>
      <c r="D109">
        <v>25</v>
      </c>
      <c r="E109" t="s">
        <v>337</v>
      </c>
      <c r="F109" t="s">
        <v>3514</v>
      </c>
      <c r="G109" t="s">
        <v>1695</v>
      </c>
      <c r="H109">
        <v>9988</v>
      </c>
      <c r="I109">
        <v>9406</v>
      </c>
      <c r="J109" t="s">
        <v>1696</v>
      </c>
      <c r="K109" t="s">
        <v>486</v>
      </c>
      <c r="L109" t="s">
        <v>179</v>
      </c>
      <c r="M109">
        <v>549</v>
      </c>
      <c r="N109">
        <v>14256</v>
      </c>
      <c r="O109" t="s">
        <v>905</v>
      </c>
      <c r="P109" t="s">
        <v>50</v>
      </c>
      <c r="Q109" t="s">
        <v>322</v>
      </c>
      <c r="R109" t="s">
        <v>96</v>
      </c>
      <c r="S109" t="s">
        <v>50</v>
      </c>
      <c r="T109">
        <v>6792</v>
      </c>
      <c r="U109" t="s">
        <v>51</v>
      </c>
      <c r="V109">
        <v>1491</v>
      </c>
      <c r="W109">
        <v>1324</v>
      </c>
      <c r="X109" t="s">
        <v>98</v>
      </c>
      <c r="Y109" t="s">
        <v>412</v>
      </c>
      <c r="Z109" t="s">
        <v>955</v>
      </c>
      <c r="AA109" t="s">
        <v>676</v>
      </c>
      <c r="AB109">
        <v>7464</v>
      </c>
      <c r="AC109">
        <v>4355</v>
      </c>
      <c r="AD109">
        <v>1798</v>
      </c>
      <c r="AE109">
        <v>532</v>
      </c>
      <c r="AF109">
        <v>94</v>
      </c>
      <c r="AG109">
        <v>13</v>
      </c>
      <c r="AH109">
        <v>3446</v>
      </c>
      <c r="AI109">
        <v>4069</v>
      </c>
      <c r="AJ109">
        <v>351</v>
      </c>
      <c r="AK109">
        <v>2026</v>
      </c>
      <c r="AL109">
        <v>85</v>
      </c>
      <c r="AM109">
        <v>26</v>
      </c>
      <c r="AN109" t="s">
        <v>412</v>
      </c>
      <c r="AO109">
        <f>AVERAGE(Tabla2[[#This Row],[total_kills]:[rating]])</f>
        <v>3582.3684210526317</v>
      </c>
      <c r="AP109" t="str">
        <f>VLOOKUP(Tabla2[[#This Row],[KPI]],$AS$2:$AT$5,2,1)</f>
        <v>Medio</v>
      </c>
    </row>
    <row r="110" spans="1:42" x14ac:dyDescent="0.3">
      <c r="A110">
        <v>11238</v>
      </c>
      <c r="B110" t="s">
        <v>2251</v>
      </c>
      <c r="C110" t="s">
        <v>2252</v>
      </c>
      <c r="D110">
        <v>23</v>
      </c>
      <c r="E110" t="s">
        <v>459</v>
      </c>
      <c r="F110" t="s">
        <v>3514</v>
      </c>
      <c r="G110" t="s">
        <v>2253</v>
      </c>
      <c r="H110">
        <v>8738</v>
      </c>
      <c r="I110">
        <v>8790</v>
      </c>
      <c r="J110" t="s">
        <v>2254</v>
      </c>
      <c r="K110" t="s">
        <v>2171</v>
      </c>
      <c r="L110" t="s">
        <v>313</v>
      </c>
      <c r="M110">
        <v>473</v>
      </c>
      <c r="N110">
        <v>12356</v>
      </c>
      <c r="O110" t="s">
        <v>646</v>
      </c>
      <c r="P110" t="s">
        <v>96</v>
      </c>
      <c r="Q110" t="s">
        <v>646</v>
      </c>
      <c r="R110" t="s">
        <v>50</v>
      </c>
      <c r="S110" t="s">
        <v>50</v>
      </c>
      <c r="T110">
        <v>5863</v>
      </c>
      <c r="U110" t="s">
        <v>51</v>
      </c>
      <c r="V110">
        <v>1737</v>
      </c>
      <c r="W110">
        <v>1547</v>
      </c>
      <c r="X110" t="s">
        <v>370</v>
      </c>
      <c r="Y110" t="s">
        <v>206</v>
      </c>
      <c r="Z110" t="s">
        <v>2130</v>
      </c>
      <c r="AA110" t="s">
        <v>2255</v>
      </c>
      <c r="AB110">
        <v>6493</v>
      </c>
      <c r="AC110">
        <v>3718</v>
      </c>
      <c r="AD110">
        <v>1532</v>
      </c>
      <c r="AE110">
        <v>505</v>
      </c>
      <c r="AF110">
        <v>99</v>
      </c>
      <c r="AG110">
        <v>9</v>
      </c>
      <c r="AH110">
        <v>2379</v>
      </c>
      <c r="AI110">
        <v>4372</v>
      </c>
      <c r="AJ110">
        <v>365</v>
      </c>
      <c r="AK110">
        <v>1578</v>
      </c>
      <c r="AL110">
        <v>55</v>
      </c>
      <c r="AM110">
        <v>12</v>
      </c>
      <c r="AN110" t="s">
        <v>407</v>
      </c>
      <c r="AO110">
        <f>AVERAGE(Tabla2[[#This Row],[total_kills]:[rating]])</f>
        <v>3190.5789473684213</v>
      </c>
      <c r="AP110" t="str">
        <f>VLOOKUP(Tabla2[[#This Row],[KPI]],$AS$2:$AT$5,2,1)</f>
        <v>Bajo</v>
      </c>
    </row>
    <row r="111" spans="1:42" x14ac:dyDescent="0.3">
      <c r="A111">
        <v>9680</v>
      </c>
      <c r="B111" t="s">
        <v>2103</v>
      </c>
      <c r="C111" t="s">
        <v>2104</v>
      </c>
      <c r="D111">
        <v>25</v>
      </c>
      <c r="E111" t="s">
        <v>299</v>
      </c>
      <c r="F111" t="s">
        <v>3514</v>
      </c>
      <c r="G111" t="s">
        <v>2105</v>
      </c>
      <c r="H111">
        <v>8741</v>
      </c>
      <c r="I111">
        <v>8534</v>
      </c>
      <c r="J111" t="s">
        <v>2106</v>
      </c>
      <c r="K111" t="s">
        <v>1234</v>
      </c>
      <c r="L111">
        <v>4</v>
      </c>
      <c r="M111">
        <v>495</v>
      </c>
      <c r="N111">
        <v>12785</v>
      </c>
      <c r="O111" t="s">
        <v>167</v>
      </c>
      <c r="P111" t="s">
        <v>48</v>
      </c>
      <c r="Q111" t="s">
        <v>225</v>
      </c>
      <c r="R111" t="s">
        <v>96</v>
      </c>
      <c r="S111" t="s">
        <v>96</v>
      </c>
      <c r="T111">
        <v>5874</v>
      </c>
      <c r="U111" t="s">
        <v>51</v>
      </c>
      <c r="V111">
        <v>1571</v>
      </c>
      <c r="W111">
        <v>1310</v>
      </c>
      <c r="X111" t="s">
        <v>147</v>
      </c>
      <c r="Y111" t="s">
        <v>362</v>
      </c>
      <c r="Z111" t="s">
        <v>455</v>
      </c>
      <c r="AA111" t="s">
        <v>193</v>
      </c>
      <c r="AB111">
        <v>6911</v>
      </c>
      <c r="AC111">
        <v>3716</v>
      </c>
      <c r="AD111">
        <v>1582</v>
      </c>
      <c r="AE111">
        <v>458</v>
      </c>
      <c r="AF111">
        <v>103</v>
      </c>
      <c r="AG111">
        <v>15</v>
      </c>
      <c r="AH111">
        <v>2520</v>
      </c>
      <c r="AI111">
        <v>4060</v>
      </c>
      <c r="AJ111">
        <v>390</v>
      </c>
      <c r="AK111">
        <v>1650</v>
      </c>
      <c r="AL111">
        <v>114</v>
      </c>
      <c r="AM111">
        <v>20</v>
      </c>
      <c r="AN111" t="s">
        <v>255</v>
      </c>
      <c r="AO111">
        <f>AVERAGE(Tabla2[[#This Row],[total_kills]:[rating]])</f>
        <v>3042.65</v>
      </c>
      <c r="AP111" t="str">
        <f>VLOOKUP(Tabla2[[#This Row],[KPI]],$AS$2:$AT$5,2,1)</f>
        <v>Bajo</v>
      </c>
    </row>
    <row r="112" spans="1:42" x14ac:dyDescent="0.3">
      <c r="A112">
        <v>2555</v>
      </c>
      <c r="B112" t="s">
        <v>1676</v>
      </c>
      <c r="C112" t="s">
        <v>1677</v>
      </c>
      <c r="D112">
        <v>33</v>
      </c>
      <c r="E112" t="s">
        <v>299</v>
      </c>
      <c r="F112" t="s">
        <v>3514</v>
      </c>
      <c r="G112" t="s">
        <v>1678</v>
      </c>
      <c r="H112">
        <v>9755</v>
      </c>
      <c r="I112">
        <v>9105</v>
      </c>
      <c r="J112" t="s">
        <v>1679</v>
      </c>
      <c r="K112" t="s">
        <v>1680</v>
      </c>
      <c r="L112" t="s">
        <v>575</v>
      </c>
      <c r="M112">
        <v>547</v>
      </c>
      <c r="N112">
        <v>14003</v>
      </c>
      <c r="O112" t="s">
        <v>905</v>
      </c>
      <c r="P112" t="s">
        <v>202</v>
      </c>
      <c r="Q112" t="s">
        <v>276</v>
      </c>
      <c r="R112" t="s">
        <v>96</v>
      </c>
      <c r="S112" t="s">
        <v>96</v>
      </c>
      <c r="T112">
        <v>6656</v>
      </c>
      <c r="U112" t="s">
        <v>51</v>
      </c>
      <c r="V112">
        <v>1771</v>
      </c>
      <c r="W112">
        <v>1377</v>
      </c>
      <c r="X112" t="s">
        <v>168</v>
      </c>
      <c r="Y112" t="s">
        <v>111</v>
      </c>
      <c r="Z112" t="s">
        <v>1681</v>
      </c>
      <c r="AA112" t="s">
        <v>863</v>
      </c>
      <c r="AB112">
        <v>7347</v>
      </c>
      <c r="AC112">
        <v>4288</v>
      </c>
      <c r="AD112">
        <v>1756</v>
      </c>
      <c r="AE112">
        <v>512</v>
      </c>
      <c r="AF112">
        <v>87</v>
      </c>
      <c r="AG112">
        <v>13</v>
      </c>
      <c r="AH112">
        <v>3399</v>
      </c>
      <c r="AI112">
        <v>3743</v>
      </c>
      <c r="AJ112">
        <v>554</v>
      </c>
      <c r="AK112">
        <v>1808</v>
      </c>
      <c r="AL112">
        <v>213</v>
      </c>
      <c r="AM112">
        <v>60</v>
      </c>
      <c r="AN112" t="s">
        <v>412</v>
      </c>
      <c r="AO112">
        <f>AVERAGE(Tabla2[[#This Row],[total_kills]:[rating]])</f>
        <v>3526</v>
      </c>
      <c r="AP112" t="str">
        <f>VLOOKUP(Tabla2[[#This Row],[KPI]],$AS$2:$AT$5,2,1)</f>
        <v>Medio</v>
      </c>
    </row>
    <row r="113" spans="1:42" x14ac:dyDescent="0.3">
      <c r="A113">
        <v>10499</v>
      </c>
      <c r="B113" t="s">
        <v>1718</v>
      </c>
      <c r="C113" t="s">
        <v>1719</v>
      </c>
      <c r="D113">
        <v>30</v>
      </c>
      <c r="E113" t="s">
        <v>1012</v>
      </c>
      <c r="F113" t="s">
        <v>1013</v>
      </c>
      <c r="G113" t="s">
        <v>1720</v>
      </c>
      <c r="H113">
        <v>7625</v>
      </c>
      <c r="I113">
        <v>7272</v>
      </c>
      <c r="J113" t="s">
        <v>1679</v>
      </c>
      <c r="K113">
        <v>75</v>
      </c>
      <c r="L113" t="s">
        <v>589</v>
      </c>
      <c r="M113">
        <v>425</v>
      </c>
      <c r="N113">
        <v>10919</v>
      </c>
      <c r="O113" t="s">
        <v>905</v>
      </c>
      <c r="P113" t="s">
        <v>67</v>
      </c>
      <c r="Q113" t="s">
        <v>225</v>
      </c>
      <c r="R113" t="s">
        <v>96</v>
      </c>
      <c r="S113" t="s">
        <v>96</v>
      </c>
      <c r="T113">
        <v>5151</v>
      </c>
      <c r="U113" t="s">
        <v>51</v>
      </c>
      <c r="V113">
        <v>1416</v>
      </c>
      <c r="W113">
        <v>1089</v>
      </c>
      <c r="X113" t="s">
        <v>516</v>
      </c>
      <c r="Y113" t="s">
        <v>84</v>
      </c>
      <c r="Z113" t="s">
        <v>653</v>
      </c>
      <c r="AA113" t="s">
        <v>205</v>
      </c>
      <c r="AB113">
        <v>5768</v>
      </c>
      <c r="AC113">
        <v>3305</v>
      </c>
      <c r="AD113">
        <v>1336</v>
      </c>
      <c r="AE113">
        <v>406</v>
      </c>
      <c r="AF113">
        <v>90</v>
      </c>
      <c r="AG113">
        <v>14</v>
      </c>
      <c r="AH113">
        <v>2262</v>
      </c>
      <c r="AI113">
        <v>3566</v>
      </c>
      <c r="AJ113">
        <v>308</v>
      </c>
      <c r="AK113">
        <v>1377</v>
      </c>
      <c r="AL113">
        <v>105</v>
      </c>
      <c r="AM113">
        <v>26</v>
      </c>
      <c r="AN113" t="s">
        <v>412</v>
      </c>
      <c r="AO113">
        <f>AVERAGE(Tabla2[[#This Row],[total_kills]:[rating]])</f>
        <v>2626.75</v>
      </c>
      <c r="AP113" t="str">
        <f>VLOOKUP(Tabla2[[#This Row],[KPI]],$AS$2:$AT$5,2,1)</f>
        <v>Bajo</v>
      </c>
    </row>
    <row r="114" spans="1:42" x14ac:dyDescent="0.3">
      <c r="A114">
        <v>17306</v>
      </c>
      <c r="B114" t="s">
        <v>128</v>
      </c>
      <c r="C114" t="s">
        <v>129</v>
      </c>
      <c r="D114">
        <v>21</v>
      </c>
      <c r="E114" t="s">
        <v>75</v>
      </c>
      <c r="F114" t="s">
        <v>130</v>
      </c>
      <c r="G114" t="s">
        <v>131</v>
      </c>
      <c r="H114">
        <v>14351</v>
      </c>
      <c r="I114">
        <v>10988</v>
      </c>
      <c r="J114" t="s">
        <v>132</v>
      </c>
      <c r="K114" t="s">
        <v>133</v>
      </c>
      <c r="L114" t="s">
        <v>122</v>
      </c>
      <c r="M114">
        <v>686</v>
      </c>
      <c r="N114">
        <v>18284</v>
      </c>
      <c r="O114" t="s">
        <v>123</v>
      </c>
      <c r="P114" t="s">
        <v>96</v>
      </c>
      <c r="Q114" t="s">
        <v>134</v>
      </c>
      <c r="R114" t="s">
        <v>135</v>
      </c>
      <c r="S114" t="s">
        <v>50</v>
      </c>
      <c r="T114">
        <v>9383</v>
      </c>
      <c r="U114" t="s">
        <v>51</v>
      </c>
      <c r="V114">
        <v>2480</v>
      </c>
      <c r="W114">
        <v>1469</v>
      </c>
      <c r="X114" t="s">
        <v>124</v>
      </c>
      <c r="Y114" t="s">
        <v>136</v>
      </c>
      <c r="Z114" t="s">
        <v>137</v>
      </c>
      <c r="AA114" t="s">
        <v>138</v>
      </c>
      <c r="AB114">
        <v>8901</v>
      </c>
      <c r="AC114">
        <v>5669</v>
      </c>
      <c r="AD114">
        <v>2677</v>
      </c>
      <c r="AE114">
        <v>841</v>
      </c>
      <c r="AF114">
        <v>175</v>
      </c>
      <c r="AG114">
        <v>21</v>
      </c>
      <c r="AH114">
        <v>4118</v>
      </c>
      <c r="AI114">
        <v>7544</v>
      </c>
      <c r="AJ114">
        <v>253</v>
      </c>
      <c r="AK114">
        <v>2266</v>
      </c>
      <c r="AL114">
        <v>181</v>
      </c>
      <c r="AM114">
        <v>49</v>
      </c>
      <c r="AN114" t="s">
        <v>136</v>
      </c>
      <c r="AO114">
        <f>AVERAGE(Tabla2[[#This Row],[total_kills]:[rating]])</f>
        <v>4754.5263157894733</v>
      </c>
      <c r="AP114" t="str">
        <f>VLOOKUP(Tabla2[[#This Row],[KPI]],$AS$2:$AT$5,2,1)</f>
        <v>Medio</v>
      </c>
    </row>
    <row r="115" spans="1:42" x14ac:dyDescent="0.3">
      <c r="A115">
        <v>7993</v>
      </c>
      <c r="B115" t="s">
        <v>898</v>
      </c>
      <c r="C115" t="s">
        <v>899</v>
      </c>
      <c r="D115">
        <v>31</v>
      </c>
      <c r="E115" t="s">
        <v>758</v>
      </c>
      <c r="F115" t="s">
        <v>3514</v>
      </c>
      <c r="G115" t="s">
        <v>900</v>
      </c>
      <c r="H115">
        <v>7633</v>
      </c>
      <c r="I115">
        <v>6771</v>
      </c>
      <c r="J115" t="s">
        <v>132</v>
      </c>
      <c r="K115" t="s">
        <v>617</v>
      </c>
      <c r="L115" t="s">
        <v>224</v>
      </c>
      <c r="M115">
        <v>412</v>
      </c>
      <c r="N115">
        <v>10449</v>
      </c>
      <c r="O115" t="s">
        <v>495</v>
      </c>
      <c r="P115" t="s">
        <v>202</v>
      </c>
      <c r="Q115" t="s">
        <v>276</v>
      </c>
      <c r="R115" t="s">
        <v>50</v>
      </c>
      <c r="S115" t="s">
        <v>96</v>
      </c>
      <c r="T115">
        <v>5105</v>
      </c>
      <c r="U115" t="s">
        <v>51</v>
      </c>
      <c r="V115">
        <v>1271</v>
      </c>
      <c r="W115">
        <v>957</v>
      </c>
      <c r="X115" t="s">
        <v>442</v>
      </c>
      <c r="Y115" t="s">
        <v>370</v>
      </c>
      <c r="Z115" t="s">
        <v>901</v>
      </c>
      <c r="AA115" t="s">
        <v>392</v>
      </c>
      <c r="AB115">
        <v>5344</v>
      </c>
      <c r="AC115">
        <v>3235</v>
      </c>
      <c r="AD115">
        <v>1326</v>
      </c>
      <c r="AE115">
        <v>442</v>
      </c>
      <c r="AF115">
        <v>91</v>
      </c>
      <c r="AG115">
        <v>11</v>
      </c>
      <c r="AH115">
        <v>3310</v>
      </c>
      <c r="AI115">
        <v>2430</v>
      </c>
      <c r="AJ115">
        <v>373</v>
      </c>
      <c r="AK115">
        <v>1396</v>
      </c>
      <c r="AL115">
        <v>111</v>
      </c>
      <c r="AM115">
        <v>27</v>
      </c>
      <c r="AN115" t="s">
        <v>277</v>
      </c>
      <c r="AO115">
        <f>AVERAGE(Tabla2[[#This Row],[total_kills]:[rating]])</f>
        <v>2668.1052631578946</v>
      </c>
      <c r="AP115" t="str">
        <f>VLOOKUP(Tabla2[[#This Row],[KPI]],$AS$2:$AT$5,2,1)</f>
        <v>Bajo</v>
      </c>
    </row>
    <row r="116" spans="1:42" x14ac:dyDescent="0.3">
      <c r="A116">
        <v>12937</v>
      </c>
      <c r="B116" t="s">
        <v>1473</v>
      </c>
      <c r="C116" t="s">
        <v>1474</v>
      </c>
      <c r="D116">
        <v>23</v>
      </c>
      <c r="E116" t="s">
        <v>459</v>
      </c>
      <c r="F116" t="s">
        <v>319</v>
      </c>
      <c r="G116" t="s">
        <v>1475</v>
      </c>
      <c r="H116">
        <v>9790</v>
      </c>
      <c r="I116">
        <v>8809</v>
      </c>
      <c r="J116" t="s">
        <v>132</v>
      </c>
      <c r="K116" t="s">
        <v>1476</v>
      </c>
      <c r="L116">
        <v>3</v>
      </c>
      <c r="M116">
        <v>529</v>
      </c>
      <c r="N116">
        <v>14082</v>
      </c>
      <c r="O116" t="s">
        <v>905</v>
      </c>
      <c r="P116" t="s">
        <v>50</v>
      </c>
      <c r="Q116" t="s">
        <v>215</v>
      </c>
      <c r="R116" t="s">
        <v>96</v>
      </c>
      <c r="S116" t="s">
        <v>67</v>
      </c>
      <c r="T116">
        <v>6755</v>
      </c>
      <c r="U116" t="s">
        <v>51</v>
      </c>
      <c r="V116">
        <v>1615</v>
      </c>
      <c r="W116">
        <v>1224</v>
      </c>
      <c r="X116" t="s">
        <v>56</v>
      </c>
      <c r="Y116" t="s">
        <v>561</v>
      </c>
      <c r="Z116" t="s">
        <v>795</v>
      </c>
      <c r="AA116" t="s">
        <v>376</v>
      </c>
      <c r="AB116">
        <v>7327</v>
      </c>
      <c r="AC116">
        <v>4418</v>
      </c>
      <c r="AD116">
        <v>1742</v>
      </c>
      <c r="AE116">
        <v>499</v>
      </c>
      <c r="AF116">
        <v>89</v>
      </c>
      <c r="AG116">
        <v>7</v>
      </c>
      <c r="AH116">
        <v>3317</v>
      </c>
      <c r="AI116">
        <v>4460</v>
      </c>
      <c r="AJ116">
        <v>378</v>
      </c>
      <c r="AK116">
        <v>1559</v>
      </c>
      <c r="AL116">
        <v>90</v>
      </c>
      <c r="AM116">
        <v>20</v>
      </c>
      <c r="AN116" t="s">
        <v>277</v>
      </c>
      <c r="AO116">
        <f>AVERAGE(Tabla2[[#This Row],[total_kills]:[rating]])</f>
        <v>3335.65</v>
      </c>
      <c r="AP116" t="str">
        <f>VLOOKUP(Tabla2[[#This Row],[KPI]],$AS$2:$AT$5,2,1)</f>
        <v>Medio</v>
      </c>
    </row>
    <row r="117" spans="1:42" x14ac:dyDescent="0.3">
      <c r="A117">
        <v>19926</v>
      </c>
      <c r="B117" t="s">
        <v>1346</v>
      </c>
      <c r="C117" t="s">
        <v>1347</v>
      </c>
      <c r="D117">
        <v>23</v>
      </c>
      <c r="E117" t="s">
        <v>42</v>
      </c>
      <c r="F117" t="s">
        <v>1348</v>
      </c>
      <c r="G117" t="s">
        <v>1349</v>
      </c>
      <c r="H117">
        <v>10973</v>
      </c>
      <c r="I117">
        <v>9994</v>
      </c>
      <c r="J117" t="s">
        <v>1350</v>
      </c>
      <c r="K117" t="s">
        <v>1351</v>
      </c>
      <c r="L117" t="s">
        <v>1352</v>
      </c>
      <c r="M117">
        <v>591</v>
      </c>
      <c r="N117">
        <v>15808</v>
      </c>
      <c r="O117" t="s">
        <v>463</v>
      </c>
      <c r="P117" t="s">
        <v>67</v>
      </c>
      <c r="Q117" t="s">
        <v>215</v>
      </c>
      <c r="R117" t="s">
        <v>66</v>
      </c>
      <c r="S117" t="s">
        <v>96</v>
      </c>
      <c r="T117">
        <v>7361</v>
      </c>
      <c r="U117" t="s">
        <v>51</v>
      </c>
      <c r="V117">
        <v>1913</v>
      </c>
      <c r="W117">
        <v>1554</v>
      </c>
      <c r="X117" t="s">
        <v>101</v>
      </c>
      <c r="Y117" t="s">
        <v>362</v>
      </c>
      <c r="Z117" t="s">
        <v>237</v>
      </c>
      <c r="AA117" t="s">
        <v>126</v>
      </c>
      <c r="AB117">
        <v>8447</v>
      </c>
      <c r="AC117">
        <v>4657</v>
      </c>
      <c r="AD117">
        <v>1937</v>
      </c>
      <c r="AE117">
        <v>641</v>
      </c>
      <c r="AF117">
        <v>111</v>
      </c>
      <c r="AG117">
        <v>15</v>
      </c>
      <c r="AH117">
        <v>4043</v>
      </c>
      <c r="AI117">
        <v>4871</v>
      </c>
      <c r="AJ117">
        <v>190</v>
      </c>
      <c r="AK117">
        <v>1701</v>
      </c>
      <c r="AL117">
        <v>175</v>
      </c>
      <c r="AM117">
        <v>55</v>
      </c>
      <c r="AN117" t="s">
        <v>277</v>
      </c>
      <c r="AO117">
        <f>AVERAGE(Tabla2[[#This Row],[total_kills]:[rating]])</f>
        <v>3949.3157894736842</v>
      </c>
      <c r="AP117" t="str">
        <f>VLOOKUP(Tabla2[[#This Row],[KPI]],$AS$2:$AT$5,2,1)</f>
        <v>Medio</v>
      </c>
    </row>
    <row r="118" spans="1:42" x14ac:dyDescent="0.3">
      <c r="A118">
        <v>12521</v>
      </c>
      <c r="B118" t="s">
        <v>2210</v>
      </c>
      <c r="C118" t="s">
        <v>2211</v>
      </c>
      <c r="D118">
        <v>26</v>
      </c>
      <c r="E118" t="s">
        <v>104</v>
      </c>
      <c r="F118" t="s">
        <v>105</v>
      </c>
      <c r="G118" t="s">
        <v>105</v>
      </c>
      <c r="H118">
        <v>18525</v>
      </c>
      <c r="I118">
        <v>18493</v>
      </c>
      <c r="J118" t="s">
        <v>1350</v>
      </c>
      <c r="K118" t="s">
        <v>154</v>
      </c>
      <c r="L118" t="s">
        <v>331</v>
      </c>
      <c r="M118">
        <v>1008</v>
      </c>
      <c r="N118">
        <v>26196</v>
      </c>
      <c r="O118" t="s">
        <v>646</v>
      </c>
      <c r="P118" t="s">
        <v>235</v>
      </c>
      <c r="Q118" t="s">
        <v>646</v>
      </c>
      <c r="R118" t="s">
        <v>50</v>
      </c>
      <c r="S118" t="s">
        <v>135</v>
      </c>
      <c r="T118">
        <v>12438</v>
      </c>
      <c r="U118" t="s">
        <v>51</v>
      </c>
      <c r="V118">
        <v>4580</v>
      </c>
      <c r="W118">
        <v>4507</v>
      </c>
      <c r="X118" t="s">
        <v>449</v>
      </c>
      <c r="Y118" t="s">
        <v>72</v>
      </c>
      <c r="Z118" t="s">
        <v>718</v>
      </c>
      <c r="AA118" t="s">
        <v>2212</v>
      </c>
      <c r="AB118">
        <v>13758</v>
      </c>
      <c r="AC118">
        <v>7860</v>
      </c>
      <c r="AD118">
        <v>3315</v>
      </c>
      <c r="AE118">
        <v>1040</v>
      </c>
      <c r="AF118">
        <v>200</v>
      </c>
      <c r="AG118">
        <v>23</v>
      </c>
      <c r="AH118">
        <v>8744</v>
      </c>
      <c r="AI118">
        <v>5652</v>
      </c>
      <c r="AJ118">
        <v>1303</v>
      </c>
      <c r="AK118">
        <v>2440</v>
      </c>
      <c r="AL118">
        <v>209</v>
      </c>
      <c r="AM118">
        <v>238</v>
      </c>
      <c r="AN118" t="s">
        <v>295</v>
      </c>
      <c r="AO118">
        <f>AVERAGE(Tabla2[[#This Row],[total_kills]:[rating]])</f>
        <v>6869.9473684210525</v>
      </c>
      <c r="AP118" t="str">
        <f>VLOOKUP(Tabla2[[#This Row],[KPI]],$AS$2:$AT$5,2,1)</f>
        <v>Alto</v>
      </c>
    </row>
    <row r="119" spans="1:42" x14ac:dyDescent="0.3">
      <c r="A119">
        <v>6453</v>
      </c>
      <c r="B119" t="s">
        <v>3245</v>
      </c>
      <c r="C119" t="s">
        <v>3246</v>
      </c>
      <c r="D119">
        <v>29</v>
      </c>
      <c r="E119" t="s">
        <v>459</v>
      </c>
      <c r="F119" t="s">
        <v>3514</v>
      </c>
      <c r="G119" t="s">
        <v>3247</v>
      </c>
      <c r="H119">
        <v>7277</v>
      </c>
      <c r="I119">
        <v>8145</v>
      </c>
      <c r="J119" t="s">
        <v>3248</v>
      </c>
      <c r="K119" t="s">
        <v>1089</v>
      </c>
      <c r="L119" t="s">
        <v>462</v>
      </c>
      <c r="M119">
        <v>440</v>
      </c>
      <c r="N119">
        <v>11291</v>
      </c>
      <c r="O119" t="s">
        <v>65</v>
      </c>
      <c r="P119" t="s">
        <v>235</v>
      </c>
      <c r="Q119" t="s">
        <v>311</v>
      </c>
      <c r="R119" t="s">
        <v>67</v>
      </c>
      <c r="S119" t="s">
        <v>96</v>
      </c>
      <c r="T119">
        <v>4960</v>
      </c>
      <c r="U119" t="s">
        <v>51</v>
      </c>
      <c r="V119">
        <v>1266</v>
      </c>
      <c r="W119">
        <v>1514</v>
      </c>
      <c r="X119" t="s">
        <v>47</v>
      </c>
      <c r="Y119">
        <v>1</v>
      </c>
      <c r="Z119" t="s">
        <v>54</v>
      </c>
      <c r="AA119" t="s">
        <v>113</v>
      </c>
      <c r="AB119">
        <v>6331</v>
      </c>
      <c r="AC119">
        <v>3182</v>
      </c>
      <c r="AD119">
        <v>1333</v>
      </c>
      <c r="AE119">
        <v>361</v>
      </c>
      <c r="AF119">
        <v>78</v>
      </c>
      <c r="AG119">
        <v>6</v>
      </c>
      <c r="AH119">
        <v>3343</v>
      </c>
      <c r="AI119">
        <v>1799</v>
      </c>
      <c r="AJ119">
        <v>394</v>
      </c>
      <c r="AK119">
        <v>1494</v>
      </c>
      <c r="AL119">
        <v>119</v>
      </c>
      <c r="AM119">
        <v>142</v>
      </c>
      <c r="AN119" t="s">
        <v>1314</v>
      </c>
      <c r="AO119">
        <f>AVERAGE(Tabla2[[#This Row],[total_kills]:[rating]])</f>
        <v>2673.8</v>
      </c>
      <c r="AP119" t="str">
        <f>VLOOKUP(Tabla2[[#This Row],[KPI]],$AS$2:$AT$5,2,1)</f>
        <v>Bajo</v>
      </c>
    </row>
    <row r="120" spans="1:42" x14ac:dyDescent="0.3">
      <c r="A120">
        <v>7592</v>
      </c>
      <c r="B120" t="s">
        <v>194</v>
      </c>
      <c r="C120" t="s">
        <v>195</v>
      </c>
      <c r="D120">
        <v>26</v>
      </c>
      <c r="E120" t="s">
        <v>196</v>
      </c>
      <c r="F120" t="s">
        <v>197</v>
      </c>
      <c r="G120" t="s">
        <v>198</v>
      </c>
      <c r="H120">
        <v>36293</v>
      </c>
      <c r="I120">
        <v>29085</v>
      </c>
      <c r="J120" t="s">
        <v>199</v>
      </c>
      <c r="K120" t="s">
        <v>200</v>
      </c>
      <c r="L120" t="s">
        <v>201</v>
      </c>
      <c r="M120">
        <v>1793</v>
      </c>
      <c r="N120">
        <v>46666</v>
      </c>
      <c r="O120" t="s">
        <v>123</v>
      </c>
      <c r="P120" t="s">
        <v>202</v>
      </c>
      <c r="Q120" t="s">
        <v>144</v>
      </c>
      <c r="R120" t="s">
        <v>135</v>
      </c>
      <c r="S120" t="s">
        <v>66</v>
      </c>
      <c r="T120">
        <v>23693</v>
      </c>
      <c r="U120" t="s">
        <v>51</v>
      </c>
      <c r="V120">
        <v>6207</v>
      </c>
      <c r="W120">
        <v>4437</v>
      </c>
      <c r="X120" t="s">
        <v>203</v>
      </c>
      <c r="Y120" t="s">
        <v>172</v>
      </c>
      <c r="Z120" t="s">
        <v>204</v>
      </c>
      <c r="AA120" t="s">
        <v>205</v>
      </c>
      <c r="AB120">
        <v>22973</v>
      </c>
      <c r="AC120">
        <v>14353</v>
      </c>
      <c r="AD120">
        <v>6700</v>
      </c>
      <c r="AE120">
        <v>2125</v>
      </c>
      <c r="AF120">
        <v>467</v>
      </c>
      <c r="AG120">
        <v>48</v>
      </c>
      <c r="AH120">
        <v>14483</v>
      </c>
      <c r="AI120">
        <v>12758</v>
      </c>
      <c r="AJ120">
        <v>1566</v>
      </c>
      <c r="AK120">
        <v>6978</v>
      </c>
      <c r="AL120">
        <v>431</v>
      </c>
      <c r="AM120">
        <v>121</v>
      </c>
      <c r="AN120" t="s">
        <v>206</v>
      </c>
      <c r="AO120">
        <f>AVERAGE(Tabla2[[#This Row],[total_kills]:[rating]])</f>
        <v>12167.21052631579</v>
      </c>
      <c r="AP120" t="str">
        <f>VLOOKUP(Tabla2[[#This Row],[KPI]],$AS$2:$AT$5,2,1)</f>
        <v>Superior</v>
      </c>
    </row>
    <row r="121" spans="1:42" x14ac:dyDescent="0.3">
      <c r="A121">
        <v>11139</v>
      </c>
      <c r="B121" t="s">
        <v>666</v>
      </c>
      <c r="C121" t="s">
        <v>667</v>
      </c>
      <c r="D121">
        <v>24</v>
      </c>
      <c r="E121" t="s">
        <v>299</v>
      </c>
      <c r="F121" t="s">
        <v>260</v>
      </c>
      <c r="G121" t="s">
        <v>668</v>
      </c>
      <c r="H121">
        <v>19564</v>
      </c>
      <c r="I121">
        <v>16750</v>
      </c>
      <c r="J121" t="s">
        <v>669</v>
      </c>
      <c r="K121">
        <v>76</v>
      </c>
      <c r="L121" t="s">
        <v>93</v>
      </c>
      <c r="M121">
        <v>1057</v>
      </c>
      <c r="N121">
        <v>26844</v>
      </c>
      <c r="O121" t="s">
        <v>495</v>
      </c>
      <c r="P121" t="s">
        <v>48</v>
      </c>
      <c r="Q121" t="s">
        <v>144</v>
      </c>
      <c r="R121" t="s">
        <v>96</v>
      </c>
      <c r="S121" t="s">
        <v>96</v>
      </c>
      <c r="T121">
        <v>13106</v>
      </c>
      <c r="U121" t="s">
        <v>51</v>
      </c>
      <c r="V121">
        <v>3629</v>
      </c>
      <c r="W121">
        <v>2820</v>
      </c>
      <c r="X121" t="s">
        <v>168</v>
      </c>
      <c r="Y121" t="s">
        <v>172</v>
      </c>
      <c r="Z121" t="s">
        <v>670</v>
      </c>
      <c r="AA121" t="s">
        <v>671</v>
      </c>
      <c r="AB121">
        <v>13738</v>
      </c>
      <c r="AC121">
        <v>8245</v>
      </c>
      <c r="AD121">
        <v>3539</v>
      </c>
      <c r="AE121">
        <v>1072</v>
      </c>
      <c r="AF121">
        <v>225</v>
      </c>
      <c r="AG121">
        <v>25</v>
      </c>
      <c r="AH121">
        <v>7121</v>
      </c>
      <c r="AI121">
        <v>7659</v>
      </c>
      <c r="AJ121">
        <v>1103</v>
      </c>
      <c r="AK121">
        <v>3380</v>
      </c>
      <c r="AL121">
        <v>290</v>
      </c>
      <c r="AM121">
        <v>70</v>
      </c>
      <c r="AN121" t="s">
        <v>111</v>
      </c>
      <c r="AO121">
        <f>AVERAGE(Tabla2[[#This Row],[total_kills]:[rating]])</f>
        <v>6515.65</v>
      </c>
      <c r="AP121" t="str">
        <f>VLOOKUP(Tabla2[[#This Row],[KPI]],$AS$2:$AT$5,2,1)</f>
        <v>Alto</v>
      </c>
    </row>
    <row r="122" spans="1:42" x14ac:dyDescent="0.3">
      <c r="A122">
        <v>14445</v>
      </c>
      <c r="B122" t="s">
        <v>1801</v>
      </c>
      <c r="C122" t="s">
        <v>1802</v>
      </c>
      <c r="D122">
        <v>27</v>
      </c>
      <c r="E122" t="s">
        <v>104</v>
      </c>
      <c r="F122" t="s">
        <v>3514</v>
      </c>
      <c r="G122" t="s">
        <v>1803</v>
      </c>
      <c r="H122">
        <v>8814</v>
      </c>
      <c r="I122">
        <v>8399</v>
      </c>
      <c r="J122" t="s">
        <v>1804</v>
      </c>
      <c r="K122" t="s">
        <v>1363</v>
      </c>
      <c r="L122" t="s">
        <v>224</v>
      </c>
      <c r="M122">
        <v>483</v>
      </c>
      <c r="N122">
        <v>12692</v>
      </c>
      <c r="O122" t="s">
        <v>463</v>
      </c>
      <c r="P122" t="s">
        <v>235</v>
      </c>
      <c r="Q122" t="s">
        <v>322</v>
      </c>
      <c r="R122" t="s">
        <v>96</v>
      </c>
      <c r="S122" t="s">
        <v>67</v>
      </c>
      <c r="T122">
        <v>5992</v>
      </c>
      <c r="U122" t="s">
        <v>51</v>
      </c>
      <c r="V122">
        <v>1035</v>
      </c>
      <c r="W122">
        <v>961</v>
      </c>
      <c r="X122" t="s">
        <v>277</v>
      </c>
      <c r="Y122" t="s">
        <v>820</v>
      </c>
      <c r="Z122" t="s">
        <v>183</v>
      </c>
      <c r="AA122" t="s">
        <v>1805</v>
      </c>
      <c r="AB122">
        <v>6700</v>
      </c>
      <c r="AC122">
        <v>3892</v>
      </c>
      <c r="AD122">
        <v>1500</v>
      </c>
      <c r="AE122">
        <v>487</v>
      </c>
      <c r="AF122">
        <v>104</v>
      </c>
      <c r="AG122">
        <v>9</v>
      </c>
      <c r="AH122">
        <v>6007</v>
      </c>
      <c r="AI122">
        <v>752</v>
      </c>
      <c r="AJ122">
        <v>405</v>
      </c>
      <c r="AK122">
        <v>1582</v>
      </c>
      <c r="AL122">
        <v>74</v>
      </c>
      <c r="AM122">
        <v>8</v>
      </c>
      <c r="AN122" t="s">
        <v>464</v>
      </c>
      <c r="AO122">
        <f>AVERAGE(Tabla2[[#This Row],[total_kills]:[rating]])</f>
        <v>3152.4210526315787</v>
      </c>
      <c r="AP122" t="str">
        <f>VLOOKUP(Tabla2[[#This Row],[KPI]],$AS$2:$AT$5,2,1)</f>
        <v>Bajo</v>
      </c>
    </row>
    <row r="123" spans="1:42" x14ac:dyDescent="0.3">
      <c r="A123">
        <v>7433</v>
      </c>
      <c r="B123" t="s">
        <v>2334</v>
      </c>
      <c r="C123" t="s">
        <v>2335</v>
      </c>
      <c r="D123">
        <v>32</v>
      </c>
      <c r="E123" t="s">
        <v>459</v>
      </c>
      <c r="F123" t="s">
        <v>528</v>
      </c>
      <c r="G123" t="s">
        <v>2336</v>
      </c>
      <c r="H123">
        <v>12259</v>
      </c>
      <c r="I123">
        <v>11879</v>
      </c>
      <c r="J123" t="s">
        <v>1804</v>
      </c>
      <c r="K123" t="s">
        <v>531</v>
      </c>
      <c r="L123" t="s">
        <v>687</v>
      </c>
      <c r="M123">
        <v>697</v>
      </c>
      <c r="N123">
        <v>18241</v>
      </c>
      <c r="O123" t="s">
        <v>225</v>
      </c>
      <c r="P123" t="s">
        <v>166</v>
      </c>
      <c r="Q123" t="s">
        <v>276</v>
      </c>
      <c r="R123" t="s">
        <v>50</v>
      </c>
      <c r="S123" t="s">
        <v>48</v>
      </c>
      <c r="T123">
        <v>8474</v>
      </c>
      <c r="U123" t="s">
        <v>51</v>
      </c>
      <c r="V123">
        <v>1655</v>
      </c>
      <c r="W123">
        <v>1449</v>
      </c>
      <c r="X123" t="s">
        <v>111</v>
      </c>
      <c r="Y123" t="s">
        <v>285</v>
      </c>
      <c r="Z123" t="s">
        <v>517</v>
      </c>
      <c r="AA123" t="s">
        <v>888</v>
      </c>
      <c r="AB123">
        <v>9767</v>
      </c>
      <c r="AC123">
        <v>5589</v>
      </c>
      <c r="AD123">
        <v>2139</v>
      </c>
      <c r="AE123">
        <v>619</v>
      </c>
      <c r="AF123">
        <v>117</v>
      </c>
      <c r="AG123">
        <v>10</v>
      </c>
      <c r="AH123">
        <v>6304</v>
      </c>
      <c r="AI123">
        <v>3011</v>
      </c>
      <c r="AJ123">
        <v>457</v>
      </c>
      <c r="AK123">
        <v>2204</v>
      </c>
      <c r="AL123">
        <v>261</v>
      </c>
      <c r="AM123">
        <v>34</v>
      </c>
      <c r="AN123">
        <v>1</v>
      </c>
      <c r="AO123">
        <f>AVERAGE(Tabla2[[#This Row],[total_kills]:[rating]])</f>
        <v>4258.3500000000004</v>
      </c>
      <c r="AP123" t="str">
        <f>VLOOKUP(Tabla2[[#This Row],[KPI]],$AS$2:$AT$5,2,1)</f>
        <v>Medio</v>
      </c>
    </row>
    <row r="124" spans="1:42" x14ac:dyDescent="0.3">
      <c r="A124">
        <v>9102</v>
      </c>
      <c r="B124" t="s">
        <v>258</v>
      </c>
      <c r="C124" t="s">
        <v>259</v>
      </c>
      <c r="D124">
        <v>27</v>
      </c>
      <c r="E124" t="s">
        <v>150</v>
      </c>
      <c r="F124" t="s">
        <v>260</v>
      </c>
      <c r="G124" t="s">
        <v>261</v>
      </c>
      <c r="H124">
        <v>17188</v>
      </c>
      <c r="I124">
        <v>13437</v>
      </c>
      <c r="J124" t="s">
        <v>262</v>
      </c>
      <c r="K124" t="s">
        <v>263</v>
      </c>
      <c r="L124" t="s">
        <v>264</v>
      </c>
      <c r="M124">
        <v>902</v>
      </c>
      <c r="N124">
        <v>22858</v>
      </c>
      <c r="O124" t="s">
        <v>180</v>
      </c>
      <c r="P124" t="s">
        <v>235</v>
      </c>
      <c r="Q124" t="s">
        <v>95</v>
      </c>
      <c r="R124" t="s">
        <v>96</v>
      </c>
      <c r="S124" t="s">
        <v>50</v>
      </c>
      <c r="T124">
        <v>11611</v>
      </c>
      <c r="U124" t="s">
        <v>51</v>
      </c>
      <c r="V124">
        <v>2600</v>
      </c>
      <c r="W124">
        <v>1399</v>
      </c>
      <c r="X124" t="s">
        <v>265</v>
      </c>
      <c r="Y124" t="s">
        <v>98</v>
      </c>
      <c r="Z124" t="s">
        <v>266</v>
      </c>
      <c r="AA124" t="s">
        <v>267</v>
      </c>
      <c r="AB124">
        <v>11247</v>
      </c>
      <c r="AC124">
        <v>7366</v>
      </c>
      <c r="AD124">
        <v>3111</v>
      </c>
      <c r="AE124">
        <v>954</v>
      </c>
      <c r="AF124">
        <v>162</v>
      </c>
      <c r="AG124">
        <v>18</v>
      </c>
      <c r="AH124">
        <v>5220</v>
      </c>
      <c r="AI124">
        <v>7131</v>
      </c>
      <c r="AJ124">
        <v>982</v>
      </c>
      <c r="AK124">
        <v>3423</v>
      </c>
      <c r="AL124">
        <v>439</v>
      </c>
      <c r="AM124">
        <v>29</v>
      </c>
      <c r="AN124" t="s">
        <v>84</v>
      </c>
      <c r="AO124">
        <f>AVERAGE(Tabla2[[#This Row],[total_kills]:[rating]])</f>
        <v>5793.5263157894733</v>
      </c>
      <c r="AP124" t="str">
        <f>VLOOKUP(Tabla2[[#This Row],[KPI]],$AS$2:$AT$5,2,1)</f>
        <v>Alto</v>
      </c>
    </row>
    <row r="125" spans="1:42" x14ac:dyDescent="0.3">
      <c r="A125">
        <v>13670</v>
      </c>
      <c r="B125" t="s">
        <v>597</v>
      </c>
      <c r="C125" t="s">
        <v>598</v>
      </c>
      <c r="D125">
        <v>24</v>
      </c>
      <c r="E125" t="s">
        <v>545</v>
      </c>
      <c r="F125" t="s">
        <v>599</v>
      </c>
      <c r="G125" t="s">
        <v>600</v>
      </c>
      <c r="H125">
        <v>17547</v>
      </c>
      <c r="I125">
        <v>14717</v>
      </c>
      <c r="J125" t="s">
        <v>262</v>
      </c>
      <c r="K125" t="s">
        <v>601</v>
      </c>
      <c r="L125" t="s">
        <v>275</v>
      </c>
      <c r="M125">
        <v>894</v>
      </c>
      <c r="N125">
        <v>23861</v>
      </c>
      <c r="O125" t="s">
        <v>283</v>
      </c>
      <c r="P125" t="s">
        <v>96</v>
      </c>
      <c r="Q125" t="s">
        <v>144</v>
      </c>
      <c r="R125" t="s">
        <v>96</v>
      </c>
      <c r="S125" t="s">
        <v>67</v>
      </c>
      <c r="T125">
        <v>11865</v>
      </c>
      <c r="U125" t="s">
        <v>51</v>
      </c>
      <c r="V125">
        <v>2434</v>
      </c>
      <c r="W125">
        <v>1584</v>
      </c>
      <c r="X125" t="s">
        <v>191</v>
      </c>
      <c r="Y125" t="s">
        <v>464</v>
      </c>
      <c r="Z125" t="s">
        <v>192</v>
      </c>
      <c r="AA125" t="s">
        <v>602</v>
      </c>
      <c r="AB125">
        <v>11996</v>
      </c>
      <c r="AC125">
        <v>7534</v>
      </c>
      <c r="AD125">
        <v>3173</v>
      </c>
      <c r="AE125">
        <v>979</v>
      </c>
      <c r="AF125">
        <v>165</v>
      </c>
      <c r="AG125">
        <v>14</v>
      </c>
      <c r="AH125">
        <v>5716</v>
      </c>
      <c r="AI125">
        <v>8044</v>
      </c>
      <c r="AJ125">
        <v>613</v>
      </c>
      <c r="AK125">
        <v>2996</v>
      </c>
      <c r="AL125">
        <v>180</v>
      </c>
      <c r="AM125">
        <v>57</v>
      </c>
      <c r="AN125" t="s">
        <v>370</v>
      </c>
      <c r="AO125">
        <f>AVERAGE(Tabla2[[#This Row],[total_kills]:[rating]])</f>
        <v>6019.4210526315792</v>
      </c>
      <c r="AP125" t="str">
        <f>VLOOKUP(Tabla2[[#This Row],[KPI]],$AS$2:$AT$5,2,1)</f>
        <v>Alto</v>
      </c>
    </row>
    <row r="126" spans="1:42" x14ac:dyDescent="0.3">
      <c r="A126">
        <v>12379</v>
      </c>
      <c r="B126" t="s">
        <v>1038</v>
      </c>
      <c r="C126" t="s">
        <v>1039</v>
      </c>
      <c r="D126">
        <v>26</v>
      </c>
      <c r="E126" t="s">
        <v>895</v>
      </c>
      <c r="F126" t="s">
        <v>1040</v>
      </c>
      <c r="G126" t="s">
        <v>1041</v>
      </c>
      <c r="H126">
        <v>14877</v>
      </c>
      <c r="I126">
        <v>13289</v>
      </c>
      <c r="J126" t="s">
        <v>262</v>
      </c>
      <c r="K126" t="s">
        <v>1042</v>
      </c>
      <c r="L126" t="s">
        <v>46</v>
      </c>
      <c r="M126">
        <v>780</v>
      </c>
      <c r="N126">
        <v>20732</v>
      </c>
      <c r="O126" t="s">
        <v>311</v>
      </c>
      <c r="P126" t="s">
        <v>67</v>
      </c>
      <c r="Q126" t="s">
        <v>65</v>
      </c>
      <c r="R126" t="s">
        <v>50</v>
      </c>
      <c r="S126" t="s">
        <v>67</v>
      </c>
      <c r="T126">
        <v>9972</v>
      </c>
      <c r="U126" t="s">
        <v>51</v>
      </c>
      <c r="V126">
        <v>2282</v>
      </c>
      <c r="W126">
        <v>1662</v>
      </c>
      <c r="X126" t="s">
        <v>254</v>
      </c>
      <c r="Y126" t="s">
        <v>277</v>
      </c>
      <c r="Z126" t="s">
        <v>183</v>
      </c>
      <c r="AA126" t="s">
        <v>267</v>
      </c>
      <c r="AB126">
        <v>10760</v>
      </c>
      <c r="AC126">
        <v>6304</v>
      </c>
      <c r="AD126">
        <v>2657</v>
      </c>
      <c r="AE126">
        <v>804</v>
      </c>
      <c r="AF126">
        <v>188</v>
      </c>
      <c r="AG126">
        <v>19</v>
      </c>
      <c r="AH126">
        <v>5033</v>
      </c>
      <c r="AI126">
        <v>6700</v>
      </c>
      <c r="AJ126">
        <v>162</v>
      </c>
      <c r="AK126">
        <v>2813</v>
      </c>
      <c r="AL126">
        <v>189</v>
      </c>
      <c r="AM126">
        <v>26</v>
      </c>
      <c r="AN126" t="s">
        <v>362</v>
      </c>
      <c r="AO126">
        <f>AVERAGE(Tabla2[[#This Row],[total_kills]:[rating]])</f>
        <v>5223.6315789473683</v>
      </c>
      <c r="AP126" t="str">
        <f>VLOOKUP(Tabla2[[#This Row],[KPI]],$AS$2:$AT$5,2,1)</f>
        <v>Alto</v>
      </c>
    </row>
    <row r="127" spans="1:42" x14ac:dyDescent="0.3">
      <c r="A127">
        <v>8611</v>
      </c>
      <c r="B127" t="s">
        <v>2030</v>
      </c>
      <c r="C127" t="s">
        <v>2031</v>
      </c>
      <c r="D127">
        <v>26</v>
      </c>
      <c r="E127" t="s">
        <v>196</v>
      </c>
      <c r="F127" t="s">
        <v>197</v>
      </c>
      <c r="G127" t="s">
        <v>2032</v>
      </c>
      <c r="H127">
        <v>23769</v>
      </c>
      <c r="I127">
        <v>22950</v>
      </c>
      <c r="J127" t="s">
        <v>262</v>
      </c>
      <c r="K127" t="s">
        <v>588</v>
      </c>
      <c r="L127" t="s">
        <v>244</v>
      </c>
      <c r="M127">
        <v>1325</v>
      </c>
      <c r="N127">
        <v>34703</v>
      </c>
      <c r="O127" t="s">
        <v>167</v>
      </c>
      <c r="P127" t="s">
        <v>166</v>
      </c>
      <c r="Q127" t="s">
        <v>322</v>
      </c>
      <c r="R127" t="s">
        <v>50</v>
      </c>
      <c r="S127" t="s">
        <v>50</v>
      </c>
      <c r="T127">
        <v>16107</v>
      </c>
      <c r="U127" t="s">
        <v>51</v>
      </c>
      <c r="V127">
        <v>3798</v>
      </c>
      <c r="W127">
        <v>3577</v>
      </c>
      <c r="X127" t="s">
        <v>590</v>
      </c>
      <c r="Y127" t="s">
        <v>407</v>
      </c>
      <c r="Z127" t="s">
        <v>217</v>
      </c>
      <c r="AA127" t="s">
        <v>279</v>
      </c>
      <c r="AB127">
        <v>18596</v>
      </c>
      <c r="AC127">
        <v>10348</v>
      </c>
      <c r="AD127">
        <v>4166</v>
      </c>
      <c r="AE127">
        <v>1308</v>
      </c>
      <c r="AF127">
        <v>261</v>
      </c>
      <c r="AG127">
        <v>24</v>
      </c>
      <c r="AH127">
        <v>15404</v>
      </c>
      <c r="AI127">
        <v>2683</v>
      </c>
      <c r="AJ127">
        <v>1267</v>
      </c>
      <c r="AK127">
        <v>3941</v>
      </c>
      <c r="AL127">
        <v>391</v>
      </c>
      <c r="AM127">
        <v>129</v>
      </c>
      <c r="AN127" t="s">
        <v>255</v>
      </c>
      <c r="AO127">
        <f>AVERAGE(Tabla2[[#This Row],[total_kills]:[rating]])</f>
        <v>8670.894736842105</v>
      </c>
      <c r="AP127" t="str">
        <f>VLOOKUP(Tabla2[[#This Row],[KPI]],$AS$2:$AT$5,2,1)</f>
        <v>Superior</v>
      </c>
    </row>
    <row r="128" spans="1:42" x14ac:dyDescent="0.3">
      <c r="A128">
        <v>11747</v>
      </c>
      <c r="B128" t="s">
        <v>2680</v>
      </c>
      <c r="C128" t="s">
        <v>2681</v>
      </c>
      <c r="D128">
        <v>28</v>
      </c>
      <c r="E128" t="s">
        <v>104</v>
      </c>
      <c r="F128" t="s">
        <v>1604</v>
      </c>
      <c r="G128" t="s">
        <v>1604</v>
      </c>
      <c r="H128">
        <v>10397</v>
      </c>
      <c r="I128">
        <v>10260</v>
      </c>
      <c r="J128" t="s">
        <v>2682</v>
      </c>
      <c r="K128" t="s">
        <v>2624</v>
      </c>
      <c r="L128" t="s">
        <v>398</v>
      </c>
      <c r="M128">
        <v>628</v>
      </c>
      <c r="N128">
        <v>16249</v>
      </c>
      <c r="O128" t="s">
        <v>65</v>
      </c>
      <c r="P128" t="s">
        <v>67</v>
      </c>
      <c r="Q128" t="s">
        <v>215</v>
      </c>
      <c r="R128" t="s">
        <v>96</v>
      </c>
      <c r="S128" t="s">
        <v>96</v>
      </c>
      <c r="T128">
        <v>7221</v>
      </c>
      <c r="U128" t="s">
        <v>51</v>
      </c>
      <c r="V128">
        <v>1570</v>
      </c>
      <c r="W128">
        <v>1340</v>
      </c>
      <c r="X128" t="s">
        <v>172</v>
      </c>
      <c r="Y128" t="s">
        <v>255</v>
      </c>
      <c r="Z128" t="s">
        <v>718</v>
      </c>
      <c r="AA128" t="s">
        <v>746</v>
      </c>
      <c r="AB128">
        <v>9028</v>
      </c>
      <c r="AC128">
        <v>4737</v>
      </c>
      <c r="AD128">
        <v>1898</v>
      </c>
      <c r="AE128">
        <v>484</v>
      </c>
      <c r="AF128">
        <v>98</v>
      </c>
      <c r="AG128">
        <v>4</v>
      </c>
      <c r="AH128">
        <v>4871</v>
      </c>
      <c r="AI128">
        <v>3246</v>
      </c>
      <c r="AJ128">
        <v>499</v>
      </c>
      <c r="AK128">
        <v>1626</v>
      </c>
      <c r="AL128">
        <v>149</v>
      </c>
      <c r="AM128">
        <v>36</v>
      </c>
      <c r="AN128" t="s">
        <v>412</v>
      </c>
      <c r="AO128">
        <f>AVERAGE(Tabla2[[#This Row],[total_kills]:[rating]])</f>
        <v>3912.6842105263158</v>
      </c>
      <c r="AP128" t="str">
        <f>VLOOKUP(Tabla2[[#This Row],[KPI]],$AS$2:$AT$5,2,1)</f>
        <v>Medio</v>
      </c>
    </row>
    <row r="129" spans="1:42" x14ac:dyDescent="0.3">
      <c r="A129">
        <v>10981</v>
      </c>
      <c r="B129" t="s">
        <v>364</v>
      </c>
      <c r="C129" t="s">
        <v>365</v>
      </c>
      <c r="D129">
        <v>24</v>
      </c>
      <c r="E129" t="s">
        <v>327</v>
      </c>
      <c r="F129" t="s">
        <v>3514</v>
      </c>
      <c r="G129" t="s">
        <v>366</v>
      </c>
      <c r="H129">
        <v>13904</v>
      </c>
      <c r="I129">
        <v>11530</v>
      </c>
      <c r="J129" t="s">
        <v>367</v>
      </c>
      <c r="K129" t="s">
        <v>368</v>
      </c>
      <c r="L129" t="s">
        <v>93</v>
      </c>
      <c r="M129">
        <v>696</v>
      </c>
      <c r="N129">
        <v>18646</v>
      </c>
      <c r="O129" t="s">
        <v>180</v>
      </c>
      <c r="P129" t="s">
        <v>67</v>
      </c>
      <c r="Q129" t="s">
        <v>144</v>
      </c>
      <c r="R129" t="s">
        <v>96</v>
      </c>
      <c r="S129" t="s">
        <v>48</v>
      </c>
      <c r="T129">
        <v>9247</v>
      </c>
      <c r="U129" t="s">
        <v>51</v>
      </c>
      <c r="V129">
        <v>2203</v>
      </c>
      <c r="W129">
        <v>1553</v>
      </c>
      <c r="X129" t="s">
        <v>369</v>
      </c>
      <c r="Y129" t="s">
        <v>370</v>
      </c>
      <c r="Z129" t="s">
        <v>324</v>
      </c>
      <c r="AA129" t="s">
        <v>113</v>
      </c>
      <c r="AB129">
        <v>9399</v>
      </c>
      <c r="AC129">
        <v>5767</v>
      </c>
      <c r="AD129">
        <v>2516</v>
      </c>
      <c r="AE129">
        <v>774</v>
      </c>
      <c r="AF129">
        <v>167</v>
      </c>
      <c r="AG129">
        <v>23</v>
      </c>
      <c r="AH129">
        <v>5626</v>
      </c>
      <c r="AI129">
        <v>5438</v>
      </c>
      <c r="AJ129">
        <v>448</v>
      </c>
      <c r="AK129">
        <v>2252</v>
      </c>
      <c r="AL129">
        <v>151</v>
      </c>
      <c r="AM129">
        <v>31</v>
      </c>
      <c r="AN129" t="s">
        <v>206</v>
      </c>
      <c r="AO129">
        <f>AVERAGE(Tabla2[[#This Row],[total_kills]:[rating]])</f>
        <v>4756.3684210526317</v>
      </c>
      <c r="AP129" t="str">
        <f>VLOOKUP(Tabla2[[#This Row],[KPI]],$AS$2:$AT$5,2,1)</f>
        <v>Medio</v>
      </c>
    </row>
    <row r="130" spans="1:42" x14ac:dyDescent="0.3">
      <c r="A130">
        <v>13138</v>
      </c>
      <c r="B130" t="s">
        <v>1264</v>
      </c>
      <c r="C130" t="s">
        <v>1265</v>
      </c>
      <c r="D130">
        <v>25</v>
      </c>
      <c r="E130" t="s">
        <v>42</v>
      </c>
      <c r="F130" t="s">
        <v>981</v>
      </c>
      <c r="G130" t="s">
        <v>1266</v>
      </c>
      <c r="H130">
        <v>22548</v>
      </c>
      <c r="I130">
        <v>20403</v>
      </c>
      <c r="J130" t="s">
        <v>1267</v>
      </c>
      <c r="K130" t="s">
        <v>353</v>
      </c>
      <c r="L130" t="s">
        <v>164</v>
      </c>
      <c r="M130">
        <v>1199</v>
      </c>
      <c r="N130">
        <v>31846</v>
      </c>
      <c r="O130" t="s">
        <v>646</v>
      </c>
      <c r="P130" t="s">
        <v>67</v>
      </c>
      <c r="Q130" t="s">
        <v>65</v>
      </c>
      <c r="R130" t="s">
        <v>96</v>
      </c>
      <c r="S130" t="s">
        <v>66</v>
      </c>
      <c r="T130">
        <v>15203</v>
      </c>
      <c r="U130" t="s">
        <v>51</v>
      </c>
      <c r="V130">
        <v>4195</v>
      </c>
      <c r="W130">
        <v>3247</v>
      </c>
      <c r="X130" t="s">
        <v>168</v>
      </c>
      <c r="Y130" t="s">
        <v>206</v>
      </c>
      <c r="Z130" t="s">
        <v>1268</v>
      </c>
      <c r="AA130" t="s">
        <v>671</v>
      </c>
      <c r="AB130">
        <v>16643</v>
      </c>
      <c r="AC130">
        <v>9669</v>
      </c>
      <c r="AD130">
        <v>4031</v>
      </c>
      <c r="AE130">
        <v>1228</v>
      </c>
      <c r="AF130">
        <v>242</v>
      </c>
      <c r="AG130">
        <v>33</v>
      </c>
      <c r="AH130">
        <v>7140</v>
      </c>
      <c r="AI130">
        <v>10178</v>
      </c>
      <c r="AJ130">
        <v>934</v>
      </c>
      <c r="AK130">
        <v>3969</v>
      </c>
      <c r="AL130">
        <v>317</v>
      </c>
      <c r="AM130">
        <v>101</v>
      </c>
      <c r="AN130" t="s">
        <v>561</v>
      </c>
      <c r="AO130">
        <f>AVERAGE(Tabla2[[#This Row],[total_kills]:[rating]])</f>
        <v>8059.2631578947367</v>
      </c>
      <c r="AP130" t="str">
        <f>VLOOKUP(Tabla2[[#This Row],[KPI]],$AS$2:$AT$5,2,1)</f>
        <v>Superior</v>
      </c>
    </row>
    <row r="131" spans="1:42" x14ac:dyDescent="0.3">
      <c r="A131">
        <v>1964</v>
      </c>
      <c r="B131" t="s">
        <v>3407</v>
      </c>
      <c r="C131" t="s">
        <v>3408</v>
      </c>
      <c r="D131">
        <v>35</v>
      </c>
      <c r="E131" t="s">
        <v>452</v>
      </c>
      <c r="F131" t="s">
        <v>690</v>
      </c>
      <c r="G131" t="s">
        <v>3409</v>
      </c>
      <c r="H131">
        <v>5863</v>
      </c>
      <c r="I131">
        <v>7012</v>
      </c>
      <c r="J131" t="s">
        <v>3410</v>
      </c>
      <c r="K131" t="s">
        <v>3374</v>
      </c>
      <c r="L131" t="s">
        <v>244</v>
      </c>
      <c r="M131">
        <v>380</v>
      </c>
      <c r="N131">
        <v>9970</v>
      </c>
      <c r="O131" t="s">
        <v>95</v>
      </c>
      <c r="P131" t="s">
        <v>553</v>
      </c>
      <c r="Q131" t="s">
        <v>905</v>
      </c>
      <c r="R131" t="s">
        <v>96</v>
      </c>
      <c r="S131" t="s">
        <v>96</v>
      </c>
      <c r="T131">
        <v>4209</v>
      </c>
      <c r="U131" t="s">
        <v>51</v>
      </c>
      <c r="V131">
        <v>753</v>
      </c>
      <c r="W131">
        <v>1121</v>
      </c>
      <c r="X131" t="s">
        <v>225</v>
      </c>
      <c r="Y131" t="s">
        <v>64</v>
      </c>
      <c r="Z131" t="s">
        <v>278</v>
      </c>
      <c r="AA131" t="s">
        <v>822</v>
      </c>
      <c r="AB131">
        <v>5761</v>
      </c>
      <c r="AC131">
        <v>2920</v>
      </c>
      <c r="AD131">
        <v>971</v>
      </c>
      <c r="AE131">
        <v>275</v>
      </c>
      <c r="AF131">
        <v>43</v>
      </c>
      <c r="AG131">
        <v>0</v>
      </c>
      <c r="AH131">
        <v>4327</v>
      </c>
      <c r="AI131">
        <v>27</v>
      </c>
      <c r="AJ131">
        <v>343</v>
      </c>
      <c r="AK131">
        <v>1061</v>
      </c>
      <c r="AL131">
        <v>102</v>
      </c>
      <c r="AM131">
        <v>8</v>
      </c>
      <c r="AN131" t="s">
        <v>2667</v>
      </c>
      <c r="AO131">
        <f>AVERAGE(Tabla2[[#This Row],[total_kills]:[rating]])</f>
        <v>2376.1052631578946</v>
      </c>
      <c r="AP131" t="str">
        <f>VLOOKUP(Tabla2[[#This Row],[KPI]],$AS$2:$AT$5,2,1)</f>
        <v>Bajo</v>
      </c>
    </row>
    <row r="132" spans="1:42" x14ac:dyDescent="0.3">
      <c r="A132">
        <v>13238</v>
      </c>
      <c r="B132" t="s">
        <v>475</v>
      </c>
      <c r="C132" t="s">
        <v>476</v>
      </c>
      <c r="D132">
        <v>23</v>
      </c>
      <c r="E132" t="s">
        <v>477</v>
      </c>
      <c r="F132" t="s">
        <v>3514</v>
      </c>
      <c r="G132" t="s">
        <v>478</v>
      </c>
      <c r="H132">
        <v>9304</v>
      </c>
      <c r="I132">
        <v>7896</v>
      </c>
      <c r="J132" t="s">
        <v>479</v>
      </c>
      <c r="K132" t="s">
        <v>480</v>
      </c>
      <c r="L132">
        <v>2</v>
      </c>
      <c r="M132">
        <v>476</v>
      </c>
      <c r="N132">
        <v>12393</v>
      </c>
      <c r="O132" t="s">
        <v>180</v>
      </c>
      <c r="P132" t="s">
        <v>50</v>
      </c>
      <c r="Q132" t="s">
        <v>65</v>
      </c>
      <c r="R132" t="s">
        <v>66</v>
      </c>
      <c r="S132" t="s">
        <v>96</v>
      </c>
      <c r="T132">
        <v>6199</v>
      </c>
      <c r="U132" t="s">
        <v>51</v>
      </c>
      <c r="V132">
        <v>1542</v>
      </c>
      <c r="W132">
        <v>1102</v>
      </c>
      <c r="X132" t="s">
        <v>203</v>
      </c>
      <c r="Y132" t="s">
        <v>111</v>
      </c>
      <c r="Z132" t="s">
        <v>54</v>
      </c>
      <c r="AA132" t="s">
        <v>354</v>
      </c>
      <c r="AB132">
        <v>6194</v>
      </c>
      <c r="AC132">
        <v>3885</v>
      </c>
      <c r="AD132">
        <v>1655</v>
      </c>
      <c r="AE132">
        <v>538</v>
      </c>
      <c r="AF132">
        <v>110</v>
      </c>
      <c r="AG132">
        <v>11</v>
      </c>
      <c r="AH132">
        <v>3249</v>
      </c>
      <c r="AI132">
        <v>3987</v>
      </c>
      <c r="AJ132">
        <v>349</v>
      </c>
      <c r="AK132">
        <v>1649</v>
      </c>
      <c r="AL132">
        <v>63</v>
      </c>
      <c r="AM132">
        <v>27</v>
      </c>
      <c r="AN132" t="s">
        <v>111</v>
      </c>
      <c r="AO132">
        <f>AVERAGE(Tabla2[[#This Row],[total_kills]:[rating]])</f>
        <v>3031.55</v>
      </c>
      <c r="AP132" t="str">
        <f>VLOOKUP(Tabla2[[#This Row],[KPI]],$AS$2:$AT$5,2,1)</f>
        <v>Bajo</v>
      </c>
    </row>
    <row r="133" spans="1:42" x14ac:dyDescent="0.3">
      <c r="A133">
        <v>8752</v>
      </c>
      <c r="B133" t="s">
        <v>3101</v>
      </c>
      <c r="C133" t="s">
        <v>3102</v>
      </c>
      <c r="D133">
        <v>27</v>
      </c>
      <c r="E133" t="s">
        <v>459</v>
      </c>
      <c r="F133" t="s">
        <v>3514</v>
      </c>
      <c r="G133" t="s">
        <v>3103</v>
      </c>
      <c r="H133">
        <v>10751</v>
      </c>
      <c r="I133">
        <v>11539</v>
      </c>
      <c r="J133" t="s">
        <v>479</v>
      </c>
      <c r="K133" t="s">
        <v>2662</v>
      </c>
      <c r="L133" t="s">
        <v>425</v>
      </c>
      <c r="M133">
        <v>624</v>
      </c>
      <c r="N133">
        <v>16235</v>
      </c>
      <c r="O133" t="s">
        <v>322</v>
      </c>
      <c r="P133" t="s">
        <v>48</v>
      </c>
      <c r="Q133" t="s">
        <v>646</v>
      </c>
      <c r="R133" t="s">
        <v>50</v>
      </c>
      <c r="S133" t="s">
        <v>96</v>
      </c>
      <c r="T133">
        <v>7389</v>
      </c>
      <c r="U133" t="s">
        <v>51</v>
      </c>
      <c r="V133">
        <v>1772</v>
      </c>
      <c r="W133">
        <v>1853</v>
      </c>
      <c r="X133" t="s">
        <v>472</v>
      </c>
      <c r="Y133" t="s">
        <v>449</v>
      </c>
      <c r="Z133" t="s">
        <v>983</v>
      </c>
      <c r="AA133" t="s">
        <v>436</v>
      </c>
      <c r="AB133">
        <v>8846</v>
      </c>
      <c r="AC133">
        <v>4827</v>
      </c>
      <c r="AD133">
        <v>1898</v>
      </c>
      <c r="AE133">
        <v>540</v>
      </c>
      <c r="AF133">
        <v>118</v>
      </c>
      <c r="AG133">
        <v>6</v>
      </c>
      <c r="AH133">
        <v>4464</v>
      </c>
      <c r="AI133">
        <v>3446</v>
      </c>
      <c r="AJ133">
        <v>587</v>
      </c>
      <c r="AK133">
        <v>2114</v>
      </c>
      <c r="AL133">
        <v>112</v>
      </c>
      <c r="AM133">
        <v>39</v>
      </c>
      <c r="AN133" t="s">
        <v>1570</v>
      </c>
      <c r="AO133">
        <f>AVERAGE(Tabla2[[#This Row],[total_kills]:[rating]])</f>
        <v>4061.0526315789475</v>
      </c>
      <c r="AP133" t="str">
        <f>VLOOKUP(Tabla2[[#This Row],[KPI]],$AS$2:$AT$5,2,1)</f>
        <v>Medio</v>
      </c>
    </row>
    <row r="134" spans="1:42" x14ac:dyDescent="0.3">
      <c r="A134">
        <v>9042</v>
      </c>
      <c r="B134" t="s">
        <v>766</v>
      </c>
      <c r="C134" t="s">
        <v>767</v>
      </c>
      <c r="D134">
        <v>29</v>
      </c>
      <c r="E134" t="s">
        <v>459</v>
      </c>
      <c r="F134" t="s">
        <v>3514</v>
      </c>
      <c r="G134" t="s">
        <v>768</v>
      </c>
      <c r="H134">
        <v>9797</v>
      </c>
      <c r="I134">
        <v>8616</v>
      </c>
      <c r="J134" t="s">
        <v>769</v>
      </c>
      <c r="K134" t="s">
        <v>770</v>
      </c>
      <c r="L134" t="s">
        <v>46</v>
      </c>
      <c r="M134">
        <v>491</v>
      </c>
      <c r="N134">
        <v>12856</v>
      </c>
      <c r="O134" t="s">
        <v>234</v>
      </c>
      <c r="P134" t="s">
        <v>553</v>
      </c>
      <c r="Q134" t="s">
        <v>225</v>
      </c>
      <c r="R134" t="s">
        <v>96</v>
      </c>
      <c r="S134" t="s">
        <v>48</v>
      </c>
      <c r="T134">
        <v>6615</v>
      </c>
      <c r="U134" t="s">
        <v>51</v>
      </c>
      <c r="V134">
        <v>1145</v>
      </c>
      <c r="W134">
        <v>864</v>
      </c>
      <c r="X134" t="s">
        <v>442</v>
      </c>
      <c r="Y134">
        <v>1</v>
      </c>
      <c r="Z134" t="s">
        <v>771</v>
      </c>
      <c r="AA134" t="s">
        <v>363</v>
      </c>
      <c r="AB134">
        <v>6241</v>
      </c>
      <c r="AC134">
        <v>4174</v>
      </c>
      <c r="AD134">
        <v>1844</v>
      </c>
      <c r="AE134">
        <v>474</v>
      </c>
      <c r="AF134">
        <v>111</v>
      </c>
      <c r="AG134">
        <v>12</v>
      </c>
      <c r="AH134">
        <v>7011</v>
      </c>
      <c r="AI134">
        <v>135</v>
      </c>
      <c r="AJ134">
        <v>717</v>
      </c>
      <c r="AK134">
        <v>1794</v>
      </c>
      <c r="AL134">
        <v>131</v>
      </c>
      <c r="AM134">
        <v>26</v>
      </c>
      <c r="AN134" t="s">
        <v>295</v>
      </c>
      <c r="AO134">
        <f>AVERAGE(Tabla2[[#This Row],[total_kills]:[rating]])</f>
        <v>3152.75</v>
      </c>
      <c r="AP134" t="str">
        <f>VLOOKUP(Tabla2[[#This Row],[KPI]],$AS$2:$AT$5,2,1)</f>
        <v>Bajo</v>
      </c>
    </row>
    <row r="135" spans="1:42" x14ac:dyDescent="0.3">
      <c r="A135">
        <v>9069</v>
      </c>
      <c r="B135" t="s">
        <v>2202</v>
      </c>
      <c r="C135" t="s">
        <v>2203</v>
      </c>
      <c r="D135">
        <v>24</v>
      </c>
      <c r="E135" t="s">
        <v>459</v>
      </c>
      <c r="F135" t="s">
        <v>3514</v>
      </c>
      <c r="G135" t="s">
        <v>2204</v>
      </c>
      <c r="H135">
        <v>15336</v>
      </c>
      <c r="I135">
        <v>15026</v>
      </c>
      <c r="J135" t="s">
        <v>769</v>
      </c>
      <c r="K135" t="s">
        <v>2205</v>
      </c>
      <c r="L135" t="s">
        <v>471</v>
      </c>
      <c r="M135">
        <v>865</v>
      </c>
      <c r="N135">
        <v>22686</v>
      </c>
      <c r="O135" t="s">
        <v>167</v>
      </c>
      <c r="P135" t="s">
        <v>96</v>
      </c>
      <c r="Q135" t="s">
        <v>322</v>
      </c>
      <c r="R135" t="s">
        <v>50</v>
      </c>
      <c r="S135" t="s">
        <v>96</v>
      </c>
      <c r="T135">
        <v>10342</v>
      </c>
      <c r="U135" t="s">
        <v>51</v>
      </c>
      <c r="V135">
        <v>2683</v>
      </c>
      <c r="W135">
        <v>2403</v>
      </c>
      <c r="X135" t="s">
        <v>370</v>
      </c>
      <c r="Y135" t="s">
        <v>277</v>
      </c>
      <c r="Z135" t="s">
        <v>383</v>
      </c>
      <c r="AA135" t="s">
        <v>354</v>
      </c>
      <c r="AB135">
        <v>12344</v>
      </c>
      <c r="AC135">
        <v>6570</v>
      </c>
      <c r="AD135">
        <v>2770</v>
      </c>
      <c r="AE135">
        <v>800</v>
      </c>
      <c r="AF135">
        <v>184</v>
      </c>
      <c r="AG135">
        <v>18</v>
      </c>
      <c r="AH135">
        <v>4529</v>
      </c>
      <c r="AI135">
        <v>7276</v>
      </c>
      <c r="AJ135">
        <v>684</v>
      </c>
      <c r="AK135">
        <v>2673</v>
      </c>
      <c r="AL135">
        <v>156</v>
      </c>
      <c r="AM135">
        <v>45</v>
      </c>
      <c r="AN135" t="s">
        <v>255</v>
      </c>
      <c r="AO135">
        <f>AVERAGE(Tabla2[[#This Row],[total_kills]:[rating]])</f>
        <v>5652.105263157895</v>
      </c>
      <c r="AP135" t="str">
        <f>VLOOKUP(Tabla2[[#This Row],[KPI]],$AS$2:$AT$5,2,1)</f>
        <v>Alto</v>
      </c>
    </row>
    <row r="136" spans="1:42" x14ac:dyDescent="0.3">
      <c r="A136">
        <v>7214</v>
      </c>
      <c r="B136" t="s">
        <v>3057</v>
      </c>
      <c r="C136" t="s">
        <v>3058</v>
      </c>
      <c r="D136">
        <v>31</v>
      </c>
      <c r="E136" t="s">
        <v>708</v>
      </c>
      <c r="F136" t="s">
        <v>3514</v>
      </c>
      <c r="G136" t="s">
        <v>3059</v>
      </c>
      <c r="H136">
        <v>6648</v>
      </c>
      <c r="I136">
        <v>6894</v>
      </c>
      <c r="J136" t="s">
        <v>769</v>
      </c>
      <c r="K136">
        <v>76</v>
      </c>
      <c r="L136" t="s">
        <v>313</v>
      </c>
      <c r="M136">
        <v>403</v>
      </c>
      <c r="N136">
        <v>10276</v>
      </c>
      <c r="O136" t="s">
        <v>276</v>
      </c>
      <c r="P136" t="s">
        <v>235</v>
      </c>
      <c r="Q136" t="s">
        <v>225</v>
      </c>
      <c r="R136" t="s">
        <v>96</v>
      </c>
      <c r="S136" t="s">
        <v>96</v>
      </c>
      <c r="T136">
        <v>4650</v>
      </c>
      <c r="U136" t="s">
        <v>51</v>
      </c>
      <c r="V136">
        <v>731</v>
      </c>
      <c r="W136">
        <v>683</v>
      </c>
      <c r="X136" t="s">
        <v>464</v>
      </c>
      <c r="Y136" t="s">
        <v>1749</v>
      </c>
      <c r="Z136" t="s">
        <v>3060</v>
      </c>
      <c r="AA136" t="s">
        <v>474</v>
      </c>
      <c r="AB136">
        <v>5626</v>
      </c>
      <c r="AC136">
        <v>3115</v>
      </c>
      <c r="AD136">
        <v>1168</v>
      </c>
      <c r="AE136">
        <v>311</v>
      </c>
      <c r="AF136">
        <v>51</v>
      </c>
      <c r="AG136">
        <v>5</v>
      </c>
      <c r="AH136">
        <v>4584</v>
      </c>
      <c r="AI136">
        <v>432</v>
      </c>
      <c r="AJ136">
        <v>277</v>
      </c>
      <c r="AK136">
        <v>1148</v>
      </c>
      <c r="AL136">
        <v>199</v>
      </c>
      <c r="AM136">
        <v>8</v>
      </c>
      <c r="AN136" t="s">
        <v>820</v>
      </c>
      <c r="AO136">
        <f>AVERAGE(Tabla2[[#This Row],[total_kills]:[rating]])</f>
        <v>2364.25</v>
      </c>
      <c r="AP136" t="str">
        <f>VLOOKUP(Tabla2[[#This Row],[KPI]],$AS$2:$AT$5,2,1)</f>
        <v>Bajo</v>
      </c>
    </row>
    <row r="137" spans="1:42" x14ac:dyDescent="0.3">
      <c r="A137">
        <v>8555</v>
      </c>
      <c r="B137" t="s">
        <v>961</v>
      </c>
      <c r="C137" t="s">
        <v>962</v>
      </c>
      <c r="D137">
        <v>25</v>
      </c>
      <c r="E137" t="s">
        <v>545</v>
      </c>
      <c r="F137" t="s">
        <v>3514</v>
      </c>
      <c r="G137" t="s">
        <v>963</v>
      </c>
      <c r="H137">
        <v>10437</v>
      </c>
      <c r="I137">
        <v>9487</v>
      </c>
      <c r="J137" t="s">
        <v>964</v>
      </c>
      <c r="K137">
        <v>79</v>
      </c>
      <c r="L137" t="s">
        <v>462</v>
      </c>
      <c r="M137">
        <v>528</v>
      </c>
      <c r="N137">
        <v>13954</v>
      </c>
      <c r="O137" t="s">
        <v>180</v>
      </c>
      <c r="P137" t="s">
        <v>48</v>
      </c>
      <c r="Q137" t="s">
        <v>167</v>
      </c>
      <c r="R137" t="s">
        <v>96</v>
      </c>
      <c r="S137" t="s">
        <v>50</v>
      </c>
      <c r="T137">
        <v>6882</v>
      </c>
      <c r="U137" t="s">
        <v>51</v>
      </c>
      <c r="V137">
        <v>1769</v>
      </c>
      <c r="W137">
        <v>1402</v>
      </c>
      <c r="X137" t="s">
        <v>87</v>
      </c>
      <c r="Y137" t="s">
        <v>98</v>
      </c>
      <c r="Z137" t="s">
        <v>932</v>
      </c>
      <c r="AA137" t="s">
        <v>205</v>
      </c>
      <c r="AB137">
        <v>7072</v>
      </c>
      <c r="AC137">
        <v>4196</v>
      </c>
      <c r="AD137">
        <v>1970</v>
      </c>
      <c r="AE137">
        <v>575</v>
      </c>
      <c r="AF137">
        <v>129</v>
      </c>
      <c r="AG137">
        <v>12</v>
      </c>
      <c r="AH137">
        <v>3869</v>
      </c>
      <c r="AI137">
        <v>3914</v>
      </c>
      <c r="AJ137">
        <v>331</v>
      </c>
      <c r="AK137">
        <v>2166</v>
      </c>
      <c r="AL137">
        <v>149</v>
      </c>
      <c r="AM137">
        <v>34</v>
      </c>
      <c r="AN137" t="s">
        <v>277</v>
      </c>
      <c r="AO137">
        <f>AVERAGE(Tabla2[[#This Row],[total_kills]:[rating]])</f>
        <v>3447.75</v>
      </c>
      <c r="AP137" t="str">
        <f>VLOOKUP(Tabla2[[#This Row],[KPI]],$AS$2:$AT$5,2,1)</f>
        <v>Medio</v>
      </c>
    </row>
    <row r="138" spans="1:42" x14ac:dyDescent="0.3">
      <c r="A138">
        <v>15662</v>
      </c>
      <c r="B138" t="s">
        <v>489</v>
      </c>
      <c r="C138" t="s">
        <v>490</v>
      </c>
      <c r="D138">
        <v>24</v>
      </c>
      <c r="E138" t="s">
        <v>75</v>
      </c>
      <c r="F138" t="s">
        <v>491</v>
      </c>
      <c r="G138" t="s">
        <v>492</v>
      </c>
      <c r="H138">
        <v>14696</v>
      </c>
      <c r="I138">
        <v>12200</v>
      </c>
      <c r="J138" t="s">
        <v>493</v>
      </c>
      <c r="K138" t="s">
        <v>494</v>
      </c>
      <c r="L138" t="s">
        <v>179</v>
      </c>
      <c r="M138">
        <v>754</v>
      </c>
      <c r="N138">
        <v>20154</v>
      </c>
      <c r="O138" t="s">
        <v>495</v>
      </c>
      <c r="P138" t="s">
        <v>96</v>
      </c>
      <c r="Q138" t="s">
        <v>49</v>
      </c>
      <c r="R138" t="s">
        <v>96</v>
      </c>
      <c r="S138" t="s">
        <v>67</v>
      </c>
      <c r="T138">
        <v>9854</v>
      </c>
      <c r="U138" t="s">
        <v>51</v>
      </c>
      <c r="V138">
        <v>2584</v>
      </c>
      <c r="W138">
        <v>1670</v>
      </c>
      <c r="X138" t="s">
        <v>496</v>
      </c>
      <c r="Y138" t="s">
        <v>172</v>
      </c>
      <c r="Z138" t="s">
        <v>237</v>
      </c>
      <c r="AA138" t="s">
        <v>497</v>
      </c>
      <c r="AB138">
        <v>10300</v>
      </c>
      <c r="AC138">
        <v>6195</v>
      </c>
      <c r="AD138">
        <v>2676</v>
      </c>
      <c r="AE138">
        <v>805</v>
      </c>
      <c r="AF138">
        <v>156</v>
      </c>
      <c r="AG138">
        <v>22</v>
      </c>
      <c r="AH138">
        <v>4279</v>
      </c>
      <c r="AI138">
        <v>7548</v>
      </c>
      <c r="AJ138">
        <v>239</v>
      </c>
      <c r="AK138">
        <v>2509</v>
      </c>
      <c r="AL138">
        <v>139</v>
      </c>
      <c r="AM138">
        <v>27</v>
      </c>
      <c r="AN138" t="s">
        <v>84</v>
      </c>
      <c r="AO138">
        <f>AVERAGE(Tabla2[[#This Row],[total_kills]:[rating]])</f>
        <v>5095.105263157895</v>
      </c>
      <c r="AP138" t="str">
        <f>VLOOKUP(Tabla2[[#This Row],[KPI]],$AS$2:$AT$5,2,1)</f>
        <v>Alto</v>
      </c>
    </row>
    <row r="139" spans="1:42" x14ac:dyDescent="0.3">
      <c r="A139">
        <v>1915</v>
      </c>
      <c r="B139" t="s">
        <v>2391</v>
      </c>
      <c r="C139" t="s">
        <v>2392</v>
      </c>
      <c r="D139">
        <v>33</v>
      </c>
      <c r="E139" t="s">
        <v>500</v>
      </c>
      <c r="F139" t="s">
        <v>825</v>
      </c>
      <c r="G139" t="s">
        <v>2393</v>
      </c>
      <c r="H139">
        <v>15472</v>
      </c>
      <c r="I139">
        <v>15505</v>
      </c>
      <c r="J139" t="s">
        <v>493</v>
      </c>
      <c r="K139" t="s">
        <v>920</v>
      </c>
      <c r="L139" t="s">
        <v>390</v>
      </c>
      <c r="M139">
        <v>848</v>
      </c>
      <c r="N139">
        <v>21936</v>
      </c>
      <c r="O139" t="s">
        <v>646</v>
      </c>
      <c r="P139" t="s">
        <v>235</v>
      </c>
      <c r="Q139" t="s">
        <v>646</v>
      </c>
      <c r="R139" t="s">
        <v>50</v>
      </c>
      <c r="S139" t="s">
        <v>50</v>
      </c>
      <c r="T139">
        <v>10488</v>
      </c>
      <c r="U139" t="s">
        <v>51</v>
      </c>
      <c r="V139">
        <v>2409</v>
      </c>
      <c r="W139">
        <v>2211</v>
      </c>
      <c r="X139" t="s">
        <v>295</v>
      </c>
      <c r="Y139" t="s">
        <v>304</v>
      </c>
      <c r="Z139" t="s">
        <v>427</v>
      </c>
      <c r="AA139" t="s">
        <v>969</v>
      </c>
      <c r="AB139">
        <v>11448</v>
      </c>
      <c r="AC139">
        <v>6664</v>
      </c>
      <c r="AD139">
        <v>2849</v>
      </c>
      <c r="AE139">
        <v>818</v>
      </c>
      <c r="AF139">
        <v>148</v>
      </c>
      <c r="AG139">
        <v>9</v>
      </c>
      <c r="AH139">
        <v>6452</v>
      </c>
      <c r="AI139">
        <v>4597</v>
      </c>
      <c r="AJ139">
        <v>799</v>
      </c>
      <c r="AK139">
        <v>3415</v>
      </c>
      <c r="AL139">
        <v>204</v>
      </c>
      <c r="AM139">
        <v>38</v>
      </c>
      <c r="AN139" t="s">
        <v>285</v>
      </c>
      <c r="AO139">
        <f>AVERAGE(Tabla2[[#This Row],[total_kills]:[rating]])</f>
        <v>5595.2631578947367</v>
      </c>
      <c r="AP139" t="str">
        <f>VLOOKUP(Tabla2[[#This Row],[KPI]],$AS$2:$AT$5,2,1)</f>
        <v>Alto</v>
      </c>
    </row>
    <row r="140" spans="1:42" x14ac:dyDescent="0.3">
      <c r="A140">
        <v>14505</v>
      </c>
      <c r="B140" t="s">
        <v>649</v>
      </c>
      <c r="C140" t="s">
        <v>650</v>
      </c>
      <c r="D140">
        <v>27</v>
      </c>
      <c r="E140" t="s">
        <v>299</v>
      </c>
      <c r="F140" t="s">
        <v>3514</v>
      </c>
      <c r="G140" t="s">
        <v>651</v>
      </c>
      <c r="H140">
        <v>8895</v>
      </c>
      <c r="I140">
        <v>7909</v>
      </c>
      <c r="J140" t="s">
        <v>652</v>
      </c>
      <c r="K140">
        <v>80</v>
      </c>
      <c r="L140" t="s">
        <v>122</v>
      </c>
      <c r="M140">
        <v>452</v>
      </c>
      <c r="N140">
        <v>11703</v>
      </c>
      <c r="O140" t="s">
        <v>234</v>
      </c>
      <c r="P140" t="s">
        <v>67</v>
      </c>
      <c r="Q140" t="s">
        <v>167</v>
      </c>
      <c r="R140" t="s">
        <v>66</v>
      </c>
      <c r="S140" t="s">
        <v>96</v>
      </c>
      <c r="T140">
        <v>5842</v>
      </c>
      <c r="U140" t="s">
        <v>51</v>
      </c>
      <c r="V140">
        <v>1757</v>
      </c>
      <c r="W140">
        <v>1334</v>
      </c>
      <c r="X140" t="s">
        <v>56</v>
      </c>
      <c r="Y140" t="s">
        <v>101</v>
      </c>
      <c r="Z140" t="s">
        <v>653</v>
      </c>
      <c r="AA140" t="s">
        <v>654</v>
      </c>
      <c r="AB140">
        <v>5861</v>
      </c>
      <c r="AC140">
        <v>3584</v>
      </c>
      <c r="AD140">
        <v>1605</v>
      </c>
      <c r="AE140">
        <v>526</v>
      </c>
      <c r="AF140">
        <v>112</v>
      </c>
      <c r="AG140">
        <v>15</v>
      </c>
      <c r="AH140">
        <v>3116</v>
      </c>
      <c r="AI140">
        <v>3874</v>
      </c>
      <c r="AJ140">
        <v>187</v>
      </c>
      <c r="AK140">
        <v>1615</v>
      </c>
      <c r="AL140">
        <v>77</v>
      </c>
      <c r="AM140">
        <v>43</v>
      </c>
      <c r="AN140" t="s">
        <v>111</v>
      </c>
      <c r="AO140">
        <f>AVERAGE(Tabla2[[#This Row],[total_kills]:[rating]])</f>
        <v>2929.35</v>
      </c>
      <c r="AP140" t="str">
        <f>VLOOKUP(Tabla2[[#This Row],[KPI]],$AS$2:$AT$5,2,1)</f>
        <v>Bajo</v>
      </c>
    </row>
    <row r="141" spans="1:42" x14ac:dyDescent="0.3">
      <c r="A141">
        <v>3849</v>
      </c>
      <c r="B141" t="s">
        <v>1338</v>
      </c>
      <c r="C141" t="s">
        <v>1339</v>
      </c>
      <c r="D141">
        <v>27</v>
      </c>
      <c r="E141" t="s">
        <v>545</v>
      </c>
      <c r="F141" t="s">
        <v>1340</v>
      </c>
      <c r="G141" t="s">
        <v>605</v>
      </c>
      <c r="H141">
        <v>37544</v>
      </c>
      <c r="I141">
        <v>35005</v>
      </c>
      <c r="J141" t="s">
        <v>652</v>
      </c>
      <c r="K141" t="s">
        <v>540</v>
      </c>
      <c r="L141">
        <v>4</v>
      </c>
      <c r="M141">
        <v>1955</v>
      </c>
      <c r="N141">
        <v>51388</v>
      </c>
      <c r="O141" t="s">
        <v>495</v>
      </c>
      <c r="P141" t="s">
        <v>235</v>
      </c>
      <c r="Q141" t="s">
        <v>167</v>
      </c>
      <c r="R141" t="s">
        <v>66</v>
      </c>
      <c r="S141" t="s">
        <v>66</v>
      </c>
      <c r="T141">
        <v>24935</v>
      </c>
      <c r="U141" t="s">
        <v>51</v>
      </c>
      <c r="V141">
        <v>7189</v>
      </c>
      <c r="W141">
        <v>6363</v>
      </c>
      <c r="X141" t="s">
        <v>98</v>
      </c>
      <c r="Y141" t="s">
        <v>206</v>
      </c>
      <c r="Z141" t="s">
        <v>777</v>
      </c>
      <c r="AA141" t="s">
        <v>712</v>
      </c>
      <c r="AB141">
        <v>26453</v>
      </c>
      <c r="AC141">
        <v>15449</v>
      </c>
      <c r="AD141">
        <v>6913</v>
      </c>
      <c r="AE141">
        <v>2130</v>
      </c>
      <c r="AF141">
        <v>407</v>
      </c>
      <c r="AG141">
        <v>36</v>
      </c>
      <c r="AH141">
        <v>14368</v>
      </c>
      <c r="AI141">
        <v>12911</v>
      </c>
      <c r="AJ141">
        <v>1228</v>
      </c>
      <c r="AK141">
        <v>7496</v>
      </c>
      <c r="AL141">
        <v>602</v>
      </c>
      <c r="AM141">
        <v>1001</v>
      </c>
      <c r="AN141" t="s">
        <v>304</v>
      </c>
      <c r="AO141">
        <f>AVERAGE(Tabla2[[#This Row],[total_kills]:[rating]])</f>
        <v>12668.85</v>
      </c>
      <c r="AP141" t="str">
        <f>VLOOKUP(Tabla2[[#This Row],[KPI]],$AS$2:$AT$5,2,1)</f>
        <v>Superior</v>
      </c>
    </row>
    <row r="142" spans="1:42" x14ac:dyDescent="0.3">
      <c r="A142">
        <v>15072</v>
      </c>
      <c r="B142" t="s">
        <v>1444</v>
      </c>
      <c r="C142" t="s">
        <v>1445</v>
      </c>
      <c r="D142">
        <v>24</v>
      </c>
      <c r="E142" t="s">
        <v>403</v>
      </c>
      <c r="F142" t="s">
        <v>1446</v>
      </c>
      <c r="G142" t="s">
        <v>1447</v>
      </c>
      <c r="H142">
        <v>7326</v>
      </c>
      <c r="I142">
        <v>6646</v>
      </c>
      <c r="J142" t="s">
        <v>652</v>
      </c>
      <c r="K142" t="s">
        <v>916</v>
      </c>
      <c r="L142" t="s">
        <v>949</v>
      </c>
      <c r="M142">
        <v>398</v>
      </c>
      <c r="N142">
        <v>10487</v>
      </c>
      <c r="O142" t="s">
        <v>905</v>
      </c>
      <c r="P142" t="s">
        <v>67</v>
      </c>
      <c r="Q142" t="s">
        <v>215</v>
      </c>
      <c r="R142" t="s">
        <v>66</v>
      </c>
      <c r="S142" t="s">
        <v>96</v>
      </c>
      <c r="T142">
        <v>5012</v>
      </c>
      <c r="U142" t="s">
        <v>51</v>
      </c>
      <c r="V142">
        <v>1214</v>
      </c>
      <c r="W142">
        <v>943</v>
      </c>
      <c r="X142" t="s">
        <v>168</v>
      </c>
      <c r="Y142" t="s">
        <v>561</v>
      </c>
      <c r="Z142" t="s">
        <v>286</v>
      </c>
      <c r="AA142" t="s">
        <v>305</v>
      </c>
      <c r="AB142">
        <v>5475</v>
      </c>
      <c r="AC142">
        <v>3259</v>
      </c>
      <c r="AD142">
        <v>1276</v>
      </c>
      <c r="AE142">
        <v>401</v>
      </c>
      <c r="AF142">
        <v>68</v>
      </c>
      <c r="AG142">
        <v>8</v>
      </c>
      <c r="AH142">
        <v>2604</v>
      </c>
      <c r="AI142">
        <v>3064</v>
      </c>
      <c r="AJ142">
        <v>357</v>
      </c>
      <c r="AK142">
        <v>1147</v>
      </c>
      <c r="AL142">
        <v>137</v>
      </c>
      <c r="AM142">
        <v>58</v>
      </c>
      <c r="AN142" t="s">
        <v>295</v>
      </c>
      <c r="AO142">
        <f>AVERAGE(Tabla2[[#This Row],[total_kills]:[rating]])</f>
        <v>2625.2631578947367</v>
      </c>
      <c r="AP142" t="str">
        <f>VLOOKUP(Tabla2[[#This Row],[KPI]],$AS$2:$AT$5,2,1)</f>
        <v>Bajo</v>
      </c>
    </row>
    <row r="143" spans="1:42" x14ac:dyDescent="0.3">
      <c r="A143">
        <v>2553</v>
      </c>
      <c r="B143" t="s">
        <v>1557</v>
      </c>
      <c r="C143" t="s">
        <v>1558</v>
      </c>
      <c r="D143">
        <v>29</v>
      </c>
      <c r="E143" t="s">
        <v>327</v>
      </c>
      <c r="F143" t="s">
        <v>3514</v>
      </c>
      <c r="G143" t="s">
        <v>1559</v>
      </c>
      <c r="H143">
        <v>39509</v>
      </c>
      <c r="I143">
        <v>36701</v>
      </c>
      <c r="J143" t="s">
        <v>652</v>
      </c>
      <c r="K143" t="s">
        <v>645</v>
      </c>
      <c r="L143" t="s">
        <v>224</v>
      </c>
      <c r="M143">
        <v>2127</v>
      </c>
      <c r="N143">
        <v>56083</v>
      </c>
      <c r="O143" t="s">
        <v>905</v>
      </c>
      <c r="P143" t="s">
        <v>202</v>
      </c>
      <c r="Q143" t="s">
        <v>276</v>
      </c>
      <c r="R143" t="s">
        <v>66</v>
      </c>
      <c r="S143" t="s">
        <v>66</v>
      </c>
      <c r="T143">
        <v>26714</v>
      </c>
      <c r="U143" t="s">
        <v>51</v>
      </c>
      <c r="V143">
        <v>6308</v>
      </c>
      <c r="W143">
        <v>5876</v>
      </c>
      <c r="X143" t="s">
        <v>464</v>
      </c>
      <c r="Y143" t="s">
        <v>304</v>
      </c>
      <c r="Z143" t="s">
        <v>809</v>
      </c>
      <c r="AA143" t="s">
        <v>882</v>
      </c>
      <c r="AB143">
        <v>29369</v>
      </c>
      <c r="AC143">
        <v>17049</v>
      </c>
      <c r="AD143">
        <v>7065</v>
      </c>
      <c r="AE143">
        <v>2156</v>
      </c>
      <c r="AF143">
        <v>402</v>
      </c>
      <c r="AG143">
        <v>42</v>
      </c>
      <c r="AH143">
        <v>20396</v>
      </c>
      <c r="AI143">
        <v>8929</v>
      </c>
      <c r="AJ143">
        <v>2183</v>
      </c>
      <c r="AK143">
        <v>6728</v>
      </c>
      <c r="AL143">
        <v>638</v>
      </c>
      <c r="AM143">
        <v>680</v>
      </c>
      <c r="AN143" t="s">
        <v>407</v>
      </c>
      <c r="AO143">
        <f>AVERAGE(Tabla2[[#This Row],[total_kills]:[rating]])</f>
        <v>14155.526315789473</v>
      </c>
      <c r="AP143" t="str">
        <f>VLOOKUP(Tabla2[[#This Row],[KPI]],$AS$2:$AT$5,2,1)</f>
        <v>Superior</v>
      </c>
    </row>
    <row r="144" spans="1:42" x14ac:dyDescent="0.3">
      <c r="A144">
        <v>20113</v>
      </c>
      <c r="B144" t="s">
        <v>88</v>
      </c>
      <c r="C144" t="s">
        <v>89</v>
      </c>
      <c r="D144">
        <v>21</v>
      </c>
      <c r="E144" t="s">
        <v>75</v>
      </c>
      <c r="F144" t="s">
        <v>90</v>
      </c>
      <c r="G144" t="s">
        <v>90</v>
      </c>
      <c r="H144">
        <v>8738</v>
      </c>
      <c r="I144">
        <v>6397</v>
      </c>
      <c r="J144" t="s">
        <v>91</v>
      </c>
      <c r="K144" t="s">
        <v>92</v>
      </c>
      <c r="L144" t="s">
        <v>93</v>
      </c>
      <c r="M144">
        <v>404</v>
      </c>
      <c r="N144">
        <v>10913</v>
      </c>
      <c r="O144" t="s">
        <v>94</v>
      </c>
      <c r="P144" t="s">
        <v>50</v>
      </c>
      <c r="Q144" t="s">
        <v>95</v>
      </c>
      <c r="R144" t="s">
        <v>96</v>
      </c>
      <c r="S144" t="s">
        <v>67</v>
      </c>
      <c r="T144">
        <v>5785</v>
      </c>
      <c r="U144" t="s">
        <v>51</v>
      </c>
      <c r="V144">
        <v>1261</v>
      </c>
      <c r="W144">
        <v>727</v>
      </c>
      <c r="X144" t="s">
        <v>97</v>
      </c>
      <c r="Y144" t="s">
        <v>98</v>
      </c>
      <c r="Z144" t="s">
        <v>99</v>
      </c>
      <c r="AA144" t="s">
        <v>100</v>
      </c>
      <c r="AB144">
        <v>5128</v>
      </c>
      <c r="AC144">
        <v>3598</v>
      </c>
      <c r="AD144">
        <v>1549</v>
      </c>
      <c r="AE144">
        <v>518</v>
      </c>
      <c r="AF144">
        <v>112</v>
      </c>
      <c r="AG144">
        <v>8</v>
      </c>
      <c r="AH144">
        <v>2664</v>
      </c>
      <c r="AI144">
        <v>4348</v>
      </c>
      <c r="AJ144">
        <v>181</v>
      </c>
      <c r="AK144">
        <v>1459</v>
      </c>
      <c r="AL144">
        <v>86</v>
      </c>
      <c r="AM144">
        <v>40</v>
      </c>
      <c r="AN144" t="s">
        <v>101</v>
      </c>
      <c r="AO144">
        <f>AVERAGE(Tabla2[[#This Row],[total_kills]:[rating]])</f>
        <v>2837.6842105263158</v>
      </c>
      <c r="AP144" t="str">
        <f>VLOOKUP(Tabla2[[#This Row],[KPI]],$AS$2:$AT$5,2,1)</f>
        <v>Bajo</v>
      </c>
    </row>
    <row r="145" spans="1:42" x14ac:dyDescent="0.3">
      <c r="A145">
        <v>7218</v>
      </c>
      <c r="B145" t="s">
        <v>3298</v>
      </c>
      <c r="C145" t="s">
        <v>3299</v>
      </c>
      <c r="D145">
        <v>29</v>
      </c>
      <c r="E145" t="s">
        <v>708</v>
      </c>
      <c r="F145" t="s">
        <v>1744</v>
      </c>
      <c r="G145" t="s">
        <v>3300</v>
      </c>
      <c r="H145">
        <v>29499</v>
      </c>
      <c r="I145">
        <v>32932</v>
      </c>
      <c r="J145" t="s">
        <v>91</v>
      </c>
      <c r="K145" t="s">
        <v>3209</v>
      </c>
      <c r="L145" t="s">
        <v>282</v>
      </c>
      <c r="M145">
        <v>1864</v>
      </c>
      <c r="N145">
        <v>48739</v>
      </c>
      <c r="O145" t="s">
        <v>49</v>
      </c>
      <c r="P145" t="s">
        <v>166</v>
      </c>
      <c r="Q145" t="s">
        <v>167</v>
      </c>
      <c r="R145" t="s">
        <v>50</v>
      </c>
      <c r="S145" t="s">
        <v>66</v>
      </c>
      <c r="T145">
        <v>20712</v>
      </c>
      <c r="U145" t="s">
        <v>51</v>
      </c>
      <c r="V145">
        <v>4581</v>
      </c>
      <c r="W145">
        <v>5119</v>
      </c>
      <c r="X145" t="s">
        <v>1551</v>
      </c>
      <c r="Y145" t="s">
        <v>472</v>
      </c>
      <c r="Z145" t="s">
        <v>278</v>
      </c>
      <c r="AA145" t="s">
        <v>640</v>
      </c>
      <c r="AB145">
        <v>28027</v>
      </c>
      <c r="AC145">
        <v>14001</v>
      </c>
      <c r="AD145">
        <v>5006</v>
      </c>
      <c r="AE145">
        <v>1412</v>
      </c>
      <c r="AF145">
        <v>265</v>
      </c>
      <c r="AG145">
        <v>28</v>
      </c>
      <c r="AH145">
        <v>15027</v>
      </c>
      <c r="AI145">
        <v>5942</v>
      </c>
      <c r="AJ145">
        <v>2198</v>
      </c>
      <c r="AK145">
        <v>5682</v>
      </c>
      <c r="AL145">
        <v>583</v>
      </c>
      <c r="AM145">
        <v>111</v>
      </c>
      <c r="AN145" t="s">
        <v>1906</v>
      </c>
      <c r="AO145">
        <f>AVERAGE(Tabla2[[#This Row],[total_kills]:[rating]])</f>
        <v>11669.894736842105</v>
      </c>
      <c r="AP145" t="str">
        <f>VLOOKUP(Tabla2[[#This Row],[KPI]],$AS$2:$AT$5,2,1)</f>
        <v>Superior</v>
      </c>
    </row>
    <row r="146" spans="1:42" x14ac:dyDescent="0.3">
      <c r="A146">
        <v>9294</v>
      </c>
      <c r="B146" t="s">
        <v>1005</v>
      </c>
      <c r="C146" t="s">
        <v>1006</v>
      </c>
      <c r="D146">
        <v>25</v>
      </c>
      <c r="E146" t="s">
        <v>196</v>
      </c>
      <c r="F146" t="s">
        <v>3514</v>
      </c>
      <c r="G146" t="s">
        <v>1007</v>
      </c>
      <c r="H146">
        <v>17805</v>
      </c>
      <c r="I146">
        <v>15366</v>
      </c>
      <c r="J146" t="s">
        <v>1008</v>
      </c>
      <c r="K146" t="s">
        <v>1009</v>
      </c>
      <c r="L146" t="s">
        <v>471</v>
      </c>
      <c r="M146">
        <v>948</v>
      </c>
      <c r="N146">
        <v>25338</v>
      </c>
      <c r="O146" t="s">
        <v>905</v>
      </c>
      <c r="P146" t="s">
        <v>50</v>
      </c>
      <c r="Q146" t="s">
        <v>49</v>
      </c>
      <c r="R146" t="s">
        <v>96</v>
      </c>
      <c r="S146" t="s">
        <v>50</v>
      </c>
      <c r="T146">
        <v>12138</v>
      </c>
      <c r="U146" t="s">
        <v>51</v>
      </c>
      <c r="V146">
        <v>2661</v>
      </c>
      <c r="W146">
        <v>1865</v>
      </c>
      <c r="X146" t="s">
        <v>236</v>
      </c>
      <c r="Y146" t="s">
        <v>464</v>
      </c>
      <c r="Z146" t="s">
        <v>137</v>
      </c>
      <c r="AA146" t="s">
        <v>676</v>
      </c>
      <c r="AB146">
        <v>13200</v>
      </c>
      <c r="AC146">
        <v>7772</v>
      </c>
      <c r="AD146">
        <v>3264</v>
      </c>
      <c r="AE146">
        <v>916</v>
      </c>
      <c r="AF146">
        <v>173</v>
      </c>
      <c r="AG146">
        <v>13</v>
      </c>
      <c r="AH146">
        <v>5861</v>
      </c>
      <c r="AI146">
        <v>7788</v>
      </c>
      <c r="AJ146">
        <v>648</v>
      </c>
      <c r="AK146">
        <v>3284</v>
      </c>
      <c r="AL146">
        <v>223</v>
      </c>
      <c r="AM146">
        <v>48</v>
      </c>
      <c r="AN146" t="s">
        <v>464</v>
      </c>
      <c r="AO146">
        <f>AVERAGE(Tabla2[[#This Row],[total_kills]:[rating]])</f>
        <v>6279.5263157894733</v>
      </c>
      <c r="AP146" t="str">
        <f>VLOOKUP(Tabla2[[#This Row],[KPI]],$AS$2:$AT$5,2,1)</f>
        <v>Alto</v>
      </c>
    </row>
    <row r="147" spans="1:42" x14ac:dyDescent="0.3">
      <c r="A147">
        <v>17353</v>
      </c>
      <c r="B147" t="s">
        <v>1726</v>
      </c>
      <c r="C147" t="s">
        <v>1727</v>
      </c>
      <c r="D147">
        <v>22</v>
      </c>
      <c r="E147" t="s">
        <v>459</v>
      </c>
      <c r="F147" t="s">
        <v>1728</v>
      </c>
      <c r="G147" t="s">
        <v>1729</v>
      </c>
      <c r="H147">
        <v>8583</v>
      </c>
      <c r="I147">
        <v>8457</v>
      </c>
      <c r="J147" t="s">
        <v>1730</v>
      </c>
      <c r="K147" t="s">
        <v>837</v>
      </c>
      <c r="L147">
        <v>5</v>
      </c>
      <c r="M147">
        <v>455</v>
      </c>
      <c r="N147">
        <v>11795</v>
      </c>
      <c r="O147" t="s">
        <v>495</v>
      </c>
      <c r="P147" t="s">
        <v>235</v>
      </c>
      <c r="Q147" t="s">
        <v>311</v>
      </c>
      <c r="R147" t="s">
        <v>50</v>
      </c>
      <c r="S147" t="s">
        <v>66</v>
      </c>
      <c r="T147">
        <v>5669</v>
      </c>
      <c r="U147" t="s">
        <v>51</v>
      </c>
      <c r="V147">
        <v>1515</v>
      </c>
      <c r="W147">
        <v>1438</v>
      </c>
      <c r="X147" t="s">
        <v>304</v>
      </c>
      <c r="Y147" t="s">
        <v>362</v>
      </c>
      <c r="Z147" t="s">
        <v>1358</v>
      </c>
      <c r="AA147" t="s">
        <v>334</v>
      </c>
      <c r="AB147">
        <v>6126</v>
      </c>
      <c r="AC147">
        <v>3522</v>
      </c>
      <c r="AD147">
        <v>1517</v>
      </c>
      <c r="AE147">
        <v>506</v>
      </c>
      <c r="AF147">
        <v>111</v>
      </c>
      <c r="AG147">
        <v>13</v>
      </c>
      <c r="AH147">
        <v>4534</v>
      </c>
      <c r="AI147">
        <v>2054</v>
      </c>
      <c r="AJ147">
        <v>420</v>
      </c>
      <c r="AK147">
        <v>1476</v>
      </c>
      <c r="AL147">
        <v>96</v>
      </c>
      <c r="AM147">
        <v>40</v>
      </c>
      <c r="AN147" t="s">
        <v>295</v>
      </c>
      <c r="AO147">
        <f>AVERAGE(Tabla2[[#This Row],[total_kills]:[rating]])</f>
        <v>2916.6</v>
      </c>
      <c r="AP147" t="str">
        <f>VLOOKUP(Tabla2[[#This Row],[KPI]],$AS$2:$AT$5,2,1)</f>
        <v>Bajo</v>
      </c>
    </row>
    <row r="148" spans="1:42" x14ac:dyDescent="0.3">
      <c r="A148">
        <v>8770</v>
      </c>
      <c r="B148" t="s">
        <v>1894</v>
      </c>
      <c r="C148" t="s">
        <v>1895</v>
      </c>
      <c r="D148">
        <v>29</v>
      </c>
      <c r="E148" t="s">
        <v>299</v>
      </c>
      <c r="F148" t="s">
        <v>3514</v>
      </c>
      <c r="G148" t="s">
        <v>1896</v>
      </c>
      <c r="H148">
        <v>11650</v>
      </c>
      <c r="I148">
        <v>11240</v>
      </c>
      <c r="J148" t="s">
        <v>1730</v>
      </c>
      <c r="K148" t="s">
        <v>776</v>
      </c>
      <c r="L148" t="s">
        <v>244</v>
      </c>
      <c r="M148">
        <v>639</v>
      </c>
      <c r="N148">
        <v>16594</v>
      </c>
      <c r="O148" t="s">
        <v>905</v>
      </c>
      <c r="P148" t="s">
        <v>48</v>
      </c>
      <c r="Q148" t="s">
        <v>167</v>
      </c>
      <c r="R148" t="s">
        <v>96</v>
      </c>
      <c r="S148" t="s">
        <v>96</v>
      </c>
      <c r="T148">
        <v>7887</v>
      </c>
      <c r="U148" t="s">
        <v>51</v>
      </c>
      <c r="V148">
        <v>1515</v>
      </c>
      <c r="W148">
        <v>1508</v>
      </c>
      <c r="X148">
        <v>1</v>
      </c>
      <c r="Y148" t="s">
        <v>503</v>
      </c>
      <c r="Z148" t="s">
        <v>70</v>
      </c>
      <c r="AA148" t="s">
        <v>640</v>
      </c>
      <c r="AB148">
        <v>8707</v>
      </c>
      <c r="AC148">
        <v>5053</v>
      </c>
      <c r="AD148">
        <v>2069</v>
      </c>
      <c r="AE148">
        <v>617</v>
      </c>
      <c r="AF148">
        <v>133</v>
      </c>
      <c r="AG148">
        <v>15</v>
      </c>
      <c r="AH148">
        <v>6034</v>
      </c>
      <c r="AI148">
        <v>2516</v>
      </c>
      <c r="AJ148">
        <v>842</v>
      </c>
      <c r="AK148">
        <v>2028</v>
      </c>
      <c r="AL148">
        <v>186</v>
      </c>
      <c r="AM148">
        <v>61</v>
      </c>
      <c r="AN148" t="s">
        <v>449</v>
      </c>
      <c r="AO148">
        <f>AVERAGE(Tabla2[[#This Row],[total_kills]:[rating]])</f>
        <v>3964.75</v>
      </c>
      <c r="AP148" t="str">
        <f>VLOOKUP(Tabla2[[#This Row],[KPI]],$AS$2:$AT$5,2,1)</f>
        <v>Medio</v>
      </c>
    </row>
    <row r="149" spans="1:42" x14ac:dyDescent="0.3">
      <c r="A149">
        <v>10664</v>
      </c>
      <c r="B149" t="s">
        <v>591</v>
      </c>
      <c r="C149" t="s">
        <v>592</v>
      </c>
      <c r="D149">
        <v>24</v>
      </c>
      <c r="E149" t="s">
        <v>477</v>
      </c>
      <c r="F149" t="s">
        <v>593</v>
      </c>
      <c r="G149" t="s">
        <v>594</v>
      </c>
      <c r="H149">
        <v>12279</v>
      </c>
      <c r="I149">
        <v>10714</v>
      </c>
      <c r="J149" t="s">
        <v>595</v>
      </c>
      <c r="K149" t="s">
        <v>424</v>
      </c>
      <c r="L149" t="s">
        <v>63</v>
      </c>
      <c r="M149">
        <v>634</v>
      </c>
      <c r="N149">
        <v>16189</v>
      </c>
      <c r="O149" t="s">
        <v>234</v>
      </c>
      <c r="P149" t="s">
        <v>67</v>
      </c>
      <c r="Q149" t="s">
        <v>322</v>
      </c>
      <c r="R149" t="s">
        <v>66</v>
      </c>
      <c r="S149" t="s">
        <v>96</v>
      </c>
      <c r="T149">
        <v>8107</v>
      </c>
      <c r="U149" t="s">
        <v>51</v>
      </c>
      <c r="V149">
        <v>2002</v>
      </c>
      <c r="W149">
        <v>1468</v>
      </c>
      <c r="X149" t="s">
        <v>596</v>
      </c>
      <c r="Y149" t="s">
        <v>98</v>
      </c>
      <c r="Z149" t="s">
        <v>70</v>
      </c>
      <c r="AA149" t="s">
        <v>542</v>
      </c>
      <c r="AB149">
        <v>8082</v>
      </c>
      <c r="AC149">
        <v>4975</v>
      </c>
      <c r="AD149">
        <v>2262</v>
      </c>
      <c r="AE149">
        <v>719</v>
      </c>
      <c r="AF149">
        <v>132</v>
      </c>
      <c r="AG149">
        <v>19</v>
      </c>
      <c r="AH149">
        <v>6032</v>
      </c>
      <c r="AI149">
        <v>3508</v>
      </c>
      <c r="AJ149">
        <v>575</v>
      </c>
      <c r="AK149">
        <v>2052</v>
      </c>
      <c r="AL149">
        <v>95</v>
      </c>
      <c r="AM149">
        <v>56</v>
      </c>
      <c r="AN149" t="s">
        <v>98</v>
      </c>
      <c r="AO149">
        <f>AVERAGE(Tabla2[[#This Row],[total_kills]:[rating]])</f>
        <v>4205.2631578947367</v>
      </c>
      <c r="AP149" t="str">
        <f>VLOOKUP(Tabla2[[#This Row],[KPI]],$AS$2:$AT$5,2,1)</f>
        <v>Medio</v>
      </c>
    </row>
    <row r="150" spans="1:42" x14ac:dyDescent="0.3">
      <c r="A150">
        <v>180</v>
      </c>
      <c r="B150" t="s">
        <v>878</v>
      </c>
      <c r="C150" t="s">
        <v>879</v>
      </c>
      <c r="D150">
        <v>33</v>
      </c>
      <c r="E150" t="s">
        <v>209</v>
      </c>
      <c r="F150" t="s">
        <v>880</v>
      </c>
      <c r="G150" t="s">
        <v>881</v>
      </c>
      <c r="H150">
        <v>15647</v>
      </c>
      <c r="I150">
        <v>13721</v>
      </c>
      <c r="J150" t="s">
        <v>595</v>
      </c>
      <c r="K150" t="s">
        <v>341</v>
      </c>
      <c r="L150" t="s">
        <v>375</v>
      </c>
      <c r="M150">
        <v>836</v>
      </c>
      <c r="N150">
        <v>21434</v>
      </c>
      <c r="O150" t="s">
        <v>495</v>
      </c>
      <c r="P150" t="s">
        <v>202</v>
      </c>
      <c r="Q150" t="s">
        <v>65</v>
      </c>
      <c r="R150" t="s">
        <v>96</v>
      </c>
      <c r="S150" t="s">
        <v>96</v>
      </c>
      <c r="T150">
        <v>10501</v>
      </c>
      <c r="U150" t="s">
        <v>51</v>
      </c>
      <c r="V150">
        <v>2515</v>
      </c>
      <c r="W150">
        <v>2121</v>
      </c>
      <c r="X150" t="s">
        <v>127</v>
      </c>
      <c r="Y150" t="s">
        <v>295</v>
      </c>
      <c r="Z150" t="s">
        <v>99</v>
      </c>
      <c r="AA150" t="s">
        <v>882</v>
      </c>
      <c r="AB150">
        <v>10933</v>
      </c>
      <c r="AC150">
        <v>6573</v>
      </c>
      <c r="AD150">
        <v>2908</v>
      </c>
      <c r="AE150">
        <v>842</v>
      </c>
      <c r="AF150">
        <v>158</v>
      </c>
      <c r="AG150">
        <v>20</v>
      </c>
      <c r="AH150">
        <v>6149</v>
      </c>
      <c r="AI150">
        <v>4285</v>
      </c>
      <c r="AJ150">
        <v>1636</v>
      </c>
      <c r="AK150">
        <v>2916</v>
      </c>
      <c r="AL150">
        <v>244</v>
      </c>
      <c r="AM150">
        <v>446</v>
      </c>
      <c r="AN150" t="s">
        <v>277</v>
      </c>
      <c r="AO150">
        <f>AVERAGE(Tabla2[[#This Row],[total_kills]:[rating]])</f>
        <v>5467.6315789473683</v>
      </c>
      <c r="AP150" t="str">
        <f>VLOOKUP(Tabla2[[#This Row],[KPI]],$AS$2:$AT$5,2,1)</f>
        <v>Alto</v>
      </c>
    </row>
    <row r="151" spans="1:42" x14ac:dyDescent="0.3">
      <c r="A151">
        <v>1045</v>
      </c>
      <c r="B151" t="s">
        <v>2069</v>
      </c>
      <c r="C151" t="s">
        <v>2070</v>
      </c>
      <c r="D151">
        <v>31</v>
      </c>
      <c r="E151" t="s">
        <v>545</v>
      </c>
      <c r="F151" t="s">
        <v>3514</v>
      </c>
      <c r="G151" t="s">
        <v>2071</v>
      </c>
      <c r="H151">
        <v>18850</v>
      </c>
      <c r="I151">
        <v>17905</v>
      </c>
      <c r="J151" t="s">
        <v>595</v>
      </c>
      <c r="K151" t="s">
        <v>999</v>
      </c>
      <c r="L151" t="s">
        <v>949</v>
      </c>
      <c r="M151">
        <v>1067</v>
      </c>
      <c r="N151">
        <v>28134</v>
      </c>
      <c r="O151" t="s">
        <v>225</v>
      </c>
      <c r="P151" t="s">
        <v>235</v>
      </c>
      <c r="Q151" t="s">
        <v>65</v>
      </c>
      <c r="R151" t="s">
        <v>96</v>
      </c>
      <c r="S151" t="s">
        <v>96</v>
      </c>
      <c r="T151">
        <v>12880</v>
      </c>
      <c r="U151" t="s">
        <v>51</v>
      </c>
      <c r="V151">
        <v>2821</v>
      </c>
      <c r="W151">
        <v>2433</v>
      </c>
      <c r="X151" t="s">
        <v>206</v>
      </c>
      <c r="Y151" t="s">
        <v>449</v>
      </c>
      <c r="Z151" t="s">
        <v>718</v>
      </c>
      <c r="AA151" t="s">
        <v>560</v>
      </c>
      <c r="AB151">
        <v>15254</v>
      </c>
      <c r="AC151">
        <v>8314</v>
      </c>
      <c r="AD151">
        <v>3399</v>
      </c>
      <c r="AE151">
        <v>969</v>
      </c>
      <c r="AF151">
        <v>184</v>
      </c>
      <c r="AG151">
        <v>14</v>
      </c>
      <c r="AH151">
        <v>7782</v>
      </c>
      <c r="AI151">
        <v>6195</v>
      </c>
      <c r="AJ151">
        <v>736</v>
      </c>
      <c r="AK151">
        <v>3623</v>
      </c>
      <c r="AL151">
        <v>313</v>
      </c>
      <c r="AM151">
        <v>223</v>
      </c>
      <c r="AN151" t="s">
        <v>255</v>
      </c>
      <c r="AO151">
        <f>AVERAGE(Tabla2[[#This Row],[total_kills]:[rating]])</f>
        <v>6899.7894736842109</v>
      </c>
      <c r="AP151" t="str">
        <f>VLOOKUP(Tabla2[[#This Row],[KPI]],$AS$2:$AT$5,2,1)</f>
        <v>Alto</v>
      </c>
    </row>
    <row r="152" spans="1:42" x14ac:dyDescent="0.3">
      <c r="A152">
        <v>12872</v>
      </c>
      <c r="B152" t="s">
        <v>2639</v>
      </c>
      <c r="C152" t="s">
        <v>2640</v>
      </c>
      <c r="D152">
        <v>23</v>
      </c>
      <c r="E152" t="s">
        <v>299</v>
      </c>
      <c r="F152" t="s">
        <v>3514</v>
      </c>
      <c r="G152" t="s">
        <v>2641</v>
      </c>
      <c r="H152">
        <v>12832</v>
      </c>
      <c r="I152">
        <v>12941</v>
      </c>
      <c r="J152" t="s">
        <v>595</v>
      </c>
      <c r="K152" t="s">
        <v>692</v>
      </c>
      <c r="L152" t="s">
        <v>375</v>
      </c>
      <c r="M152">
        <v>735</v>
      </c>
      <c r="N152">
        <v>19035</v>
      </c>
      <c r="O152" t="s">
        <v>225</v>
      </c>
      <c r="P152" t="s">
        <v>235</v>
      </c>
      <c r="Q152" t="s">
        <v>167</v>
      </c>
      <c r="R152" t="s">
        <v>67</v>
      </c>
      <c r="S152" t="s">
        <v>50</v>
      </c>
      <c r="T152">
        <v>8818</v>
      </c>
      <c r="U152" t="s">
        <v>51</v>
      </c>
      <c r="V152">
        <v>2147</v>
      </c>
      <c r="W152">
        <v>2017</v>
      </c>
      <c r="X152" t="s">
        <v>590</v>
      </c>
      <c r="Y152" t="s">
        <v>304</v>
      </c>
      <c r="Z152" t="s">
        <v>99</v>
      </c>
      <c r="AA152" t="s">
        <v>315</v>
      </c>
      <c r="AB152">
        <v>10217</v>
      </c>
      <c r="AC152">
        <v>5749</v>
      </c>
      <c r="AD152">
        <v>2274</v>
      </c>
      <c r="AE152">
        <v>657</v>
      </c>
      <c r="AF152">
        <v>126</v>
      </c>
      <c r="AG152">
        <v>12</v>
      </c>
      <c r="AH152">
        <v>6377</v>
      </c>
      <c r="AI152">
        <v>3366</v>
      </c>
      <c r="AJ152">
        <v>721</v>
      </c>
      <c r="AK152">
        <v>2127</v>
      </c>
      <c r="AL152">
        <v>248</v>
      </c>
      <c r="AM152">
        <v>33</v>
      </c>
      <c r="AN152" t="s">
        <v>304</v>
      </c>
      <c r="AO152">
        <f>AVERAGE(Tabla2[[#This Row],[total_kills]:[rating]])</f>
        <v>4759.5789473684208</v>
      </c>
      <c r="AP152" t="str">
        <f>VLOOKUP(Tabla2[[#This Row],[KPI]],$AS$2:$AT$5,2,1)</f>
        <v>Medio</v>
      </c>
    </row>
    <row r="153" spans="1:42" x14ac:dyDescent="0.3">
      <c r="A153">
        <v>7537</v>
      </c>
      <c r="B153" t="s">
        <v>3273</v>
      </c>
      <c r="C153" t="s">
        <v>3274</v>
      </c>
      <c r="D153">
        <v>30</v>
      </c>
      <c r="E153" t="s">
        <v>452</v>
      </c>
      <c r="F153" t="s">
        <v>537</v>
      </c>
      <c r="G153" t="s">
        <v>3275</v>
      </c>
      <c r="H153">
        <v>18341</v>
      </c>
      <c r="I153">
        <v>19976</v>
      </c>
      <c r="J153" t="s">
        <v>3276</v>
      </c>
      <c r="K153" t="s">
        <v>2614</v>
      </c>
      <c r="L153" t="s">
        <v>975</v>
      </c>
      <c r="M153">
        <v>1151</v>
      </c>
      <c r="N153">
        <v>30254</v>
      </c>
      <c r="O153" t="s">
        <v>49</v>
      </c>
      <c r="P153" t="s">
        <v>166</v>
      </c>
      <c r="Q153" t="s">
        <v>322</v>
      </c>
      <c r="R153" t="s">
        <v>96</v>
      </c>
      <c r="S153" t="s">
        <v>96</v>
      </c>
      <c r="T153">
        <v>12964</v>
      </c>
      <c r="U153" t="s">
        <v>51</v>
      </c>
      <c r="V153">
        <v>2624</v>
      </c>
      <c r="W153">
        <v>2793</v>
      </c>
      <c r="X153" t="s">
        <v>1570</v>
      </c>
      <c r="Y153" t="s">
        <v>820</v>
      </c>
      <c r="Z153" t="s">
        <v>391</v>
      </c>
      <c r="AA153" t="s">
        <v>518</v>
      </c>
      <c r="AB153">
        <v>17290</v>
      </c>
      <c r="AC153">
        <v>8776</v>
      </c>
      <c r="AD153">
        <v>3192</v>
      </c>
      <c r="AE153">
        <v>837</v>
      </c>
      <c r="AF153">
        <v>143</v>
      </c>
      <c r="AG153">
        <v>16</v>
      </c>
      <c r="AH153">
        <v>10795</v>
      </c>
      <c r="AI153">
        <v>2869</v>
      </c>
      <c r="AJ153">
        <v>1079</v>
      </c>
      <c r="AK153">
        <v>3163</v>
      </c>
      <c r="AL153">
        <v>408</v>
      </c>
      <c r="AM153">
        <v>58</v>
      </c>
      <c r="AN153" t="s">
        <v>1749</v>
      </c>
      <c r="AO153">
        <f>AVERAGE(Tabla2[[#This Row],[total_kills]:[rating]])</f>
        <v>7196.2631578947367</v>
      </c>
      <c r="AP153" t="str">
        <f>VLOOKUP(Tabla2[[#This Row],[KPI]],$AS$2:$AT$5,2,1)</f>
        <v>Superior</v>
      </c>
    </row>
    <row r="154" spans="1:42" x14ac:dyDescent="0.3">
      <c r="A154">
        <v>8047</v>
      </c>
      <c r="B154" t="s">
        <v>3356</v>
      </c>
      <c r="C154" t="s">
        <v>3357</v>
      </c>
      <c r="D154">
        <v>30</v>
      </c>
      <c r="E154" t="s">
        <v>42</v>
      </c>
      <c r="F154" t="s">
        <v>1826</v>
      </c>
      <c r="G154" t="s">
        <v>982</v>
      </c>
      <c r="H154">
        <v>11962</v>
      </c>
      <c r="I154">
        <v>13543</v>
      </c>
      <c r="J154" t="s">
        <v>3276</v>
      </c>
      <c r="K154" t="s">
        <v>3358</v>
      </c>
      <c r="L154" t="s">
        <v>46</v>
      </c>
      <c r="M154">
        <v>775</v>
      </c>
      <c r="N154">
        <v>20411</v>
      </c>
      <c r="O154" t="s">
        <v>95</v>
      </c>
      <c r="P154" t="s">
        <v>67</v>
      </c>
      <c r="Q154" t="s">
        <v>322</v>
      </c>
      <c r="R154" t="s">
        <v>96</v>
      </c>
      <c r="S154" t="s">
        <v>66</v>
      </c>
      <c r="T154">
        <v>8619</v>
      </c>
      <c r="U154" t="s">
        <v>51</v>
      </c>
      <c r="V154">
        <v>1717</v>
      </c>
      <c r="W154">
        <v>1905</v>
      </c>
      <c r="X154" t="s">
        <v>1906</v>
      </c>
      <c r="Y154" t="s">
        <v>950</v>
      </c>
      <c r="Z154" t="s">
        <v>809</v>
      </c>
      <c r="AA154" t="s">
        <v>247</v>
      </c>
      <c r="AB154">
        <v>11792</v>
      </c>
      <c r="AC154">
        <v>5958</v>
      </c>
      <c r="AD154">
        <v>2064</v>
      </c>
      <c r="AE154">
        <v>522</v>
      </c>
      <c r="AF154">
        <v>67</v>
      </c>
      <c r="AG154">
        <v>8</v>
      </c>
      <c r="AH154">
        <v>5496</v>
      </c>
      <c r="AI154">
        <v>2462</v>
      </c>
      <c r="AJ154">
        <v>1615</v>
      </c>
      <c r="AK154">
        <v>2186</v>
      </c>
      <c r="AL154">
        <v>151</v>
      </c>
      <c r="AM154">
        <v>90</v>
      </c>
      <c r="AN154" t="s">
        <v>2315</v>
      </c>
      <c r="AO154">
        <f>AVERAGE(Tabla2[[#This Row],[total_kills]:[rating]])</f>
        <v>4807.5263157894733</v>
      </c>
      <c r="AP154" t="str">
        <f>VLOOKUP(Tabla2[[#This Row],[KPI]],$AS$2:$AT$5,2,1)</f>
        <v>Alto</v>
      </c>
    </row>
    <row r="155" spans="1:42" x14ac:dyDescent="0.3">
      <c r="A155">
        <v>13989</v>
      </c>
      <c r="B155" t="s">
        <v>2561</v>
      </c>
      <c r="C155" t="s">
        <v>2562</v>
      </c>
      <c r="D155">
        <v>28</v>
      </c>
      <c r="E155" t="s">
        <v>104</v>
      </c>
      <c r="F155" t="s">
        <v>3514</v>
      </c>
      <c r="G155" t="s">
        <v>2563</v>
      </c>
      <c r="H155">
        <v>7922</v>
      </c>
      <c r="I155">
        <v>8076</v>
      </c>
      <c r="J155" t="s">
        <v>2564</v>
      </c>
      <c r="K155" t="s">
        <v>92</v>
      </c>
      <c r="L155" t="s">
        <v>1846</v>
      </c>
      <c r="M155">
        <v>447</v>
      </c>
      <c r="N155">
        <v>11613</v>
      </c>
      <c r="O155" t="s">
        <v>167</v>
      </c>
      <c r="P155" t="s">
        <v>303</v>
      </c>
      <c r="Q155" t="s">
        <v>905</v>
      </c>
      <c r="R155" t="s">
        <v>50</v>
      </c>
      <c r="S155" t="s">
        <v>96</v>
      </c>
      <c r="T155">
        <v>5354</v>
      </c>
      <c r="U155" t="s">
        <v>51</v>
      </c>
      <c r="V155">
        <v>1209</v>
      </c>
      <c r="W155">
        <v>1371</v>
      </c>
      <c r="X155" t="s">
        <v>2315</v>
      </c>
      <c r="Y155" t="s">
        <v>285</v>
      </c>
      <c r="Z155" t="s">
        <v>333</v>
      </c>
      <c r="AA155" t="s">
        <v>568</v>
      </c>
      <c r="AB155">
        <v>6259</v>
      </c>
      <c r="AC155">
        <v>3448</v>
      </c>
      <c r="AD155">
        <v>1351</v>
      </c>
      <c r="AE155">
        <v>455</v>
      </c>
      <c r="AF155">
        <v>93</v>
      </c>
      <c r="AG155">
        <v>7</v>
      </c>
      <c r="AH155">
        <v>5520</v>
      </c>
      <c r="AI155">
        <v>211</v>
      </c>
      <c r="AJ155">
        <v>686</v>
      </c>
      <c r="AK155">
        <v>1368</v>
      </c>
      <c r="AL155">
        <v>143</v>
      </c>
      <c r="AM155">
        <v>18</v>
      </c>
      <c r="AN155" t="s">
        <v>277</v>
      </c>
      <c r="AO155">
        <f>AVERAGE(Tabla2[[#This Row],[total_kills]:[rating]])</f>
        <v>2923.7368421052633</v>
      </c>
      <c r="AP155" t="str">
        <f>VLOOKUP(Tabla2[[#This Row],[KPI]],$AS$2:$AT$5,2,1)</f>
        <v>Bajo</v>
      </c>
    </row>
    <row r="156" spans="1:42" x14ac:dyDescent="0.3">
      <c r="A156">
        <v>9056</v>
      </c>
      <c r="B156" t="s">
        <v>1269</v>
      </c>
      <c r="C156" t="s">
        <v>1270</v>
      </c>
      <c r="D156">
        <v>26</v>
      </c>
      <c r="E156" t="s">
        <v>459</v>
      </c>
      <c r="F156" t="s">
        <v>3514</v>
      </c>
      <c r="G156" t="s">
        <v>1271</v>
      </c>
      <c r="H156">
        <v>18522</v>
      </c>
      <c r="I156">
        <v>17181</v>
      </c>
      <c r="J156" t="s">
        <v>1272</v>
      </c>
      <c r="K156" t="s">
        <v>178</v>
      </c>
      <c r="L156" t="s">
        <v>46</v>
      </c>
      <c r="M156">
        <v>977</v>
      </c>
      <c r="N156">
        <v>25766</v>
      </c>
      <c r="O156" t="s">
        <v>311</v>
      </c>
      <c r="P156" t="s">
        <v>48</v>
      </c>
      <c r="Q156" t="s">
        <v>225</v>
      </c>
      <c r="R156" t="s">
        <v>96</v>
      </c>
      <c r="S156" t="s">
        <v>50</v>
      </c>
      <c r="T156">
        <v>12250</v>
      </c>
      <c r="U156" t="s">
        <v>51</v>
      </c>
      <c r="V156">
        <v>2966</v>
      </c>
      <c r="W156">
        <v>2851</v>
      </c>
      <c r="X156" t="s">
        <v>407</v>
      </c>
      <c r="Y156" t="s">
        <v>590</v>
      </c>
      <c r="Z156" t="s">
        <v>932</v>
      </c>
      <c r="AA156" t="s">
        <v>100</v>
      </c>
      <c r="AB156">
        <v>13516</v>
      </c>
      <c r="AC156">
        <v>7590</v>
      </c>
      <c r="AD156">
        <v>3354</v>
      </c>
      <c r="AE156">
        <v>1029</v>
      </c>
      <c r="AF156">
        <v>250</v>
      </c>
      <c r="AG156">
        <v>27</v>
      </c>
      <c r="AH156">
        <v>7283</v>
      </c>
      <c r="AI156">
        <v>6180</v>
      </c>
      <c r="AJ156">
        <v>1061</v>
      </c>
      <c r="AK156">
        <v>3739</v>
      </c>
      <c r="AL156">
        <v>223</v>
      </c>
      <c r="AM156">
        <v>78</v>
      </c>
      <c r="AN156" t="s">
        <v>590</v>
      </c>
      <c r="AO156">
        <f>AVERAGE(Tabla2[[#This Row],[total_kills]:[rating]])</f>
        <v>6570.6842105263158</v>
      </c>
      <c r="AP156" t="str">
        <f>VLOOKUP(Tabla2[[#This Row],[KPI]],$AS$2:$AT$5,2,1)</f>
        <v>Alto</v>
      </c>
    </row>
    <row r="157" spans="1:42" x14ac:dyDescent="0.3">
      <c r="A157">
        <v>317</v>
      </c>
      <c r="B157" t="s">
        <v>1789</v>
      </c>
      <c r="C157" t="s">
        <v>1790</v>
      </c>
      <c r="D157">
        <v>34</v>
      </c>
      <c r="E157" t="s">
        <v>327</v>
      </c>
      <c r="F157" t="s">
        <v>3514</v>
      </c>
      <c r="G157" t="s">
        <v>1791</v>
      </c>
      <c r="H157">
        <v>29501</v>
      </c>
      <c r="I157">
        <v>28482</v>
      </c>
      <c r="J157" t="s">
        <v>1272</v>
      </c>
      <c r="K157" t="s">
        <v>1529</v>
      </c>
      <c r="L157" t="s">
        <v>294</v>
      </c>
      <c r="M157">
        <v>1592</v>
      </c>
      <c r="N157">
        <v>41228</v>
      </c>
      <c r="O157" t="s">
        <v>311</v>
      </c>
      <c r="P157" t="s">
        <v>202</v>
      </c>
      <c r="Q157" t="s">
        <v>463</v>
      </c>
      <c r="R157" t="s">
        <v>66</v>
      </c>
      <c r="S157" t="s">
        <v>66</v>
      </c>
      <c r="T157">
        <v>19703</v>
      </c>
      <c r="U157" t="s">
        <v>51</v>
      </c>
      <c r="V157">
        <v>5056</v>
      </c>
      <c r="W157">
        <v>4818</v>
      </c>
      <c r="X157" t="s">
        <v>304</v>
      </c>
      <c r="Y157" t="s">
        <v>295</v>
      </c>
      <c r="Z157" t="s">
        <v>583</v>
      </c>
      <c r="AA157" t="s">
        <v>392</v>
      </c>
      <c r="AB157">
        <v>21525</v>
      </c>
      <c r="AC157">
        <v>12292</v>
      </c>
      <c r="AD157">
        <v>5442</v>
      </c>
      <c r="AE157">
        <v>1640</v>
      </c>
      <c r="AF157">
        <v>301</v>
      </c>
      <c r="AG157">
        <v>28</v>
      </c>
      <c r="AH157">
        <v>14682</v>
      </c>
      <c r="AI157">
        <v>7622</v>
      </c>
      <c r="AJ157">
        <v>943</v>
      </c>
      <c r="AK157">
        <v>5317</v>
      </c>
      <c r="AL157">
        <v>534</v>
      </c>
      <c r="AM157">
        <v>429</v>
      </c>
      <c r="AN157" t="s">
        <v>449</v>
      </c>
      <c r="AO157">
        <f>AVERAGE(Tabla2[[#This Row],[total_kills]:[rating]])</f>
        <v>10586.052631578947</v>
      </c>
      <c r="AP157" t="str">
        <f>VLOOKUP(Tabla2[[#This Row],[KPI]],$AS$2:$AT$5,2,1)</f>
        <v>Superior</v>
      </c>
    </row>
    <row r="158" spans="1:42" x14ac:dyDescent="0.3">
      <c r="A158">
        <v>7147</v>
      </c>
      <c r="B158" t="s">
        <v>3086</v>
      </c>
      <c r="C158" t="s">
        <v>3087</v>
      </c>
      <c r="D158">
        <v>34</v>
      </c>
      <c r="E158" t="s">
        <v>545</v>
      </c>
      <c r="F158" t="s">
        <v>3514</v>
      </c>
      <c r="G158" t="s">
        <v>197</v>
      </c>
      <c r="H158">
        <v>7894</v>
      </c>
      <c r="I158">
        <v>7934</v>
      </c>
      <c r="J158" t="s">
        <v>3088</v>
      </c>
      <c r="K158" t="s">
        <v>3089</v>
      </c>
      <c r="L158" t="s">
        <v>869</v>
      </c>
      <c r="M158">
        <v>538</v>
      </c>
      <c r="N158">
        <v>13220</v>
      </c>
      <c r="O158" t="s">
        <v>134</v>
      </c>
      <c r="P158" t="s">
        <v>166</v>
      </c>
      <c r="Q158" t="s">
        <v>134</v>
      </c>
      <c r="R158" t="s">
        <v>3090</v>
      </c>
      <c r="S158" t="s">
        <v>553</v>
      </c>
      <c r="T158">
        <v>5664</v>
      </c>
      <c r="U158" t="s">
        <v>51</v>
      </c>
      <c r="V158">
        <v>1271</v>
      </c>
      <c r="W158">
        <v>1085</v>
      </c>
      <c r="X158" t="s">
        <v>172</v>
      </c>
      <c r="Y158" t="s">
        <v>255</v>
      </c>
      <c r="Z158" t="s">
        <v>3091</v>
      </c>
      <c r="AA158" t="s">
        <v>1101</v>
      </c>
      <c r="AB158">
        <v>7556</v>
      </c>
      <c r="AC158">
        <v>3929</v>
      </c>
      <c r="AD158">
        <v>1341</v>
      </c>
      <c r="AE158">
        <v>338</v>
      </c>
      <c r="AF158">
        <v>53</v>
      </c>
      <c r="AG158">
        <v>3</v>
      </c>
      <c r="AH158">
        <v>4759</v>
      </c>
      <c r="AI158">
        <v>1355</v>
      </c>
      <c r="AJ158">
        <v>187</v>
      </c>
      <c r="AK158">
        <v>1389</v>
      </c>
      <c r="AL158">
        <v>188</v>
      </c>
      <c r="AM158">
        <v>16</v>
      </c>
      <c r="AN158" t="s">
        <v>1570</v>
      </c>
      <c r="AO158">
        <f>AVERAGE(Tabla2[[#This Row],[total_kills]:[rating]])</f>
        <v>3090.5263157894738</v>
      </c>
      <c r="AP158" t="str">
        <f>VLOOKUP(Tabla2[[#This Row],[KPI]],$AS$2:$AT$5,2,1)</f>
        <v>Bajo</v>
      </c>
    </row>
    <row r="159" spans="1:42" x14ac:dyDescent="0.3">
      <c r="A159">
        <v>18743</v>
      </c>
      <c r="B159" t="s">
        <v>660</v>
      </c>
      <c r="C159" t="s">
        <v>661</v>
      </c>
      <c r="D159">
        <v>24</v>
      </c>
      <c r="E159" t="s">
        <v>104</v>
      </c>
      <c r="F159" t="s">
        <v>662</v>
      </c>
      <c r="G159" t="s">
        <v>663</v>
      </c>
      <c r="H159">
        <v>10480</v>
      </c>
      <c r="I159">
        <v>9064</v>
      </c>
      <c r="J159" t="s">
        <v>664</v>
      </c>
      <c r="K159" t="s">
        <v>368</v>
      </c>
      <c r="L159" t="s">
        <v>214</v>
      </c>
      <c r="M159">
        <v>524</v>
      </c>
      <c r="N159">
        <v>13953</v>
      </c>
      <c r="O159" t="s">
        <v>180</v>
      </c>
      <c r="P159" t="s">
        <v>67</v>
      </c>
      <c r="Q159" t="s">
        <v>276</v>
      </c>
      <c r="R159" t="s">
        <v>96</v>
      </c>
      <c r="S159" t="s">
        <v>50</v>
      </c>
      <c r="T159">
        <v>7048</v>
      </c>
      <c r="U159" t="s">
        <v>51</v>
      </c>
      <c r="V159">
        <v>1772</v>
      </c>
      <c r="W159">
        <v>1254</v>
      </c>
      <c r="X159" t="s">
        <v>525</v>
      </c>
      <c r="Y159" t="s">
        <v>84</v>
      </c>
      <c r="Z159" t="s">
        <v>137</v>
      </c>
      <c r="AA159" t="s">
        <v>665</v>
      </c>
      <c r="AB159">
        <v>6905</v>
      </c>
      <c r="AC159">
        <v>4449</v>
      </c>
      <c r="AD159">
        <v>1899</v>
      </c>
      <c r="AE159">
        <v>575</v>
      </c>
      <c r="AF159">
        <v>117</v>
      </c>
      <c r="AG159">
        <v>8</v>
      </c>
      <c r="AH159">
        <v>4112</v>
      </c>
      <c r="AI159">
        <v>4257</v>
      </c>
      <c r="AJ159">
        <v>327</v>
      </c>
      <c r="AK159">
        <v>1734</v>
      </c>
      <c r="AL159">
        <v>60</v>
      </c>
      <c r="AM159">
        <v>19</v>
      </c>
      <c r="AN159" t="s">
        <v>111</v>
      </c>
      <c r="AO159">
        <f>AVERAGE(Tabla2[[#This Row],[total_kills]:[rating]])</f>
        <v>3608.2631578947367</v>
      </c>
      <c r="AP159" t="str">
        <f>VLOOKUP(Tabla2[[#This Row],[KPI]],$AS$2:$AT$5,2,1)</f>
        <v>Medio</v>
      </c>
    </row>
    <row r="160" spans="1:42" x14ac:dyDescent="0.3">
      <c r="A160">
        <v>8745</v>
      </c>
      <c r="B160" t="s">
        <v>984</v>
      </c>
      <c r="C160" t="s">
        <v>985</v>
      </c>
      <c r="D160">
        <v>30</v>
      </c>
      <c r="E160" t="s">
        <v>299</v>
      </c>
      <c r="F160" t="s">
        <v>986</v>
      </c>
      <c r="G160" t="s">
        <v>987</v>
      </c>
      <c r="H160">
        <v>17834</v>
      </c>
      <c r="I160">
        <v>15446</v>
      </c>
      <c r="J160" t="s">
        <v>988</v>
      </c>
      <c r="K160" t="s">
        <v>989</v>
      </c>
      <c r="L160" t="s">
        <v>658</v>
      </c>
      <c r="M160">
        <v>962</v>
      </c>
      <c r="N160">
        <v>25181</v>
      </c>
      <c r="O160" t="s">
        <v>646</v>
      </c>
      <c r="P160" t="s">
        <v>202</v>
      </c>
      <c r="Q160" t="s">
        <v>49</v>
      </c>
      <c r="R160" t="s">
        <v>66</v>
      </c>
      <c r="S160" t="s">
        <v>96</v>
      </c>
      <c r="T160">
        <v>12120</v>
      </c>
      <c r="U160" t="s">
        <v>51</v>
      </c>
      <c r="V160">
        <v>2940</v>
      </c>
      <c r="W160">
        <v>2320</v>
      </c>
      <c r="X160" t="s">
        <v>717</v>
      </c>
      <c r="Y160" t="s">
        <v>561</v>
      </c>
      <c r="Z160" t="s">
        <v>237</v>
      </c>
      <c r="AA160" t="s">
        <v>882</v>
      </c>
      <c r="AB160">
        <v>13061</v>
      </c>
      <c r="AC160">
        <v>7736</v>
      </c>
      <c r="AD160">
        <v>3269</v>
      </c>
      <c r="AE160">
        <v>923</v>
      </c>
      <c r="AF160">
        <v>169</v>
      </c>
      <c r="AG160">
        <v>23</v>
      </c>
      <c r="AH160">
        <v>8360</v>
      </c>
      <c r="AI160">
        <v>5402</v>
      </c>
      <c r="AJ160">
        <v>670</v>
      </c>
      <c r="AK160">
        <v>3105</v>
      </c>
      <c r="AL160">
        <v>260</v>
      </c>
      <c r="AM160">
        <v>105</v>
      </c>
      <c r="AN160" t="s">
        <v>464</v>
      </c>
      <c r="AO160">
        <f>AVERAGE(Tabla2[[#This Row],[total_kills]:[rating]])</f>
        <v>6309.7894736842109</v>
      </c>
      <c r="AP160" t="str">
        <f>VLOOKUP(Tabla2[[#This Row],[KPI]],$AS$2:$AT$5,2,1)</f>
        <v>Alto</v>
      </c>
    </row>
    <row r="161" spans="1:42" x14ac:dyDescent="0.3">
      <c r="A161">
        <v>329</v>
      </c>
      <c r="B161" t="s">
        <v>2873</v>
      </c>
      <c r="C161" t="s">
        <v>2874</v>
      </c>
      <c r="D161">
        <v>34</v>
      </c>
      <c r="E161" t="s">
        <v>683</v>
      </c>
      <c r="F161" t="s">
        <v>3514</v>
      </c>
      <c r="G161" t="s">
        <v>2875</v>
      </c>
      <c r="H161">
        <v>6763</v>
      </c>
      <c r="I161">
        <v>6967</v>
      </c>
      <c r="J161" t="s">
        <v>988</v>
      </c>
      <c r="K161" t="s">
        <v>624</v>
      </c>
      <c r="L161">
        <v>6</v>
      </c>
      <c r="M161">
        <v>404</v>
      </c>
      <c r="N161">
        <v>10297</v>
      </c>
      <c r="O161" t="s">
        <v>322</v>
      </c>
      <c r="P161" t="s">
        <v>166</v>
      </c>
      <c r="Q161" t="s">
        <v>167</v>
      </c>
      <c r="R161" t="s">
        <v>50</v>
      </c>
      <c r="S161" t="s">
        <v>96</v>
      </c>
      <c r="T161">
        <v>4657</v>
      </c>
      <c r="U161" t="s">
        <v>51</v>
      </c>
      <c r="V161">
        <v>1168</v>
      </c>
      <c r="W161">
        <v>1119</v>
      </c>
      <c r="X161" t="s">
        <v>407</v>
      </c>
      <c r="Y161" t="s">
        <v>304</v>
      </c>
      <c r="Z161" t="s">
        <v>1996</v>
      </c>
      <c r="AA161" t="s">
        <v>882</v>
      </c>
      <c r="AB161">
        <v>5640</v>
      </c>
      <c r="AC161">
        <v>3045</v>
      </c>
      <c r="AD161">
        <v>1200</v>
      </c>
      <c r="AE161">
        <v>344</v>
      </c>
      <c r="AF161">
        <v>64</v>
      </c>
      <c r="AG161">
        <v>4</v>
      </c>
      <c r="AH161">
        <v>3208</v>
      </c>
      <c r="AI161">
        <v>1595</v>
      </c>
      <c r="AJ161">
        <v>319</v>
      </c>
      <c r="AK161">
        <v>1471</v>
      </c>
      <c r="AL161">
        <v>170</v>
      </c>
      <c r="AM161">
        <v>14</v>
      </c>
      <c r="AN161" t="s">
        <v>472</v>
      </c>
      <c r="AO161">
        <f>AVERAGE(Tabla2[[#This Row],[total_kills]:[rating]])</f>
        <v>2422.75</v>
      </c>
      <c r="AP161" t="str">
        <f>VLOOKUP(Tabla2[[#This Row],[KPI]],$AS$2:$AT$5,2,1)</f>
        <v>Bajo</v>
      </c>
    </row>
    <row r="162" spans="1:42" x14ac:dyDescent="0.3">
      <c r="A162">
        <v>8523</v>
      </c>
      <c r="B162" t="s">
        <v>1624</v>
      </c>
      <c r="C162" t="s">
        <v>1625</v>
      </c>
      <c r="D162">
        <v>26</v>
      </c>
      <c r="E162" t="s">
        <v>459</v>
      </c>
      <c r="F162" t="s">
        <v>3514</v>
      </c>
      <c r="G162" t="s">
        <v>1626</v>
      </c>
      <c r="H162">
        <v>26620</v>
      </c>
      <c r="I162">
        <v>25304</v>
      </c>
      <c r="J162" t="s">
        <v>1627</v>
      </c>
      <c r="K162" t="s">
        <v>948</v>
      </c>
      <c r="L162" t="s">
        <v>122</v>
      </c>
      <c r="M162">
        <v>1438</v>
      </c>
      <c r="N162">
        <v>37326</v>
      </c>
      <c r="O162" t="s">
        <v>646</v>
      </c>
      <c r="P162" t="s">
        <v>235</v>
      </c>
      <c r="Q162" t="s">
        <v>167</v>
      </c>
      <c r="R162" t="s">
        <v>67</v>
      </c>
      <c r="S162" t="s">
        <v>50</v>
      </c>
      <c r="T162">
        <v>17847</v>
      </c>
      <c r="U162" t="s">
        <v>51</v>
      </c>
      <c r="V162">
        <v>4197</v>
      </c>
      <c r="W162">
        <v>3980</v>
      </c>
      <c r="X162" t="s">
        <v>304</v>
      </c>
      <c r="Y162" t="s">
        <v>304</v>
      </c>
      <c r="Z162" t="s">
        <v>183</v>
      </c>
      <c r="AA162" t="s">
        <v>436</v>
      </c>
      <c r="AB162">
        <v>19479</v>
      </c>
      <c r="AC162">
        <v>11207</v>
      </c>
      <c r="AD162">
        <v>4876</v>
      </c>
      <c r="AE162">
        <v>1439</v>
      </c>
      <c r="AF162">
        <v>292</v>
      </c>
      <c r="AG162">
        <v>33</v>
      </c>
      <c r="AH162">
        <v>18462</v>
      </c>
      <c r="AI162">
        <v>2211</v>
      </c>
      <c r="AJ162">
        <v>797</v>
      </c>
      <c r="AK162">
        <v>4839</v>
      </c>
      <c r="AL162">
        <v>241</v>
      </c>
      <c r="AM162">
        <v>126</v>
      </c>
      <c r="AN162" t="s">
        <v>412</v>
      </c>
      <c r="AO162">
        <f>AVERAGE(Tabla2[[#This Row],[total_kills]:[rating]])</f>
        <v>9511.2631578947367</v>
      </c>
      <c r="AP162" t="str">
        <f>VLOOKUP(Tabla2[[#This Row],[KPI]],$AS$2:$AT$5,2,1)</f>
        <v>Superior</v>
      </c>
    </row>
    <row r="163" spans="1:42" x14ac:dyDescent="0.3">
      <c r="A163">
        <v>9349</v>
      </c>
      <c r="B163" t="s">
        <v>1697</v>
      </c>
      <c r="C163" t="s">
        <v>1698</v>
      </c>
      <c r="D163">
        <v>26</v>
      </c>
      <c r="E163" t="s">
        <v>59</v>
      </c>
      <c r="F163" t="s">
        <v>1699</v>
      </c>
      <c r="G163" t="s">
        <v>1700</v>
      </c>
      <c r="H163">
        <v>12635</v>
      </c>
      <c r="I163">
        <v>12043</v>
      </c>
      <c r="J163" t="s">
        <v>1627</v>
      </c>
      <c r="K163" t="s">
        <v>582</v>
      </c>
      <c r="L163" t="s">
        <v>471</v>
      </c>
      <c r="M163">
        <v>694</v>
      </c>
      <c r="N163">
        <v>18045</v>
      </c>
      <c r="O163" t="s">
        <v>905</v>
      </c>
      <c r="P163" t="s">
        <v>67</v>
      </c>
      <c r="Q163" t="s">
        <v>225</v>
      </c>
      <c r="R163" t="s">
        <v>50</v>
      </c>
      <c r="S163" t="s">
        <v>50</v>
      </c>
      <c r="T163">
        <v>8487</v>
      </c>
      <c r="U163" t="s">
        <v>51</v>
      </c>
      <c r="V163">
        <v>2101</v>
      </c>
      <c r="W163">
        <v>1832</v>
      </c>
      <c r="X163" t="s">
        <v>84</v>
      </c>
      <c r="Y163" t="s">
        <v>277</v>
      </c>
      <c r="Z163" t="s">
        <v>567</v>
      </c>
      <c r="AA163" t="s">
        <v>305</v>
      </c>
      <c r="AB163">
        <v>9558</v>
      </c>
      <c r="AC163">
        <v>5377</v>
      </c>
      <c r="AD163">
        <v>2243</v>
      </c>
      <c r="AE163">
        <v>716</v>
      </c>
      <c r="AF163">
        <v>131</v>
      </c>
      <c r="AG163">
        <v>20</v>
      </c>
      <c r="AH163">
        <v>4625</v>
      </c>
      <c r="AI163">
        <v>4915</v>
      </c>
      <c r="AJ163">
        <v>654</v>
      </c>
      <c r="AK163">
        <v>2264</v>
      </c>
      <c r="AL163">
        <v>125</v>
      </c>
      <c r="AM163">
        <v>77</v>
      </c>
      <c r="AN163" t="s">
        <v>412</v>
      </c>
      <c r="AO163">
        <f>AVERAGE(Tabla2[[#This Row],[total_kills]:[rating]])</f>
        <v>4554.8421052631575</v>
      </c>
      <c r="AP163" t="str">
        <f>VLOOKUP(Tabla2[[#This Row],[KPI]],$AS$2:$AT$5,2,1)</f>
        <v>Medio</v>
      </c>
    </row>
    <row r="164" spans="1:42" x14ac:dyDescent="0.3">
      <c r="A164">
        <v>165</v>
      </c>
      <c r="B164" t="s">
        <v>2971</v>
      </c>
      <c r="C164" t="s">
        <v>2972</v>
      </c>
      <c r="D164">
        <v>35</v>
      </c>
      <c r="E164" t="s">
        <v>327</v>
      </c>
      <c r="F164" t="s">
        <v>1343</v>
      </c>
      <c r="G164" t="s">
        <v>2973</v>
      </c>
      <c r="H164">
        <v>34383</v>
      </c>
      <c r="I164">
        <v>35933</v>
      </c>
      <c r="J164" t="s">
        <v>1627</v>
      </c>
      <c r="K164" t="s">
        <v>2727</v>
      </c>
      <c r="L164" t="s">
        <v>1846</v>
      </c>
      <c r="M164">
        <v>2030</v>
      </c>
      <c r="N164">
        <v>52985</v>
      </c>
      <c r="O164" t="s">
        <v>276</v>
      </c>
      <c r="P164" t="s">
        <v>553</v>
      </c>
      <c r="Q164" t="s">
        <v>167</v>
      </c>
      <c r="R164" t="s">
        <v>96</v>
      </c>
      <c r="S164" t="s">
        <v>66</v>
      </c>
      <c r="T164">
        <v>23611</v>
      </c>
      <c r="U164" t="s">
        <v>51</v>
      </c>
      <c r="V164">
        <v>4704</v>
      </c>
      <c r="W164">
        <v>5483</v>
      </c>
      <c r="X164" t="s">
        <v>64</v>
      </c>
      <c r="Y164" t="s">
        <v>1570</v>
      </c>
      <c r="Z164" t="s">
        <v>1020</v>
      </c>
      <c r="AA164" t="s">
        <v>518</v>
      </c>
      <c r="AB164">
        <v>29374</v>
      </c>
      <c r="AC164">
        <v>15441</v>
      </c>
      <c r="AD164">
        <v>6063</v>
      </c>
      <c r="AE164">
        <v>1722</v>
      </c>
      <c r="AF164">
        <v>341</v>
      </c>
      <c r="AG164">
        <v>44</v>
      </c>
      <c r="AH164">
        <v>22487</v>
      </c>
      <c r="AI164">
        <v>3414</v>
      </c>
      <c r="AJ164">
        <v>1587</v>
      </c>
      <c r="AK164">
        <v>6094</v>
      </c>
      <c r="AL164">
        <v>661</v>
      </c>
      <c r="AM164">
        <v>185</v>
      </c>
      <c r="AN164" t="s">
        <v>820</v>
      </c>
      <c r="AO164">
        <f>AVERAGE(Tabla2[[#This Row],[total_kills]:[rating]])</f>
        <v>12975.894736842105</v>
      </c>
      <c r="AP164" t="str">
        <f>VLOOKUP(Tabla2[[#This Row],[KPI]],$AS$2:$AT$5,2,1)</f>
        <v>Superior</v>
      </c>
    </row>
    <row r="165" spans="1:42" x14ac:dyDescent="0.3">
      <c r="A165">
        <v>921</v>
      </c>
      <c r="B165" t="s">
        <v>3382</v>
      </c>
      <c r="C165" t="s">
        <v>3383</v>
      </c>
      <c r="D165">
        <v>32</v>
      </c>
      <c r="E165" t="s">
        <v>196</v>
      </c>
      <c r="F165" t="s">
        <v>1086</v>
      </c>
      <c r="G165" t="s">
        <v>3384</v>
      </c>
      <c r="H165">
        <v>12987</v>
      </c>
      <c r="I165">
        <v>15332</v>
      </c>
      <c r="J165" t="s">
        <v>3385</v>
      </c>
      <c r="K165" t="s">
        <v>862</v>
      </c>
      <c r="L165" t="s">
        <v>782</v>
      </c>
      <c r="M165">
        <v>802</v>
      </c>
      <c r="N165">
        <v>20987</v>
      </c>
      <c r="O165" t="s">
        <v>144</v>
      </c>
      <c r="P165" t="s">
        <v>166</v>
      </c>
      <c r="Q165" t="s">
        <v>495</v>
      </c>
      <c r="R165" t="s">
        <v>50</v>
      </c>
      <c r="S165" t="s">
        <v>66</v>
      </c>
      <c r="T165">
        <v>9097</v>
      </c>
      <c r="U165" t="s">
        <v>51</v>
      </c>
      <c r="V165">
        <v>2259</v>
      </c>
      <c r="W165">
        <v>2738</v>
      </c>
      <c r="X165" t="s">
        <v>2425</v>
      </c>
      <c r="Y165" t="s">
        <v>285</v>
      </c>
      <c r="Z165" t="s">
        <v>324</v>
      </c>
      <c r="AA165" t="s">
        <v>86</v>
      </c>
      <c r="AB165">
        <v>11890</v>
      </c>
      <c r="AC165">
        <v>6099</v>
      </c>
      <c r="AD165">
        <v>2250</v>
      </c>
      <c r="AE165">
        <v>624</v>
      </c>
      <c r="AF165">
        <v>113</v>
      </c>
      <c r="AG165">
        <v>11</v>
      </c>
      <c r="AH165">
        <v>7656</v>
      </c>
      <c r="AI165">
        <v>1301</v>
      </c>
      <c r="AJ165">
        <v>1561</v>
      </c>
      <c r="AK165">
        <v>2205</v>
      </c>
      <c r="AL165">
        <v>236</v>
      </c>
      <c r="AM165">
        <v>38</v>
      </c>
      <c r="AN165" t="s">
        <v>2324</v>
      </c>
      <c r="AO165">
        <f>AVERAGE(Tabla2[[#This Row],[total_kills]:[rating]])</f>
        <v>5167.6842105263158</v>
      </c>
      <c r="AP165" t="str">
        <f>VLOOKUP(Tabla2[[#This Row],[KPI]],$AS$2:$AT$5,2,1)</f>
        <v>Alto</v>
      </c>
    </row>
    <row r="166" spans="1:42" x14ac:dyDescent="0.3">
      <c r="A166">
        <v>8370</v>
      </c>
      <c r="B166" t="s">
        <v>681</v>
      </c>
      <c r="C166" t="s">
        <v>682</v>
      </c>
      <c r="D166">
        <v>26</v>
      </c>
      <c r="E166" t="s">
        <v>683</v>
      </c>
      <c r="F166" t="s">
        <v>3514</v>
      </c>
      <c r="G166" t="s">
        <v>684</v>
      </c>
      <c r="H166">
        <v>16275</v>
      </c>
      <c r="I166">
        <v>14364</v>
      </c>
      <c r="J166" t="s">
        <v>685</v>
      </c>
      <c r="K166" t="s">
        <v>686</v>
      </c>
      <c r="L166" t="s">
        <v>687</v>
      </c>
      <c r="M166">
        <v>840</v>
      </c>
      <c r="N166">
        <v>21804</v>
      </c>
      <c r="O166" t="s">
        <v>180</v>
      </c>
      <c r="P166" t="s">
        <v>202</v>
      </c>
      <c r="Q166" t="s">
        <v>322</v>
      </c>
      <c r="R166" t="s">
        <v>50</v>
      </c>
      <c r="S166" t="s">
        <v>50</v>
      </c>
      <c r="T166">
        <v>10742</v>
      </c>
      <c r="U166" t="s">
        <v>51</v>
      </c>
      <c r="V166">
        <v>2859</v>
      </c>
      <c r="W166">
        <v>2317</v>
      </c>
      <c r="X166" t="s">
        <v>101</v>
      </c>
      <c r="Y166" t="s">
        <v>84</v>
      </c>
      <c r="Z166" t="s">
        <v>183</v>
      </c>
      <c r="AA166" t="s">
        <v>497</v>
      </c>
      <c r="AB166">
        <v>11062</v>
      </c>
      <c r="AC166">
        <v>6669</v>
      </c>
      <c r="AD166">
        <v>2862</v>
      </c>
      <c r="AE166">
        <v>994</v>
      </c>
      <c r="AF166">
        <v>192</v>
      </c>
      <c r="AG166">
        <v>25</v>
      </c>
      <c r="AH166">
        <v>6823</v>
      </c>
      <c r="AI166">
        <v>5352</v>
      </c>
      <c r="AJ166">
        <v>807</v>
      </c>
      <c r="AK166">
        <v>2952</v>
      </c>
      <c r="AL166">
        <v>315</v>
      </c>
      <c r="AM166">
        <v>60</v>
      </c>
      <c r="AN166" t="s">
        <v>295</v>
      </c>
      <c r="AO166">
        <f>AVERAGE(Tabla2[[#This Row],[total_kills]:[rating]])</f>
        <v>5648.105263157895</v>
      </c>
      <c r="AP166" t="str">
        <f>VLOOKUP(Tabla2[[#This Row],[KPI]],$AS$2:$AT$5,2,1)</f>
        <v>Alto</v>
      </c>
    </row>
    <row r="167" spans="1:42" x14ac:dyDescent="0.3">
      <c r="A167">
        <v>18053</v>
      </c>
      <c r="B167" t="s">
        <v>1073</v>
      </c>
      <c r="C167" t="s">
        <v>1074</v>
      </c>
      <c r="D167">
        <v>21</v>
      </c>
      <c r="E167" t="s">
        <v>1033</v>
      </c>
      <c r="F167" t="s">
        <v>447</v>
      </c>
      <c r="G167" t="s">
        <v>1075</v>
      </c>
      <c r="H167">
        <v>13326</v>
      </c>
      <c r="I167">
        <v>11624</v>
      </c>
      <c r="J167" t="s">
        <v>685</v>
      </c>
      <c r="K167">
        <v>73</v>
      </c>
      <c r="L167" t="s">
        <v>46</v>
      </c>
      <c r="M167">
        <v>714</v>
      </c>
      <c r="N167">
        <v>19063</v>
      </c>
      <c r="O167" t="s">
        <v>905</v>
      </c>
      <c r="P167" t="s">
        <v>50</v>
      </c>
      <c r="Q167" t="s">
        <v>49</v>
      </c>
      <c r="R167" t="s">
        <v>50</v>
      </c>
      <c r="S167" t="s">
        <v>67</v>
      </c>
      <c r="T167">
        <v>9046</v>
      </c>
      <c r="U167" t="s">
        <v>51</v>
      </c>
      <c r="V167">
        <v>1615</v>
      </c>
      <c r="W167">
        <v>1126</v>
      </c>
      <c r="X167" t="s">
        <v>236</v>
      </c>
      <c r="Y167" t="s">
        <v>285</v>
      </c>
      <c r="Z167" t="s">
        <v>70</v>
      </c>
      <c r="AA167" t="s">
        <v>247</v>
      </c>
      <c r="AB167">
        <v>10017</v>
      </c>
      <c r="AC167">
        <v>5798</v>
      </c>
      <c r="AD167">
        <v>2387</v>
      </c>
      <c r="AE167">
        <v>706</v>
      </c>
      <c r="AF167">
        <v>139</v>
      </c>
      <c r="AG167">
        <v>16</v>
      </c>
      <c r="AH167">
        <v>5531</v>
      </c>
      <c r="AI167">
        <v>4868</v>
      </c>
      <c r="AJ167">
        <v>474</v>
      </c>
      <c r="AK167">
        <v>2310</v>
      </c>
      <c r="AL167">
        <v>125</v>
      </c>
      <c r="AM167">
        <v>51</v>
      </c>
      <c r="AN167" t="s">
        <v>561</v>
      </c>
      <c r="AO167">
        <f>AVERAGE(Tabla2[[#This Row],[total_kills]:[rating]])</f>
        <v>4450.45</v>
      </c>
      <c r="AP167" t="str">
        <f>VLOOKUP(Tabla2[[#This Row],[KPI]],$AS$2:$AT$5,2,1)</f>
        <v>Medio</v>
      </c>
    </row>
    <row r="168" spans="1:42" x14ac:dyDescent="0.3">
      <c r="A168">
        <v>10330</v>
      </c>
      <c r="B168" t="s">
        <v>1231</v>
      </c>
      <c r="C168" t="s">
        <v>1232</v>
      </c>
      <c r="D168">
        <v>25</v>
      </c>
      <c r="E168" t="s">
        <v>196</v>
      </c>
      <c r="F168" t="s">
        <v>188</v>
      </c>
      <c r="G168" t="s">
        <v>1233</v>
      </c>
      <c r="H168">
        <v>19475</v>
      </c>
      <c r="I168">
        <v>17493</v>
      </c>
      <c r="J168" t="s">
        <v>685</v>
      </c>
      <c r="K168" t="s">
        <v>1234</v>
      </c>
      <c r="L168" t="s">
        <v>589</v>
      </c>
      <c r="M168">
        <v>1057</v>
      </c>
      <c r="N168">
        <v>27637</v>
      </c>
      <c r="O168" t="s">
        <v>905</v>
      </c>
      <c r="P168" t="s">
        <v>50</v>
      </c>
      <c r="Q168" t="s">
        <v>215</v>
      </c>
      <c r="R168" t="s">
        <v>96</v>
      </c>
      <c r="S168" t="s">
        <v>50</v>
      </c>
      <c r="T168">
        <v>13069</v>
      </c>
      <c r="U168" t="s">
        <v>51</v>
      </c>
      <c r="V168">
        <v>3109</v>
      </c>
      <c r="W168">
        <v>2527</v>
      </c>
      <c r="X168" t="s">
        <v>101</v>
      </c>
      <c r="Y168" t="s">
        <v>277</v>
      </c>
      <c r="Z168" t="s">
        <v>1214</v>
      </c>
      <c r="AA168" t="s">
        <v>882</v>
      </c>
      <c r="AB168">
        <v>14568</v>
      </c>
      <c r="AC168">
        <v>8203</v>
      </c>
      <c r="AD168">
        <v>3574</v>
      </c>
      <c r="AE168">
        <v>1063</v>
      </c>
      <c r="AF168">
        <v>210</v>
      </c>
      <c r="AG168">
        <v>19</v>
      </c>
      <c r="AH168">
        <v>6682</v>
      </c>
      <c r="AI168">
        <v>8611</v>
      </c>
      <c r="AJ168">
        <v>683</v>
      </c>
      <c r="AK168">
        <v>3218</v>
      </c>
      <c r="AL168">
        <v>266</v>
      </c>
      <c r="AM168">
        <v>62</v>
      </c>
      <c r="AN168" t="s">
        <v>590</v>
      </c>
      <c r="AO168">
        <f>AVERAGE(Tabla2[[#This Row],[total_kills]:[rating]])</f>
        <v>6922.4210526315792</v>
      </c>
      <c r="AP168" t="str">
        <f>VLOOKUP(Tabla2[[#This Row],[KPI]],$AS$2:$AT$5,2,1)</f>
        <v>Superior</v>
      </c>
    </row>
    <row r="169" spans="1:42" x14ac:dyDescent="0.3">
      <c r="A169">
        <v>8943</v>
      </c>
      <c r="B169" t="s">
        <v>504</v>
      </c>
      <c r="C169" t="s">
        <v>505</v>
      </c>
      <c r="D169">
        <v>23</v>
      </c>
      <c r="E169" t="s">
        <v>290</v>
      </c>
      <c r="F169" t="s">
        <v>3514</v>
      </c>
      <c r="G169" t="s">
        <v>506</v>
      </c>
      <c r="H169">
        <v>14145</v>
      </c>
      <c r="I169">
        <v>12334</v>
      </c>
      <c r="J169" t="s">
        <v>507</v>
      </c>
      <c r="K169" t="s">
        <v>424</v>
      </c>
      <c r="L169" t="s">
        <v>462</v>
      </c>
      <c r="M169">
        <v>722</v>
      </c>
      <c r="N169">
        <v>18651</v>
      </c>
      <c r="O169" t="s">
        <v>234</v>
      </c>
      <c r="P169" t="s">
        <v>67</v>
      </c>
      <c r="Q169" t="s">
        <v>322</v>
      </c>
      <c r="R169" t="s">
        <v>96</v>
      </c>
      <c r="S169" t="s">
        <v>96</v>
      </c>
      <c r="T169">
        <v>9213</v>
      </c>
      <c r="U169" t="s">
        <v>51</v>
      </c>
      <c r="V169">
        <v>2658</v>
      </c>
      <c r="W169">
        <v>1858</v>
      </c>
      <c r="X169" t="s">
        <v>236</v>
      </c>
      <c r="Y169" t="s">
        <v>136</v>
      </c>
      <c r="Z169" t="s">
        <v>508</v>
      </c>
      <c r="AA169" t="s">
        <v>509</v>
      </c>
      <c r="AB169">
        <v>9438</v>
      </c>
      <c r="AC169">
        <v>5577</v>
      </c>
      <c r="AD169">
        <v>2549</v>
      </c>
      <c r="AE169">
        <v>897</v>
      </c>
      <c r="AF169">
        <v>171</v>
      </c>
      <c r="AG169">
        <v>19</v>
      </c>
      <c r="AH169">
        <v>4741</v>
      </c>
      <c r="AI169">
        <v>6178</v>
      </c>
      <c r="AJ169">
        <v>525</v>
      </c>
      <c r="AK169">
        <v>2539</v>
      </c>
      <c r="AL169">
        <v>167</v>
      </c>
      <c r="AM169">
        <v>24</v>
      </c>
      <c r="AN169" t="s">
        <v>362</v>
      </c>
      <c r="AO169">
        <f>AVERAGE(Tabla2[[#This Row],[total_kills]:[rating]])</f>
        <v>4863.4736842105267</v>
      </c>
      <c r="AP169" t="str">
        <f>VLOOKUP(Tabla2[[#This Row],[KPI]],$AS$2:$AT$5,2,1)</f>
        <v>Alto</v>
      </c>
    </row>
    <row r="170" spans="1:42" x14ac:dyDescent="0.3">
      <c r="A170">
        <v>8716</v>
      </c>
      <c r="B170" t="s">
        <v>2619</v>
      </c>
      <c r="C170" t="s">
        <v>2620</v>
      </c>
      <c r="D170">
        <v>27</v>
      </c>
      <c r="E170" t="s">
        <v>187</v>
      </c>
      <c r="F170" t="s">
        <v>3514</v>
      </c>
      <c r="G170" t="s">
        <v>421</v>
      </c>
      <c r="H170">
        <v>13856</v>
      </c>
      <c r="I170">
        <v>13910</v>
      </c>
      <c r="J170" t="s">
        <v>507</v>
      </c>
      <c r="K170" t="s">
        <v>2233</v>
      </c>
      <c r="L170" t="s">
        <v>462</v>
      </c>
      <c r="M170">
        <v>807</v>
      </c>
      <c r="N170">
        <v>21060</v>
      </c>
      <c r="O170" t="s">
        <v>322</v>
      </c>
      <c r="P170" t="s">
        <v>202</v>
      </c>
      <c r="Q170" t="s">
        <v>322</v>
      </c>
      <c r="R170" t="s">
        <v>50</v>
      </c>
      <c r="S170" t="s">
        <v>67</v>
      </c>
      <c r="T170">
        <v>9453</v>
      </c>
      <c r="U170" t="s">
        <v>51</v>
      </c>
      <c r="V170">
        <v>2154</v>
      </c>
      <c r="W170">
        <v>2095</v>
      </c>
      <c r="X170" t="s">
        <v>412</v>
      </c>
      <c r="Y170" t="s">
        <v>255</v>
      </c>
      <c r="Z170" t="s">
        <v>391</v>
      </c>
      <c r="AA170" t="s">
        <v>577</v>
      </c>
      <c r="AB170">
        <v>11607</v>
      </c>
      <c r="AC170">
        <v>6098</v>
      </c>
      <c r="AD170">
        <v>2476</v>
      </c>
      <c r="AE170">
        <v>727</v>
      </c>
      <c r="AF170">
        <v>138</v>
      </c>
      <c r="AG170">
        <v>14</v>
      </c>
      <c r="AH170">
        <v>7021</v>
      </c>
      <c r="AI170">
        <v>3405</v>
      </c>
      <c r="AJ170">
        <v>864</v>
      </c>
      <c r="AK170">
        <v>2387</v>
      </c>
      <c r="AL170">
        <v>173</v>
      </c>
      <c r="AM170">
        <v>22</v>
      </c>
      <c r="AN170" t="s">
        <v>245</v>
      </c>
      <c r="AO170">
        <f>AVERAGE(Tabla2[[#This Row],[total_kills]:[rating]])</f>
        <v>5171.9473684210525</v>
      </c>
      <c r="AP170" t="str">
        <f>VLOOKUP(Tabla2[[#This Row],[KPI]],$AS$2:$AT$5,2,1)</f>
        <v>Alto</v>
      </c>
    </row>
    <row r="171" spans="1:42" x14ac:dyDescent="0.3">
      <c r="A171">
        <v>9798</v>
      </c>
      <c r="B171" t="s">
        <v>3325</v>
      </c>
      <c r="C171" t="s">
        <v>3326</v>
      </c>
      <c r="D171">
        <v>29</v>
      </c>
      <c r="E171" t="s">
        <v>327</v>
      </c>
      <c r="F171" t="s">
        <v>3030</v>
      </c>
      <c r="G171" t="s">
        <v>3030</v>
      </c>
      <c r="H171">
        <v>14808</v>
      </c>
      <c r="I171">
        <v>16557</v>
      </c>
      <c r="J171" t="s">
        <v>3327</v>
      </c>
      <c r="K171" t="s">
        <v>3328</v>
      </c>
      <c r="L171" t="s">
        <v>282</v>
      </c>
      <c r="M171">
        <v>895</v>
      </c>
      <c r="N171">
        <v>24330</v>
      </c>
      <c r="O171" t="s">
        <v>49</v>
      </c>
      <c r="P171" t="s">
        <v>48</v>
      </c>
      <c r="Q171" t="s">
        <v>167</v>
      </c>
      <c r="R171" t="s">
        <v>50</v>
      </c>
      <c r="S171" t="s">
        <v>96</v>
      </c>
      <c r="T171">
        <v>10498</v>
      </c>
      <c r="U171" t="s">
        <v>51</v>
      </c>
      <c r="V171">
        <v>2135</v>
      </c>
      <c r="W171">
        <v>2083</v>
      </c>
      <c r="X171" t="s">
        <v>449</v>
      </c>
      <c r="Y171" t="s">
        <v>472</v>
      </c>
      <c r="Z171" t="s">
        <v>237</v>
      </c>
      <c r="AA171" t="s">
        <v>1379</v>
      </c>
      <c r="AB171">
        <v>13832</v>
      </c>
      <c r="AC171">
        <v>7077</v>
      </c>
      <c r="AD171">
        <v>2656</v>
      </c>
      <c r="AE171">
        <v>646</v>
      </c>
      <c r="AF171">
        <v>114</v>
      </c>
      <c r="AG171">
        <v>5</v>
      </c>
      <c r="AH171">
        <v>8246</v>
      </c>
      <c r="AI171">
        <v>2955</v>
      </c>
      <c r="AJ171">
        <v>1095</v>
      </c>
      <c r="AK171">
        <v>2247</v>
      </c>
      <c r="AL171">
        <v>279</v>
      </c>
      <c r="AM171">
        <v>45</v>
      </c>
      <c r="AN171" t="s">
        <v>1906</v>
      </c>
      <c r="AO171">
        <f>AVERAGE(Tabla2[[#This Row],[total_kills]:[rating]])</f>
        <v>5815.9473684210525</v>
      </c>
      <c r="AP171" t="str">
        <f>VLOOKUP(Tabla2[[#This Row],[KPI]],$AS$2:$AT$5,2,1)</f>
        <v>Alto</v>
      </c>
    </row>
    <row r="172" spans="1:42" x14ac:dyDescent="0.3">
      <c r="A172">
        <v>12083</v>
      </c>
      <c r="B172" t="s">
        <v>2408</v>
      </c>
      <c r="C172" t="s">
        <v>2409</v>
      </c>
      <c r="D172">
        <v>23</v>
      </c>
      <c r="E172" t="s">
        <v>299</v>
      </c>
      <c r="F172" t="s">
        <v>2410</v>
      </c>
      <c r="G172" t="s">
        <v>2411</v>
      </c>
      <c r="H172">
        <v>7636</v>
      </c>
      <c r="I172">
        <v>7533</v>
      </c>
      <c r="J172" t="s">
        <v>2412</v>
      </c>
      <c r="K172">
        <v>71</v>
      </c>
      <c r="L172" t="s">
        <v>122</v>
      </c>
      <c r="M172">
        <v>435</v>
      </c>
      <c r="N172">
        <v>11265</v>
      </c>
      <c r="O172" t="s">
        <v>167</v>
      </c>
      <c r="P172" t="s">
        <v>67</v>
      </c>
      <c r="Q172" t="s">
        <v>225</v>
      </c>
      <c r="R172" t="s">
        <v>96</v>
      </c>
      <c r="S172" t="s">
        <v>50</v>
      </c>
      <c r="T172">
        <v>5215</v>
      </c>
      <c r="U172" t="s">
        <v>51</v>
      </c>
      <c r="V172">
        <v>1305</v>
      </c>
      <c r="W172">
        <v>1112</v>
      </c>
      <c r="X172" t="s">
        <v>172</v>
      </c>
      <c r="Y172" t="s">
        <v>277</v>
      </c>
      <c r="Z172" t="s">
        <v>576</v>
      </c>
      <c r="AA172" t="s">
        <v>719</v>
      </c>
      <c r="AB172">
        <v>6050</v>
      </c>
      <c r="AC172">
        <v>3350</v>
      </c>
      <c r="AD172">
        <v>1379</v>
      </c>
      <c r="AE172">
        <v>418</v>
      </c>
      <c r="AF172">
        <v>66</v>
      </c>
      <c r="AG172">
        <v>2</v>
      </c>
      <c r="AH172">
        <v>2527</v>
      </c>
      <c r="AI172">
        <v>3134</v>
      </c>
      <c r="AJ172">
        <v>317</v>
      </c>
      <c r="AK172">
        <v>1576</v>
      </c>
      <c r="AL172">
        <v>85</v>
      </c>
      <c r="AM172">
        <v>11</v>
      </c>
      <c r="AN172" t="s">
        <v>412</v>
      </c>
      <c r="AO172">
        <f>AVERAGE(Tabla2[[#This Row],[total_kills]:[rating]])</f>
        <v>2674.35</v>
      </c>
      <c r="AP172" t="str">
        <f>VLOOKUP(Tabla2[[#This Row],[KPI]],$AS$2:$AT$5,2,1)</f>
        <v>Bajo</v>
      </c>
    </row>
    <row r="173" spans="1:42" x14ac:dyDescent="0.3">
      <c r="A173">
        <v>147</v>
      </c>
      <c r="B173" t="s">
        <v>2274</v>
      </c>
      <c r="C173" t="s">
        <v>2275</v>
      </c>
      <c r="D173">
        <v>31</v>
      </c>
      <c r="E173" t="s">
        <v>42</v>
      </c>
      <c r="F173" t="s">
        <v>2276</v>
      </c>
      <c r="G173" t="s">
        <v>2277</v>
      </c>
      <c r="H173">
        <v>18867</v>
      </c>
      <c r="I173">
        <v>17915</v>
      </c>
      <c r="J173" t="s">
        <v>2278</v>
      </c>
      <c r="K173" t="s">
        <v>2067</v>
      </c>
      <c r="L173" t="s">
        <v>179</v>
      </c>
      <c r="M173">
        <v>1087</v>
      </c>
      <c r="N173">
        <v>28664</v>
      </c>
      <c r="O173" t="s">
        <v>322</v>
      </c>
      <c r="P173" t="s">
        <v>67</v>
      </c>
      <c r="Q173" t="s">
        <v>144</v>
      </c>
      <c r="R173" t="s">
        <v>96</v>
      </c>
      <c r="S173" t="s">
        <v>50</v>
      </c>
      <c r="T173">
        <v>13166</v>
      </c>
      <c r="U173" t="s">
        <v>51</v>
      </c>
      <c r="V173">
        <v>2502</v>
      </c>
      <c r="W173">
        <v>2160</v>
      </c>
      <c r="X173" t="s">
        <v>206</v>
      </c>
      <c r="Y173" t="s">
        <v>245</v>
      </c>
      <c r="Z173" t="s">
        <v>821</v>
      </c>
      <c r="AA173" t="s">
        <v>518</v>
      </c>
      <c r="AB173">
        <v>15498</v>
      </c>
      <c r="AC173">
        <v>8715</v>
      </c>
      <c r="AD173">
        <v>3361</v>
      </c>
      <c r="AE173">
        <v>940</v>
      </c>
      <c r="AF173">
        <v>140</v>
      </c>
      <c r="AG173">
        <v>10</v>
      </c>
      <c r="AH173">
        <v>8126</v>
      </c>
      <c r="AI173">
        <v>6032</v>
      </c>
      <c r="AJ173">
        <v>854</v>
      </c>
      <c r="AK173">
        <v>3695</v>
      </c>
      <c r="AL173">
        <v>171</v>
      </c>
      <c r="AM173">
        <v>47</v>
      </c>
      <c r="AN173">
        <v>1</v>
      </c>
      <c r="AO173">
        <f>AVERAGE(Tabla2[[#This Row],[total_kills]:[rating]])</f>
        <v>6597.55</v>
      </c>
      <c r="AP173" t="str">
        <f>VLOOKUP(Tabla2[[#This Row],[KPI]],$AS$2:$AT$5,2,1)</f>
        <v>Alto</v>
      </c>
    </row>
    <row r="174" spans="1:42" x14ac:dyDescent="0.3">
      <c r="A174">
        <v>9816</v>
      </c>
      <c r="B174" t="s">
        <v>2908</v>
      </c>
      <c r="C174" t="s">
        <v>2909</v>
      </c>
      <c r="D174">
        <v>25</v>
      </c>
      <c r="E174" t="s">
        <v>452</v>
      </c>
      <c r="F174" t="s">
        <v>221</v>
      </c>
      <c r="G174" t="s">
        <v>2910</v>
      </c>
      <c r="H174">
        <v>17605</v>
      </c>
      <c r="I174">
        <v>17978</v>
      </c>
      <c r="J174" t="s">
        <v>2278</v>
      </c>
      <c r="K174" t="s">
        <v>2250</v>
      </c>
      <c r="L174" t="s">
        <v>433</v>
      </c>
      <c r="M174">
        <v>1037</v>
      </c>
      <c r="N174">
        <v>27513</v>
      </c>
      <c r="O174" t="s">
        <v>65</v>
      </c>
      <c r="P174" t="s">
        <v>434</v>
      </c>
      <c r="Q174" t="s">
        <v>276</v>
      </c>
      <c r="R174" t="s">
        <v>67</v>
      </c>
      <c r="S174" t="s">
        <v>50</v>
      </c>
      <c r="T174">
        <v>12258</v>
      </c>
      <c r="U174" t="s">
        <v>51</v>
      </c>
      <c r="V174">
        <v>2754</v>
      </c>
      <c r="W174">
        <v>3050</v>
      </c>
      <c r="X174" t="s">
        <v>1906</v>
      </c>
      <c r="Y174" t="s">
        <v>245</v>
      </c>
      <c r="Z174" t="s">
        <v>237</v>
      </c>
      <c r="AA174" t="s">
        <v>724</v>
      </c>
      <c r="AB174">
        <v>15255</v>
      </c>
      <c r="AC174">
        <v>8110</v>
      </c>
      <c r="AD174">
        <v>3106</v>
      </c>
      <c r="AE174">
        <v>897</v>
      </c>
      <c r="AF174">
        <v>133</v>
      </c>
      <c r="AG174">
        <v>12</v>
      </c>
      <c r="AH174">
        <v>11946</v>
      </c>
      <c r="AI174">
        <v>660</v>
      </c>
      <c r="AJ174">
        <v>1692</v>
      </c>
      <c r="AK174">
        <v>2714</v>
      </c>
      <c r="AL174">
        <v>564</v>
      </c>
      <c r="AM174">
        <v>79</v>
      </c>
      <c r="AN174" t="s">
        <v>472</v>
      </c>
      <c r="AO174">
        <f>AVERAGE(Tabla2[[#This Row],[total_kills]:[rating]])</f>
        <v>6703.3157894736842</v>
      </c>
      <c r="AP174" t="str">
        <f>VLOOKUP(Tabla2[[#This Row],[KPI]],$AS$2:$AT$5,2,1)</f>
        <v>Alto</v>
      </c>
    </row>
    <row r="175" spans="1:42" x14ac:dyDescent="0.3">
      <c r="A175">
        <v>15165</v>
      </c>
      <c r="B175" t="s">
        <v>227</v>
      </c>
      <c r="C175" t="s">
        <v>228</v>
      </c>
      <c r="D175">
        <v>25</v>
      </c>
      <c r="E175" t="s">
        <v>196</v>
      </c>
      <c r="F175" t="s">
        <v>229</v>
      </c>
      <c r="G175" t="s">
        <v>230</v>
      </c>
      <c r="H175">
        <v>18058</v>
      </c>
      <c r="I175">
        <v>14312</v>
      </c>
      <c r="J175" t="s">
        <v>231</v>
      </c>
      <c r="K175" t="s">
        <v>232</v>
      </c>
      <c r="L175" t="s">
        <v>233</v>
      </c>
      <c r="M175">
        <v>884</v>
      </c>
      <c r="N175">
        <v>23631</v>
      </c>
      <c r="O175" t="s">
        <v>234</v>
      </c>
      <c r="P175" t="s">
        <v>235</v>
      </c>
      <c r="Q175" t="s">
        <v>49</v>
      </c>
      <c r="R175" t="s">
        <v>135</v>
      </c>
      <c r="S175" t="s">
        <v>96</v>
      </c>
      <c r="T175">
        <v>12024</v>
      </c>
      <c r="U175" t="s">
        <v>51</v>
      </c>
      <c r="V175">
        <v>2857</v>
      </c>
      <c r="W175">
        <v>1995</v>
      </c>
      <c r="X175" t="s">
        <v>236</v>
      </c>
      <c r="Y175" t="s">
        <v>98</v>
      </c>
      <c r="Z175" t="s">
        <v>237</v>
      </c>
      <c r="AA175" t="s">
        <v>238</v>
      </c>
      <c r="AB175">
        <v>11607</v>
      </c>
      <c r="AC175">
        <v>7531</v>
      </c>
      <c r="AD175">
        <v>3222</v>
      </c>
      <c r="AE175">
        <v>1024</v>
      </c>
      <c r="AF175">
        <v>224</v>
      </c>
      <c r="AG175">
        <v>23</v>
      </c>
      <c r="AH175">
        <v>14032</v>
      </c>
      <c r="AI175">
        <v>164</v>
      </c>
      <c r="AJ175">
        <v>827</v>
      </c>
      <c r="AK175">
        <v>2661</v>
      </c>
      <c r="AL175">
        <v>397</v>
      </c>
      <c r="AM175">
        <v>64</v>
      </c>
      <c r="AN175" t="s">
        <v>114</v>
      </c>
      <c r="AO175">
        <f>AVERAGE(Tabla2[[#This Row],[total_kills]:[rating]])</f>
        <v>6080.894736842105</v>
      </c>
      <c r="AP175" t="str">
        <f>VLOOKUP(Tabla2[[#This Row],[KPI]],$AS$2:$AT$5,2,1)</f>
        <v>Alto</v>
      </c>
    </row>
    <row r="176" spans="1:42" x14ac:dyDescent="0.3">
      <c r="A176">
        <v>13679</v>
      </c>
      <c r="B176" t="s">
        <v>839</v>
      </c>
      <c r="C176" t="s">
        <v>840</v>
      </c>
      <c r="D176">
        <v>24</v>
      </c>
      <c r="E176" t="s">
        <v>841</v>
      </c>
      <c r="F176" t="s">
        <v>3514</v>
      </c>
      <c r="G176" t="s">
        <v>842</v>
      </c>
      <c r="H176">
        <v>11227</v>
      </c>
      <c r="I176">
        <v>9897</v>
      </c>
      <c r="J176" t="s">
        <v>231</v>
      </c>
      <c r="K176" t="s">
        <v>843</v>
      </c>
      <c r="L176" t="s">
        <v>425</v>
      </c>
      <c r="M176">
        <v>592</v>
      </c>
      <c r="N176">
        <v>15492</v>
      </c>
      <c r="O176" t="s">
        <v>311</v>
      </c>
      <c r="P176" t="s">
        <v>48</v>
      </c>
      <c r="Q176" t="s">
        <v>65</v>
      </c>
      <c r="R176" t="s">
        <v>66</v>
      </c>
      <c r="S176" t="s">
        <v>96</v>
      </c>
      <c r="T176">
        <v>7452</v>
      </c>
      <c r="U176" t="s">
        <v>51</v>
      </c>
      <c r="V176">
        <v>1600</v>
      </c>
      <c r="W176">
        <v>1494</v>
      </c>
      <c r="X176" t="s">
        <v>464</v>
      </c>
      <c r="Y176" t="s">
        <v>449</v>
      </c>
      <c r="Z176" t="s">
        <v>838</v>
      </c>
      <c r="AA176" t="s">
        <v>844</v>
      </c>
      <c r="AB176">
        <v>8040</v>
      </c>
      <c r="AC176">
        <v>4642</v>
      </c>
      <c r="AD176">
        <v>2006</v>
      </c>
      <c r="AE176">
        <v>660</v>
      </c>
      <c r="AF176">
        <v>127</v>
      </c>
      <c r="AG176">
        <v>17</v>
      </c>
      <c r="AH176">
        <v>6305</v>
      </c>
      <c r="AI176">
        <v>2657</v>
      </c>
      <c r="AJ176">
        <v>250</v>
      </c>
      <c r="AK176">
        <v>1945</v>
      </c>
      <c r="AL176">
        <v>81</v>
      </c>
      <c r="AM176">
        <v>6</v>
      </c>
      <c r="AN176" t="s">
        <v>370</v>
      </c>
      <c r="AO176">
        <f>AVERAGE(Tabla2[[#This Row],[total_kills]:[rating]])</f>
        <v>3920.5263157894738</v>
      </c>
      <c r="AP176" t="str">
        <f>VLOOKUP(Tabla2[[#This Row],[KPI]],$AS$2:$AT$5,2,1)</f>
        <v>Medio</v>
      </c>
    </row>
    <row r="177" spans="1:42" x14ac:dyDescent="0.3">
      <c r="A177">
        <v>13155</v>
      </c>
      <c r="B177" t="s">
        <v>2191</v>
      </c>
      <c r="C177" t="s">
        <v>2192</v>
      </c>
      <c r="D177">
        <v>26</v>
      </c>
      <c r="E177" t="s">
        <v>75</v>
      </c>
      <c r="F177" t="s">
        <v>2193</v>
      </c>
      <c r="G177" t="s">
        <v>2194</v>
      </c>
      <c r="H177">
        <v>13678</v>
      </c>
      <c r="I177">
        <v>13110</v>
      </c>
      <c r="J177" t="s">
        <v>231</v>
      </c>
      <c r="K177" t="s">
        <v>2067</v>
      </c>
      <c r="L177" t="s">
        <v>122</v>
      </c>
      <c r="M177">
        <v>767</v>
      </c>
      <c r="N177">
        <v>20579</v>
      </c>
      <c r="O177" t="s">
        <v>322</v>
      </c>
      <c r="P177" t="s">
        <v>67</v>
      </c>
      <c r="Q177" t="s">
        <v>65</v>
      </c>
      <c r="R177" t="s">
        <v>96</v>
      </c>
      <c r="S177" t="s">
        <v>96</v>
      </c>
      <c r="T177">
        <v>9399</v>
      </c>
      <c r="U177" t="s">
        <v>51</v>
      </c>
      <c r="V177">
        <v>2080</v>
      </c>
      <c r="W177">
        <v>1696</v>
      </c>
      <c r="X177" t="s">
        <v>101</v>
      </c>
      <c r="Y177" t="s">
        <v>412</v>
      </c>
      <c r="Z177" t="s">
        <v>1121</v>
      </c>
      <c r="AA177" t="s">
        <v>560</v>
      </c>
      <c r="AB177">
        <v>11180</v>
      </c>
      <c r="AC177">
        <v>6136</v>
      </c>
      <c r="AD177">
        <v>2408</v>
      </c>
      <c r="AE177">
        <v>713</v>
      </c>
      <c r="AF177">
        <v>123</v>
      </c>
      <c r="AG177">
        <v>19</v>
      </c>
      <c r="AH177">
        <v>4808</v>
      </c>
      <c r="AI177">
        <v>5901</v>
      </c>
      <c r="AJ177">
        <v>655</v>
      </c>
      <c r="AK177">
        <v>2197</v>
      </c>
      <c r="AL177">
        <v>135</v>
      </c>
      <c r="AM177">
        <v>28</v>
      </c>
      <c r="AN177" t="s">
        <v>304</v>
      </c>
      <c r="AO177">
        <f>AVERAGE(Tabla2[[#This Row],[total_kills]:[rating]])</f>
        <v>5032.2105263157891</v>
      </c>
      <c r="AP177" t="str">
        <f>VLOOKUP(Tabla2[[#This Row],[KPI]],$AS$2:$AT$5,2,1)</f>
        <v>Alto</v>
      </c>
    </row>
    <row r="178" spans="1:42" x14ac:dyDescent="0.3">
      <c r="A178">
        <v>8568</v>
      </c>
      <c r="B178" t="s">
        <v>1136</v>
      </c>
      <c r="C178" t="s">
        <v>1137</v>
      </c>
      <c r="D178">
        <v>25</v>
      </c>
      <c r="E178" t="s">
        <v>104</v>
      </c>
      <c r="F178" t="s">
        <v>855</v>
      </c>
      <c r="G178" t="s">
        <v>1138</v>
      </c>
      <c r="H178">
        <v>24204</v>
      </c>
      <c r="I178">
        <v>21578</v>
      </c>
      <c r="J178" t="s">
        <v>1139</v>
      </c>
      <c r="K178" t="s">
        <v>1140</v>
      </c>
      <c r="L178" t="s">
        <v>1141</v>
      </c>
      <c r="M178">
        <v>1304</v>
      </c>
      <c r="N178">
        <v>33995</v>
      </c>
      <c r="O178" t="s">
        <v>646</v>
      </c>
      <c r="P178" t="s">
        <v>434</v>
      </c>
      <c r="Q178" t="s">
        <v>215</v>
      </c>
      <c r="R178" t="s">
        <v>66</v>
      </c>
      <c r="S178" t="s">
        <v>96</v>
      </c>
      <c r="T178">
        <v>16321</v>
      </c>
      <c r="U178" t="s">
        <v>51</v>
      </c>
      <c r="V178">
        <v>2988</v>
      </c>
      <c r="W178">
        <v>2624</v>
      </c>
      <c r="X178" t="s">
        <v>111</v>
      </c>
      <c r="Y178" t="s">
        <v>245</v>
      </c>
      <c r="Z178" t="s">
        <v>435</v>
      </c>
      <c r="AA178" t="s">
        <v>1083</v>
      </c>
      <c r="AB178">
        <v>17674</v>
      </c>
      <c r="AC178">
        <v>10362</v>
      </c>
      <c r="AD178">
        <v>4351</v>
      </c>
      <c r="AE178">
        <v>1317</v>
      </c>
      <c r="AF178">
        <v>268</v>
      </c>
      <c r="AG178">
        <v>23</v>
      </c>
      <c r="AH178">
        <v>18029</v>
      </c>
      <c r="AI178">
        <v>174</v>
      </c>
      <c r="AJ178">
        <v>1286</v>
      </c>
      <c r="AK178">
        <v>3973</v>
      </c>
      <c r="AL178">
        <v>741</v>
      </c>
      <c r="AM178">
        <v>42</v>
      </c>
      <c r="AN178" t="s">
        <v>464</v>
      </c>
      <c r="AO178">
        <f>AVERAGE(Tabla2[[#This Row],[total_kills]:[rating]])</f>
        <v>8487.0526315789466</v>
      </c>
      <c r="AP178" t="str">
        <f>VLOOKUP(Tabla2[[#This Row],[KPI]],$AS$2:$AT$5,2,1)</f>
        <v>Superior</v>
      </c>
    </row>
    <row r="179" spans="1:42" x14ac:dyDescent="0.3">
      <c r="A179">
        <v>823</v>
      </c>
      <c r="B179" t="s">
        <v>2843</v>
      </c>
      <c r="C179" t="s">
        <v>2844</v>
      </c>
      <c r="D179">
        <v>32</v>
      </c>
      <c r="E179" t="s">
        <v>1250</v>
      </c>
      <c r="F179" t="s">
        <v>3514</v>
      </c>
      <c r="G179" t="s">
        <v>2845</v>
      </c>
      <c r="H179">
        <v>14478</v>
      </c>
      <c r="I179">
        <v>14866</v>
      </c>
      <c r="J179" t="s">
        <v>2846</v>
      </c>
      <c r="K179" t="s">
        <v>2250</v>
      </c>
      <c r="L179" t="s">
        <v>441</v>
      </c>
      <c r="M179">
        <v>837</v>
      </c>
      <c r="N179">
        <v>22049</v>
      </c>
      <c r="O179" t="s">
        <v>322</v>
      </c>
      <c r="P179" t="s">
        <v>235</v>
      </c>
      <c r="Q179" t="s">
        <v>225</v>
      </c>
      <c r="R179" t="s">
        <v>66</v>
      </c>
      <c r="S179" t="s">
        <v>66</v>
      </c>
      <c r="T179">
        <v>9958</v>
      </c>
      <c r="U179" t="s">
        <v>51</v>
      </c>
      <c r="V179">
        <v>1767</v>
      </c>
      <c r="W179">
        <v>2096</v>
      </c>
      <c r="X179" t="s">
        <v>47</v>
      </c>
      <c r="Y179" t="s">
        <v>1749</v>
      </c>
      <c r="Z179" t="s">
        <v>576</v>
      </c>
      <c r="AA179" t="s">
        <v>2429</v>
      </c>
      <c r="AB179">
        <v>12091</v>
      </c>
      <c r="AC179">
        <v>6527</v>
      </c>
      <c r="AD179">
        <v>2556</v>
      </c>
      <c r="AE179">
        <v>719</v>
      </c>
      <c r="AF179">
        <v>145</v>
      </c>
      <c r="AG179">
        <v>11</v>
      </c>
      <c r="AH179">
        <v>10700</v>
      </c>
      <c r="AI179">
        <v>151</v>
      </c>
      <c r="AJ179">
        <v>716</v>
      </c>
      <c r="AK179">
        <v>2739</v>
      </c>
      <c r="AL179">
        <v>158</v>
      </c>
      <c r="AM179">
        <v>21</v>
      </c>
      <c r="AN179" t="s">
        <v>472</v>
      </c>
      <c r="AO179">
        <f>AVERAGE(Tabla2[[#This Row],[total_kills]:[rating]])</f>
        <v>5399.2105263157891</v>
      </c>
      <c r="AP179" t="str">
        <f>VLOOKUP(Tabla2[[#This Row],[KPI]],$AS$2:$AT$5,2,1)</f>
        <v>Alto</v>
      </c>
    </row>
    <row r="180" spans="1:42" x14ac:dyDescent="0.3">
      <c r="A180">
        <v>10404</v>
      </c>
      <c r="B180" t="s">
        <v>3008</v>
      </c>
      <c r="C180" t="s">
        <v>3009</v>
      </c>
      <c r="D180">
        <v>26</v>
      </c>
      <c r="E180" t="s">
        <v>196</v>
      </c>
      <c r="F180" t="s">
        <v>3514</v>
      </c>
      <c r="G180" t="s">
        <v>3010</v>
      </c>
      <c r="H180">
        <v>11948</v>
      </c>
      <c r="I180">
        <v>12530</v>
      </c>
      <c r="J180" t="s">
        <v>3011</v>
      </c>
      <c r="K180">
        <v>74</v>
      </c>
      <c r="L180" t="s">
        <v>471</v>
      </c>
      <c r="M180">
        <v>708</v>
      </c>
      <c r="N180">
        <v>18612</v>
      </c>
      <c r="O180" t="s">
        <v>65</v>
      </c>
      <c r="P180" t="s">
        <v>166</v>
      </c>
      <c r="Q180" t="s">
        <v>225</v>
      </c>
      <c r="R180" t="s">
        <v>67</v>
      </c>
      <c r="S180" t="s">
        <v>96</v>
      </c>
      <c r="T180">
        <v>8219</v>
      </c>
      <c r="U180" t="s">
        <v>51</v>
      </c>
      <c r="V180">
        <v>1621</v>
      </c>
      <c r="W180">
        <v>1799</v>
      </c>
      <c r="X180" t="s">
        <v>1906</v>
      </c>
      <c r="Y180" t="s">
        <v>1570</v>
      </c>
      <c r="Z180" t="s">
        <v>576</v>
      </c>
      <c r="AA180" t="s">
        <v>247</v>
      </c>
      <c r="AB180">
        <v>10393</v>
      </c>
      <c r="AC180">
        <v>5367</v>
      </c>
      <c r="AD180">
        <v>2104</v>
      </c>
      <c r="AE180">
        <v>630</v>
      </c>
      <c r="AF180">
        <v>107</v>
      </c>
      <c r="AG180">
        <v>11</v>
      </c>
      <c r="AH180">
        <v>8413</v>
      </c>
      <c r="AI180">
        <v>103</v>
      </c>
      <c r="AJ180">
        <v>1128</v>
      </c>
      <c r="AK180">
        <v>2041</v>
      </c>
      <c r="AL180">
        <v>168</v>
      </c>
      <c r="AM180">
        <v>112</v>
      </c>
      <c r="AN180" t="s">
        <v>820</v>
      </c>
      <c r="AO180">
        <f>AVERAGE(Tabla2[[#This Row],[total_kills]:[rating]])</f>
        <v>4304.3999999999996</v>
      </c>
      <c r="AP180" t="str">
        <f>VLOOKUP(Tabla2[[#This Row],[KPI]],$AS$2:$AT$5,2,1)</f>
        <v>Medio</v>
      </c>
    </row>
    <row r="181" spans="1:42" x14ac:dyDescent="0.3">
      <c r="A181">
        <v>11485</v>
      </c>
      <c r="B181" t="s">
        <v>1500</v>
      </c>
      <c r="C181" t="s">
        <v>1501</v>
      </c>
      <c r="D181">
        <v>26</v>
      </c>
      <c r="E181" t="s">
        <v>299</v>
      </c>
      <c r="F181" t="s">
        <v>936</v>
      </c>
      <c r="G181" t="s">
        <v>1502</v>
      </c>
      <c r="H181">
        <v>17732</v>
      </c>
      <c r="I181">
        <v>16298</v>
      </c>
      <c r="J181" t="s">
        <v>1503</v>
      </c>
      <c r="K181" t="s">
        <v>1183</v>
      </c>
      <c r="L181" t="s">
        <v>589</v>
      </c>
      <c r="M181">
        <v>1004</v>
      </c>
      <c r="N181">
        <v>25565</v>
      </c>
      <c r="O181" t="s">
        <v>463</v>
      </c>
      <c r="P181" t="s">
        <v>166</v>
      </c>
      <c r="Q181" t="s">
        <v>65</v>
      </c>
      <c r="R181" t="s">
        <v>96</v>
      </c>
      <c r="S181" t="s">
        <v>66</v>
      </c>
      <c r="T181">
        <v>11968</v>
      </c>
      <c r="U181" t="s">
        <v>51</v>
      </c>
      <c r="V181">
        <v>2470</v>
      </c>
      <c r="W181">
        <v>2493</v>
      </c>
      <c r="X181" t="s">
        <v>285</v>
      </c>
      <c r="Y181" t="s">
        <v>285</v>
      </c>
      <c r="Z181" t="s">
        <v>99</v>
      </c>
      <c r="AA181" t="s">
        <v>783</v>
      </c>
      <c r="AB181">
        <v>13597</v>
      </c>
      <c r="AC181">
        <v>7608</v>
      </c>
      <c r="AD181">
        <v>3183</v>
      </c>
      <c r="AE181">
        <v>970</v>
      </c>
      <c r="AF181">
        <v>187</v>
      </c>
      <c r="AG181">
        <v>20</v>
      </c>
      <c r="AH181">
        <v>12729</v>
      </c>
      <c r="AI181">
        <v>369</v>
      </c>
      <c r="AJ181">
        <v>1400</v>
      </c>
      <c r="AK181">
        <v>2987</v>
      </c>
      <c r="AL181">
        <v>228</v>
      </c>
      <c r="AM181">
        <v>63</v>
      </c>
      <c r="AN181" t="s">
        <v>561</v>
      </c>
      <c r="AO181">
        <f>AVERAGE(Tabla2[[#This Row],[total_kills]:[rating]])</f>
        <v>6361.6315789473683</v>
      </c>
      <c r="AP181" t="str">
        <f>VLOOKUP(Tabla2[[#This Row],[KPI]],$AS$2:$AT$5,2,1)</f>
        <v>Alto</v>
      </c>
    </row>
    <row r="182" spans="1:42" x14ac:dyDescent="0.3">
      <c r="A182">
        <v>11217</v>
      </c>
      <c r="B182" t="s">
        <v>2731</v>
      </c>
      <c r="C182" t="s">
        <v>2732</v>
      </c>
      <c r="D182">
        <v>24</v>
      </c>
      <c r="E182" t="s">
        <v>467</v>
      </c>
      <c r="F182" t="s">
        <v>1888</v>
      </c>
      <c r="G182" t="s">
        <v>2733</v>
      </c>
      <c r="H182">
        <v>24704</v>
      </c>
      <c r="I182">
        <v>24951</v>
      </c>
      <c r="J182" t="s">
        <v>1503</v>
      </c>
      <c r="K182" t="s">
        <v>624</v>
      </c>
      <c r="L182" t="s">
        <v>282</v>
      </c>
      <c r="M182">
        <v>1438</v>
      </c>
      <c r="N182">
        <v>37654</v>
      </c>
      <c r="O182" t="s">
        <v>322</v>
      </c>
      <c r="P182" t="s">
        <v>202</v>
      </c>
      <c r="Q182" t="s">
        <v>322</v>
      </c>
      <c r="R182" t="s">
        <v>66</v>
      </c>
      <c r="S182" t="s">
        <v>66</v>
      </c>
      <c r="T182">
        <v>17050</v>
      </c>
      <c r="U182" t="s">
        <v>51</v>
      </c>
      <c r="V182">
        <v>3809</v>
      </c>
      <c r="W182">
        <v>3839</v>
      </c>
      <c r="X182" t="s">
        <v>285</v>
      </c>
      <c r="Y182">
        <v>1</v>
      </c>
      <c r="Z182" t="s">
        <v>217</v>
      </c>
      <c r="AA182" t="s">
        <v>2029</v>
      </c>
      <c r="AB182">
        <v>20604</v>
      </c>
      <c r="AC182">
        <v>11198</v>
      </c>
      <c r="AD182">
        <v>4335</v>
      </c>
      <c r="AE182">
        <v>1259</v>
      </c>
      <c r="AF182">
        <v>231</v>
      </c>
      <c r="AG182">
        <v>27</v>
      </c>
      <c r="AH182">
        <v>14660</v>
      </c>
      <c r="AI182">
        <v>3489</v>
      </c>
      <c r="AJ182">
        <v>2456</v>
      </c>
      <c r="AK182">
        <v>3602</v>
      </c>
      <c r="AL182">
        <v>434</v>
      </c>
      <c r="AM182">
        <v>115</v>
      </c>
      <c r="AN182" t="s">
        <v>412</v>
      </c>
      <c r="AO182">
        <f>AVERAGE(Tabla2[[#This Row],[total_kills]:[rating]])</f>
        <v>8792.7999999999993</v>
      </c>
      <c r="AP182" t="str">
        <f>VLOOKUP(Tabla2[[#This Row],[KPI]],$AS$2:$AT$5,2,1)</f>
        <v>Superior</v>
      </c>
    </row>
    <row r="183" spans="1:42" x14ac:dyDescent="0.3">
      <c r="A183">
        <v>16207</v>
      </c>
      <c r="B183" t="s">
        <v>207</v>
      </c>
      <c r="C183" t="s">
        <v>208</v>
      </c>
      <c r="D183">
        <v>22</v>
      </c>
      <c r="E183" t="s">
        <v>209</v>
      </c>
      <c r="F183" t="s">
        <v>210</v>
      </c>
      <c r="G183" t="s">
        <v>211</v>
      </c>
      <c r="H183">
        <v>8149</v>
      </c>
      <c r="I183">
        <v>6556</v>
      </c>
      <c r="J183" t="s">
        <v>212</v>
      </c>
      <c r="K183" t="s">
        <v>213</v>
      </c>
      <c r="L183" t="s">
        <v>214</v>
      </c>
      <c r="M183">
        <v>391</v>
      </c>
      <c r="N183">
        <v>10366</v>
      </c>
      <c r="O183" t="s">
        <v>109</v>
      </c>
      <c r="P183" t="s">
        <v>50</v>
      </c>
      <c r="Q183" t="s">
        <v>215</v>
      </c>
      <c r="R183" t="s">
        <v>96</v>
      </c>
      <c r="S183" t="s">
        <v>50</v>
      </c>
      <c r="T183">
        <v>5400</v>
      </c>
      <c r="U183" t="s">
        <v>51</v>
      </c>
      <c r="V183">
        <v>1384</v>
      </c>
      <c r="W183">
        <v>921</v>
      </c>
      <c r="X183" t="s">
        <v>216</v>
      </c>
      <c r="Y183" t="s">
        <v>127</v>
      </c>
      <c r="Z183" t="s">
        <v>217</v>
      </c>
      <c r="AA183" t="s">
        <v>193</v>
      </c>
      <c r="AB183">
        <v>4966</v>
      </c>
      <c r="AC183">
        <v>3335</v>
      </c>
      <c r="AD183">
        <v>1499</v>
      </c>
      <c r="AE183">
        <v>458</v>
      </c>
      <c r="AF183">
        <v>98</v>
      </c>
      <c r="AG183">
        <v>10</v>
      </c>
      <c r="AH183">
        <v>3124</v>
      </c>
      <c r="AI183">
        <v>3177</v>
      </c>
      <c r="AJ183">
        <v>318</v>
      </c>
      <c r="AK183">
        <v>1435</v>
      </c>
      <c r="AL183">
        <v>64</v>
      </c>
      <c r="AM183">
        <v>66</v>
      </c>
      <c r="AN183" t="s">
        <v>147</v>
      </c>
      <c r="AO183">
        <f>AVERAGE(Tabla2[[#This Row],[total_kills]:[rating]])</f>
        <v>2721.9473684210525</v>
      </c>
      <c r="AP183" t="str">
        <f>VLOOKUP(Tabla2[[#This Row],[KPI]],$AS$2:$AT$5,2,1)</f>
        <v>Bajo</v>
      </c>
    </row>
    <row r="184" spans="1:42" x14ac:dyDescent="0.3">
      <c r="A184">
        <v>8138</v>
      </c>
      <c r="B184" t="s">
        <v>1606</v>
      </c>
      <c r="C184" t="s">
        <v>1607</v>
      </c>
      <c r="D184">
        <v>27</v>
      </c>
      <c r="E184" t="s">
        <v>792</v>
      </c>
      <c r="F184" t="s">
        <v>3514</v>
      </c>
      <c r="G184" t="s">
        <v>1608</v>
      </c>
      <c r="H184">
        <v>14255</v>
      </c>
      <c r="I184">
        <v>13246</v>
      </c>
      <c r="J184" t="s">
        <v>212</v>
      </c>
      <c r="K184" t="s">
        <v>1195</v>
      </c>
      <c r="L184" t="s">
        <v>1609</v>
      </c>
      <c r="M184">
        <v>774</v>
      </c>
      <c r="N184">
        <v>20539</v>
      </c>
      <c r="O184" t="s">
        <v>463</v>
      </c>
      <c r="P184" t="s">
        <v>235</v>
      </c>
      <c r="Q184" t="s">
        <v>65</v>
      </c>
      <c r="R184" t="s">
        <v>135</v>
      </c>
      <c r="S184" t="s">
        <v>66</v>
      </c>
      <c r="T184">
        <v>9655</v>
      </c>
      <c r="U184" t="s">
        <v>51</v>
      </c>
      <c r="V184">
        <v>1928</v>
      </c>
      <c r="W184">
        <v>1923</v>
      </c>
      <c r="X184">
        <v>1</v>
      </c>
      <c r="Y184" t="s">
        <v>245</v>
      </c>
      <c r="Z184" t="s">
        <v>583</v>
      </c>
      <c r="AA184" t="s">
        <v>933</v>
      </c>
      <c r="AB184">
        <v>10884</v>
      </c>
      <c r="AC184">
        <v>6129</v>
      </c>
      <c r="AD184">
        <v>2611</v>
      </c>
      <c r="AE184">
        <v>772</v>
      </c>
      <c r="AF184">
        <v>127</v>
      </c>
      <c r="AG184">
        <v>16</v>
      </c>
      <c r="AH184">
        <v>9318</v>
      </c>
      <c r="AI184">
        <v>739</v>
      </c>
      <c r="AJ184">
        <v>1122</v>
      </c>
      <c r="AK184">
        <v>2278</v>
      </c>
      <c r="AL184">
        <v>310</v>
      </c>
      <c r="AM184">
        <v>507</v>
      </c>
      <c r="AN184" t="s">
        <v>412</v>
      </c>
      <c r="AO184">
        <f>AVERAGE(Tabla2[[#This Row],[total_kills]:[rating]])</f>
        <v>4856.7</v>
      </c>
      <c r="AP184" t="str">
        <f>VLOOKUP(Tabla2[[#This Row],[KPI]],$AS$2:$AT$5,2,1)</f>
        <v>Alto</v>
      </c>
    </row>
    <row r="185" spans="1:42" x14ac:dyDescent="0.3">
      <c r="A185">
        <v>2826</v>
      </c>
      <c r="B185" t="s">
        <v>2213</v>
      </c>
      <c r="C185" t="s">
        <v>2214</v>
      </c>
      <c r="D185">
        <v>28</v>
      </c>
      <c r="E185" t="s">
        <v>327</v>
      </c>
      <c r="F185" t="s">
        <v>3514</v>
      </c>
      <c r="G185" t="s">
        <v>2215</v>
      </c>
      <c r="H185">
        <v>34615</v>
      </c>
      <c r="I185">
        <v>34010</v>
      </c>
      <c r="J185" t="s">
        <v>212</v>
      </c>
      <c r="K185" t="s">
        <v>800</v>
      </c>
      <c r="L185" t="s">
        <v>575</v>
      </c>
      <c r="M185">
        <v>1871</v>
      </c>
      <c r="N185">
        <v>49905</v>
      </c>
      <c r="O185" t="s">
        <v>463</v>
      </c>
      <c r="P185" t="s">
        <v>48</v>
      </c>
      <c r="Q185" t="s">
        <v>167</v>
      </c>
      <c r="R185" t="s">
        <v>66</v>
      </c>
      <c r="S185" t="s">
        <v>135</v>
      </c>
      <c r="T185">
        <v>23430</v>
      </c>
      <c r="U185" t="s">
        <v>51</v>
      </c>
      <c r="V185">
        <v>6675</v>
      </c>
      <c r="W185">
        <v>6246</v>
      </c>
      <c r="X185" t="s">
        <v>464</v>
      </c>
      <c r="Y185" t="s">
        <v>98</v>
      </c>
      <c r="Z185" t="s">
        <v>1165</v>
      </c>
      <c r="AA185" t="s">
        <v>138</v>
      </c>
      <c r="AB185">
        <v>26475</v>
      </c>
      <c r="AC185">
        <v>14883</v>
      </c>
      <c r="AD185">
        <v>6356</v>
      </c>
      <c r="AE185">
        <v>1796</v>
      </c>
      <c r="AF185">
        <v>363</v>
      </c>
      <c r="AG185">
        <v>32</v>
      </c>
      <c r="AH185">
        <v>12491</v>
      </c>
      <c r="AI185">
        <v>14033</v>
      </c>
      <c r="AJ185">
        <v>1414</v>
      </c>
      <c r="AK185">
        <v>6010</v>
      </c>
      <c r="AL185">
        <v>598</v>
      </c>
      <c r="AM185">
        <v>131</v>
      </c>
      <c r="AN185">
        <v>1</v>
      </c>
      <c r="AO185">
        <f>AVERAGE(Tabla2[[#This Row],[total_kills]:[rating]])</f>
        <v>12066.75</v>
      </c>
      <c r="AP185" t="str">
        <f>VLOOKUP(Tabla2[[#This Row],[KPI]],$AS$2:$AT$5,2,1)</f>
        <v>Superior</v>
      </c>
    </row>
    <row r="186" spans="1:42" x14ac:dyDescent="0.3">
      <c r="A186">
        <v>2161</v>
      </c>
      <c r="B186" t="s">
        <v>2372</v>
      </c>
      <c r="C186" t="s">
        <v>2373</v>
      </c>
      <c r="D186">
        <v>29</v>
      </c>
      <c r="E186" t="s">
        <v>1012</v>
      </c>
      <c r="F186" t="s">
        <v>2374</v>
      </c>
      <c r="G186" t="s">
        <v>2374</v>
      </c>
      <c r="H186">
        <v>13891</v>
      </c>
      <c r="I186">
        <v>13644</v>
      </c>
      <c r="J186" t="s">
        <v>212</v>
      </c>
      <c r="K186" t="s">
        <v>582</v>
      </c>
      <c r="L186" t="s">
        <v>164</v>
      </c>
      <c r="M186">
        <v>789</v>
      </c>
      <c r="N186">
        <v>20642</v>
      </c>
      <c r="O186" t="s">
        <v>225</v>
      </c>
      <c r="P186" t="s">
        <v>202</v>
      </c>
      <c r="Q186" t="s">
        <v>322</v>
      </c>
      <c r="R186" t="s">
        <v>96</v>
      </c>
      <c r="S186" t="s">
        <v>96</v>
      </c>
      <c r="T186">
        <v>9484</v>
      </c>
      <c r="U186" t="s">
        <v>51</v>
      </c>
      <c r="V186">
        <v>2545</v>
      </c>
      <c r="W186">
        <v>2321</v>
      </c>
      <c r="X186" t="s">
        <v>561</v>
      </c>
      <c r="Y186" t="s">
        <v>561</v>
      </c>
      <c r="Z186" t="s">
        <v>473</v>
      </c>
      <c r="AA186" t="s">
        <v>719</v>
      </c>
      <c r="AB186">
        <v>11158</v>
      </c>
      <c r="AC186">
        <v>6102</v>
      </c>
      <c r="AD186">
        <v>2510</v>
      </c>
      <c r="AE186">
        <v>728</v>
      </c>
      <c r="AF186">
        <v>135</v>
      </c>
      <c r="AG186">
        <v>9</v>
      </c>
      <c r="AH186">
        <v>5726</v>
      </c>
      <c r="AI186">
        <v>5066</v>
      </c>
      <c r="AJ186">
        <v>724</v>
      </c>
      <c r="AK186">
        <v>2223</v>
      </c>
      <c r="AL186">
        <v>161</v>
      </c>
      <c r="AM186">
        <v>33</v>
      </c>
      <c r="AN186" t="s">
        <v>590</v>
      </c>
      <c r="AO186">
        <f>AVERAGE(Tabla2[[#This Row],[total_kills]:[rating]])</f>
        <v>5152.1578947368425</v>
      </c>
      <c r="AP186" t="str">
        <f>VLOOKUP(Tabla2[[#This Row],[KPI]],$AS$2:$AT$5,2,1)</f>
        <v>Alto</v>
      </c>
    </row>
    <row r="187" spans="1:42" x14ac:dyDescent="0.3">
      <c r="A187">
        <v>11498</v>
      </c>
      <c r="B187" t="s">
        <v>2645</v>
      </c>
      <c r="C187" t="s">
        <v>2646</v>
      </c>
      <c r="D187">
        <v>25</v>
      </c>
      <c r="E187" t="s">
        <v>75</v>
      </c>
      <c r="F187" t="s">
        <v>344</v>
      </c>
      <c r="G187" t="s">
        <v>2647</v>
      </c>
      <c r="H187">
        <v>24785</v>
      </c>
      <c r="I187">
        <v>24853</v>
      </c>
      <c r="J187" t="s">
        <v>212</v>
      </c>
      <c r="K187" t="s">
        <v>1042</v>
      </c>
      <c r="L187" t="s">
        <v>1004</v>
      </c>
      <c r="M187">
        <v>1407</v>
      </c>
      <c r="N187">
        <v>37420</v>
      </c>
      <c r="O187" t="s">
        <v>322</v>
      </c>
      <c r="P187" t="s">
        <v>553</v>
      </c>
      <c r="Q187" t="s">
        <v>322</v>
      </c>
      <c r="R187" t="s">
        <v>67</v>
      </c>
      <c r="S187" t="s">
        <v>50</v>
      </c>
      <c r="T187">
        <v>17096</v>
      </c>
      <c r="U187" t="s">
        <v>51</v>
      </c>
      <c r="V187">
        <v>3263</v>
      </c>
      <c r="W187">
        <v>3391</v>
      </c>
      <c r="X187" t="s">
        <v>472</v>
      </c>
      <c r="Y187" t="s">
        <v>820</v>
      </c>
      <c r="Z187" t="s">
        <v>455</v>
      </c>
      <c r="AA187" t="s">
        <v>247</v>
      </c>
      <c r="AB187">
        <v>20324</v>
      </c>
      <c r="AC187">
        <v>11254</v>
      </c>
      <c r="AD187">
        <v>4308</v>
      </c>
      <c r="AE187">
        <v>1246</v>
      </c>
      <c r="AF187">
        <v>263</v>
      </c>
      <c r="AG187">
        <v>25</v>
      </c>
      <c r="AH187">
        <v>17403</v>
      </c>
      <c r="AI187">
        <v>1015</v>
      </c>
      <c r="AJ187">
        <v>1871</v>
      </c>
      <c r="AK187">
        <v>3905</v>
      </c>
      <c r="AL187">
        <v>588</v>
      </c>
      <c r="AM187">
        <v>55</v>
      </c>
      <c r="AN187" t="s">
        <v>304</v>
      </c>
      <c r="AO187">
        <f>AVERAGE(Tabla2[[#This Row],[total_kills]:[rating]])</f>
        <v>9182.7368421052633</v>
      </c>
      <c r="AP187" t="str">
        <f>VLOOKUP(Tabla2[[#This Row],[KPI]],$AS$2:$AT$5,2,1)</f>
        <v>Superior</v>
      </c>
    </row>
    <row r="188" spans="1:42" x14ac:dyDescent="0.3">
      <c r="A188">
        <v>1331</v>
      </c>
      <c r="B188" t="s">
        <v>3214</v>
      </c>
      <c r="C188" t="s">
        <v>3215</v>
      </c>
      <c r="D188">
        <v>35</v>
      </c>
      <c r="E188" t="s">
        <v>42</v>
      </c>
      <c r="F188" t="s">
        <v>3514</v>
      </c>
      <c r="G188" t="s">
        <v>3216</v>
      </c>
      <c r="H188">
        <v>8326</v>
      </c>
      <c r="I188">
        <v>9118</v>
      </c>
      <c r="J188" t="s">
        <v>212</v>
      </c>
      <c r="K188" t="s">
        <v>3068</v>
      </c>
      <c r="L188" t="s">
        <v>93</v>
      </c>
      <c r="M188">
        <v>502</v>
      </c>
      <c r="N188">
        <v>13113</v>
      </c>
      <c r="O188" t="s">
        <v>215</v>
      </c>
      <c r="P188" t="s">
        <v>202</v>
      </c>
      <c r="Q188" t="s">
        <v>905</v>
      </c>
      <c r="R188" t="s">
        <v>96</v>
      </c>
      <c r="S188" t="s">
        <v>66</v>
      </c>
      <c r="T188">
        <v>5742</v>
      </c>
      <c r="U188" t="s">
        <v>51</v>
      </c>
      <c r="V188">
        <v>1313</v>
      </c>
      <c r="W188">
        <v>1355</v>
      </c>
      <c r="X188" t="s">
        <v>503</v>
      </c>
      <c r="Y188">
        <v>1</v>
      </c>
      <c r="Z188" t="s">
        <v>3217</v>
      </c>
      <c r="AA188" t="s">
        <v>560</v>
      </c>
      <c r="AB188">
        <v>7371</v>
      </c>
      <c r="AC188">
        <v>3738</v>
      </c>
      <c r="AD188">
        <v>1512</v>
      </c>
      <c r="AE188">
        <v>416</v>
      </c>
      <c r="AF188">
        <v>69</v>
      </c>
      <c r="AG188">
        <v>7</v>
      </c>
      <c r="AH188">
        <v>3410</v>
      </c>
      <c r="AI188">
        <v>2727</v>
      </c>
      <c r="AJ188">
        <v>249</v>
      </c>
      <c r="AK188">
        <v>1839</v>
      </c>
      <c r="AL188">
        <v>112</v>
      </c>
      <c r="AM188">
        <v>10</v>
      </c>
      <c r="AN188" t="s">
        <v>1314</v>
      </c>
      <c r="AO188">
        <f>AVERAGE(Tabla2[[#This Row],[total_kills]:[rating]])</f>
        <v>3046.5</v>
      </c>
      <c r="AP188" t="str">
        <f>VLOOKUP(Tabla2[[#This Row],[KPI]],$AS$2:$AT$5,2,1)</f>
        <v>Bajo</v>
      </c>
    </row>
    <row r="189" spans="1:42" x14ac:dyDescent="0.3">
      <c r="A189">
        <v>7131</v>
      </c>
      <c r="B189" t="s">
        <v>239</v>
      </c>
      <c r="C189" t="s">
        <v>240</v>
      </c>
      <c r="D189">
        <v>26</v>
      </c>
      <c r="E189" t="s">
        <v>241</v>
      </c>
      <c r="F189" t="s">
        <v>210</v>
      </c>
      <c r="G189" t="s">
        <v>242</v>
      </c>
      <c r="H189">
        <v>20591</v>
      </c>
      <c r="I189">
        <v>16796</v>
      </c>
      <c r="J189" t="s">
        <v>243</v>
      </c>
      <c r="K189">
        <v>83</v>
      </c>
      <c r="L189" t="s">
        <v>244</v>
      </c>
      <c r="M189">
        <v>1033</v>
      </c>
      <c r="N189">
        <v>26924</v>
      </c>
      <c r="O189" t="s">
        <v>234</v>
      </c>
      <c r="P189" t="s">
        <v>235</v>
      </c>
      <c r="Q189" t="s">
        <v>144</v>
      </c>
      <c r="R189" t="s">
        <v>50</v>
      </c>
      <c r="S189" t="s">
        <v>48</v>
      </c>
      <c r="T189">
        <v>13454</v>
      </c>
      <c r="U189" t="s">
        <v>51</v>
      </c>
      <c r="V189">
        <v>2330</v>
      </c>
      <c r="W189">
        <v>1934</v>
      </c>
      <c r="X189" t="s">
        <v>147</v>
      </c>
      <c r="Y189" t="s">
        <v>245</v>
      </c>
      <c r="Z189" t="s">
        <v>246</v>
      </c>
      <c r="AA189" t="s">
        <v>247</v>
      </c>
      <c r="AB189">
        <v>13470</v>
      </c>
      <c r="AC189">
        <v>8251</v>
      </c>
      <c r="AD189">
        <v>3628</v>
      </c>
      <c r="AE189">
        <v>1255</v>
      </c>
      <c r="AF189">
        <v>281</v>
      </c>
      <c r="AG189">
        <v>39</v>
      </c>
      <c r="AH189">
        <v>15155</v>
      </c>
      <c r="AI189">
        <v>728</v>
      </c>
      <c r="AJ189">
        <v>1169</v>
      </c>
      <c r="AK189">
        <v>3259</v>
      </c>
      <c r="AL189">
        <v>305</v>
      </c>
      <c r="AM189">
        <v>45</v>
      </c>
      <c r="AN189" t="s">
        <v>84</v>
      </c>
      <c r="AO189">
        <f>AVERAGE(Tabla2[[#This Row],[total_kills]:[rating]])</f>
        <v>6536.5</v>
      </c>
      <c r="AP189" t="str">
        <f>VLOOKUP(Tabla2[[#This Row],[KPI]],$AS$2:$AT$5,2,1)</f>
        <v>Alto</v>
      </c>
    </row>
    <row r="190" spans="1:42" x14ac:dyDescent="0.3">
      <c r="A190">
        <v>7508</v>
      </c>
      <c r="B190" t="s">
        <v>2985</v>
      </c>
      <c r="C190" t="s">
        <v>2986</v>
      </c>
      <c r="D190">
        <v>26</v>
      </c>
      <c r="E190" t="s">
        <v>708</v>
      </c>
      <c r="F190" t="s">
        <v>3514</v>
      </c>
      <c r="G190" t="s">
        <v>2987</v>
      </c>
      <c r="H190">
        <v>7438</v>
      </c>
      <c r="I190">
        <v>7992</v>
      </c>
      <c r="J190" t="s">
        <v>243</v>
      </c>
      <c r="K190" t="s">
        <v>1089</v>
      </c>
      <c r="L190" t="s">
        <v>331</v>
      </c>
      <c r="M190">
        <v>433</v>
      </c>
      <c r="N190">
        <v>11346</v>
      </c>
      <c r="O190" t="s">
        <v>322</v>
      </c>
      <c r="P190" t="s">
        <v>48</v>
      </c>
      <c r="Q190" t="s">
        <v>905</v>
      </c>
      <c r="R190" t="s">
        <v>96</v>
      </c>
      <c r="S190" t="s">
        <v>135</v>
      </c>
      <c r="T190">
        <v>4993</v>
      </c>
      <c r="U190" t="s">
        <v>51</v>
      </c>
      <c r="V190">
        <v>1437</v>
      </c>
      <c r="W190">
        <v>1652</v>
      </c>
      <c r="X190" t="s">
        <v>2324</v>
      </c>
      <c r="Y190" t="s">
        <v>590</v>
      </c>
      <c r="Z190" t="s">
        <v>54</v>
      </c>
      <c r="AA190" t="s">
        <v>671</v>
      </c>
      <c r="AB190">
        <v>6353</v>
      </c>
      <c r="AC190">
        <v>3205</v>
      </c>
      <c r="AD190">
        <v>1269</v>
      </c>
      <c r="AE190">
        <v>403</v>
      </c>
      <c r="AF190">
        <v>102</v>
      </c>
      <c r="AG190">
        <v>14</v>
      </c>
      <c r="AH190">
        <v>3032</v>
      </c>
      <c r="AI190">
        <v>2165</v>
      </c>
      <c r="AJ190">
        <v>531</v>
      </c>
      <c r="AK190">
        <v>1601</v>
      </c>
      <c r="AL190">
        <v>92</v>
      </c>
      <c r="AM190">
        <v>27</v>
      </c>
      <c r="AN190" t="s">
        <v>820</v>
      </c>
      <c r="AO190">
        <f>AVERAGE(Tabla2[[#This Row],[total_kills]:[rating]])</f>
        <v>2846.5789473684213</v>
      </c>
      <c r="AP190" t="str">
        <f>VLOOKUP(Tabla2[[#This Row],[KPI]],$AS$2:$AT$5,2,1)</f>
        <v>Bajo</v>
      </c>
    </row>
    <row r="191" spans="1:42" x14ac:dyDescent="0.3">
      <c r="A191">
        <v>7156</v>
      </c>
      <c r="B191" t="s">
        <v>3223</v>
      </c>
      <c r="C191" t="s">
        <v>3224</v>
      </c>
      <c r="D191">
        <v>27</v>
      </c>
      <c r="E191" t="s">
        <v>196</v>
      </c>
      <c r="F191" t="s">
        <v>338</v>
      </c>
      <c r="G191" t="s">
        <v>3225</v>
      </c>
      <c r="H191">
        <v>28946</v>
      </c>
      <c r="I191">
        <v>32199</v>
      </c>
      <c r="J191" t="s">
        <v>3226</v>
      </c>
      <c r="K191" t="s">
        <v>1834</v>
      </c>
      <c r="L191" t="s">
        <v>331</v>
      </c>
      <c r="M191">
        <v>1718</v>
      </c>
      <c r="N191">
        <v>44890</v>
      </c>
      <c r="O191" t="s">
        <v>65</v>
      </c>
      <c r="P191" t="s">
        <v>166</v>
      </c>
      <c r="Q191" t="s">
        <v>311</v>
      </c>
      <c r="R191" t="s">
        <v>67</v>
      </c>
      <c r="S191" t="s">
        <v>66</v>
      </c>
      <c r="T191">
        <v>19814</v>
      </c>
      <c r="U191" t="s">
        <v>51</v>
      </c>
      <c r="V191">
        <v>5642</v>
      </c>
      <c r="W191">
        <v>6315</v>
      </c>
      <c r="X191" t="s">
        <v>1551</v>
      </c>
      <c r="Y191" t="s">
        <v>590</v>
      </c>
      <c r="Z191" t="s">
        <v>347</v>
      </c>
      <c r="AA191" t="s">
        <v>805</v>
      </c>
      <c r="AB191">
        <v>25076</v>
      </c>
      <c r="AC191">
        <v>12913</v>
      </c>
      <c r="AD191">
        <v>5047</v>
      </c>
      <c r="AE191">
        <v>1526</v>
      </c>
      <c r="AF191">
        <v>304</v>
      </c>
      <c r="AG191">
        <v>24</v>
      </c>
      <c r="AH191">
        <v>17704</v>
      </c>
      <c r="AI191">
        <v>4449</v>
      </c>
      <c r="AJ191">
        <v>2114</v>
      </c>
      <c r="AK191">
        <v>4168</v>
      </c>
      <c r="AL191">
        <v>438</v>
      </c>
      <c r="AM191">
        <v>96</v>
      </c>
      <c r="AN191" t="s">
        <v>1314</v>
      </c>
      <c r="AO191">
        <f>AVERAGE(Tabla2[[#This Row],[total_kills]:[rating]])</f>
        <v>11230.684210526315</v>
      </c>
      <c r="AP191" t="str">
        <f>VLOOKUP(Tabla2[[#This Row],[KPI]],$AS$2:$AT$5,2,1)</f>
        <v>Superior</v>
      </c>
    </row>
    <row r="192" spans="1:42" x14ac:dyDescent="0.3">
      <c r="A192">
        <v>16546</v>
      </c>
      <c r="B192" t="s">
        <v>823</v>
      </c>
      <c r="C192" t="s">
        <v>824</v>
      </c>
      <c r="D192">
        <v>22</v>
      </c>
      <c r="E192" t="s">
        <v>459</v>
      </c>
      <c r="F192" t="s">
        <v>825</v>
      </c>
      <c r="G192" t="s">
        <v>826</v>
      </c>
      <c r="H192">
        <v>13098</v>
      </c>
      <c r="I192">
        <v>11487</v>
      </c>
      <c r="J192" t="s">
        <v>827</v>
      </c>
      <c r="K192" t="s">
        <v>738</v>
      </c>
      <c r="L192" t="s">
        <v>375</v>
      </c>
      <c r="M192">
        <v>681</v>
      </c>
      <c r="N192">
        <v>17699</v>
      </c>
      <c r="O192" t="s">
        <v>283</v>
      </c>
      <c r="P192" t="s">
        <v>235</v>
      </c>
      <c r="Q192" t="s">
        <v>276</v>
      </c>
      <c r="R192" t="s">
        <v>50</v>
      </c>
      <c r="S192" t="s">
        <v>67</v>
      </c>
      <c r="T192">
        <v>8814</v>
      </c>
      <c r="U192" t="s">
        <v>51</v>
      </c>
      <c r="V192">
        <v>1518</v>
      </c>
      <c r="W192">
        <v>1332</v>
      </c>
      <c r="X192" t="s">
        <v>111</v>
      </c>
      <c r="Y192" t="s">
        <v>503</v>
      </c>
      <c r="Z192" t="s">
        <v>125</v>
      </c>
      <c r="AA192" t="s">
        <v>828</v>
      </c>
      <c r="AB192">
        <v>8885</v>
      </c>
      <c r="AC192">
        <v>5575</v>
      </c>
      <c r="AD192">
        <v>2360</v>
      </c>
      <c r="AE192">
        <v>727</v>
      </c>
      <c r="AF192">
        <v>138</v>
      </c>
      <c r="AG192">
        <v>14</v>
      </c>
      <c r="AH192">
        <v>7804</v>
      </c>
      <c r="AI192">
        <v>1969</v>
      </c>
      <c r="AJ192">
        <v>826</v>
      </c>
      <c r="AK192">
        <v>2157</v>
      </c>
      <c r="AL192">
        <v>221</v>
      </c>
      <c r="AM192">
        <v>185</v>
      </c>
      <c r="AN192" t="s">
        <v>111</v>
      </c>
      <c r="AO192">
        <f>AVERAGE(Tabla2[[#This Row],[total_kills]:[rating]])</f>
        <v>4499.4736842105267</v>
      </c>
      <c r="AP192" t="str">
        <f>VLOOKUP(Tabla2[[#This Row],[KPI]],$AS$2:$AT$5,2,1)</f>
        <v>Medio</v>
      </c>
    </row>
    <row r="193" spans="1:42" x14ac:dyDescent="0.3">
      <c r="A193">
        <v>12317</v>
      </c>
      <c r="B193" t="s">
        <v>1587</v>
      </c>
      <c r="C193" t="s">
        <v>1588</v>
      </c>
      <c r="D193">
        <v>21</v>
      </c>
      <c r="E193" t="s">
        <v>187</v>
      </c>
      <c r="F193" t="s">
        <v>1589</v>
      </c>
      <c r="G193" t="s">
        <v>1590</v>
      </c>
      <c r="H193">
        <v>10884</v>
      </c>
      <c r="I193">
        <v>10448</v>
      </c>
      <c r="J193" t="s">
        <v>827</v>
      </c>
      <c r="K193" t="s">
        <v>1130</v>
      </c>
      <c r="L193" t="s">
        <v>275</v>
      </c>
      <c r="M193">
        <v>567</v>
      </c>
      <c r="N193">
        <v>14903</v>
      </c>
      <c r="O193" t="s">
        <v>495</v>
      </c>
      <c r="P193" t="s">
        <v>202</v>
      </c>
      <c r="Q193" t="s">
        <v>905</v>
      </c>
      <c r="R193" t="s">
        <v>96</v>
      </c>
      <c r="S193" t="s">
        <v>50</v>
      </c>
      <c r="T193">
        <v>7267</v>
      </c>
      <c r="U193" t="s">
        <v>51</v>
      </c>
      <c r="V193">
        <v>1546</v>
      </c>
      <c r="W193">
        <v>1485</v>
      </c>
      <c r="X193" t="s">
        <v>407</v>
      </c>
      <c r="Y193" t="s">
        <v>449</v>
      </c>
      <c r="Z193" t="s">
        <v>705</v>
      </c>
      <c r="AA193" t="s">
        <v>659</v>
      </c>
      <c r="AB193">
        <v>7636</v>
      </c>
      <c r="AC193">
        <v>4546</v>
      </c>
      <c r="AD193">
        <v>1977</v>
      </c>
      <c r="AE193">
        <v>602</v>
      </c>
      <c r="AF193">
        <v>132</v>
      </c>
      <c r="AG193">
        <v>10</v>
      </c>
      <c r="AH193">
        <v>6725</v>
      </c>
      <c r="AI193">
        <v>1731</v>
      </c>
      <c r="AJ193">
        <v>464</v>
      </c>
      <c r="AK193">
        <v>1886</v>
      </c>
      <c r="AL193">
        <v>91</v>
      </c>
      <c r="AM193">
        <v>23</v>
      </c>
      <c r="AN193" t="s">
        <v>277</v>
      </c>
      <c r="AO193">
        <f>AVERAGE(Tabla2[[#This Row],[total_kills]:[rating]])</f>
        <v>3838.0526315789475</v>
      </c>
      <c r="AP193" t="str">
        <f>VLOOKUP(Tabla2[[#This Row],[KPI]],$AS$2:$AT$5,2,1)</f>
        <v>Medio</v>
      </c>
    </row>
    <row r="194" spans="1:42" x14ac:dyDescent="0.3">
      <c r="A194">
        <v>14954</v>
      </c>
      <c r="B194" t="s">
        <v>2340</v>
      </c>
      <c r="C194" t="s">
        <v>2341</v>
      </c>
      <c r="D194">
        <v>21</v>
      </c>
      <c r="E194" t="s">
        <v>299</v>
      </c>
      <c r="F194" t="s">
        <v>3514</v>
      </c>
      <c r="G194" t="s">
        <v>2342</v>
      </c>
      <c r="H194">
        <v>7854</v>
      </c>
      <c r="I194">
        <v>7727</v>
      </c>
      <c r="J194" t="s">
        <v>827</v>
      </c>
      <c r="K194" t="s">
        <v>624</v>
      </c>
      <c r="L194" t="s">
        <v>275</v>
      </c>
      <c r="M194">
        <v>437</v>
      </c>
      <c r="N194">
        <v>11368</v>
      </c>
      <c r="O194" t="s">
        <v>463</v>
      </c>
      <c r="P194" t="s">
        <v>202</v>
      </c>
      <c r="Q194" t="s">
        <v>167</v>
      </c>
      <c r="R194" t="s">
        <v>50</v>
      </c>
      <c r="S194" t="s">
        <v>67</v>
      </c>
      <c r="T194">
        <v>5389</v>
      </c>
      <c r="U194" t="s">
        <v>51</v>
      </c>
      <c r="V194">
        <v>837</v>
      </c>
      <c r="W194">
        <v>829</v>
      </c>
      <c r="X194" t="s">
        <v>255</v>
      </c>
      <c r="Y194" t="s">
        <v>1749</v>
      </c>
      <c r="Z194" t="s">
        <v>821</v>
      </c>
      <c r="AA194" t="s">
        <v>1443</v>
      </c>
      <c r="AB194">
        <v>5979</v>
      </c>
      <c r="AC194">
        <v>3494</v>
      </c>
      <c r="AD194">
        <v>1410</v>
      </c>
      <c r="AE194">
        <v>404</v>
      </c>
      <c r="AF194">
        <v>77</v>
      </c>
      <c r="AG194">
        <v>4</v>
      </c>
      <c r="AH194">
        <v>5845</v>
      </c>
      <c r="AI194">
        <v>156</v>
      </c>
      <c r="AJ194">
        <v>339</v>
      </c>
      <c r="AK194">
        <v>1400</v>
      </c>
      <c r="AL194">
        <v>74</v>
      </c>
      <c r="AM194">
        <v>45</v>
      </c>
      <c r="AN194" t="s">
        <v>412</v>
      </c>
      <c r="AO194">
        <f>AVERAGE(Tabla2[[#This Row],[total_kills]:[rating]])</f>
        <v>2824.6315789473683</v>
      </c>
      <c r="AP194" t="str">
        <f>VLOOKUP(Tabla2[[#This Row],[KPI]],$AS$2:$AT$5,2,1)</f>
        <v>Bajo</v>
      </c>
    </row>
    <row r="195" spans="1:42" x14ac:dyDescent="0.3">
      <c r="A195">
        <v>18219</v>
      </c>
      <c r="B195" t="s">
        <v>3338</v>
      </c>
      <c r="C195" t="s">
        <v>3339</v>
      </c>
      <c r="D195">
        <v>24</v>
      </c>
      <c r="E195" t="s">
        <v>141</v>
      </c>
      <c r="F195" t="s">
        <v>914</v>
      </c>
      <c r="G195" t="s">
        <v>3340</v>
      </c>
      <c r="H195">
        <v>7936</v>
      </c>
      <c r="I195">
        <v>9133</v>
      </c>
      <c r="J195" t="s">
        <v>3341</v>
      </c>
      <c r="K195" t="s">
        <v>2052</v>
      </c>
      <c r="L195" t="s">
        <v>1146</v>
      </c>
      <c r="M195">
        <v>471</v>
      </c>
      <c r="N195">
        <v>12683</v>
      </c>
      <c r="O195" t="s">
        <v>215</v>
      </c>
      <c r="P195" t="s">
        <v>166</v>
      </c>
      <c r="Q195" t="s">
        <v>311</v>
      </c>
      <c r="R195" t="s">
        <v>50</v>
      </c>
      <c r="S195" t="s">
        <v>66</v>
      </c>
      <c r="T195">
        <v>5509</v>
      </c>
      <c r="U195" t="s">
        <v>51</v>
      </c>
      <c r="V195">
        <v>1517</v>
      </c>
      <c r="W195">
        <v>1781</v>
      </c>
      <c r="X195" t="s">
        <v>2667</v>
      </c>
      <c r="Y195" t="s">
        <v>412</v>
      </c>
      <c r="Z195" t="s">
        <v>1165</v>
      </c>
      <c r="AA195" t="s">
        <v>354</v>
      </c>
      <c r="AB195">
        <v>7174</v>
      </c>
      <c r="AC195">
        <v>3656</v>
      </c>
      <c r="AD195">
        <v>1380</v>
      </c>
      <c r="AE195">
        <v>381</v>
      </c>
      <c r="AF195">
        <v>83</v>
      </c>
      <c r="AG195">
        <v>9</v>
      </c>
      <c r="AH195">
        <v>5650</v>
      </c>
      <c r="AI195">
        <v>64</v>
      </c>
      <c r="AJ195">
        <v>966</v>
      </c>
      <c r="AK195">
        <v>1125</v>
      </c>
      <c r="AL195">
        <v>122</v>
      </c>
      <c r="AM195">
        <v>32</v>
      </c>
      <c r="AN195" t="s">
        <v>503</v>
      </c>
      <c r="AO195">
        <f>AVERAGE(Tabla2[[#This Row],[total_kills]:[rating]])</f>
        <v>3140.6315789473683</v>
      </c>
      <c r="AP195" t="str">
        <f>VLOOKUP(Tabla2[[#This Row],[KPI]],$AS$2:$AT$5,2,1)</f>
        <v>Bajo</v>
      </c>
    </row>
    <row r="196" spans="1:42" x14ac:dyDescent="0.3">
      <c r="A196">
        <v>5187</v>
      </c>
      <c r="B196" t="s">
        <v>1705</v>
      </c>
      <c r="C196" t="s">
        <v>1706</v>
      </c>
      <c r="D196">
        <v>33</v>
      </c>
      <c r="E196" t="s">
        <v>209</v>
      </c>
      <c r="F196" t="s">
        <v>1707</v>
      </c>
      <c r="G196" t="s">
        <v>1153</v>
      </c>
      <c r="H196">
        <v>14956</v>
      </c>
      <c r="I196">
        <v>14339</v>
      </c>
      <c r="J196" t="s">
        <v>1708</v>
      </c>
      <c r="K196" t="s">
        <v>582</v>
      </c>
      <c r="L196" t="s">
        <v>143</v>
      </c>
      <c r="M196">
        <v>814</v>
      </c>
      <c r="N196">
        <v>20980</v>
      </c>
      <c r="O196" t="s">
        <v>646</v>
      </c>
      <c r="P196" t="s">
        <v>48</v>
      </c>
      <c r="Q196" t="s">
        <v>167</v>
      </c>
      <c r="R196" t="s">
        <v>50</v>
      </c>
      <c r="S196" t="s">
        <v>50</v>
      </c>
      <c r="T196">
        <v>10057</v>
      </c>
      <c r="U196" t="s">
        <v>51</v>
      </c>
      <c r="V196">
        <v>2528</v>
      </c>
      <c r="W196">
        <v>2453</v>
      </c>
      <c r="X196" t="s">
        <v>412</v>
      </c>
      <c r="Y196" t="s">
        <v>464</v>
      </c>
      <c r="Z196" t="s">
        <v>955</v>
      </c>
      <c r="AA196" t="s">
        <v>376</v>
      </c>
      <c r="AB196">
        <v>10923</v>
      </c>
      <c r="AC196">
        <v>6370</v>
      </c>
      <c r="AD196">
        <v>2682</v>
      </c>
      <c r="AE196">
        <v>813</v>
      </c>
      <c r="AF196">
        <v>178</v>
      </c>
      <c r="AG196">
        <v>14</v>
      </c>
      <c r="AH196">
        <v>7174</v>
      </c>
      <c r="AI196">
        <v>4145</v>
      </c>
      <c r="AJ196">
        <v>850</v>
      </c>
      <c r="AK196">
        <v>2636</v>
      </c>
      <c r="AL196">
        <v>130</v>
      </c>
      <c r="AM196">
        <v>47</v>
      </c>
      <c r="AN196" t="s">
        <v>412</v>
      </c>
      <c r="AO196">
        <f>AVERAGE(Tabla2[[#This Row],[total_kills]:[rating]])</f>
        <v>5373.105263157895</v>
      </c>
      <c r="AP196" t="str">
        <f>VLOOKUP(Tabla2[[#This Row],[KPI]],$AS$2:$AT$5,2,1)</f>
        <v>Alto</v>
      </c>
    </row>
    <row r="197" spans="1:42" x14ac:dyDescent="0.3">
      <c r="A197">
        <v>19021</v>
      </c>
      <c r="B197" t="s">
        <v>1746</v>
      </c>
      <c r="C197" t="s">
        <v>1747</v>
      </c>
      <c r="D197">
        <v>17</v>
      </c>
      <c r="E197" t="s">
        <v>545</v>
      </c>
      <c r="F197" t="s">
        <v>599</v>
      </c>
      <c r="G197" t="s">
        <v>1748</v>
      </c>
      <c r="H197">
        <v>7398</v>
      </c>
      <c r="I197">
        <v>6961</v>
      </c>
      <c r="J197" t="s">
        <v>1708</v>
      </c>
      <c r="K197" t="s">
        <v>916</v>
      </c>
      <c r="L197" t="s">
        <v>294</v>
      </c>
      <c r="M197">
        <v>405</v>
      </c>
      <c r="N197">
        <v>10828</v>
      </c>
      <c r="O197" t="s">
        <v>167</v>
      </c>
      <c r="P197" t="s">
        <v>202</v>
      </c>
      <c r="Q197" t="s">
        <v>65</v>
      </c>
      <c r="R197" t="s">
        <v>96</v>
      </c>
      <c r="S197" t="s">
        <v>96</v>
      </c>
      <c r="T197">
        <v>5019</v>
      </c>
      <c r="U197" t="s">
        <v>51</v>
      </c>
      <c r="V197">
        <v>1106</v>
      </c>
      <c r="W197">
        <v>1214</v>
      </c>
      <c r="X197" t="s">
        <v>1749</v>
      </c>
      <c r="Y197" t="s">
        <v>285</v>
      </c>
      <c r="Z197" t="s">
        <v>653</v>
      </c>
      <c r="AA197" t="s">
        <v>933</v>
      </c>
      <c r="AB197">
        <v>5809</v>
      </c>
      <c r="AC197">
        <v>3223</v>
      </c>
      <c r="AD197">
        <v>1312</v>
      </c>
      <c r="AE197">
        <v>392</v>
      </c>
      <c r="AF197">
        <v>85</v>
      </c>
      <c r="AG197">
        <v>7</v>
      </c>
      <c r="AH197">
        <v>4435</v>
      </c>
      <c r="AI197">
        <v>1405</v>
      </c>
      <c r="AJ197">
        <v>263</v>
      </c>
      <c r="AK197">
        <v>1198</v>
      </c>
      <c r="AL197">
        <v>89</v>
      </c>
      <c r="AM197">
        <v>40</v>
      </c>
      <c r="AN197" t="s">
        <v>464</v>
      </c>
      <c r="AO197">
        <f>AVERAGE(Tabla2[[#This Row],[total_kills]:[rating]])</f>
        <v>2694.1578947368421</v>
      </c>
      <c r="AP197" t="str">
        <f>VLOOKUP(Tabla2[[#This Row],[KPI]],$AS$2:$AT$5,2,1)</f>
        <v>Bajo</v>
      </c>
    </row>
    <row r="198" spans="1:42" x14ac:dyDescent="0.3">
      <c r="A198">
        <v>1916</v>
      </c>
      <c r="B198" t="s">
        <v>3370</v>
      </c>
      <c r="C198" t="s">
        <v>3371</v>
      </c>
      <c r="D198">
        <v>34</v>
      </c>
      <c r="E198" t="s">
        <v>459</v>
      </c>
      <c r="F198" t="s">
        <v>3372</v>
      </c>
      <c r="G198" t="s">
        <v>3373</v>
      </c>
      <c r="H198">
        <v>10904</v>
      </c>
      <c r="I198">
        <v>12533</v>
      </c>
      <c r="J198" t="s">
        <v>1708</v>
      </c>
      <c r="K198" t="s">
        <v>3374</v>
      </c>
      <c r="L198" t="s">
        <v>949</v>
      </c>
      <c r="M198">
        <v>713</v>
      </c>
      <c r="N198">
        <v>18391</v>
      </c>
      <c r="O198" t="s">
        <v>95</v>
      </c>
      <c r="P198" t="s">
        <v>235</v>
      </c>
      <c r="Q198" t="s">
        <v>167</v>
      </c>
      <c r="R198" t="s">
        <v>67</v>
      </c>
      <c r="S198" t="s">
        <v>66</v>
      </c>
      <c r="T198">
        <v>7755</v>
      </c>
      <c r="U198" t="s">
        <v>51</v>
      </c>
      <c r="V198">
        <v>1591</v>
      </c>
      <c r="W198">
        <v>1959</v>
      </c>
      <c r="X198" t="s">
        <v>165</v>
      </c>
      <c r="Y198" t="s">
        <v>1314</v>
      </c>
      <c r="Z198" t="s">
        <v>728</v>
      </c>
      <c r="AA198" t="s">
        <v>518</v>
      </c>
      <c r="AB198">
        <v>10636</v>
      </c>
      <c r="AC198">
        <v>5262</v>
      </c>
      <c r="AD198">
        <v>1945</v>
      </c>
      <c r="AE198">
        <v>469</v>
      </c>
      <c r="AF198">
        <v>73</v>
      </c>
      <c r="AG198">
        <v>6</v>
      </c>
      <c r="AH198">
        <v>6675</v>
      </c>
      <c r="AI198">
        <v>1179</v>
      </c>
      <c r="AJ198">
        <v>892</v>
      </c>
      <c r="AK198">
        <v>1894</v>
      </c>
      <c r="AL198">
        <v>207</v>
      </c>
      <c r="AM198">
        <v>63</v>
      </c>
      <c r="AN198" t="s">
        <v>2315</v>
      </c>
      <c r="AO198">
        <f>AVERAGE(Tabla2[[#This Row],[total_kills]:[rating]])</f>
        <v>4376.1578947368425</v>
      </c>
      <c r="AP198" t="str">
        <f>VLOOKUP(Tabla2[[#This Row],[KPI]],$AS$2:$AT$5,2,1)</f>
        <v>Medio</v>
      </c>
    </row>
    <row r="199" spans="1:42" x14ac:dyDescent="0.3">
      <c r="A199">
        <v>8521</v>
      </c>
      <c r="B199" t="s">
        <v>3375</v>
      </c>
      <c r="C199" t="s">
        <v>3376</v>
      </c>
      <c r="D199">
        <v>29</v>
      </c>
      <c r="E199" t="s">
        <v>500</v>
      </c>
      <c r="F199" t="s">
        <v>528</v>
      </c>
      <c r="G199" t="s">
        <v>3377</v>
      </c>
      <c r="H199">
        <v>16274</v>
      </c>
      <c r="I199">
        <v>18638</v>
      </c>
      <c r="J199" t="s">
        <v>1708</v>
      </c>
      <c r="K199" t="s">
        <v>3378</v>
      </c>
      <c r="L199" t="s">
        <v>224</v>
      </c>
      <c r="M199">
        <v>1075</v>
      </c>
      <c r="N199">
        <v>28101</v>
      </c>
      <c r="O199" t="s">
        <v>284</v>
      </c>
      <c r="P199" t="s">
        <v>235</v>
      </c>
      <c r="Q199" t="s">
        <v>322</v>
      </c>
      <c r="R199" t="s">
        <v>50</v>
      </c>
      <c r="S199" t="s">
        <v>135</v>
      </c>
      <c r="T199">
        <v>11689</v>
      </c>
      <c r="U199" t="s">
        <v>51</v>
      </c>
      <c r="V199">
        <v>2052</v>
      </c>
      <c r="W199">
        <v>2776</v>
      </c>
      <c r="X199" t="s">
        <v>283</v>
      </c>
      <c r="Y199" t="s">
        <v>2324</v>
      </c>
      <c r="Z199" t="s">
        <v>635</v>
      </c>
      <c r="AA199" t="s">
        <v>1944</v>
      </c>
      <c r="AB199">
        <v>16412</v>
      </c>
      <c r="AC199">
        <v>8038</v>
      </c>
      <c r="AD199">
        <v>2848</v>
      </c>
      <c r="AE199">
        <v>679</v>
      </c>
      <c r="AF199">
        <v>118</v>
      </c>
      <c r="AG199">
        <v>6</v>
      </c>
      <c r="AH199">
        <v>10614</v>
      </c>
      <c r="AI199">
        <v>378</v>
      </c>
      <c r="AJ199">
        <v>2239</v>
      </c>
      <c r="AK199">
        <v>2761</v>
      </c>
      <c r="AL199">
        <v>268</v>
      </c>
      <c r="AM199">
        <v>28</v>
      </c>
      <c r="AN199" t="s">
        <v>2315</v>
      </c>
      <c r="AO199">
        <f>AVERAGE(Tabla2[[#This Row],[total_kills]:[rating]])</f>
        <v>6578.6315789473683</v>
      </c>
      <c r="AP199" t="str">
        <f>VLOOKUP(Tabla2[[#This Row],[KPI]],$AS$2:$AT$5,2,1)</f>
        <v>Alto</v>
      </c>
    </row>
    <row r="200" spans="1:42" x14ac:dyDescent="0.3">
      <c r="A200">
        <v>11847</v>
      </c>
      <c r="B200" t="s">
        <v>297</v>
      </c>
      <c r="C200" t="s">
        <v>298</v>
      </c>
      <c r="D200">
        <v>21</v>
      </c>
      <c r="E200" t="s">
        <v>299</v>
      </c>
      <c r="F200" t="s">
        <v>3514</v>
      </c>
      <c r="G200" t="s">
        <v>300</v>
      </c>
      <c r="H200">
        <v>12510</v>
      </c>
      <c r="I200">
        <v>10760</v>
      </c>
      <c r="J200" t="s">
        <v>301</v>
      </c>
      <c r="K200" t="s">
        <v>302</v>
      </c>
      <c r="L200" t="s">
        <v>46</v>
      </c>
      <c r="M200">
        <v>625</v>
      </c>
      <c r="N200">
        <v>15713</v>
      </c>
      <c r="O200" t="s">
        <v>94</v>
      </c>
      <c r="P200" t="s">
        <v>303</v>
      </c>
      <c r="Q200" t="s">
        <v>167</v>
      </c>
      <c r="R200" t="s">
        <v>50</v>
      </c>
      <c r="S200" t="s">
        <v>202</v>
      </c>
      <c r="T200">
        <v>8125</v>
      </c>
      <c r="U200" t="s">
        <v>51</v>
      </c>
      <c r="V200">
        <v>1908</v>
      </c>
      <c r="W200">
        <v>1825</v>
      </c>
      <c r="X200" t="s">
        <v>304</v>
      </c>
      <c r="Y200" t="s">
        <v>277</v>
      </c>
      <c r="Z200" t="s">
        <v>296</v>
      </c>
      <c r="AA200" t="s">
        <v>305</v>
      </c>
      <c r="AB200">
        <v>7588</v>
      </c>
      <c r="AC200">
        <v>4887</v>
      </c>
      <c r="AD200">
        <v>2284</v>
      </c>
      <c r="AE200">
        <v>775</v>
      </c>
      <c r="AF200">
        <v>165</v>
      </c>
      <c r="AG200">
        <v>14</v>
      </c>
      <c r="AH200">
        <v>9814</v>
      </c>
      <c r="AI200">
        <v>148</v>
      </c>
      <c r="AJ200">
        <v>264</v>
      </c>
      <c r="AK200">
        <v>2192</v>
      </c>
      <c r="AL200">
        <v>109</v>
      </c>
      <c r="AM200">
        <v>6</v>
      </c>
      <c r="AN200" t="s">
        <v>136</v>
      </c>
      <c r="AO200">
        <f>AVERAGE(Tabla2[[#This Row],[total_kills]:[rating]])</f>
        <v>4195.3684210526317</v>
      </c>
      <c r="AP200" t="str">
        <f>VLOOKUP(Tabla2[[#This Row],[KPI]],$AS$2:$AT$5,2,1)</f>
        <v>Medio</v>
      </c>
    </row>
    <row r="201" spans="1:42" x14ac:dyDescent="0.3">
      <c r="A201">
        <v>9277</v>
      </c>
      <c r="B201" t="s">
        <v>543</v>
      </c>
      <c r="C201" t="s">
        <v>544</v>
      </c>
      <c r="D201">
        <v>29</v>
      </c>
      <c r="E201" t="s">
        <v>545</v>
      </c>
      <c r="F201" t="s">
        <v>3514</v>
      </c>
      <c r="G201" t="s">
        <v>546</v>
      </c>
      <c r="H201">
        <v>23743</v>
      </c>
      <c r="I201">
        <v>20127</v>
      </c>
      <c r="J201" t="s">
        <v>301</v>
      </c>
      <c r="K201" t="s">
        <v>92</v>
      </c>
      <c r="L201" t="s">
        <v>80</v>
      </c>
      <c r="M201">
        <v>1207</v>
      </c>
      <c r="N201">
        <v>32156</v>
      </c>
      <c r="O201" t="s">
        <v>283</v>
      </c>
      <c r="P201" t="s">
        <v>235</v>
      </c>
      <c r="Q201" t="s">
        <v>215</v>
      </c>
      <c r="R201" t="s">
        <v>96</v>
      </c>
      <c r="S201" t="s">
        <v>67</v>
      </c>
      <c r="T201">
        <v>15874</v>
      </c>
      <c r="U201" t="s">
        <v>51</v>
      </c>
      <c r="V201">
        <v>3341</v>
      </c>
      <c r="W201">
        <v>2595</v>
      </c>
      <c r="X201" t="s">
        <v>168</v>
      </c>
      <c r="Y201" t="s">
        <v>304</v>
      </c>
      <c r="Z201" t="s">
        <v>427</v>
      </c>
      <c r="AA201" t="s">
        <v>547</v>
      </c>
      <c r="AB201">
        <v>16282</v>
      </c>
      <c r="AC201">
        <v>10005</v>
      </c>
      <c r="AD201">
        <v>4180</v>
      </c>
      <c r="AE201">
        <v>1409</v>
      </c>
      <c r="AF201">
        <v>249</v>
      </c>
      <c r="AG201">
        <v>31</v>
      </c>
      <c r="AH201">
        <v>16327</v>
      </c>
      <c r="AI201">
        <v>1351</v>
      </c>
      <c r="AJ201">
        <v>1505</v>
      </c>
      <c r="AK201">
        <v>4241</v>
      </c>
      <c r="AL201">
        <v>289</v>
      </c>
      <c r="AM201">
        <v>116</v>
      </c>
      <c r="AN201" t="s">
        <v>362</v>
      </c>
      <c r="AO201">
        <f>AVERAGE(Tabla2[[#This Row],[total_kills]:[rating]])</f>
        <v>8159.3684210526317</v>
      </c>
      <c r="AP201" t="str">
        <f>VLOOKUP(Tabla2[[#This Row],[KPI]],$AS$2:$AT$5,2,1)</f>
        <v>Superior</v>
      </c>
    </row>
    <row r="202" spans="1:42" x14ac:dyDescent="0.3">
      <c r="A202">
        <v>13843</v>
      </c>
      <c r="B202" t="s">
        <v>1486</v>
      </c>
      <c r="C202" t="s">
        <v>1487</v>
      </c>
      <c r="D202">
        <v>19</v>
      </c>
      <c r="E202" t="s">
        <v>196</v>
      </c>
      <c r="F202" t="s">
        <v>1488</v>
      </c>
      <c r="G202" t="s">
        <v>1489</v>
      </c>
      <c r="H202">
        <v>8479</v>
      </c>
      <c r="I202">
        <v>7731</v>
      </c>
      <c r="J202" t="s">
        <v>301</v>
      </c>
      <c r="K202">
        <v>71</v>
      </c>
      <c r="L202" t="s">
        <v>275</v>
      </c>
      <c r="M202">
        <v>454</v>
      </c>
      <c r="N202">
        <v>12275</v>
      </c>
      <c r="O202" t="s">
        <v>463</v>
      </c>
      <c r="P202" t="s">
        <v>96</v>
      </c>
      <c r="Q202" t="s">
        <v>215</v>
      </c>
      <c r="R202" t="s">
        <v>96</v>
      </c>
      <c r="S202" t="s">
        <v>50</v>
      </c>
      <c r="T202">
        <v>5748</v>
      </c>
      <c r="U202" t="s">
        <v>51</v>
      </c>
      <c r="V202">
        <v>1320</v>
      </c>
      <c r="W202">
        <v>1005</v>
      </c>
      <c r="X202" t="s">
        <v>1120</v>
      </c>
      <c r="Y202" t="s">
        <v>464</v>
      </c>
      <c r="Z202" t="s">
        <v>1490</v>
      </c>
      <c r="AA202" t="s">
        <v>659</v>
      </c>
      <c r="AB202">
        <v>6527</v>
      </c>
      <c r="AC202">
        <v>3674</v>
      </c>
      <c r="AD202">
        <v>1515</v>
      </c>
      <c r="AE202">
        <v>466</v>
      </c>
      <c r="AF202">
        <v>88</v>
      </c>
      <c r="AG202">
        <v>5</v>
      </c>
      <c r="AH202">
        <v>2884</v>
      </c>
      <c r="AI202">
        <v>3894</v>
      </c>
      <c r="AJ202">
        <v>144</v>
      </c>
      <c r="AK202">
        <v>1499</v>
      </c>
      <c r="AL202">
        <v>66</v>
      </c>
      <c r="AM202">
        <v>24</v>
      </c>
      <c r="AN202" t="s">
        <v>464</v>
      </c>
      <c r="AO202">
        <f>AVERAGE(Tabla2[[#This Row],[total_kills]:[rating]])</f>
        <v>2893.45</v>
      </c>
      <c r="AP202" t="str">
        <f>VLOOKUP(Tabla2[[#This Row],[KPI]],$AS$2:$AT$5,2,1)</f>
        <v>Bajo</v>
      </c>
    </row>
    <row r="203" spans="1:42" x14ac:dyDescent="0.3">
      <c r="A203">
        <v>11205</v>
      </c>
      <c r="B203" t="s">
        <v>2123</v>
      </c>
      <c r="C203" t="s">
        <v>2124</v>
      </c>
      <c r="D203">
        <v>25</v>
      </c>
      <c r="E203" t="s">
        <v>1643</v>
      </c>
      <c r="F203" t="s">
        <v>2125</v>
      </c>
      <c r="G203" t="s">
        <v>1645</v>
      </c>
      <c r="H203">
        <v>13896</v>
      </c>
      <c r="I203">
        <v>13273</v>
      </c>
      <c r="J203" t="s">
        <v>301</v>
      </c>
      <c r="K203" t="s">
        <v>1499</v>
      </c>
      <c r="L203" t="s">
        <v>782</v>
      </c>
      <c r="M203">
        <v>783</v>
      </c>
      <c r="N203">
        <v>20600</v>
      </c>
      <c r="O203" t="s">
        <v>225</v>
      </c>
      <c r="P203" t="s">
        <v>202</v>
      </c>
      <c r="Q203" t="s">
        <v>65</v>
      </c>
      <c r="R203" t="s">
        <v>96</v>
      </c>
      <c r="S203" t="s">
        <v>96</v>
      </c>
      <c r="T203">
        <v>9557</v>
      </c>
      <c r="U203" t="s">
        <v>51</v>
      </c>
      <c r="V203">
        <v>2627</v>
      </c>
      <c r="W203">
        <v>2107</v>
      </c>
      <c r="X203" t="s">
        <v>72</v>
      </c>
      <c r="Y203" t="s">
        <v>98</v>
      </c>
      <c r="Z203" t="s">
        <v>576</v>
      </c>
      <c r="AA203" t="s">
        <v>863</v>
      </c>
      <c r="AB203">
        <v>11043</v>
      </c>
      <c r="AC203">
        <v>6240</v>
      </c>
      <c r="AD203">
        <v>2441</v>
      </c>
      <c r="AE203">
        <v>744</v>
      </c>
      <c r="AF203">
        <v>118</v>
      </c>
      <c r="AG203">
        <v>14</v>
      </c>
      <c r="AH203">
        <v>5770</v>
      </c>
      <c r="AI203">
        <v>4686</v>
      </c>
      <c r="AJ203">
        <v>840</v>
      </c>
      <c r="AK203">
        <v>2372</v>
      </c>
      <c r="AL203">
        <v>238</v>
      </c>
      <c r="AM203">
        <v>53</v>
      </c>
      <c r="AN203" t="s">
        <v>277</v>
      </c>
      <c r="AO203">
        <f>AVERAGE(Tabla2[[#This Row],[total_kills]:[rating]])</f>
        <v>5126.4210526315792</v>
      </c>
      <c r="AP203" t="str">
        <f>VLOOKUP(Tabla2[[#This Row],[KPI]],$AS$2:$AT$5,2,1)</f>
        <v>Alto</v>
      </c>
    </row>
    <row r="204" spans="1:42" x14ac:dyDescent="0.3">
      <c r="A204">
        <v>10186</v>
      </c>
      <c r="B204" t="s">
        <v>2148</v>
      </c>
      <c r="C204" t="s">
        <v>2149</v>
      </c>
      <c r="D204">
        <v>23</v>
      </c>
      <c r="E204" t="s">
        <v>209</v>
      </c>
      <c r="F204" t="s">
        <v>2150</v>
      </c>
      <c r="G204" t="s">
        <v>2151</v>
      </c>
      <c r="H204">
        <v>8333</v>
      </c>
      <c r="I204">
        <v>8231</v>
      </c>
      <c r="J204" t="s">
        <v>301</v>
      </c>
      <c r="K204">
        <v>78</v>
      </c>
      <c r="L204" t="s">
        <v>179</v>
      </c>
      <c r="M204">
        <v>462</v>
      </c>
      <c r="N204">
        <v>11695</v>
      </c>
      <c r="O204" t="s">
        <v>646</v>
      </c>
      <c r="P204" t="s">
        <v>235</v>
      </c>
      <c r="Q204" t="s">
        <v>905</v>
      </c>
      <c r="R204" t="s">
        <v>96</v>
      </c>
      <c r="S204" t="s">
        <v>96</v>
      </c>
      <c r="T204">
        <v>5627</v>
      </c>
      <c r="U204" t="s">
        <v>51</v>
      </c>
      <c r="V204">
        <v>1358</v>
      </c>
      <c r="W204">
        <v>1270</v>
      </c>
      <c r="X204" t="s">
        <v>464</v>
      </c>
      <c r="Y204" t="s">
        <v>464</v>
      </c>
      <c r="Z204" t="s">
        <v>728</v>
      </c>
      <c r="AA204" t="s">
        <v>305</v>
      </c>
      <c r="AB204">
        <v>6068</v>
      </c>
      <c r="AC204">
        <v>3556</v>
      </c>
      <c r="AD204">
        <v>1536</v>
      </c>
      <c r="AE204">
        <v>444</v>
      </c>
      <c r="AF204">
        <v>82</v>
      </c>
      <c r="AG204">
        <v>9</v>
      </c>
      <c r="AH204">
        <v>5189</v>
      </c>
      <c r="AI204">
        <v>1087</v>
      </c>
      <c r="AJ204">
        <v>533</v>
      </c>
      <c r="AK204">
        <v>1437</v>
      </c>
      <c r="AL204">
        <v>71</v>
      </c>
      <c r="AM204">
        <v>33</v>
      </c>
      <c r="AN204" t="s">
        <v>255</v>
      </c>
      <c r="AO204">
        <f>AVERAGE(Tabla2[[#This Row],[total_kills]:[rating]])</f>
        <v>2854.95</v>
      </c>
      <c r="AP204" t="str">
        <f>VLOOKUP(Tabla2[[#This Row],[KPI]],$AS$2:$AT$5,2,1)</f>
        <v>Bajo</v>
      </c>
    </row>
    <row r="205" spans="1:42" x14ac:dyDescent="0.3">
      <c r="A205">
        <v>9626</v>
      </c>
      <c r="B205" t="s">
        <v>316</v>
      </c>
      <c r="C205" t="s">
        <v>317</v>
      </c>
      <c r="D205">
        <v>21</v>
      </c>
      <c r="E205" t="s">
        <v>318</v>
      </c>
      <c r="F205" t="s">
        <v>319</v>
      </c>
      <c r="G205" t="s">
        <v>320</v>
      </c>
      <c r="H205">
        <v>22423</v>
      </c>
      <c r="I205">
        <v>19052</v>
      </c>
      <c r="J205" t="s">
        <v>321</v>
      </c>
      <c r="K205">
        <v>80</v>
      </c>
      <c r="L205" t="s">
        <v>313</v>
      </c>
      <c r="M205">
        <v>1097</v>
      </c>
      <c r="N205">
        <v>28850</v>
      </c>
      <c r="O205" t="s">
        <v>123</v>
      </c>
      <c r="P205" t="s">
        <v>67</v>
      </c>
      <c r="Q205" t="s">
        <v>322</v>
      </c>
      <c r="R205" t="s">
        <v>96</v>
      </c>
      <c r="S205" t="s">
        <v>67</v>
      </c>
      <c r="T205">
        <v>14611</v>
      </c>
      <c r="U205" t="s">
        <v>51</v>
      </c>
      <c r="V205">
        <v>3983</v>
      </c>
      <c r="W205">
        <v>2960</v>
      </c>
      <c r="X205" t="s">
        <v>323</v>
      </c>
      <c r="Y205" t="s">
        <v>127</v>
      </c>
      <c r="Z205" t="s">
        <v>324</v>
      </c>
      <c r="AA205" t="s">
        <v>146</v>
      </c>
      <c r="AB205">
        <v>14239</v>
      </c>
      <c r="AC205">
        <v>8851</v>
      </c>
      <c r="AD205">
        <v>4086</v>
      </c>
      <c r="AE205">
        <v>1327</v>
      </c>
      <c r="AF205">
        <v>316</v>
      </c>
      <c r="AG205">
        <v>31</v>
      </c>
      <c r="AH205">
        <v>8583</v>
      </c>
      <c r="AI205">
        <v>9211</v>
      </c>
      <c r="AJ205">
        <v>507</v>
      </c>
      <c r="AK205">
        <v>3998</v>
      </c>
      <c r="AL205">
        <v>133</v>
      </c>
      <c r="AM205">
        <v>50</v>
      </c>
      <c r="AN205" t="s">
        <v>98</v>
      </c>
      <c r="AO205">
        <f>AVERAGE(Tabla2[[#This Row],[total_kills]:[rating]])</f>
        <v>7219.4</v>
      </c>
      <c r="AP205" t="str">
        <f>VLOOKUP(Tabla2[[#This Row],[KPI]],$AS$2:$AT$5,2,1)</f>
        <v>Superior</v>
      </c>
    </row>
    <row r="206" spans="1:42" x14ac:dyDescent="0.3">
      <c r="A206">
        <v>11355</v>
      </c>
      <c r="B206" t="s">
        <v>1115</v>
      </c>
      <c r="C206" t="s">
        <v>1116</v>
      </c>
      <c r="D206">
        <v>28</v>
      </c>
      <c r="E206" t="s">
        <v>209</v>
      </c>
      <c r="F206" t="s">
        <v>1117</v>
      </c>
      <c r="G206" t="s">
        <v>1118</v>
      </c>
      <c r="H206">
        <v>7690</v>
      </c>
      <c r="I206">
        <v>6988</v>
      </c>
      <c r="J206" t="s">
        <v>321</v>
      </c>
      <c r="K206" t="s">
        <v>1119</v>
      </c>
      <c r="L206" t="s">
        <v>52</v>
      </c>
      <c r="M206">
        <v>402</v>
      </c>
      <c r="N206">
        <v>10409</v>
      </c>
      <c r="O206" t="s">
        <v>283</v>
      </c>
      <c r="P206" t="s">
        <v>50</v>
      </c>
      <c r="Q206" t="s">
        <v>225</v>
      </c>
      <c r="R206" t="s">
        <v>66</v>
      </c>
      <c r="S206" t="s">
        <v>96</v>
      </c>
      <c r="T206">
        <v>5156</v>
      </c>
      <c r="U206" t="s">
        <v>51</v>
      </c>
      <c r="V206">
        <v>1298</v>
      </c>
      <c r="W206">
        <v>990</v>
      </c>
      <c r="X206" t="s">
        <v>1120</v>
      </c>
      <c r="Y206" t="s">
        <v>98</v>
      </c>
      <c r="Z206" t="s">
        <v>1121</v>
      </c>
      <c r="AA206" t="s">
        <v>1122</v>
      </c>
      <c r="AB206">
        <v>5253</v>
      </c>
      <c r="AC206">
        <v>3246</v>
      </c>
      <c r="AD206">
        <v>1386</v>
      </c>
      <c r="AE206">
        <v>428</v>
      </c>
      <c r="AF206">
        <v>92</v>
      </c>
      <c r="AG206">
        <v>4</v>
      </c>
      <c r="AH206">
        <v>2496</v>
      </c>
      <c r="AI206">
        <v>2960</v>
      </c>
      <c r="AJ206">
        <v>537</v>
      </c>
      <c r="AK206">
        <v>1562</v>
      </c>
      <c r="AL206">
        <v>61</v>
      </c>
      <c r="AM206">
        <v>89</v>
      </c>
      <c r="AN206" t="s">
        <v>561</v>
      </c>
      <c r="AO206">
        <f>AVERAGE(Tabla2[[#This Row],[total_kills]:[rating]])</f>
        <v>2686.6842105263158</v>
      </c>
      <c r="AP206" t="str">
        <f>VLOOKUP(Tabla2[[#This Row],[KPI]],$AS$2:$AT$5,2,1)</f>
        <v>Bajo</v>
      </c>
    </row>
    <row r="207" spans="1:42" x14ac:dyDescent="0.3">
      <c r="A207">
        <v>8951</v>
      </c>
      <c r="B207" t="s">
        <v>1986</v>
      </c>
      <c r="C207" t="s">
        <v>1987</v>
      </c>
      <c r="D207">
        <v>29</v>
      </c>
      <c r="E207" t="s">
        <v>241</v>
      </c>
      <c r="F207" t="s">
        <v>3514</v>
      </c>
      <c r="G207" t="s">
        <v>1988</v>
      </c>
      <c r="H207">
        <v>7419</v>
      </c>
      <c r="I207">
        <v>7300</v>
      </c>
      <c r="J207" t="s">
        <v>321</v>
      </c>
      <c r="K207" t="s">
        <v>154</v>
      </c>
      <c r="L207">
        <v>3</v>
      </c>
      <c r="M207">
        <v>412</v>
      </c>
      <c r="N207">
        <v>10376</v>
      </c>
      <c r="O207" t="s">
        <v>311</v>
      </c>
      <c r="P207" t="s">
        <v>166</v>
      </c>
      <c r="Q207" t="s">
        <v>905</v>
      </c>
      <c r="R207" t="s">
        <v>67</v>
      </c>
      <c r="S207" t="s">
        <v>67</v>
      </c>
      <c r="T207">
        <v>4939</v>
      </c>
      <c r="U207" t="s">
        <v>51</v>
      </c>
      <c r="V207">
        <v>1212</v>
      </c>
      <c r="W207">
        <v>1236</v>
      </c>
      <c r="X207" t="s">
        <v>245</v>
      </c>
      <c r="Y207" t="s">
        <v>304</v>
      </c>
      <c r="Z207" t="s">
        <v>635</v>
      </c>
      <c r="AA207" t="s">
        <v>100</v>
      </c>
      <c r="AB207">
        <v>5437</v>
      </c>
      <c r="AC207">
        <v>3049</v>
      </c>
      <c r="AD207">
        <v>1386</v>
      </c>
      <c r="AE207">
        <v>426</v>
      </c>
      <c r="AF207">
        <v>71</v>
      </c>
      <c r="AG207">
        <v>7</v>
      </c>
      <c r="AH207">
        <v>5311</v>
      </c>
      <c r="AI207">
        <v>437</v>
      </c>
      <c r="AJ207">
        <v>436</v>
      </c>
      <c r="AK207">
        <v>1173</v>
      </c>
      <c r="AL207">
        <v>65</v>
      </c>
      <c r="AM207">
        <v>3</v>
      </c>
      <c r="AN207" t="s">
        <v>449</v>
      </c>
      <c r="AO207">
        <f>AVERAGE(Tabla2[[#This Row],[total_kills]:[rating]])</f>
        <v>2534.9</v>
      </c>
      <c r="AP207" t="str">
        <f>VLOOKUP(Tabla2[[#This Row],[KPI]],$AS$2:$AT$5,2,1)</f>
        <v>Bajo</v>
      </c>
    </row>
    <row r="208" spans="1:42" x14ac:dyDescent="0.3">
      <c r="A208">
        <v>9766</v>
      </c>
      <c r="B208" t="s">
        <v>2061</v>
      </c>
      <c r="C208" t="s">
        <v>2062</v>
      </c>
      <c r="D208">
        <v>23</v>
      </c>
      <c r="E208" t="s">
        <v>545</v>
      </c>
      <c r="F208" t="s">
        <v>197</v>
      </c>
      <c r="G208" t="s">
        <v>2063</v>
      </c>
      <c r="H208">
        <v>25535</v>
      </c>
      <c r="I208">
        <v>25276</v>
      </c>
      <c r="J208" t="s">
        <v>321</v>
      </c>
      <c r="K208" t="s">
        <v>1130</v>
      </c>
      <c r="L208" t="s">
        <v>201</v>
      </c>
      <c r="M208">
        <v>1367</v>
      </c>
      <c r="N208">
        <v>36338</v>
      </c>
      <c r="O208" t="s">
        <v>905</v>
      </c>
      <c r="P208" t="s">
        <v>166</v>
      </c>
      <c r="Q208" t="s">
        <v>905</v>
      </c>
      <c r="R208" t="s">
        <v>66</v>
      </c>
      <c r="S208" t="s">
        <v>66</v>
      </c>
      <c r="T208">
        <v>17025</v>
      </c>
      <c r="U208" t="s">
        <v>51</v>
      </c>
      <c r="V208">
        <v>4268</v>
      </c>
      <c r="W208">
        <v>4587</v>
      </c>
      <c r="X208" t="s">
        <v>950</v>
      </c>
      <c r="Y208" t="s">
        <v>407</v>
      </c>
      <c r="Z208" t="s">
        <v>237</v>
      </c>
      <c r="AA208" t="s">
        <v>305</v>
      </c>
      <c r="AB208">
        <v>19313</v>
      </c>
      <c r="AC208">
        <v>10665</v>
      </c>
      <c r="AD208">
        <v>4587</v>
      </c>
      <c r="AE208">
        <v>1435</v>
      </c>
      <c r="AF208">
        <v>299</v>
      </c>
      <c r="AG208">
        <v>39</v>
      </c>
      <c r="AH208">
        <v>17463</v>
      </c>
      <c r="AI208">
        <v>1682</v>
      </c>
      <c r="AJ208">
        <v>1374</v>
      </c>
      <c r="AK208">
        <v>4633</v>
      </c>
      <c r="AL208">
        <v>331</v>
      </c>
      <c r="AM208">
        <v>90</v>
      </c>
      <c r="AN208" t="s">
        <v>255</v>
      </c>
      <c r="AO208">
        <f>AVERAGE(Tabla2[[#This Row],[total_kills]:[rating]])</f>
        <v>9279.3157894736851</v>
      </c>
      <c r="AP208" t="str">
        <f>VLOOKUP(Tabla2[[#This Row],[KPI]],$AS$2:$AT$5,2,1)</f>
        <v>Superior</v>
      </c>
    </row>
    <row r="209" spans="1:42" x14ac:dyDescent="0.3">
      <c r="A209">
        <v>4726</v>
      </c>
      <c r="B209" t="s">
        <v>2459</v>
      </c>
      <c r="C209" t="s">
        <v>2460</v>
      </c>
      <c r="D209">
        <v>28</v>
      </c>
      <c r="E209" t="s">
        <v>318</v>
      </c>
      <c r="F209" t="s">
        <v>3514</v>
      </c>
      <c r="G209" t="s">
        <v>320</v>
      </c>
      <c r="H209">
        <v>8103</v>
      </c>
      <c r="I209">
        <v>7920</v>
      </c>
      <c r="J209" t="s">
        <v>2461</v>
      </c>
      <c r="K209" t="s">
        <v>788</v>
      </c>
      <c r="L209" t="s">
        <v>122</v>
      </c>
      <c r="M209">
        <v>472</v>
      </c>
      <c r="N209">
        <v>12125</v>
      </c>
      <c r="O209" t="s">
        <v>225</v>
      </c>
      <c r="P209" t="s">
        <v>235</v>
      </c>
      <c r="Q209" t="s">
        <v>276</v>
      </c>
      <c r="R209" t="s">
        <v>96</v>
      </c>
      <c r="S209" t="s">
        <v>67</v>
      </c>
      <c r="T209">
        <v>5590</v>
      </c>
      <c r="U209" t="s">
        <v>51</v>
      </c>
      <c r="V209">
        <v>1133</v>
      </c>
      <c r="W209">
        <v>1043</v>
      </c>
      <c r="X209" t="s">
        <v>295</v>
      </c>
      <c r="Y209" t="s">
        <v>285</v>
      </c>
      <c r="Z209" t="s">
        <v>170</v>
      </c>
      <c r="AA209" t="s">
        <v>1101</v>
      </c>
      <c r="AB209">
        <v>6535</v>
      </c>
      <c r="AC209">
        <v>3622</v>
      </c>
      <c r="AD209">
        <v>1505</v>
      </c>
      <c r="AE209">
        <v>383</v>
      </c>
      <c r="AF209">
        <v>78</v>
      </c>
      <c r="AG209">
        <v>2</v>
      </c>
      <c r="AH209">
        <v>4508</v>
      </c>
      <c r="AI209">
        <v>1494</v>
      </c>
      <c r="AJ209">
        <v>451</v>
      </c>
      <c r="AK209">
        <v>1551</v>
      </c>
      <c r="AL209">
        <v>103</v>
      </c>
      <c r="AM209">
        <v>14</v>
      </c>
      <c r="AN209" t="s">
        <v>285</v>
      </c>
      <c r="AO209">
        <f>AVERAGE(Tabla2[[#This Row],[total_kills]:[rating]])</f>
        <v>2980.6315789473683</v>
      </c>
      <c r="AP209" t="str">
        <f>VLOOKUP(Tabla2[[#This Row],[KPI]],$AS$2:$AT$5,2,1)</f>
        <v>Bajo</v>
      </c>
    </row>
    <row r="210" spans="1:42" x14ac:dyDescent="0.3">
      <c r="A210">
        <v>7499</v>
      </c>
      <c r="B210" t="s">
        <v>2632</v>
      </c>
      <c r="C210" t="s">
        <v>2633</v>
      </c>
      <c r="D210">
        <v>26</v>
      </c>
      <c r="E210" t="s">
        <v>708</v>
      </c>
      <c r="F210" t="s">
        <v>1086</v>
      </c>
      <c r="G210" t="s">
        <v>2634</v>
      </c>
      <c r="H210">
        <v>36428</v>
      </c>
      <c r="I210">
        <v>36257</v>
      </c>
      <c r="J210" t="s">
        <v>2461</v>
      </c>
      <c r="K210" t="s">
        <v>788</v>
      </c>
      <c r="L210">
        <v>5</v>
      </c>
      <c r="M210">
        <v>2104</v>
      </c>
      <c r="N210">
        <v>55937</v>
      </c>
      <c r="O210" t="s">
        <v>276</v>
      </c>
      <c r="P210" t="s">
        <v>166</v>
      </c>
      <c r="Q210" t="s">
        <v>276</v>
      </c>
      <c r="R210" t="s">
        <v>96</v>
      </c>
      <c r="S210" t="s">
        <v>96</v>
      </c>
      <c r="T210">
        <v>25044</v>
      </c>
      <c r="U210" t="s">
        <v>51</v>
      </c>
      <c r="V210">
        <v>4208</v>
      </c>
      <c r="W210">
        <v>4759</v>
      </c>
      <c r="X210" t="s">
        <v>2315</v>
      </c>
      <c r="Y210" t="s">
        <v>1906</v>
      </c>
      <c r="Z210" t="s">
        <v>1121</v>
      </c>
      <c r="AA210" t="s">
        <v>1315</v>
      </c>
      <c r="AB210">
        <v>30893</v>
      </c>
      <c r="AC210">
        <v>16370</v>
      </c>
      <c r="AD210">
        <v>6407</v>
      </c>
      <c r="AE210">
        <v>1893</v>
      </c>
      <c r="AF210">
        <v>345</v>
      </c>
      <c r="AG210">
        <v>29</v>
      </c>
      <c r="AH210">
        <v>26981</v>
      </c>
      <c r="AI210">
        <v>988</v>
      </c>
      <c r="AJ210">
        <v>1760</v>
      </c>
      <c r="AK210">
        <v>6101</v>
      </c>
      <c r="AL210">
        <v>451</v>
      </c>
      <c r="AM210">
        <v>231</v>
      </c>
      <c r="AN210" t="s">
        <v>245</v>
      </c>
      <c r="AO210">
        <f>AVERAGE(Tabla2[[#This Row],[total_kills]:[rating]])</f>
        <v>12859.55</v>
      </c>
      <c r="AP210" t="str">
        <f>VLOOKUP(Tabla2[[#This Row],[KPI]],$AS$2:$AT$5,2,1)</f>
        <v>Superior</v>
      </c>
    </row>
    <row r="211" spans="1:42" x14ac:dyDescent="0.3">
      <c r="A211">
        <v>8137</v>
      </c>
      <c r="B211" t="s">
        <v>2817</v>
      </c>
      <c r="C211" t="s">
        <v>2818</v>
      </c>
      <c r="D211">
        <v>33</v>
      </c>
      <c r="E211" t="s">
        <v>459</v>
      </c>
      <c r="F211" t="s">
        <v>3514</v>
      </c>
      <c r="G211" t="s">
        <v>2819</v>
      </c>
      <c r="H211">
        <v>14788</v>
      </c>
      <c r="I211">
        <v>14862</v>
      </c>
      <c r="J211" t="s">
        <v>2461</v>
      </c>
      <c r="K211" t="s">
        <v>999</v>
      </c>
      <c r="L211" t="s">
        <v>589</v>
      </c>
      <c r="M211">
        <v>865</v>
      </c>
      <c r="N211">
        <v>22664</v>
      </c>
      <c r="O211" t="s">
        <v>276</v>
      </c>
      <c r="P211" t="s">
        <v>166</v>
      </c>
      <c r="Q211" t="s">
        <v>322</v>
      </c>
      <c r="R211" t="s">
        <v>96</v>
      </c>
      <c r="S211" t="s">
        <v>50</v>
      </c>
      <c r="T211">
        <v>10411</v>
      </c>
      <c r="U211" t="s">
        <v>51</v>
      </c>
      <c r="V211">
        <v>1888</v>
      </c>
      <c r="W211">
        <v>1855</v>
      </c>
      <c r="X211" t="s">
        <v>449</v>
      </c>
      <c r="Y211" t="s">
        <v>820</v>
      </c>
      <c r="Z211" t="s">
        <v>809</v>
      </c>
      <c r="AA211" t="s">
        <v>2053</v>
      </c>
      <c r="AB211">
        <v>12253</v>
      </c>
      <c r="AC211">
        <v>6991</v>
      </c>
      <c r="AD211">
        <v>2630</v>
      </c>
      <c r="AE211">
        <v>656</v>
      </c>
      <c r="AF211">
        <v>122</v>
      </c>
      <c r="AG211">
        <v>12</v>
      </c>
      <c r="AH211">
        <v>10174</v>
      </c>
      <c r="AI211">
        <v>805</v>
      </c>
      <c r="AJ211">
        <v>760</v>
      </c>
      <c r="AK211">
        <v>2803</v>
      </c>
      <c r="AL211">
        <v>215</v>
      </c>
      <c r="AM211">
        <v>50</v>
      </c>
      <c r="AN211" t="s">
        <v>503</v>
      </c>
      <c r="AO211">
        <f>AVERAGE(Tabla2[[#This Row],[total_kills]:[rating]])</f>
        <v>5516</v>
      </c>
      <c r="AP211" t="str">
        <f>VLOOKUP(Tabla2[[#This Row],[KPI]],$AS$2:$AT$5,2,1)</f>
        <v>Alto</v>
      </c>
    </row>
    <row r="212" spans="1:42" x14ac:dyDescent="0.3">
      <c r="A212">
        <v>8150</v>
      </c>
      <c r="B212" t="s">
        <v>2870</v>
      </c>
      <c r="C212" t="s">
        <v>2871</v>
      </c>
      <c r="D212">
        <v>32</v>
      </c>
      <c r="E212" t="s">
        <v>196</v>
      </c>
      <c r="F212" t="s">
        <v>3514</v>
      </c>
      <c r="G212" t="s">
        <v>2872</v>
      </c>
      <c r="H212">
        <v>8154</v>
      </c>
      <c r="I212">
        <v>8285</v>
      </c>
      <c r="J212" t="s">
        <v>2461</v>
      </c>
      <c r="K212" t="s">
        <v>2171</v>
      </c>
      <c r="L212" t="s">
        <v>462</v>
      </c>
      <c r="M212">
        <v>487</v>
      </c>
      <c r="N212">
        <v>12606</v>
      </c>
      <c r="O212" t="s">
        <v>276</v>
      </c>
      <c r="P212" t="s">
        <v>235</v>
      </c>
      <c r="Q212" t="s">
        <v>322</v>
      </c>
      <c r="R212" t="s">
        <v>66</v>
      </c>
      <c r="S212" t="s">
        <v>135</v>
      </c>
      <c r="T212">
        <v>5661</v>
      </c>
      <c r="U212" t="s">
        <v>51</v>
      </c>
      <c r="V212">
        <v>1096</v>
      </c>
      <c r="W212">
        <v>1205</v>
      </c>
      <c r="X212" t="s">
        <v>1749</v>
      </c>
      <c r="Y212" t="s">
        <v>1570</v>
      </c>
      <c r="Z212" t="s">
        <v>517</v>
      </c>
      <c r="AA212" t="s">
        <v>518</v>
      </c>
      <c r="AB212">
        <v>6945</v>
      </c>
      <c r="AC212">
        <v>3700</v>
      </c>
      <c r="AD212">
        <v>1504</v>
      </c>
      <c r="AE212">
        <v>390</v>
      </c>
      <c r="AF212">
        <v>64</v>
      </c>
      <c r="AG212">
        <v>3</v>
      </c>
      <c r="AH212">
        <v>5400</v>
      </c>
      <c r="AI212">
        <v>630</v>
      </c>
      <c r="AJ212">
        <v>542</v>
      </c>
      <c r="AK212">
        <v>1448</v>
      </c>
      <c r="AL212">
        <v>104</v>
      </c>
      <c r="AM212">
        <v>40</v>
      </c>
      <c r="AN212" t="s">
        <v>472</v>
      </c>
      <c r="AO212">
        <f>AVERAGE(Tabla2[[#This Row],[total_kills]:[rating]])</f>
        <v>3066.5263157894738</v>
      </c>
      <c r="AP212" t="str">
        <f>VLOOKUP(Tabla2[[#This Row],[KPI]],$AS$2:$AT$5,2,1)</f>
        <v>Bajo</v>
      </c>
    </row>
    <row r="213" spans="1:42" x14ac:dyDescent="0.3">
      <c r="A213">
        <v>8231</v>
      </c>
      <c r="B213" t="s">
        <v>3182</v>
      </c>
      <c r="C213" t="s">
        <v>3183</v>
      </c>
      <c r="D213">
        <v>26</v>
      </c>
      <c r="E213" t="s">
        <v>327</v>
      </c>
      <c r="F213" t="s">
        <v>3514</v>
      </c>
      <c r="G213" t="s">
        <v>3184</v>
      </c>
      <c r="H213">
        <v>9201</v>
      </c>
      <c r="I213">
        <v>9897</v>
      </c>
      <c r="J213" t="s">
        <v>3185</v>
      </c>
      <c r="K213" t="s">
        <v>540</v>
      </c>
      <c r="L213">
        <v>6</v>
      </c>
      <c r="M213">
        <v>536</v>
      </c>
      <c r="N213">
        <v>14203</v>
      </c>
      <c r="O213" t="s">
        <v>276</v>
      </c>
      <c r="P213" t="s">
        <v>434</v>
      </c>
      <c r="Q213" t="s">
        <v>905</v>
      </c>
      <c r="R213" t="s">
        <v>50</v>
      </c>
      <c r="S213" t="s">
        <v>67</v>
      </c>
      <c r="T213">
        <v>6393</v>
      </c>
      <c r="U213" t="s">
        <v>51</v>
      </c>
      <c r="V213">
        <v>1299</v>
      </c>
      <c r="W213">
        <v>1591</v>
      </c>
      <c r="X213" t="s">
        <v>2998</v>
      </c>
      <c r="Y213" t="s">
        <v>1570</v>
      </c>
      <c r="Z213" t="s">
        <v>427</v>
      </c>
      <c r="AA213" t="s">
        <v>363</v>
      </c>
      <c r="AB213">
        <v>7810</v>
      </c>
      <c r="AC213">
        <v>4194</v>
      </c>
      <c r="AD213">
        <v>1677</v>
      </c>
      <c r="AE213">
        <v>442</v>
      </c>
      <c r="AF213">
        <v>73</v>
      </c>
      <c r="AG213">
        <v>7</v>
      </c>
      <c r="AH213">
        <v>7125</v>
      </c>
      <c r="AI213">
        <v>88</v>
      </c>
      <c r="AJ213">
        <v>487</v>
      </c>
      <c r="AK213">
        <v>1309</v>
      </c>
      <c r="AL213">
        <v>193</v>
      </c>
      <c r="AM213">
        <v>30</v>
      </c>
      <c r="AN213" t="s">
        <v>950</v>
      </c>
      <c r="AO213">
        <f>AVERAGE(Tabla2[[#This Row],[total_kills]:[rating]])</f>
        <v>3328.05</v>
      </c>
      <c r="AP213" t="str">
        <f>VLOOKUP(Tabla2[[#This Row],[KPI]],$AS$2:$AT$5,2,1)</f>
        <v>Medio</v>
      </c>
    </row>
    <row r="214" spans="1:42" x14ac:dyDescent="0.3">
      <c r="A214">
        <v>12269</v>
      </c>
      <c r="B214" t="s">
        <v>2024</v>
      </c>
      <c r="C214" t="s">
        <v>2025</v>
      </c>
      <c r="D214">
        <v>27</v>
      </c>
      <c r="E214" t="s">
        <v>446</v>
      </c>
      <c r="F214" t="s">
        <v>1023</v>
      </c>
      <c r="G214" t="s">
        <v>1023</v>
      </c>
      <c r="H214">
        <v>21484</v>
      </c>
      <c r="I214">
        <v>20479</v>
      </c>
      <c r="J214" t="s">
        <v>2026</v>
      </c>
      <c r="K214" t="s">
        <v>645</v>
      </c>
      <c r="L214" t="s">
        <v>1146</v>
      </c>
      <c r="M214">
        <v>1178</v>
      </c>
      <c r="N214">
        <v>31522</v>
      </c>
      <c r="O214" t="s">
        <v>167</v>
      </c>
      <c r="P214" t="s">
        <v>202</v>
      </c>
      <c r="Q214" t="s">
        <v>276</v>
      </c>
      <c r="R214" t="s">
        <v>50</v>
      </c>
      <c r="S214" t="s">
        <v>96</v>
      </c>
      <c r="T214">
        <v>14727</v>
      </c>
      <c r="U214" t="s">
        <v>51</v>
      </c>
      <c r="V214">
        <v>3144</v>
      </c>
      <c r="W214">
        <v>3175</v>
      </c>
      <c r="X214" t="s">
        <v>285</v>
      </c>
      <c r="Y214">
        <v>1</v>
      </c>
      <c r="Z214" t="s">
        <v>1765</v>
      </c>
      <c r="AA214" t="s">
        <v>746</v>
      </c>
      <c r="AB214">
        <v>16795</v>
      </c>
      <c r="AC214">
        <v>9568</v>
      </c>
      <c r="AD214">
        <v>3819</v>
      </c>
      <c r="AE214">
        <v>1104</v>
      </c>
      <c r="AF214">
        <v>214</v>
      </c>
      <c r="AG214">
        <v>22</v>
      </c>
      <c r="AH214">
        <v>14087</v>
      </c>
      <c r="AI214">
        <v>2437</v>
      </c>
      <c r="AJ214">
        <v>1229</v>
      </c>
      <c r="AK214">
        <v>3341</v>
      </c>
      <c r="AL214">
        <v>325</v>
      </c>
      <c r="AM214">
        <v>133</v>
      </c>
      <c r="AN214" t="s">
        <v>464</v>
      </c>
      <c r="AO214">
        <f>AVERAGE(Tabla2[[#This Row],[total_kills]:[rating]])</f>
        <v>7439.2</v>
      </c>
      <c r="AP214" t="str">
        <f>VLOOKUP(Tabla2[[#This Row],[KPI]],$AS$2:$AT$5,2,1)</f>
        <v>Superior</v>
      </c>
    </row>
    <row r="215" spans="1:42" x14ac:dyDescent="0.3">
      <c r="A215">
        <v>12113</v>
      </c>
      <c r="B215" t="s">
        <v>2592</v>
      </c>
      <c r="C215" t="s">
        <v>2593</v>
      </c>
      <c r="D215">
        <v>22</v>
      </c>
      <c r="E215" t="s">
        <v>500</v>
      </c>
      <c r="F215" t="s">
        <v>715</v>
      </c>
      <c r="G215" t="s">
        <v>2594</v>
      </c>
      <c r="H215">
        <v>19280</v>
      </c>
      <c r="I215">
        <v>19771</v>
      </c>
      <c r="J215" t="s">
        <v>2026</v>
      </c>
      <c r="K215" t="s">
        <v>361</v>
      </c>
      <c r="L215" t="s">
        <v>2595</v>
      </c>
      <c r="M215">
        <v>1078</v>
      </c>
      <c r="N215">
        <v>27630</v>
      </c>
      <c r="O215" t="s">
        <v>905</v>
      </c>
      <c r="P215" t="s">
        <v>434</v>
      </c>
      <c r="Q215" t="s">
        <v>311</v>
      </c>
      <c r="R215" t="s">
        <v>67</v>
      </c>
      <c r="S215" t="s">
        <v>66</v>
      </c>
      <c r="T215">
        <v>13051</v>
      </c>
      <c r="U215" t="s">
        <v>51</v>
      </c>
      <c r="V215">
        <v>3784</v>
      </c>
      <c r="W215">
        <v>4016</v>
      </c>
      <c r="X215" t="s">
        <v>1570</v>
      </c>
      <c r="Y215" t="s">
        <v>362</v>
      </c>
      <c r="Z215" t="s">
        <v>54</v>
      </c>
      <c r="AA215" t="s">
        <v>906</v>
      </c>
      <c r="AB215">
        <v>14579</v>
      </c>
      <c r="AC215">
        <v>8349</v>
      </c>
      <c r="AD215">
        <v>3424</v>
      </c>
      <c r="AE215">
        <v>1047</v>
      </c>
      <c r="AF215">
        <v>213</v>
      </c>
      <c r="AG215">
        <v>18</v>
      </c>
      <c r="AH215">
        <v>12995</v>
      </c>
      <c r="AI215">
        <v>909</v>
      </c>
      <c r="AJ215">
        <v>1666</v>
      </c>
      <c r="AK215">
        <v>3301</v>
      </c>
      <c r="AL215">
        <v>310</v>
      </c>
      <c r="AM215">
        <v>154</v>
      </c>
      <c r="AN215" t="s">
        <v>295</v>
      </c>
      <c r="AO215">
        <f>AVERAGE(Tabla2[[#This Row],[total_kills]:[rating]])</f>
        <v>7135.5263157894733</v>
      </c>
      <c r="AP215" t="str">
        <f>VLOOKUP(Tabla2[[#This Row],[KPI]],$AS$2:$AT$5,2,1)</f>
        <v>Superior</v>
      </c>
    </row>
    <row r="216" spans="1:42" x14ac:dyDescent="0.3">
      <c r="A216">
        <v>4218</v>
      </c>
      <c r="B216" t="s">
        <v>3266</v>
      </c>
      <c r="C216" t="s">
        <v>3267</v>
      </c>
      <c r="D216">
        <v>30</v>
      </c>
      <c r="E216" t="s">
        <v>895</v>
      </c>
      <c r="F216" t="s">
        <v>2896</v>
      </c>
      <c r="G216" t="s">
        <v>3268</v>
      </c>
      <c r="H216">
        <v>7539</v>
      </c>
      <c r="I216">
        <v>8361</v>
      </c>
      <c r="J216" t="s">
        <v>2026</v>
      </c>
      <c r="K216" t="s">
        <v>1640</v>
      </c>
      <c r="L216" t="s">
        <v>612</v>
      </c>
      <c r="M216">
        <v>468</v>
      </c>
      <c r="N216">
        <v>12095</v>
      </c>
      <c r="O216" t="s">
        <v>144</v>
      </c>
      <c r="P216" t="s">
        <v>166</v>
      </c>
      <c r="Q216" t="s">
        <v>463</v>
      </c>
      <c r="R216" t="s">
        <v>67</v>
      </c>
      <c r="S216" t="s">
        <v>67</v>
      </c>
      <c r="T216">
        <v>5225</v>
      </c>
      <c r="U216" t="s">
        <v>51</v>
      </c>
      <c r="V216">
        <v>1037</v>
      </c>
      <c r="W216">
        <v>1224</v>
      </c>
      <c r="X216" t="s">
        <v>2667</v>
      </c>
      <c r="Y216" t="s">
        <v>950</v>
      </c>
      <c r="Z216" t="s">
        <v>3259</v>
      </c>
      <c r="AA216" t="s">
        <v>257</v>
      </c>
      <c r="AB216">
        <v>6870</v>
      </c>
      <c r="AC216">
        <v>3441</v>
      </c>
      <c r="AD216">
        <v>1336</v>
      </c>
      <c r="AE216">
        <v>376</v>
      </c>
      <c r="AF216">
        <v>62</v>
      </c>
      <c r="AG216">
        <v>10</v>
      </c>
      <c r="AH216">
        <v>4927</v>
      </c>
      <c r="AI216">
        <v>741</v>
      </c>
      <c r="AJ216">
        <v>455</v>
      </c>
      <c r="AK216">
        <v>1311</v>
      </c>
      <c r="AL216">
        <v>109</v>
      </c>
      <c r="AM216">
        <v>22</v>
      </c>
      <c r="AN216" t="s">
        <v>1749</v>
      </c>
      <c r="AO216">
        <f>AVERAGE(Tabla2[[#This Row],[total_kills]:[rating]])</f>
        <v>2926.7894736842104</v>
      </c>
      <c r="AP216" t="str">
        <f>VLOOKUP(Tabla2[[#This Row],[KPI]],$AS$2:$AT$5,2,1)</f>
        <v>Bajo</v>
      </c>
    </row>
    <row r="217" spans="1:42" x14ac:dyDescent="0.3">
      <c r="A217">
        <v>7528</v>
      </c>
      <c r="B217" t="s">
        <v>1403</v>
      </c>
      <c r="C217" t="s">
        <v>1404</v>
      </c>
      <c r="D217">
        <v>28</v>
      </c>
      <c r="E217" t="s">
        <v>545</v>
      </c>
      <c r="F217" t="s">
        <v>605</v>
      </c>
      <c r="G217" t="s">
        <v>605</v>
      </c>
      <c r="H217">
        <v>33075</v>
      </c>
      <c r="I217">
        <v>30004</v>
      </c>
      <c r="J217" t="s">
        <v>1405</v>
      </c>
      <c r="K217" t="s">
        <v>418</v>
      </c>
      <c r="L217" t="s">
        <v>294</v>
      </c>
      <c r="M217">
        <v>1791</v>
      </c>
      <c r="N217">
        <v>47130</v>
      </c>
      <c r="O217" t="s">
        <v>905</v>
      </c>
      <c r="P217" t="s">
        <v>166</v>
      </c>
      <c r="Q217" t="s">
        <v>65</v>
      </c>
      <c r="R217" t="s">
        <v>96</v>
      </c>
      <c r="S217" t="s">
        <v>50</v>
      </c>
      <c r="T217">
        <v>22418</v>
      </c>
      <c r="U217" t="s">
        <v>51</v>
      </c>
      <c r="V217">
        <v>4166</v>
      </c>
      <c r="W217">
        <v>3869</v>
      </c>
      <c r="X217" t="s">
        <v>277</v>
      </c>
      <c r="Y217" t="s">
        <v>503</v>
      </c>
      <c r="Z217" t="s">
        <v>183</v>
      </c>
      <c r="AA217" t="s">
        <v>828</v>
      </c>
      <c r="AB217">
        <v>24712</v>
      </c>
      <c r="AC217">
        <v>14335</v>
      </c>
      <c r="AD217">
        <v>5934</v>
      </c>
      <c r="AE217">
        <v>1795</v>
      </c>
      <c r="AF217">
        <v>321</v>
      </c>
      <c r="AG217">
        <v>33</v>
      </c>
      <c r="AH217">
        <v>24818</v>
      </c>
      <c r="AI217">
        <v>744</v>
      </c>
      <c r="AJ217">
        <v>1307</v>
      </c>
      <c r="AK217">
        <v>5724</v>
      </c>
      <c r="AL217">
        <v>378</v>
      </c>
      <c r="AM217">
        <v>156</v>
      </c>
      <c r="AN217" t="s">
        <v>304</v>
      </c>
      <c r="AO217">
        <f>AVERAGE(Tabla2[[#This Row],[total_kills]:[rating]])</f>
        <v>11721.578947368422</v>
      </c>
      <c r="AP217" t="str">
        <f>VLOOKUP(Tabla2[[#This Row],[KPI]],$AS$2:$AT$5,2,1)</f>
        <v>Superior</v>
      </c>
    </row>
    <row r="218" spans="1:42" x14ac:dyDescent="0.3">
      <c r="A218">
        <v>7382</v>
      </c>
      <c r="B218" t="s">
        <v>1934</v>
      </c>
      <c r="C218" t="s">
        <v>3006</v>
      </c>
      <c r="D218">
        <v>28</v>
      </c>
      <c r="E218" t="s">
        <v>104</v>
      </c>
      <c r="F218" t="s">
        <v>1714</v>
      </c>
      <c r="G218" t="s">
        <v>3007</v>
      </c>
      <c r="H218">
        <v>24479</v>
      </c>
      <c r="I218">
        <v>25364</v>
      </c>
      <c r="J218" t="s">
        <v>1405</v>
      </c>
      <c r="K218" t="s">
        <v>862</v>
      </c>
      <c r="L218" t="s">
        <v>589</v>
      </c>
      <c r="M218">
        <v>1452</v>
      </c>
      <c r="N218">
        <v>37974</v>
      </c>
      <c r="O218" t="s">
        <v>65</v>
      </c>
      <c r="P218" t="s">
        <v>202</v>
      </c>
      <c r="Q218" t="s">
        <v>225</v>
      </c>
      <c r="R218" t="s">
        <v>50</v>
      </c>
      <c r="S218" t="s">
        <v>96</v>
      </c>
      <c r="T218">
        <v>17126</v>
      </c>
      <c r="U218" t="s">
        <v>51</v>
      </c>
      <c r="V218">
        <v>3323</v>
      </c>
      <c r="W218">
        <v>3583</v>
      </c>
      <c r="X218" t="s">
        <v>950</v>
      </c>
      <c r="Y218" t="s">
        <v>820</v>
      </c>
      <c r="Z218" t="s">
        <v>70</v>
      </c>
      <c r="AA218" t="s">
        <v>1083</v>
      </c>
      <c r="AB218">
        <v>20848</v>
      </c>
      <c r="AC218">
        <v>11449</v>
      </c>
      <c r="AD218">
        <v>4267</v>
      </c>
      <c r="AE218">
        <v>1175</v>
      </c>
      <c r="AF218">
        <v>214</v>
      </c>
      <c r="AG218">
        <v>21</v>
      </c>
      <c r="AH218">
        <v>17974</v>
      </c>
      <c r="AI218">
        <v>350</v>
      </c>
      <c r="AJ218">
        <v>1752</v>
      </c>
      <c r="AK218">
        <v>3940</v>
      </c>
      <c r="AL218">
        <v>335</v>
      </c>
      <c r="AM218">
        <v>175</v>
      </c>
      <c r="AN218" t="s">
        <v>820</v>
      </c>
      <c r="AO218">
        <f>AVERAGE(Tabla2[[#This Row],[total_kills]:[rating]])</f>
        <v>9252.6842105263149</v>
      </c>
      <c r="AP218" t="str">
        <f>VLOOKUP(Tabla2[[#This Row],[KPI]],$AS$2:$AT$5,2,1)</f>
        <v>Superior</v>
      </c>
    </row>
    <row r="219" spans="1:42" x14ac:dyDescent="0.3">
      <c r="A219">
        <v>9289</v>
      </c>
      <c r="B219" t="s">
        <v>1883</v>
      </c>
      <c r="C219" t="s">
        <v>1884</v>
      </c>
      <c r="D219">
        <v>24</v>
      </c>
      <c r="E219" t="s">
        <v>477</v>
      </c>
      <c r="F219" t="s">
        <v>593</v>
      </c>
      <c r="G219" t="s">
        <v>1555</v>
      </c>
      <c r="H219">
        <v>10674</v>
      </c>
      <c r="I219">
        <v>10394</v>
      </c>
      <c r="J219" t="s">
        <v>1885</v>
      </c>
      <c r="K219" t="s">
        <v>253</v>
      </c>
      <c r="L219" t="s">
        <v>541</v>
      </c>
      <c r="M219">
        <v>584</v>
      </c>
      <c r="N219">
        <v>15180</v>
      </c>
      <c r="O219" t="s">
        <v>905</v>
      </c>
      <c r="P219" t="s">
        <v>553</v>
      </c>
      <c r="Q219" t="s">
        <v>167</v>
      </c>
      <c r="R219" t="s">
        <v>96</v>
      </c>
      <c r="S219" t="s">
        <v>96</v>
      </c>
      <c r="T219">
        <v>7111</v>
      </c>
      <c r="U219" t="s">
        <v>51</v>
      </c>
      <c r="V219">
        <v>1651</v>
      </c>
      <c r="W219">
        <v>1819</v>
      </c>
      <c r="X219" t="s">
        <v>1749</v>
      </c>
      <c r="Y219" t="s">
        <v>255</v>
      </c>
      <c r="Z219" t="s">
        <v>718</v>
      </c>
      <c r="AA219" t="s">
        <v>789</v>
      </c>
      <c r="AB219">
        <v>8069</v>
      </c>
      <c r="AC219">
        <v>4432</v>
      </c>
      <c r="AD219">
        <v>1932</v>
      </c>
      <c r="AE219">
        <v>620</v>
      </c>
      <c r="AF219">
        <v>117</v>
      </c>
      <c r="AG219">
        <v>10</v>
      </c>
      <c r="AH219">
        <v>7580</v>
      </c>
      <c r="AI219">
        <v>503</v>
      </c>
      <c r="AJ219">
        <v>651</v>
      </c>
      <c r="AK219">
        <v>1839</v>
      </c>
      <c r="AL219">
        <v>95</v>
      </c>
      <c r="AM219">
        <v>31</v>
      </c>
      <c r="AN219" t="s">
        <v>449</v>
      </c>
      <c r="AO219">
        <f>AVERAGE(Tabla2[[#This Row],[total_kills]:[rating]])</f>
        <v>3857.4736842105262</v>
      </c>
      <c r="AP219" t="str">
        <f>VLOOKUP(Tabla2[[#This Row],[KPI]],$AS$2:$AT$5,2,1)</f>
        <v>Medio</v>
      </c>
    </row>
    <row r="220" spans="1:42" x14ac:dyDescent="0.3">
      <c r="A220">
        <v>2469</v>
      </c>
      <c r="B220" t="s">
        <v>1374</v>
      </c>
      <c r="C220" t="s">
        <v>1375</v>
      </c>
      <c r="D220">
        <v>32</v>
      </c>
      <c r="E220" t="s">
        <v>196</v>
      </c>
      <c r="F220" t="s">
        <v>1376</v>
      </c>
      <c r="G220" t="s">
        <v>1377</v>
      </c>
      <c r="H220">
        <v>31980</v>
      </c>
      <c r="I220">
        <v>29096</v>
      </c>
      <c r="J220" t="s">
        <v>1378</v>
      </c>
      <c r="K220" t="s">
        <v>601</v>
      </c>
      <c r="L220" t="s">
        <v>390</v>
      </c>
      <c r="M220">
        <v>1745</v>
      </c>
      <c r="N220">
        <v>45680</v>
      </c>
      <c r="O220" t="s">
        <v>905</v>
      </c>
      <c r="P220" t="s">
        <v>48</v>
      </c>
      <c r="Q220" t="s">
        <v>65</v>
      </c>
      <c r="R220" t="s">
        <v>96</v>
      </c>
      <c r="S220" t="s">
        <v>50</v>
      </c>
      <c r="T220">
        <v>21552</v>
      </c>
      <c r="U220" t="s">
        <v>51</v>
      </c>
      <c r="V220">
        <v>4269</v>
      </c>
      <c r="W220">
        <v>3762</v>
      </c>
      <c r="X220" t="s">
        <v>98</v>
      </c>
      <c r="Y220">
        <v>1</v>
      </c>
      <c r="Z220" t="s">
        <v>347</v>
      </c>
      <c r="AA220" t="s">
        <v>1379</v>
      </c>
      <c r="AB220">
        <v>24128</v>
      </c>
      <c r="AC220">
        <v>13704</v>
      </c>
      <c r="AD220">
        <v>5692</v>
      </c>
      <c r="AE220">
        <v>1795</v>
      </c>
      <c r="AF220">
        <v>329</v>
      </c>
      <c r="AG220">
        <v>32</v>
      </c>
      <c r="AH220">
        <v>19160</v>
      </c>
      <c r="AI220">
        <v>5310</v>
      </c>
      <c r="AJ220">
        <v>1048</v>
      </c>
      <c r="AK220">
        <v>6084</v>
      </c>
      <c r="AL220">
        <v>326</v>
      </c>
      <c r="AM220">
        <v>91</v>
      </c>
      <c r="AN220" t="s">
        <v>304</v>
      </c>
      <c r="AO220">
        <f>AVERAGE(Tabla2[[#This Row],[total_kills]:[rating]])</f>
        <v>10789.2</v>
      </c>
      <c r="AP220" t="str">
        <f>VLOOKUP(Tabla2[[#This Row],[KPI]],$AS$2:$AT$5,2,1)</f>
        <v>Superior</v>
      </c>
    </row>
    <row r="221" spans="1:42" x14ac:dyDescent="0.3">
      <c r="A221">
        <v>8764</v>
      </c>
      <c r="B221" t="s">
        <v>1522</v>
      </c>
      <c r="C221" t="s">
        <v>1523</v>
      </c>
      <c r="D221">
        <v>25</v>
      </c>
      <c r="E221" t="s">
        <v>150</v>
      </c>
      <c r="F221" t="s">
        <v>3514</v>
      </c>
      <c r="G221" t="s">
        <v>1524</v>
      </c>
      <c r="H221">
        <v>11142</v>
      </c>
      <c r="I221">
        <v>10475</v>
      </c>
      <c r="J221" t="s">
        <v>1378</v>
      </c>
      <c r="K221">
        <v>79</v>
      </c>
      <c r="L221" t="s">
        <v>93</v>
      </c>
      <c r="M221">
        <v>618</v>
      </c>
      <c r="N221">
        <v>15666</v>
      </c>
      <c r="O221" t="s">
        <v>646</v>
      </c>
      <c r="P221" t="s">
        <v>553</v>
      </c>
      <c r="Q221" t="s">
        <v>225</v>
      </c>
      <c r="R221" t="s">
        <v>67</v>
      </c>
      <c r="S221" t="s">
        <v>50</v>
      </c>
      <c r="T221">
        <v>7441</v>
      </c>
      <c r="U221" t="s">
        <v>51</v>
      </c>
      <c r="V221">
        <v>1564</v>
      </c>
      <c r="W221">
        <v>1626</v>
      </c>
      <c r="X221" t="s">
        <v>472</v>
      </c>
      <c r="Y221" t="s">
        <v>285</v>
      </c>
      <c r="Z221" t="s">
        <v>246</v>
      </c>
      <c r="AA221" t="s">
        <v>933</v>
      </c>
      <c r="AB221">
        <v>8225</v>
      </c>
      <c r="AC221">
        <v>4653</v>
      </c>
      <c r="AD221">
        <v>2034</v>
      </c>
      <c r="AE221">
        <v>618</v>
      </c>
      <c r="AF221">
        <v>115</v>
      </c>
      <c r="AG221">
        <v>21</v>
      </c>
      <c r="AH221">
        <v>8186</v>
      </c>
      <c r="AI221">
        <v>98</v>
      </c>
      <c r="AJ221">
        <v>846</v>
      </c>
      <c r="AK221">
        <v>1883</v>
      </c>
      <c r="AL221">
        <v>117</v>
      </c>
      <c r="AM221">
        <v>32</v>
      </c>
      <c r="AN221" t="s">
        <v>407</v>
      </c>
      <c r="AO221">
        <f>AVERAGE(Tabla2[[#This Row],[total_kills]:[rating]])</f>
        <v>3771.95</v>
      </c>
      <c r="AP221" t="str">
        <f>VLOOKUP(Tabla2[[#This Row],[KPI]],$AS$2:$AT$5,2,1)</f>
        <v>Medio</v>
      </c>
    </row>
    <row r="222" spans="1:42" x14ac:dyDescent="0.3">
      <c r="A222">
        <v>15428</v>
      </c>
      <c r="B222" t="s">
        <v>1924</v>
      </c>
      <c r="C222" t="s">
        <v>1925</v>
      </c>
      <c r="D222">
        <v>21</v>
      </c>
      <c r="E222" t="s">
        <v>327</v>
      </c>
      <c r="F222" t="s">
        <v>3514</v>
      </c>
      <c r="G222" t="s">
        <v>1926</v>
      </c>
      <c r="H222">
        <v>21149</v>
      </c>
      <c r="I222">
        <v>20816</v>
      </c>
      <c r="J222" t="s">
        <v>1927</v>
      </c>
      <c r="K222" t="s">
        <v>79</v>
      </c>
      <c r="L222" t="s">
        <v>949</v>
      </c>
      <c r="M222">
        <v>1110</v>
      </c>
      <c r="N222">
        <v>30021</v>
      </c>
      <c r="O222" t="s">
        <v>905</v>
      </c>
      <c r="P222" t="s">
        <v>166</v>
      </c>
      <c r="Q222" t="s">
        <v>463</v>
      </c>
      <c r="R222" t="s">
        <v>50</v>
      </c>
      <c r="S222" t="s">
        <v>67</v>
      </c>
      <c r="T222">
        <v>14098</v>
      </c>
      <c r="U222" t="s">
        <v>51</v>
      </c>
      <c r="V222">
        <v>3181</v>
      </c>
      <c r="W222">
        <v>3490</v>
      </c>
      <c r="X222" t="s">
        <v>1749</v>
      </c>
      <c r="Y222">
        <v>1</v>
      </c>
      <c r="Z222" t="s">
        <v>1765</v>
      </c>
      <c r="AA222" t="s">
        <v>1774</v>
      </c>
      <c r="AB222">
        <v>15923</v>
      </c>
      <c r="AC222">
        <v>8888</v>
      </c>
      <c r="AD222">
        <v>3691</v>
      </c>
      <c r="AE222">
        <v>1223</v>
      </c>
      <c r="AF222">
        <v>270</v>
      </c>
      <c r="AG222">
        <v>26</v>
      </c>
      <c r="AH222">
        <v>15308</v>
      </c>
      <c r="AI222">
        <v>333</v>
      </c>
      <c r="AJ222">
        <v>1303</v>
      </c>
      <c r="AK222">
        <v>3953</v>
      </c>
      <c r="AL222">
        <v>282</v>
      </c>
      <c r="AM222">
        <v>45</v>
      </c>
      <c r="AN222" t="s">
        <v>277</v>
      </c>
      <c r="AO222">
        <f>AVERAGE(Tabla2[[#This Row],[total_kills]:[rating]])</f>
        <v>7255.55</v>
      </c>
      <c r="AP222" t="str">
        <f>VLOOKUP(Tabla2[[#This Row],[KPI]],$AS$2:$AT$5,2,1)</f>
        <v>Superior</v>
      </c>
    </row>
    <row r="223" spans="1:42" x14ac:dyDescent="0.3">
      <c r="A223">
        <v>9295</v>
      </c>
      <c r="B223" t="s">
        <v>3312</v>
      </c>
      <c r="C223" t="s">
        <v>3313</v>
      </c>
      <c r="D223">
        <v>26</v>
      </c>
      <c r="E223" t="s">
        <v>196</v>
      </c>
      <c r="F223" t="s">
        <v>188</v>
      </c>
      <c r="G223" t="s">
        <v>3314</v>
      </c>
      <c r="H223">
        <v>8771</v>
      </c>
      <c r="I223">
        <v>9749</v>
      </c>
      <c r="J223" t="s">
        <v>1927</v>
      </c>
      <c r="K223" t="s">
        <v>1764</v>
      </c>
      <c r="L223" t="s">
        <v>201</v>
      </c>
      <c r="M223">
        <v>553</v>
      </c>
      <c r="N223">
        <v>14608</v>
      </c>
      <c r="O223" t="s">
        <v>134</v>
      </c>
      <c r="P223" t="s">
        <v>166</v>
      </c>
      <c r="Q223" t="s">
        <v>225</v>
      </c>
      <c r="R223" t="s">
        <v>50</v>
      </c>
      <c r="S223" t="s">
        <v>96</v>
      </c>
      <c r="T223">
        <v>6241</v>
      </c>
      <c r="U223" t="s">
        <v>51</v>
      </c>
      <c r="V223">
        <v>1024</v>
      </c>
      <c r="W223">
        <v>1202</v>
      </c>
      <c r="X223" t="s">
        <v>2667</v>
      </c>
      <c r="Y223" t="s">
        <v>2315</v>
      </c>
      <c r="Z223" t="s">
        <v>1310</v>
      </c>
      <c r="AA223" t="s">
        <v>2068</v>
      </c>
      <c r="AB223">
        <v>8367</v>
      </c>
      <c r="AC223">
        <v>4244</v>
      </c>
      <c r="AD223">
        <v>1542</v>
      </c>
      <c r="AE223">
        <v>384</v>
      </c>
      <c r="AF223">
        <v>64</v>
      </c>
      <c r="AG223">
        <v>7</v>
      </c>
      <c r="AH223">
        <v>5953</v>
      </c>
      <c r="AI223">
        <v>212</v>
      </c>
      <c r="AJ223">
        <v>755</v>
      </c>
      <c r="AK223">
        <v>1731</v>
      </c>
      <c r="AL223">
        <v>113</v>
      </c>
      <c r="AM223">
        <v>26</v>
      </c>
      <c r="AN223" t="s">
        <v>1906</v>
      </c>
      <c r="AO223">
        <f>AVERAGE(Tabla2[[#This Row],[total_kills]:[rating]])</f>
        <v>3449.7894736842104</v>
      </c>
      <c r="AP223" t="str">
        <f>VLOOKUP(Tabla2[[#This Row],[KPI]],$AS$2:$AT$5,2,1)</f>
        <v>Medio</v>
      </c>
    </row>
    <row r="224" spans="1:42" x14ac:dyDescent="0.3">
      <c r="A224">
        <v>11893</v>
      </c>
      <c r="B224" t="s">
        <v>40</v>
      </c>
      <c r="C224" t="s">
        <v>41</v>
      </c>
      <c r="D224">
        <v>21</v>
      </c>
      <c r="E224" t="s">
        <v>42</v>
      </c>
      <c r="F224" t="s">
        <v>43</v>
      </c>
      <c r="G224" t="s">
        <v>44</v>
      </c>
      <c r="H224">
        <v>22622</v>
      </c>
      <c r="I224">
        <v>16458</v>
      </c>
      <c r="J224" t="s">
        <v>45</v>
      </c>
      <c r="K224">
        <v>88</v>
      </c>
      <c r="L224" t="s">
        <v>46</v>
      </c>
      <c r="M224">
        <v>1020</v>
      </c>
      <c r="N224">
        <v>26803</v>
      </c>
      <c r="O224" t="s">
        <v>47</v>
      </c>
      <c r="P224" t="s">
        <v>48</v>
      </c>
      <c r="Q224" t="s">
        <v>49</v>
      </c>
      <c r="R224" t="s">
        <v>50</v>
      </c>
      <c r="S224" t="s">
        <v>48</v>
      </c>
      <c r="T224">
        <v>14196</v>
      </c>
      <c r="U224" t="s">
        <v>51</v>
      </c>
      <c r="V224">
        <v>4152</v>
      </c>
      <c r="W224">
        <v>2592</v>
      </c>
      <c r="X224" t="s">
        <v>52</v>
      </c>
      <c r="Y224" t="s">
        <v>53</v>
      </c>
      <c r="Z224" t="s">
        <v>54</v>
      </c>
      <c r="AA224" t="s">
        <v>55</v>
      </c>
      <c r="AB224">
        <v>12607</v>
      </c>
      <c r="AC224">
        <v>8195</v>
      </c>
      <c r="AD224">
        <v>4087</v>
      </c>
      <c r="AE224">
        <v>1474</v>
      </c>
      <c r="AF224">
        <v>369</v>
      </c>
      <c r="AG224">
        <v>71</v>
      </c>
      <c r="AH224">
        <v>8261</v>
      </c>
      <c r="AI224">
        <v>8552</v>
      </c>
      <c r="AJ224">
        <v>1290</v>
      </c>
      <c r="AK224">
        <v>4262</v>
      </c>
      <c r="AL224">
        <v>260</v>
      </c>
      <c r="AM224">
        <v>49</v>
      </c>
      <c r="AN224" t="s">
        <v>56</v>
      </c>
      <c r="AO224">
        <f>AVERAGE(Tabla2[[#This Row],[total_kills]:[rating]])</f>
        <v>6870.4</v>
      </c>
      <c r="AP224" t="str">
        <f>VLOOKUP(Tabla2[[#This Row],[KPI]],$AS$2:$AT$5,2,1)</f>
        <v>Alto</v>
      </c>
    </row>
    <row r="225" spans="1:42" x14ac:dyDescent="0.3">
      <c r="A225">
        <v>7429</v>
      </c>
      <c r="B225" t="s">
        <v>1225</v>
      </c>
      <c r="C225" t="s">
        <v>1226</v>
      </c>
      <c r="D225">
        <v>30</v>
      </c>
      <c r="E225" t="s">
        <v>42</v>
      </c>
      <c r="F225" t="s">
        <v>3514</v>
      </c>
      <c r="G225" t="s">
        <v>1227</v>
      </c>
      <c r="H225">
        <v>28022</v>
      </c>
      <c r="I225">
        <v>25277</v>
      </c>
      <c r="J225" t="s">
        <v>45</v>
      </c>
      <c r="K225" t="s">
        <v>960</v>
      </c>
      <c r="L225" t="s">
        <v>179</v>
      </c>
      <c r="M225">
        <v>1464</v>
      </c>
      <c r="N225">
        <v>37933</v>
      </c>
      <c r="O225" t="s">
        <v>283</v>
      </c>
      <c r="P225" t="s">
        <v>48</v>
      </c>
      <c r="Q225" t="s">
        <v>225</v>
      </c>
      <c r="R225" t="s">
        <v>1228</v>
      </c>
      <c r="S225" t="s">
        <v>135</v>
      </c>
      <c r="T225">
        <v>19093</v>
      </c>
      <c r="U225" t="s">
        <v>51</v>
      </c>
      <c r="V225">
        <v>3392</v>
      </c>
      <c r="W225">
        <v>2451</v>
      </c>
      <c r="X225" t="s">
        <v>1229</v>
      </c>
      <c r="Y225" t="s">
        <v>255</v>
      </c>
      <c r="Z225" t="s">
        <v>1230</v>
      </c>
      <c r="AA225" t="s">
        <v>888</v>
      </c>
      <c r="AB225">
        <v>18840</v>
      </c>
      <c r="AC225">
        <v>12242</v>
      </c>
      <c r="AD225">
        <v>5129</v>
      </c>
      <c r="AE225">
        <v>1444</v>
      </c>
      <c r="AF225">
        <v>254</v>
      </c>
      <c r="AG225">
        <v>24</v>
      </c>
      <c r="AH225">
        <v>17098</v>
      </c>
      <c r="AI225">
        <v>2853</v>
      </c>
      <c r="AJ225">
        <v>1662</v>
      </c>
      <c r="AK225">
        <v>5911</v>
      </c>
      <c r="AL225">
        <v>408</v>
      </c>
      <c r="AM225">
        <v>113</v>
      </c>
      <c r="AN225" t="s">
        <v>590</v>
      </c>
      <c r="AO225">
        <f>AVERAGE(Tabla2[[#This Row],[total_kills]:[rating]])</f>
        <v>9663.6842105263149</v>
      </c>
      <c r="AP225" t="str">
        <f>VLOOKUP(Tabla2[[#This Row],[KPI]],$AS$2:$AT$5,2,1)</f>
        <v>Superior</v>
      </c>
    </row>
    <row r="226" spans="1:42" x14ac:dyDescent="0.3">
      <c r="A226">
        <v>12590</v>
      </c>
      <c r="B226" t="s">
        <v>3018</v>
      </c>
      <c r="C226" t="s">
        <v>3019</v>
      </c>
      <c r="D226">
        <v>24</v>
      </c>
      <c r="E226" t="s">
        <v>150</v>
      </c>
      <c r="F226" t="s">
        <v>3514</v>
      </c>
      <c r="G226" t="s">
        <v>3020</v>
      </c>
      <c r="H226">
        <v>9148</v>
      </c>
      <c r="I226">
        <v>9558</v>
      </c>
      <c r="J226" t="s">
        <v>45</v>
      </c>
      <c r="K226" t="s">
        <v>2727</v>
      </c>
      <c r="L226" t="s">
        <v>294</v>
      </c>
      <c r="M226">
        <v>554</v>
      </c>
      <c r="N226">
        <v>14231</v>
      </c>
      <c r="O226" t="s">
        <v>65</v>
      </c>
      <c r="P226" t="s">
        <v>235</v>
      </c>
      <c r="Q226" t="s">
        <v>225</v>
      </c>
      <c r="R226" t="s">
        <v>67</v>
      </c>
      <c r="S226" t="s">
        <v>50</v>
      </c>
      <c r="T226">
        <v>6320</v>
      </c>
      <c r="U226" t="s">
        <v>51</v>
      </c>
      <c r="V226">
        <v>1217</v>
      </c>
      <c r="W226">
        <v>1435</v>
      </c>
      <c r="X226" t="s">
        <v>2667</v>
      </c>
      <c r="Y226" t="s">
        <v>950</v>
      </c>
      <c r="Z226" t="s">
        <v>567</v>
      </c>
      <c r="AA226" t="s">
        <v>287</v>
      </c>
      <c r="AB226">
        <v>7911</v>
      </c>
      <c r="AC226">
        <v>4143</v>
      </c>
      <c r="AD226">
        <v>1617</v>
      </c>
      <c r="AE226">
        <v>473</v>
      </c>
      <c r="AF226">
        <v>83</v>
      </c>
      <c r="AG226">
        <v>4</v>
      </c>
      <c r="AH226">
        <v>6687</v>
      </c>
      <c r="AI226">
        <v>101</v>
      </c>
      <c r="AJ226">
        <v>713</v>
      </c>
      <c r="AK226">
        <v>1537</v>
      </c>
      <c r="AL226">
        <v>129</v>
      </c>
      <c r="AM226">
        <v>26</v>
      </c>
      <c r="AN226" t="s">
        <v>255</v>
      </c>
      <c r="AO226">
        <f>AVERAGE(Tabla2[[#This Row],[total_kills]:[rating]])</f>
        <v>3467.7368421052633</v>
      </c>
      <c r="AP226" t="str">
        <f>VLOOKUP(Tabla2[[#This Row],[KPI]],$AS$2:$AT$5,2,1)</f>
        <v>Medio</v>
      </c>
    </row>
    <row r="227" spans="1:42" x14ac:dyDescent="0.3">
      <c r="A227">
        <v>3631</v>
      </c>
      <c r="B227" t="s">
        <v>3171</v>
      </c>
      <c r="C227" t="s">
        <v>3172</v>
      </c>
      <c r="D227">
        <v>31</v>
      </c>
      <c r="E227" t="s">
        <v>1070</v>
      </c>
      <c r="F227" t="s">
        <v>599</v>
      </c>
      <c r="G227" t="s">
        <v>3173</v>
      </c>
      <c r="H227">
        <v>7641</v>
      </c>
      <c r="I227">
        <v>8243</v>
      </c>
      <c r="J227" t="s">
        <v>45</v>
      </c>
      <c r="K227">
        <v>63</v>
      </c>
      <c r="L227">
        <v>3</v>
      </c>
      <c r="M227">
        <v>460</v>
      </c>
      <c r="N227">
        <v>11957</v>
      </c>
      <c r="O227" t="s">
        <v>65</v>
      </c>
      <c r="P227" t="s">
        <v>48</v>
      </c>
      <c r="Q227" t="s">
        <v>463</v>
      </c>
      <c r="R227" t="s">
        <v>96</v>
      </c>
      <c r="S227" t="s">
        <v>135</v>
      </c>
      <c r="T227">
        <v>5247</v>
      </c>
      <c r="U227" t="s">
        <v>51</v>
      </c>
      <c r="V227">
        <v>1299</v>
      </c>
      <c r="W227">
        <v>1297</v>
      </c>
      <c r="X227">
        <v>1</v>
      </c>
      <c r="Y227" t="s">
        <v>412</v>
      </c>
      <c r="Z227" t="s">
        <v>137</v>
      </c>
      <c r="AA227" t="s">
        <v>882</v>
      </c>
      <c r="AB227">
        <v>6710</v>
      </c>
      <c r="AC227">
        <v>3414</v>
      </c>
      <c r="AD227">
        <v>1376</v>
      </c>
      <c r="AE227">
        <v>381</v>
      </c>
      <c r="AF227">
        <v>64</v>
      </c>
      <c r="AG227">
        <v>12</v>
      </c>
      <c r="AH227">
        <v>3342</v>
      </c>
      <c r="AI227">
        <v>2452</v>
      </c>
      <c r="AJ227">
        <v>253</v>
      </c>
      <c r="AK227">
        <v>1456</v>
      </c>
      <c r="AL227">
        <v>99</v>
      </c>
      <c r="AM227">
        <v>48</v>
      </c>
      <c r="AN227" t="s">
        <v>950</v>
      </c>
      <c r="AO227">
        <f>AVERAGE(Tabla2[[#This Row],[total_kills]:[rating]])</f>
        <v>2537.181818181818</v>
      </c>
      <c r="AP227" t="str">
        <f>VLOOKUP(Tabla2[[#This Row],[KPI]],$AS$2:$AT$5,2,1)</f>
        <v>Bajo</v>
      </c>
    </row>
    <row r="228" spans="1:42" x14ac:dyDescent="0.3">
      <c r="A228">
        <v>7998</v>
      </c>
      <c r="B228" t="s">
        <v>57</v>
      </c>
      <c r="C228" t="s">
        <v>58</v>
      </c>
      <c r="D228">
        <v>24</v>
      </c>
      <c r="E228" t="s">
        <v>59</v>
      </c>
      <c r="F228" t="s">
        <v>60</v>
      </c>
      <c r="G228" t="s">
        <v>60</v>
      </c>
      <c r="H228">
        <v>35512</v>
      </c>
      <c r="I228">
        <v>26413</v>
      </c>
      <c r="J228" t="s">
        <v>61</v>
      </c>
      <c r="K228" t="s">
        <v>62</v>
      </c>
      <c r="L228" t="s">
        <v>63</v>
      </c>
      <c r="M228">
        <v>1571</v>
      </c>
      <c r="N228">
        <v>41491</v>
      </c>
      <c r="O228" t="s">
        <v>64</v>
      </c>
      <c r="P228" t="s">
        <v>50</v>
      </c>
      <c r="Q228" t="s">
        <v>65</v>
      </c>
      <c r="R228" t="s">
        <v>66</v>
      </c>
      <c r="S228" t="s">
        <v>67</v>
      </c>
      <c r="T228">
        <v>22559</v>
      </c>
      <c r="U228" t="s">
        <v>51</v>
      </c>
      <c r="V228">
        <v>6014</v>
      </c>
      <c r="W228">
        <v>3734</v>
      </c>
      <c r="X228" t="s">
        <v>68</v>
      </c>
      <c r="Y228" t="s">
        <v>69</v>
      </c>
      <c r="Z228" t="s">
        <v>70</v>
      </c>
      <c r="AA228" t="s">
        <v>71</v>
      </c>
      <c r="AB228">
        <v>18932</v>
      </c>
      <c r="AC228">
        <v>13085</v>
      </c>
      <c r="AD228">
        <v>6644</v>
      </c>
      <c r="AE228">
        <v>2262</v>
      </c>
      <c r="AF228">
        <v>504</v>
      </c>
      <c r="AG228">
        <v>64</v>
      </c>
      <c r="AH228">
        <v>14717</v>
      </c>
      <c r="AI228">
        <v>13451</v>
      </c>
      <c r="AJ228">
        <v>901</v>
      </c>
      <c r="AK228">
        <v>6057</v>
      </c>
      <c r="AL228">
        <v>199</v>
      </c>
      <c r="AM228">
        <v>254</v>
      </c>
      <c r="AN228" t="s">
        <v>72</v>
      </c>
      <c r="AO228">
        <f>AVERAGE(Tabla2[[#This Row],[total_kills]:[rating]])</f>
        <v>11282.315789473685</v>
      </c>
      <c r="AP228" t="str">
        <f>VLOOKUP(Tabla2[[#This Row],[KPI]],$AS$2:$AT$5,2,1)</f>
        <v>Superior</v>
      </c>
    </row>
    <row r="229" spans="1:42" x14ac:dyDescent="0.3">
      <c r="A229">
        <v>7443</v>
      </c>
      <c r="B229" t="s">
        <v>1595</v>
      </c>
      <c r="C229" t="s">
        <v>1596</v>
      </c>
      <c r="D229">
        <v>27</v>
      </c>
      <c r="E229" t="s">
        <v>545</v>
      </c>
      <c r="F229" t="s">
        <v>1065</v>
      </c>
      <c r="G229" t="s">
        <v>1597</v>
      </c>
      <c r="H229">
        <v>32522</v>
      </c>
      <c r="I229">
        <v>30773</v>
      </c>
      <c r="J229" t="s">
        <v>61</v>
      </c>
      <c r="K229" t="s">
        <v>368</v>
      </c>
      <c r="L229">
        <v>5</v>
      </c>
      <c r="M229">
        <v>1734</v>
      </c>
      <c r="N229">
        <v>45940</v>
      </c>
      <c r="O229" t="s">
        <v>646</v>
      </c>
      <c r="P229" t="s">
        <v>235</v>
      </c>
      <c r="Q229" t="s">
        <v>225</v>
      </c>
      <c r="R229" t="s">
        <v>96</v>
      </c>
      <c r="S229" t="s">
        <v>96</v>
      </c>
      <c r="T229">
        <v>21834</v>
      </c>
      <c r="U229" t="s">
        <v>51</v>
      </c>
      <c r="V229">
        <v>5174</v>
      </c>
      <c r="W229">
        <v>5113</v>
      </c>
      <c r="X229" t="s">
        <v>255</v>
      </c>
      <c r="Y229" t="s">
        <v>407</v>
      </c>
      <c r="Z229" t="s">
        <v>795</v>
      </c>
      <c r="AA229" t="s">
        <v>267</v>
      </c>
      <c r="AB229">
        <v>24106</v>
      </c>
      <c r="AC229">
        <v>13847</v>
      </c>
      <c r="AD229">
        <v>5769</v>
      </c>
      <c r="AE229">
        <v>1806</v>
      </c>
      <c r="AF229">
        <v>360</v>
      </c>
      <c r="AG229">
        <v>52</v>
      </c>
      <c r="AH229">
        <v>16619</v>
      </c>
      <c r="AI229">
        <v>8144</v>
      </c>
      <c r="AJ229">
        <v>1155</v>
      </c>
      <c r="AK229">
        <v>6023</v>
      </c>
      <c r="AL229">
        <v>479</v>
      </c>
      <c r="AM229">
        <v>167</v>
      </c>
      <c r="AN229" t="s">
        <v>407</v>
      </c>
      <c r="AO229">
        <f>AVERAGE(Tabla2[[#This Row],[total_kills]:[rating]])</f>
        <v>11081.1</v>
      </c>
      <c r="AP229" t="str">
        <f>VLOOKUP(Tabla2[[#This Row],[KPI]],$AS$2:$AT$5,2,1)</f>
        <v>Superior</v>
      </c>
    </row>
    <row r="230" spans="1:42" x14ac:dyDescent="0.3">
      <c r="A230">
        <v>8508</v>
      </c>
      <c r="B230" t="s">
        <v>2581</v>
      </c>
      <c r="C230" t="s">
        <v>2582</v>
      </c>
      <c r="D230">
        <v>26</v>
      </c>
      <c r="E230" t="s">
        <v>500</v>
      </c>
      <c r="F230" t="s">
        <v>3514</v>
      </c>
      <c r="G230" t="s">
        <v>2583</v>
      </c>
      <c r="H230">
        <v>14132</v>
      </c>
      <c r="I230">
        <v>14426</v>
      </c>
      <c r="J230" t="s">
        <v>61</v>
      </c>
      <c r="K230" t="s">
        <v>368</v>
      </c>
      <c r="L230" t="s">
        <v>275</v>
      </c>
      <c r="M230">
        <v>801</v>
      </c>
      <c r="N230">
        <v>20713</v>
      </c>
      <c r="O230" t="s">
        <v>167</v>
      </c>
      <c r="P230" t="s">
        <v>235</v>
      </c>
      <c r="Q230" t="s">
        <v>905</v>
      </c>
      <c r="R230" t="s">
        <v>66</v>
      </c>
      <c r="S230" t="s">
        <v>66</v>
      </c>
      <c r="T230">
        <v>9545</v>
      </c>
      <c r="U230" t="s">
        <v>51</v>
      </c>
      <c r="V230">
        <v>1962</v>
      </c>
      <c r="W230">
        <v>2163</v>
      </c>
      <c r="X230" t="s">
        <v>1749</v>
      </c>
      <c r="Y230" t="s">
        <v>503</v>
      </c>
      <c r="Z230" t="s">
        <v>745</v>
      </c>
      <c r="AA230" t="s">
        <v>2029</v>
      </c>
      <c r="AB230">
        <v>11168</v>
      </c>
      <c r="AC230">
        <v>6118</v>
      </c>
      <c r="AD230">
        <v>2493</v>
      </c>
      <c r="AE230">
        <v>742</v>
      </c>
      <c r="AF230">
        <v>169</v>
      </c>
      <c r="AG230">
        <v>23</v>
      </c>
      <c r="AH230">
        <v>8903</v>
      </c>
      <c r="AI230">
        <v>919</v>
      </c>
      <c r="AJ230">
        <v>1382</v>
      </c>
      <c r="AK230">
        <v>2508</v>
      </c>
      <c r="AL230">
        <v>129</v>
      </c>
      <c r="AM230">
        <v>314</v>
      </c>
      <c r="AN230" t="s">
        <v>245</v>
      </c>
      <c r="AO230">
        <f>AVERAGE(Tabla2[[#This Row],[total_kills]:[rating]])</f>
        <v>5190</v>
      </c>
      <c r="AP230" t="str">
        <f>VLOOKUP(Tabla2[[#This Row],[KPI]],$AS$2:$AT$5,2,1)</f>
        <v>Alto</v>
      </c>
    </row>
    <row r="231" spans="1:42" x14ac:dyDescent="0.3">
      <c r="A231">
        <v>13497</v>
      </c>
      <c r="B231" t="s">
        <v>1486</v>
      </c>
      <c r="C231" t="s">
        <v>1665</v>
      </c>
      <c r="D231">
        <v>24</v>
      </c>
      <c r="E231" t="s">
        <v>42</v>
      </c>
      <c r="F231" t="s">
        <v>1348</v>
      </c>
      <c r="G231" t="s">
        <v>1666</v>
      </c>
      <c r="H231">
        <v>22491</v>
      </c>
      <c r="I231">
        <v>21014</v>
      </c>
      <c r="J231" t="s">
        <v>1667</v>
      </c>
      <c r="K231" t="s">
        <v>948</v>
      </c>
      <c r="L231" t="s">
        <v>1004</v>
      </c>
      <c r="M231">
        <v>1224</v>
      </c>
      <c r="N231">
        <v>32709</v>
      </c>
      <c r="O231" t="s">
        <v>463</v>
      </c>
      <c r="P231" t="s">
        <v>235</v>
      </c>
      <c r="Q231" t="s">
        <v>65</v>
      </c>
      <c r="R231" t="s">
        <v>50</v>
      </c>
      <c r="S231" t="s">
        <v>50</v>
      </c>
      <c r="T231">
        <v>15284</v>
      </c>
      <c r="U231" t="s">
        <v>51</v>
      </c>
      <c r="V231">
        <v>3167</v>
      </c>
      <c r="W231">
        <v>2858</v>
      </c>
      <c r="X231" t="s">
        <v>362</v>
      </c>
      <c r="Y231" t="s">
        <v>255</v>
      </c>
      <c r="Z231" t="s">
        <v>391</v>
      </c>
      <c r="AA231" t="s">
        <v>640</v>
      </c>
      <c r="AB231">
        <v>17425</v>
      </c>
      <c r="AC231">
        <v>9841</v>
      </c>
      <c r="AD231">
        <v>3970</v>
      </c>
      <c r="AE231">
        <v>1205</v>
      </c>
      <c r="AF231">
        <v>245</v>
      </c>
      <c r="AG231">
        <v>23</v>
      </c>
      <c r="AH231">
        <v>14530</v>
      </c>
      <c r="AI231">
        <v>2790</v>
      </c>
      <c r="AJ231">
        <v>1111</v>
      </c>
      <c r="AK231">
        <v>3670</v>
      </c>
      <c r="AL231">
        <v>411</v>
      </c>
      <c r="AM231">
        <v>38</v>
      </c>
      <c r="AN231" t="s">
        <v>295</v>
      </c>
      <c r="AO231">
        <f>AVERAGE(Tabla2[[#This Row],[total_kills]:[rating]])</f>
        <v>8105.5789473684208</v>
      </c>
      <c r="AP231" t="str">
        <f>VLOOKUP(Tabla2[[#This Row],[KPI]],$AS$2:$AT$5,2,1)</f>
        <v>Superior</v>
      </c>
    </row>
    <row r="232" spans="1:42" x14ac:dyDescent="0.3">
      <c r="A232">
        <v>7170</v>
      </c>
      <c r="B232" t="s">
        <v>2853</v>
      </c>
      <c r="C232" t="s">
        <v>2854</v>
      </c>
      <c r="D232">
        <v>33</v>
      </c>
      <c r="E232" t="s">
        <v>42</v>
      </c>
      <c r="F232" t="s">
        <v>3514</v>
      </c>
      <c r="G232" t="s">
        <v>2855</v>
      </c>
      <c r="H232">
        <v>19726</v>
      </c>
      <c r="I232">
        <v>20269</v>
      </c>
      <c r="J232" t="s">
        <v>1667</v>
      </c>
      <c r="K232" t="s">
        <v>2856</v>
      </c>
      <c r="L232" t="s">
        <v>214</v>
      </c>
      <c r="M232">
        <v>1161</v>
      </c>
      <c r="N232">
        <v>30130</v>
      </c>
      <c r="O232" t="s">
        <v>276</v>
      </c>
      <c r="P232" t="s">
        <v>235</v>
      </c>
      <c r="Q232" t="s">
        <v>225</v>
      </c>
      <c r="R232" t="s">
        <v>50</v>
      </c>
      <c r="S232" t="s">
        <v>66</v>
      </c>
      <c r="T232">
        <v>13534</v>
      </c>
      <c r="U232" t="s">
        <v>51</v>
      </c>
      <c r="V232">
        <v>3512</v>
      </c>
      <c r="W232">
        <v>3506</v>
      </c>
      <c r="X232">
        <v>1</v>
      </c>
      <c r="Y232" t="s">
        <v>590</v>
      </c>
      <c r="Z232" t="s">
        <v>1289</v>
      </c>
      <c r="AA232" t="s">
        <v>100</v>
      </c>
      <c r="AB232">
        <v>16596</v>
      </c>
      <c r="AC232">
        <v>8813</v>
      </c>
      <c r="AD232">
        <v>3519</v>
      </c>
      <c r="AE232">
        <v>1007</v>
      </c>
      <c r="AF232">
        <v>176</v>
      </c>
      <c r="AG232">
        <v>19</v>
      </c>
      <c r="AH232">
        <v>9307</v>
      </c>
      <c r="AI232">
        <v>5426</v>
      </c>
      <c r="AJ232">
        <v>924</v>
      </c>
      <c r="AK232">
        <v>3816</v>
      </c>
      <c r="AL232">
        <v>210</v>
      </c>
      <c r="AM232">
        <v>59</v>
      </c>
      <c r="AN232" t="s">
        <v>472</v>
      </c>
      <c r="AO232">
        <f>AVERAGE(Tabla2[[#This Row],[total_kills]:[rating]])</f>
        <v>7085.55</v>
      </c>
      <c r="AP232" t="str">
        <f>VLOOKUP(Tabla2[[#This Row],[KPI]],$AS$2:$AT$5,2,1)</f>
        <v>Superior</v>
      </c>
    </row>
    <row r="233" spans="1:42" x14ac:dyDescent="0.3">
      <c r="A233">
        <v>13018</v>
      </c>
      <c r="B233" t="s">
        <v>1709</v>
      </c>
      <c r="C233" t="s">
        <v>1710</v>
      </c>
      <c r="D233">
        <v>24</v>
      </c>
      <c r="E233" t="s">
        <v>141</v>
      </c>
      <c r="F233" t="s">
        <v>3514</v>
      </c>
      <c r="G233" t="s">
        <v>1093</v>
      </c>
      <c r="H233">
        <v>17959</v>
      </c>
      <c r="I233">
        <v>17065</v>
      </c>
      <c r="J233" t="s">
        <v>1711</v>
      </c>
      <c r="K233" t="s">
        <v>837</v>
      </c>
      <c r="L233" t="s">
        <v>282</v>
      </c>
      <c r="M233">
        <v>948</v>
      </c>
      <c r="N233">
        <v>25198</v>
      </c>
      <c r="O233" t="s">
        <v>646</v>
      </c>
      <c r="P233" t="s">
        <v>434</v>
      </c>
      <c r="Q233" t="s">
        <v>167</v>
      </c>
      <c r="R233" t="s">
        <v>67</v>
      </c>
      <c r="S233" t="s">
        <v>67</v>
      </c>
      <c r="T233">
        <v>12199</v>
      </c>
      <c r="U233" t="s">
        <v>51</v>
      </c>
      <c r="V233">
        <v>2521</v>
      </c>
      <c r="W233">
        <v>2220</v>
      </c>
      <c r="X233" t="s">
        <v>111</v>
      </c>
      <c r="Y233" t="s">
        <v>449</v>
      </c>
      <c r="Z233" t="s">
        <v>256</v>
      </c>
      <c r="AA233" t="s">
        <v>844</v>
      </c>
      <c r="AB233">
        <v>12999</v>
      </c>
      <c r="AC233">
        <v>7811</v>
      </c>
      <c r="AD233">
        <v>3238</v>
      </c>
      <c r="AE233">
        <v>947</v>
      </c>
      <c r="AF233">
        <v>184</v>
      </c>
      <c r="AG233">
        <v>19</v>
      </c>
      <c r="AH233">
        <v>12825</v>
      </c>
      <c r="AI233">
        <v>494</v>
      </c>
      <c r="AJ233">
        <v>1339</v>
      </c>
      <c r="AK233">
        <v>3047</v>
      </c>
      <c r="AL233">
        <v>232</v>
      </c>
      <c r="AM233">
        <v>76</v>
      </c>
      <c r="AN233" t="s">
        <v>370</v>
      </c>
      <c r="AO233">
        <f>AVERAGE(Tabla2[[#This Row],[total_kills]:[rating]])</f>
        <v>6385.3157894736842</v>
      </c>
      <c r="AP233" t="str">
        <f>VLOOKUP(Tabla2[[#This Row],[KPI]],$AS$2:$AT$5,2,1)</f>
        <v>Alto</v>
      </c>
    </row>
    <row r="234" spans="1:42" x14ac:dyDescent="0.3">
      <c r="A234">
        <v>2730</v>
      </c>
      <c r="B234" t="s">
        <v>2013</v>
      </c>
      <c r="C234" t="s">
        <v>2014</v>
      </c>
      <c r="D234">
        <v>32</v>
      </c>
      <c r="E234" t="s">
        <v>1092</v>
      </c>
      <c r="F234" t="s">
        <v>3514</v>
      </c>
      <c r="G234" t="s">
        <v>188</v>
      </c>
      <c r="H234">
        <v>31011</v>
      </c>
      <c r="I234">
        <v>29926</v>
      </c>
      <c r="J234" t="s">
        <v>1711</v>
      </c>
      <c r="K234" t="s">
        <v>1842</v>
      </c>
      <c r="L234" t="s">
        <v>541</v>
      </c>
      <c r="M234">
        <v>1727</v>
      </c>
      <c r="N234">
        <v>45400</v>
      </c>
      <c r="O234" t="s">
        <v>167</v>
      </c>
      <c r="P234" t="s">
        <v>67</v>
      </c>
      <c r="Q234" t="s">
        <v>322</v>
      </c>
      <c r="R234" t="s">
        <v>50</v>
      </c>
      <c r="S234" t="s">
        <v>66</v>
      </c>
      <c r="T234">
        <v>20889</v>
      </c>
      <c r="U234" t="s">
        <v>51</v>
      </c>
      <c r="V234">
        <v>5696</v>
      </c>
      <c r="W234">
        <v>5087</v>
      </c>
      <c r="X234" t="s">
        <v>370</v>
      </c>
      <c r="Y234" t="s">
        <v>362</v>
      </c>
      <c r="Z234" t="s">
        <v>391</v>
      </c>
      <c r="AA234" t="s">
        <v>1122</v>
      </c>
      <c r="AB234">
        <v>24511</v>
      </c>
      <c r="AC234">
        <v>13268</v>
      </c>
      <c r="AD234">
        <v>5599</v>
      </c>
      <c r="AE234">
        <v>1637</v>
      </c>
      <c r="AF234">
        <v>342</v>
      </c>
      <c r="AG234">
        <v>43</v>
      </c>
      <c r="AH234">
        <v>11822</v>
      </c>
      <c r="AI234">
        <v>11455</v>
      </c>
      <c r="AJ234">
        <v>1588</v>
      </c>
      <c r="AK234">
        <v>5737</v>
      </c>
      <c r="AL234">
        <v>331</v>
      </c>
      <c r="AM234">
        <v>113</v>
      </c>
      <c r="AN234" t="s">
        <v>255</v>
      </c>
      <c r="AO234">
        <f>AVERAGE(Tabla2[[#This Row],[total_kills]:[rating]])</f>
        <v>11378</v>
      </c>
      <c r="AP234" t="str">
        <f>VLOOKUP(Tabla2[[#This Row],[KPI]],$AS$2:$AT$5,2,1)</f>
        <v>Superior</v>
      </c>
    </row>
    <row r="235" spans="1:42" x14ac:dyDescent="0.3">
      <c r="A235">
        <v>2799</v>
      </c>
      <c r="B235" t="s">
        <v>2545</v>
      </c>
      <c r="C235" t="s">
        <v>2546</v>
      </c>
      <c r="D235">
        <v>30</v>
      </c>
      <c r="E235" t="s">
        <v>467</v>
      </c>
      <c r="F235" t="s">
        <v>468</v>
      </c>
      <c r="G235" t="s">
        <v>1889</v>
      </c>
      <c r="H235">
        <v>38738</v>
      </c>
      <c r="I235">
        <v>38199</v>
      </c>
      <c r="J235" t="s">
        <v>1711</v>
      </c>
      <c r="K235" t="s">
        <v>582</v>
      </c>
      <c r="L235" t="s">
        <v>244</v>
      </c>
      <c r="M235">
        <v>2219</v>
      </c>
      <c r="N235">
        <v>58263</v>
      </c>
      <c r="O235" t="s">
        <v>322</v>
      </c>
      <c r="P235" t="s">
        <v>166</v>
      </c>
      <c r="Q235" t="s">
        <v>322</v>
      </c>
      <c r="R235" t="s">
        <v>50</v>
      </c>
      <c r="S235" t="s">
        <v>50</v>
      </c>
      <c r="T235">
        <v>26821</v>
      </c>
      <c r="U235" t="s">
        <v>51</v>
      </c>
      <c r="V235">
        <v>5839</v>
      </c>
      <c r="W235">
        <v>5883</v>
      </c>
      <c r="X235" t="s">
        <v>285</v>
      </c>
      <c r="Y235">
        <v>1</v>
      </c>
      <c r="Z235" t="s">
        <v>70</v>
      </c>
      <c r="AA235" t="s">
        <v>724</v>
      </c>
      <c r="AB235">
        <v>31442</v>
      </c>
      <c r="AC235">
        <v>17614</v>
      </c>
      <c r="AD235">
        <v>6930</v>
      </c>
      <c r="AE235">
        <v>1901</v>
      </c>
      <c r="AF235">
        <v>334</v>
      </c>
      <c r="AG235">
        <v>42</v>
      </c>
      <c r="AH235">
        <v>23031</v>
      </c>
      <c r="AI235">
        <v>6762</v>
      </c>
      <c r="AJ235">
        <v>1758</v>
      </c>
      <c r="AK235">
        <v>6438</v>
      </c>
      <c r="AL235">
        <v>673</v>
      </c>
      <c r="AM235">
        <v>170</v>
      </c>
      <c r="AN235" t="s">
        <v>285</v>
      </c>
      <c r="AO235">
        <f>AVERAGE(Tabla2[[#This Row],[total_kills]:[rating]])</f>
        <v>13652.9</v>
      </c>
      <c r="AP235" t="str">
        <f>VLOOKUP(Tabla2[[#This Row],[KPI]],$AS$2:$AT$5,2,1)</f>
        <v>Superior</v>
      </c>
    </row>
    <row r="236" spans="1:42" x14ac:dyDescent="0.3">
      <c r="A236">
        <v>7166</v>
      </c>
      <c r="B236" t="s">
        <v>3129</v>
      </c>
      <c r="C236" t="s">
        <v>3130</v>
      </c>
      <c r="D236">
        <v>32</v>
      </c>
      <c r="E236" t="s">
        <v>792</v>
      </c>
      <c r="F236" t="s">
        <v>3514</v>
      </c>
      <c r="G236" t="s">
        <v>3131</v>
      </c>
      <c r="H236">
        <v>22665</v>
      </c>
      <c r="I236">
        <v>23729</v>
      </c>
      <c r="J236" t="s">
        <v>1711</v>
      </c>
      <c r="K236" t="s">
        <v>645</v>
      </c>
      <c r="L236">
        <v>4</v>
      </c>
      <c r="M236">
        <v>1393</v>
      </c>
      <c r="N236">
        <v>36352</v>
      </c>
      <c r="O236" t="s">
        <v>144</v>
      </c>
      <c r="P236" t="s">
        <v>166</v>
      </c>
      <c r="Q236" t="s">
        <v>276</v>
      </c>
      <c r="R236" t="s">
        <v>96</v>
      </c>
      <c r="S236" t="s">
        <v>66</v>
      </c>
      <c r="T236">
        <v>15885</v>
      </c>
      <c r="U236" t="s">
        <v>51</v>
      </c>
      <c r="V236">
        <v>3279</v>
      </c>
      <c r="W236">
        <v>3270</v>
      </c>
      <c r="X236">
        <v>1</v>
      </c>
      <c r="Y236" t="s">
        <v>503</v>
      </c>
      <c r="Z236" t="s">
        <v>473</v>
      </c>
      <c r="AA236" t="s">
        <v>1244</v>
      </c>
      <c r="AB236">
        <v>20467</v>
      </c>
      <c r="AC236">
        <v>10631</v>
      </c>
      <c r="AD236">
        <v>3982</v>
      </c>
      <c r="AE236">
        <v>1083</v>
      </c>
      <c r="AF236">
        <v>176</v>
      </c>
      <c r="AG236">
        <v>13</v>
      </c>
      <c r="AH236">
        <v>16115</v>
      </c>
      <c r="AI236">
        <v>1234</v>
      </c>
      <c r="AJ236">
        <v>757</v>
      </c>
      <c r="AK236">
        <v>4177</v>
      </c>
      <c r="AL236">
        <v>397</v>
      </c>
      <c r="AM236">
        <v>11</v>
      </c>
      <c r="AN236" t="s">
        <v>1570</v>
      </c>
      <c r="AO236">
        <f>AVERAGE(Tabla2[[#This Row],[total_kills]:[rating]])</f>
        <v>7886.7142857142853</v>
      </c>
      <c r="AP236" t="str">
        <f>VLOOKUP(Tabla2[[#This Row],[KPI]],$AS$2:$AT$5,2,1)</f>
        <v>Superior</v>
      </c>
    </row>
    <row r="237" spans="1:42" x14ac:dyDescent="0.3">
      <c r="A237">
        <v>15698</v>
      </c>
      <c r="B237" t="s">
        <v>608</v>
      </c>
      <c r="C237" t="s">
        <v>609</v>
      </c>
      <c r="D237">
        <v>18</v>
      </c>
      <c r="E237" t="s">
        <v>104</v>
      </c>
      <c r="F237" t="s">
        <v>250</v>
      </c>
      <c r="G237" t="s">
        <v>610</v>
      </c>
      <c r="H237">
        <v>9294</v>
      </c>
      <c r="I237">
        <v>7852</v>
      </c>
      <c r="J237" t="s">
        <v>611</v>
      </c>
      <c r="K237" t="s">
        <v>108</v>
      </c>
      <c r="L237" t="s">
        <v>612</v>
      </c>
      <c r="M237">
        <v>473</v>
      </c>
      <c r="N237">
        <v>12553</v>
      </c>
      <c r="O237" t="s">
        <v>283</v>
      </c>
      <c r="P237" t="s">
        <v>202</v>
      </c>
      <c r="Q237" t="s">
        <v>215</v>
      </c>
      <c r="R237" t="s">
        <v>66</v>
      </c>
      <c r="S237" t="s">
        <v>67</v>
      </c>
      <c r="T237">
        <v>6282</v>
      </c>
      <c r="U237" t="s">
        <v>51</v>
      </c>
      <c r="V237">
        <v>1373</v>
      </c>
      <c r="W237">
        <v>1058</v>
      </c>
      <c r="X237" t="s">
        <v>516</v>
      </c>
      <c r="Y237" t="s">
        <v>464</v>
      </c>
      <c r="Z237" t="s">
        <v>508</v>
      </c>
      <c r="AA237" t="s">
        <v>568</v>
      </c>
      <c r="AB237">
        <v>6271</v>
      </c>
      <c r="AC237">
        <v>3982</v>
      </c>
      <c r="AD237">
        <v>1707</v>
      </c>
      <c r="AE237">
        <v>483</v>
      </c>
      <c r="AF237">
        <v>101</v>
      </c>
      <c r="AG237">
        <v>9</v>
      </c>
      <c r="AH237">
        <v>6343</v>
      </c>
      <c r="AI237">
        <v>1035</v>
      </c>
      <c r="AJ237">
        <v>267</v>
      </c>
      <c r="AK237">
        <v>1487</v>
      </c>
      <c r="AL237">
        <v>140</v>
      </c>
      <c r="AM237">
        <v>71</v>
      </c>
      <c r="AN237" t="s">
        <v>206</v>
      </c>
      <c r="AO237">
        <f>AVERAGE(Tabla2[[#This Row],[total_kills]:[rating]])</f>
        <v>3199</v>
      </c>
      <c r="AP237" t="str">
        <f>VLOOKUP(Tabla2[[#This Row],[KPI]],$AS$2:$AT$5,2,1)</f>
        <v>Bajo</v>
      </c>
    </row>
    <row r="238" spans="1:42" x14ac:dyDescent="0.3">
      <c r="A238">
        <v>17861</v>
      </c>
      <c r="B238" t="s">
        <v>864</v>
      </c>
      <c r="C238" t="s">
        <v>865</v>
      </c>
      <c r="D238">
        <v>24</v>
      </c>
      <c r="E238" t="s">
        <v>104</v>
      </c>
      <c r="F238" t="s">
        <v>866</v>
      </c>
      <c r="G238" t="s">
        <v>867</v>
      </c>
      <c r="H238">
        <v>8183</v>
      </c>
      <c r="I238">
        <v>7194</v>
      </c>
      <c r="J238" t="s">
        <v>611</v>
      </c>
      <c r="K238" t="s">
        <v>868</v>
      </c>
      <c r="L238" t="s">
        <v>869</v>
      </c>
      <c r="M238">
        <v>430</v>
      </c>
      <c r="N238">
        <v>11228</v>
      </c>
      <c r="O238" t="s">
        <v>495</v>
      </c>
      <c r="P238" t="s">
        <v>553</v>
      </c>
      <c r="Q238" t="s">
        <v>65</v>
      </c>
      <c r="R238" t="s">
        <v>96</v>
      </c>
      <c r="S238" t="s">
        <v>50</v>
      </c>
      <c r="T238">
        <v>5472</v>
      </c>
      <c r="U238" t="s">
        <v>51</v>
      </c>
      <c r="V238">
        <v>1177</v>
      </c>
      <c r="W238">
        <v>986</v>
      </c>
      <c r="X238" t="s">
        <v>127</v>
      </c>
      <c r="Y238" t="s">
        <v>407</v>
      </c>
      <c r="Z238" t="s">
        <v>296</v>
      </c>
      <c r="AA238" t="s">
        <v>659</v>
      </c>
      <c r="AB238">
        <v>5756</v>
      </c>
      <c r="AC238">
        <v>3434</v>
      </c>
      <c r="AD238">
        <v>1477</v>
      </c>
      <c r="AE238">
        <v>459</v>
      </c>
      <c r="AF238">
        <v>92</v>
      </c>
      <c r="AG238">
        <v>10</v>
      </c>
      <c r="AH238">
        <v>6151</v>
      </c>
      <c r="AI238">
        <v>408</v>
      </c>
      <c r="AJ238">
        <v>257</v>
      </c>
      <c r="AK238">
        <v>1242</v>
      </c>
      <c r="AL238">
        <v>142</v>
      </c>
      <c r="AM238">
        <v>40</v>
      </c>
      <c r="AN238" t="s">
        <v>84</v>
      </c>
      <c r="AO238">
        <f>AVERAGE(Tabla2[[#This Row],[total_kills]:[rating]])</f>
        <v>2849.3684210526317</v>
      </c>
      <c r="AP238" t="str">
        <f>VLOOKUP(Tabla2[[#This Row],[KPI]],$AS$2:$AT$5,2,1)</f>
        <v>Bajo</v>
      </c>
    </row>
    <row r="239" spans="1:42" x14ac:dyDescent="0.3">
      <c r="A239">
        <v>4076</v>
      </c>
      <c r="B239" t="s">
        <v>1436</v>
      </c>
      <c r="C239" t="s">
        <v>1437</v>
      </c>
      <c r="D239">
        <v>29</v>
      </c>
      <c r="E239" t="s">
        <v>452</v>
      </c>
      <c r="F239" t="s">
        <v>537</v>
      </c>
      <c r="G239" t="s">
        <v>1438</v>
      </c>
      <c r="H239">
        <v>17911</v>
      </c>
      <c r="I239">
        <v>16694</v>
      </c>
      <c r="J239" t="s">
        <v>611</v>
      </c>
      <c r="K239" t="s">
        <v>424</v>
      </c>
      <c r="L239" t="s">
        <v>179</v>
      </c>
      <c r="M239">
        <v>943</v>
      </c>
      <c r="N239">
        <v>25018</v>
      </c>
      <c r="O239" t="s">
        <v>311</v>
      </c>
      <c r="P239" t="s">
        <v>166</v>
      </c>
      <c r="Q239" t="s">
        <v>225</v>
      </c>
      <c r="R239" t="s">
        <v>67</v>
      </c>
      <c r="S239" t="s">
        <v>67</v>
      </c>
      <c r="T239">
        <v>12006</v>
      </c>
      <c r="U239" t="s">
        <v>51</v>
      </c>
      <c r="V239">
        <v>2860</v>
      </c>
      <c r="W239">
        <v>2739</v>
      </c>
      <c r="X239" t="s">
        <v>407</v>
      </c>
      <c r="Y239" t="s">
        <v>590</v>
      </c>
      <c r="Z239" t="s">
        <v>728</v>
      </c>
      <c r="AA239" t="s">
        <v>882</v>
      </c>
      <c r="AB239">
        <v>13012</v>
      </c>
      <c r="AC239">
        <v>7556</v>
      </c>
      <c r="AD239">
        <v>3256</v>
      </c>
      <c r="AE239">
        <v>952</v>
      </c>
      <c r="AF239">
        <v>223</v>
      </c>
      <c r="AG239">
        <v>19</v>
      </c>
      <c r="AH239">
        <v>14074</v>
      </c>
      <c r="AI239">
        <v>39</v>
      </c>
      <c r="AJ239">
        <v>1083</v>
      </c>
      <c r="AK239">
        <v>2570</v>
      </c>
      <c r="AL239">
        <v>164</v>
      </c>
      <c r="AM239">
        <v>14</v>
      </c>
      <c r="AN239" t="s">
        <v>362</v>
      </c>
      <c r="AO239">
        <f>AVERAGE(Tabla2[[#This Row],[total_kills]:[rating]])</f>
        <v>6375.4210526315792</v>
      </c>
      <c r="AP239" t="str">
        <f>VLOOKUP(Tabla2[[#This Row],[KPI]],$AS$2:$AT$5,2,1)</f>
        <v>Alto</v>
      </c>
    </row>
    <row r="240" spans="1:42" x14ac:dyDescent="0.3">
      <c r="A240">
        <v>4954</v>
      </c>
      <c r="B240" t="s">
        <v>1941</v>
      </c>
      <c r="C240" t="s">
        <v>1942</v>
      </c>
      <c r="D240">
        <v>26</v>
      </c>
      <c r="E240" t="s">
        <v>196</v>
      </c>
      <c r="F240" t="s">
        <v>229</v>
      </c>
      <c r="G240" t="s">
        <v>198</v>
      </c>
      <c r="H240">
        <v>34025</v>
      </c>
      <c r="I240">
        <v>31738</v>
      </c>
      <c r="J240" t="s">
        <v>611</v>
      </c>
      <c r="K240" t="s">
        <v>645</v>
      </c>
      <c r="L240" t="s">
        <v>1943</v>
      </c>
      <c r="M240">
        <v>1984</v>
      </c>
      <c r="N240">
        <v>51687</v>
      </c>
      <c r="O240" t="s">
        <v>322</v>
      </c>
      <c r="P240" t="s">
        <v>553</v>
      </c>
      <c r="Q240" t="s">
        <v>49</v>
      </c>
      <c r="R240" t="s">
        <v>66</v>
      </c>
      <c r="S240" t="s">
        <v>96</v>
      </c>
      <c r="T240">
        <v>23320</v>
      </c>
      <c r="U240" t="s">
        <v>51</v>
      </c>
      <c r="V240">
        <v>3808</v>
      </c>
      <c r="W240">
        <v>3529</v>
      </c>
      <c r="X240" t="s">
        <v>277</v>
      </c>
      <c r="Y240" t="s">
        <v>1314</v>
      </c>
      <c r="Z240" t="s">
        <v>85</v>
      </c>
      <c r="AA240" t="s">
        <v>1944</v>
      </c>
      <c r="AB240">
        <v>28367</v>
      </c>
      <c r="AC240">
        <v>15176</v>
      </c>
      <c r="AD240">
        <v>6084</v>
      </c>
      <c r="AE240">
        <v>1669</v>
      </c>
      <c r="AF240">
        <v>354</v>
      </c>
      <c r="AG240">
        <v>37</v>
      </c>
      <c r="AH240">
        <v>26230</v>
      </c>
      <c r="AI240">
        <v>314</v>
      </c>
      <c r="AJ240">
        <v>1586</v>
      </c>
      <c r="AK240">
        <v>5077</v>
      </c>
      <c r="AL240">
        <v>745</v>
      </c>
      <c r="AM240">
        <v>124</v>
      </c>
      <c r="AN240" t="s">
        <v>449</v>
      </c>
      <c r="AO240">
        <f>AVERAGE(Tabla2[[#This Row],[total_kills]:[rating]])</f>
        <v>12413.368421052632</v>
      </c>
      <c r="AP240" t="str">
        <f>VLOOKUP(Tabla2[[#This Row],[KPI]],$AS$2:$AT$5,2,1)</f>
        <v>Superior</v>
      </c>
    </row>
    <row r="241" spans="1:42" x14ac:dyDescent="0.3">
      <c r="A241">
        <v>14218</v>
      </c>
      <c r="B241" t="s">
        <v>1974</v>
      </c>
      <c r="C241" t="s">
        <v>1975</v>
      </c>
      <c r="D241">
        <v>20</v>
      </c>
      <c r="E241" t="s">
        <v>545</v>
      </c>
      <c r="F241" t="s">
        <v>197</v>
      </c>
      <c r="G241" t="s">
        <v>1976</v>
      </c>
      <c r="H241">
        <v>18805</v>
      </c>
      <c r="I241">
        <v>17985</v>
      </c>
      <c r="J241" t="s">
        <v>611</v>
      </c>
      <c r="K241" t="s">
        <v>531</v>
      </c>
      <c r="L241" t="s">
        <v>575</v>
      </c>
      <c r="M241">
        <v>1027</v>
      </c>
      <c r="N241">
        <v>27188</v>
      </c>
      <c r="O241" t="s">
        <v>463</v>
      </c>
      <c r="P241" t="s">
        <v>235</v>
      </c>
      <c r="Q241" t="s">
        <v>322</v>
      </c>
      <c r="R241" t="s">
        <v>50</v>
      </c>
      <c r="S241" t="s">
        <v>67</v>
      </c>
      <c r="T241">
        <v>12826</v>
      </c>
      <c r="U241" t="s">
        <v>51</v>
      </c>
      <c r="V241">
        <v>2624</v>
      </c>
      <c r="W241">
        <v>2646</v>
      </c>
      <c r="X241" t="s">
        <v>285</v>
      </c>
      <c r="Y241" t="s">
        <v>285</v>
      </c>
      <c r="Z241" t="s">
        <v>705</v>
      </c>
      <c r="AA241" t="s">
        <v>363</v>
      </c>
      <c r="AB241">
        <v>14362</v>
      </c>
      <c r="AC241">
        <v>8246</v>
      </c>
      <c r="AD241">
        <v>3389</v>
      </c>
      <c r="AE241">
        <v>996</v>
      </c>
      <c r="AF241">
        <v>182</v>
      </c>
      <c r="AG241">
        <v>13</v>
      </c>
      <c r="AH241">
        <v>13951</v>
      </c>
      <c r="AI241">
        <v>229</v>
      </c>
      <c r="AJ241">
        <v>1264</v>
      </c>
      <c r="AK241">
        <v>3051</v>
      </c>
      <c r="AL241">
        <v>317</v>
      </c>
      <c r="AM241">
        <v>57</v>
      </c>
      <c r="AN241" t="s">
        <v>277</v>
      </c>
      <c r="AO241">
        <f>AVERAGE(Tabla2[[#This Row],[total_kills]:[rating]])</f>
        <v>6797.7894736842109</v>
      </c>
      <c r="AP241" t="str">
        <f>VLOOKUP(Tabla2[[#This Row],[KPI]],$AS$2:$AT$5,2,1)</f>
        <v>Alto</v>
      </c>
    </row>
    <row r="242" spans="1:42" x14ac:dyDescent="0.3">
      <c r="A242">
        <v>338</v>
      </c>
      <c r="B242" t="s">
        <v>2426</v>
      </c>
      <c r="C242" t="s">
        <v>2427</v>
      </c>
      <c r="D242">
        <v>34</v>
      </c>
      <c r="E242" t="s">
        <v>59</v>
      </c>
      <c r="F242" t="s">
        <v>3514</v>
      </c>
      <c r="G242" t="s">
        <v>2428</v>
      </c>
      <c r="H242">
        <v>19780</v>
      </c>
      <c r="I242">
        <v>19292</v>
      </c>
      <c r="J242" t="s">
        <v>611</v>
      </c>
      <c r="K242" t="s">
        <v>494</v>
      </c>
      <c r="L242">
        <v>5</v>
      </c>
      <c r="M242">
        <v>1143</v>
      </c>
      <c r="N242">
        <v>29624</v>
      </c>
      <c r="O242" t="s">
        <v>225</v>
      </c>
      <c r="P242" t="s">
        <v>166</v>
      </c>
      <c r="Q242" t="s">
        <v>276</v>
      </c>
      <c r="R242" t="s">
        <v>66</v>
      </c>
      <c r="S242" t="s">
        <v>96</v>
      </c>
      <c r="T242">
        <v>13622</v>
      </c>
      <c r="U242" t="s">
        <v>51</v>
      </c>
      <c r="V242">
        <v>2299</v>
      </c>
      <c r="W242">
        <v>2181</v>
      </c>
      <c r="X242" t="s">
        <v>304</v>
      </c>
      <c r="Y242" t="s">
        <v>950</v>
      </c>
      <c r="Z242" t="s">
        <v>635</v>
      </c>
      <c r="AA242" t="s">
        <v>2429</v>
      </c>
      <c r="AB242">
        <v>16002</v>
      </c>
      <c r="AC242">
        <v>8902</v>
      </c>
      <c r="AD242">
        <v>3532</v>
      </c>
      <c r="AE242">
        <v>1000</v>
      </c>
      <c r="AF242">
        <v>172</v>
      </c>
      <c r="AG242">
        <v>16</v>
      </c>
      <c r="AH242">
        <v>13350</v>
      </c>
      <c r="AI242">
        <v>1913</v>
      </c>
      <c r="AJ242">
        <v>724</v>
      </c>
      <c r="AK242">
        <v>3380</v>
      </c>
      <c r="AL242">
        <v>363</v>
      </c>
      <c r="AM242">
        <v>61</v>
      </c>
      <c r="AN242" t="s">
        <v>285</v>
      </c>
      <c r="AO242">
        <f>AVERAGE(Tabla2[[#This Row],[total_kills]:[rating]])</f>
        <v>6868.05</v>
      </c>
      <c r="AP242" t="str">
        <f>VLOOKUP(Tabla2[[#This Row],[KPI]],$AS$2:$AT$5,2,1)</f>
        <v>Alto</v>
      </c>
    </row>
    <row r="243" spans="1:42" x14ac:dyDescent="0.3">
      <c r="A243">
        <v>11840</v>
      </c>
      <c r="B243" t="s">
        <v>2703</v>
      </c>
      <c r="C243" t="s">
        <v>2704</v>
      </c>
      <c r="D243">
        <v>23</v>
      </c>
      <c r="E243" t="s">
        <v>75</v>
      </c>
      <c r="F243" t="s">
        <v>60</v>
      </c>
      <c r="G243" t="s">
        <v>2705</v>
      </c>
      <c r="H243">
        <v>19172</v>
      </c>
      <c r="I243">
        <v>19592</v>
      </c>
      <c r="J243" t="s">
        <v>611</v>
      </c>
      <c r="K243" t="s">
        <v>1363</v>
      </c>
      <c r="L243" t="s">
        <v>164</v>
      </c>
      <c r="M243">
        <v>1085</v>
      </c>
      <c r="N243">
        <v>28745</v>
      </c>
      <c r="O243" t="s">
        <v>225</v>
      </c>
      <c r="P243" t="s">
        <v>235</v>
      </c>
      <c r="Q243" t="s">
        <v>167</v>
      </c>
      <c r="R243" t="s">
        <v>96</v>
      </c>
      <c r="S243" t="s">
        <v>66</v>
      </c>
      <c r="T243">
        <v>13011</v>
      </c>
      <c r="U243" t="s">
        <v>51</v>
      </c>
      <c r="V243">
        <v>3374</v>
      </c>
      <c r="W243">
        <v>3772</v>
      </c>
      <c r="X243" t="s">
        <v>1551</v>
      </c>
      <c r="Y243" t="s">
        <v>412</v>
      </c>
      <c r="Z243" t="s">
        <v>1020</v>
      </c>
      <c r="AA243" t="s">
        <v>882</v>
      </c>
      <c r="AB243">
        <v>15734</v>
      </c>
      <c r="AC243">
        <v>8347</v>
      </c>
      <c r="AD243">
        <v>3402</v>
      </c>
      <c r="AE243">
        <v>1051</v>
      </c>
      <c r="AF243">
        <v>187</v>
      </c>
      <c r="AG243">
        <v>24</v>
      </c>
      <c r="AH243">
        <v>12736</v>
      </c>
      <c r="AI243">
        <v>443</v>
      </c>
      <c r="AJ243">
        <v>2210</v>
      </c>
      <c r="AK243">
        <v>3386</v>
      </c>
      <c r="AL243">
        <v>260</v>
      </c>
      <c r="AM243">
        <v>191</v>
      </c>
      <c r="AN243" t="s">
        <v>407</v>
      </c>
      <c r="AO243">
        <f>AVERAGE(Tabla2[[#This Row],[total_kills]:[rating]])</f>
        <v>7195.894736842105</v>
      </c>
      <c r="AP243" t="str">
        <f>VLOOKUP(Tabla2[[#This Row],[KPI]],$AS$2:$AT$5,2,1)</f>
        <v>Superior</v>
      </c>
    </row>
    <row r="244" spans="1:42" x14ac:dyDescent="0.3">
      <c r="A244">
        <v>11746</v>
      </c>
      <c r="B244" t="s">
        <v>2949</v>
      </c>
      <c r="C244" t="s">
        <v>2950</v>
      </c>
      <c r="D244">
        <v>26</v>
      </c>
      <c r="E244" t="s">
        <v>104</v>
      </c>
      <c r="F244" t="s">
        <v>3514</v>
      </c>
      <c r="G244" t="s">
        <v>2563</v>
      </c>
      <c r="H244">
        <v>8424</v>
      </c>
      <c r="I244">
        <v>8495</v>
      </c>
      <c r="J244" t="s">
        <v>611</v>
      </c>
      <c r="K244">
        <v>71</v>
      </c>
      <c r="L244" t="s">
        <v>398</v>
      </c>
      <c r="M244">
        <v>514</v>
      </c>
      <c r="N244">
        <v>13425</v>
      </c>
      <c r="O244" t="s">
        <v>215</v>
      </c>
      <c r="P244" t="s">
        <v>202</v>
      </c>
      <c r="Q244" t="s">
        <v>215</v>
      </c>
      <c r="R244" t="s">
        <v>135</v>
      </c>
      <c r="S244" t="s">
        <v>66</v>
      </c>
      <c r="T244">
        <v>5954</v>
      </c>
      <c r="U244" t="s">
        <v>51</v>
      </c>
      <c r="V244">
        <v>963</v>
      </c>
      <c r="W244">
        <v>985</v>
      </c>
      <c r="X244" t="s">
        <v>245</v>
      </c>
      <c r="Y244" t="s">
        <v>1906</v>
      </c>
      <c r="Z244" t="s">
        <v>567</v>
      </c>
      <c r="AA244" t="s">
        <v>2951</v>
      </c>
      <c r="AB244">
        <v>7471</v>
      </c>
      <c r="AC244">
        <v>3987</v>
      </c>
      <c r="AD244">
        <v>1535</v>
      </c>
      <c r="AE244">
        <v>363</v>
      </c>
      <c r="AF244">
        <v>67</v>
      </c>
      <c r="AG244">
        <v>2</v>
      </c>
      <c r="AH244">
        <v>6196</v>
      </c>
      <c r="AI244">
        <v>125</v>
      </c>
      <c r="AJ244">
        <v>645</v>
      </c>
      <c r="AK244">
        <v>1370</v>
      </c>
      <c r="AL244">
        <v>95</v>
      </c>
      <c r="AM244">
        <v>20</v>
      </c>
      <c r="AN244">
        <v>1</v>
      </c>
      <c r="AO244">
        <f>AVERAGE(Tabla2[[#This Row],[total_kills]:[rating]])</f>
        <v>2890.8571428571427</v>
      </c>
      <c r="AP244" t="str">
        <f>VLOOKUP(Tabla2[[#This Row],[KPI]],$AS$2:$AT$5,2,1)</f>
        <v>Bajo</v>
      </c>
    </row>
    <row r="245" spans="1:42" x14ac:dyDescent="0.3">
      <c r="A245">
        <v>13718</v>
      </c>
      <c r="B245" t="s">
        <v>3386</v>
      </c>
      <c r="C245" t="s">
        <v>3387</v>
      </c>
      <c r="D245">
        <v>28</v>
      </c>
      <c r="E245" t="s">
        <v>196</v>
      </c>
      <c r="F245" t="s">
        <v>3514</v>
      </c>
      <c r="G245" t="s">
        <v>3388</v>
      </c>
      <c r="H245">
        <v>13060</v>
      </c>
      <c r="I245">
        <v>15183</v>
      </c>
      <c r="J245" t="s">
        <v>611</v>
      </c>
      <c r="K245" t="s">
        <v>1529</v>
      </c>
      <c r="L245" t="s">
        <v>765</v>
      </c>
      <c r="M245">
        <v>812</v>
      </c>
      <c r="N245">
        <v>21860</v>
      </c>
      <c r="O245" t="s">
        <v>134</v>
      </c>
      <c r="P245" t="s">
        <v>434</v>
      </c>
      <c r="Q245" t="s">
        <v>463</v>
      </c>
      <c r="R245" t="s">
        <v>235</v>
      </c>
      <c r="S245" t="s">
        <v>96</v>
      </c>
      <c r="T245">
        <v>9313</v>
      </c>
      <c r="U245" t="s">
        <v>51</v>
      </c>
      <c r="V245">
        <v>2337</v>
      </c>
      <c r="W245">
        <v>2770</v>
      </c>
      <c r="X245" t="s">
        <v>47</v>
      </c>
      <c r="Y245" t="s">
        <v>285</v>
      </c>
      <c r="Z245" t="s">
        <v>508</v>
      </c>
      <c r="AA245" t="s">
        <v>789</v>
      </c>
      <c r="AB245">
        <v>12547</v>
      </c>
      <c r="AC245">
        <v>6343</v>
      </c>
      <c r="AD245">
        <v>2322</v>
      </c>
      <c r="AE245">
        <v>532</v>
      </c>
      <c r="AF245">
        <v>103</v>
      </c>
      <c r="AG245">
        <v>13</v>
      </c>
      <c r="AH245">
        <v>8808</v>
      </c>
      <c r="AI245">
        <v>696</v>
      </c>
      <c r="AJ245">
        <v>1296</v>
      </c>
      <c r="AK245">
        <v>1916</v>
      </c>
      <c r="AL245">
        <v>333</v>
      </c>
      <c r="AM245">
        <v>82</v>
      </c>
      <c r="AN245" t="s">
        <v>285</v>
      </c>
      <c r="AO245">
        <f>AVERAGE(Tabla2[[#This Row],[total_kills]:[rating]])</f>
        <v>5280.3157894736842</v>
      </c>
      <c r="AP245" t="str">
        <f>VLOOKUP(Tabla2[[#This Row],[KPI]],$AS$2:$AT$5,2,1)</f>
        <v>Alto</v>
      </c>
    </row>
    <row r="246" spans="1:42" x14ac:dyDescent="0.3">
      <c r="A246">
        <v>8604</v>
      </c>
      <c r="B246" t="s">
        <v>1534</v>
      </c>
      <c r="C246" t="s">
        <v>1535</v>
      </c>
      <c r="D246">
        <v>28</v>
      </c>
      <c r="E246" t="s">
        <v>209</v>
      </c>
      <c r="F246" t="s">
        <v>3514</v>
      </c>
      <c r="G246" t="s">
        <v>1536</v>
      </c>
      <c r="H246">
        <v>15892</v>
      </c>
      <c r="I246">
        <v>14709</v>
      </c>
      <c r="J246" t="s">
        <v>1537</v>
      </c>
      <c r="K246" t="s">
        <v>892</v>
      </c>
      <c r="L246" t="s">
        <v>782</v>
      </c>
      <c r="M246">
        <v>874</v>
      </c>
      <c r="N246">
        <v>22423</v>
      </c>
      <c r="O246" t="s">
        <v>646</v>
      </c>
      <c r="P246" t="s">
        <v>553</v>
      </c>
      <c r="Q246" t="s">
        <v>322</v>
      </c>
      <c r="R246" t="s">
        <v>66</v>
      </c>
      <c r="S246" t="s">
        <v>66</v>
      </c>
      <c r="T246">
        <v>10799</v>
      </c>
      <c r="U246" t="s">
        <v>51</v>
      </c>
      <c r="V246">
        <v>2329</v>
      </c>
      <c r="W246">
        <v>2153</v>
      </c>
      <c r="X246" t="s">
        <v>277</v>
      </c>
      <c r="Y246" t="s">
        <v>412</v>
      </c>
      <c r="Z246" t="s">
        <v>1538</v>
      </c>
      <c r="AA246" t="s">
        <v>844</v>
      </c>
      <c r="AB246">
        <v>11624</v>
      </c>
      <c r="AC246">
        <v>6913</v>
      </c>
      <c r="AD246">
        <v>2890</v>
      </c>
      <c r="AE246">
        <v>805</v>
      </c>
      <c r="AF246">
        <v>173</v>
      </c>
      <c r="AG246">
        <v>18</v>
      </c>
      <c r="AH246">
        <v>10678</v>
      </c>
      <c r="AI246">
        <v>591</v>
      </c>
      <c r="AJ246">
        <v>1946</v>
      </c>
      <c r="AK246">
        <v>2381</v>
      </c>
      <c r="AL246">
        <v>251</v>
      </c>
      <c r="AM246">
        <v>94</v>
      </c>
      <c r="AN246" t="s">
        <v>407</v>
      </c>
      <c r="AO246">
        <f>AVERAGE(Tabla2[[#This Row],[total_kills]:[rating]])</f>
        <v>5660.1578947368425</v>
      </c>
      <c r="AP246" t="str">
        <f>VLOOKUP(Tabla2[[#This Row],[KPI]],$AS$2:$AT$5,2,1)</f>
        <v>Alto</v>
      </c>
    </row>
    <row r="247" spans="1:42" x14ac:dyDescent="0.3">
      <c r="A247">
        <v>8520</v>
      </c>
      <c r="B247" t="s">
        <v>778</v>
      </c>
      <c r="C247" t="s">
        <v>779</v>
      </c>
      <c r="D247">
        <v>24</v>
      </c>
      <c r="E247" t="s">
        <v>500</v>
      </c>
      <c r="F247" t="s">
        <v>528</v>
      </c>
      <c r="G247" t="s">
        <v>780</v>
      </c>
      <c r="H247">
        <v>30083</v>
      </c>
      <c r="I247">
        <v>26060</v>
      </c>
      <c r="J247" t="s">
        <v>781</v>
      </c>
      <c r="K247" t="s">
        <v>634</v>
      </c>
      <c r="L247" t="s">
        <v>782</v>
      </c>
      <c r="M247">
        <v>1575</v>
      </c>
      <c r="N247">
        <v>41364</v>
      </c>
      <c r="O247" t="s">
        <v>495</v>
      </c>
      <c r="P247" t="s">
        <v>166</v>
      </c>
      <c r="Q247" t="s">
        <v>215</v>
      </c>
      <c r="R247" t="s">
        <v>50</v>
      </c>
      <c r="S247" t="s">
        <v>67</v>
      </c>
      <c r="T247">
        <v>20192</v>
      </c>
      <c r="U247" t="s">
        <v>51</v>
      </c>
      <c r="V247">
        <v>3798</v>
      </c>
      <c r="W247">
        <v>3047</v>
      </c>
      <c r="X247" t="s">
        <v>72</v>
      </c>
      <c r="Y247">
        <v>1</v>
      </c>
      <c r="Z247" t="s">
        <v>583</v>
      </c>
      <c r="AA247" t="s">
        <v>783</v>
      </c>
      <c r="AB247">
        <v>21172</v>
      </c>
      <c r="AC247">
        <v>12729</v>
      </c>
      <c r="AD247">
        <v>5455</v>
      </c>
      <c r="AE247">
        <v>1640</v>
      </c>
      <c r="AF247">
        <v>330</v>
      </c>
      <c r="AG247">
        <v>38</v>
      </c>
      <c r="AH247">
        <v>19111</v>
      </c>
      <c r="AI247">
        <v>3089</v>
      </c>
      <c r="AJ247">
        <v>1848</v>
      </c>
      <c r="AK247">
        <v>5436</v>
      </c>
      <c r="AL247">
        <v>538</v>
      </c>
      <c r="AM247">
        <v>155</v>
      </c>
      <c r="AN247" t="s">
        <v>295</v>
      </c>
      <c r="AO247">
        <f>AVERAGE(Tabla2[[#This Row],[total_kills]:[rating]])</f>
        <v>9883.0499999999993</v>
      </c>
      <c r="AP247" t="str">
        <f>VLOOKUP(Tabla2[[#This Row],[KPI]],$AS$2:$AT$5,2,1)</f>
        <v>Superior</v>
      </c>
    </row>
    <row r="248" spans="1:42" x14ac:dyDescent="0.3">
      <c r="A248">
        <v>12089</v>
      </c>
      <c r="B248" t="s">
        <v>2519</v>
      </c>
      <c r="C248" t="s">
        <v>2520</v>
      </c>
      <c r="D248">
        <v>23</v>
      </c>
      <c r="E248" t="s">
        <v>459</v>
      </c>
      <c r="F248" t="s">
        <v>3514</v>
      </c>
      <c r="G248" t="s">
        <v>2521</v>
      </c>
      <c r="H248">
        <v>10461</v>
      </c>
      <c r="I248">
        <v>10381</v>
      </c>
      <c r="J248" t="s">
        <v>781</v>
      </c>
      <c r="K248">
        <v>74</v>
      </c>
      <c r="L248" t="s">
        <v>164</v>
      </c>
      <c r="M248">
        <v>609</v>
      </c>
      <c r="N248">
        <v>15688</v>
      </c>
      <c r="O248" t="s">
        <v>225</v>
      </c>
      <c r="P248" t="s">
        <v>202</v>
      </c>
      <c r="Q248" t="s">
        <v>322</v>
      </c>
      <c r="R248" t="s">
        <v>50</v>
      </c>
      <c r="S248" t="s">
        <v>96</v>
      </c>
      <c r="T248">
        <v>7175</v>
      </c>
      <c r="U248" t="s">
        <v>51</v>
      </c>
      <c r="V248">
        <v>1741</v>
      </c>
      <c r="W248">
        <v>1661</v>
      </c>
      <c r="X248" t="s">
        <v>304</v>
      </c>
      <c r="Y248" t="s">
        <v>304</v>
      </c>
      <c r="Z248" t="s">
        <v>256</v>
      </c>
      <c r="AA248" t="s">
        <v>568</v>
      </c>
      <c r="AB248">
        <v>8513</v>
      </c>
      <c r="AC248">
        <v>4662</v>
      </c>
      <c r="AD248">
        <v>1865</v>
      </c>
      <c r="AE248">
        <v>532</v>
      </c>
      <c r="AF248">
        <v>107</v>
      </c>
      <c r="AG248">
        <v>9</v>
      </c>
      <c r="AH248">
        <v>5631</v>
      </c>
      <c r="AI248">
        <v>1891</v>
      </c>
      <c r="AJ248">
        <v>811</v>
      </c>
      <c r="AK248">
        <v>1902</v>
      </c>
      <c r="AL248">
        <v>168</v>
      </c>
      <c r="AM248">
        <v>84</v>
      </c>
      <c r="AN248" t="s">
        <v>590</v>
      </c>
      <c r="AO248">
        <f>AVERAGE(Tabla2[[#This Row],[total_kills]:[rating]])</f>
        <v>3698.25</v>
      </c>
      <c r="AP248" t="str">
        <f>VLOOKUP(Tabla2[[#This Row],[KPI]],$AS$2:$AT$5,2,1)</f>
        <v>Medio</v>
      </c>
    </row>
    <row r="249" spans="1:42" x14ac:dyDescent="0.3">
      <c r="A249">
        <v>7368</v>
      </c>
      <c r="B249" t="s">
        <v>2828</v>
      </c>
      <c r="C249" t="s">
        <v>2829</v>
      </c>
      <c r="D249">
        <v>32</v>
      </c>
      <c r="E249" t="s">
        <v>327</v>
      </c>
      <c r="F249" t="s">
        <v>3514</v>
      </c>
      <c r="G249" t="s">
        <v>2830</v>
      </c>
      <c r="H249">
        <v>11144</v>
      </c>
      <c r="I249">
        <v>11311</v>
      </c>
      <c r="J249" t="s">
        <v>781</v>
      </c>
      <c r="K249" t="s">
        <v>2067</v>
      </c>
      <c r="L249" t="s">
        <v>275</v>
      </c>
      <c r="M249">
        <v>646</v>
      </c>
      <c r="N249">
        <v>16949</v>
      </c>
      <c r="O249" t="s">
        <v>322</v>
      </c>
      <c r="P249" t="s">
        <v>48</v>
      </c>
      <c r="Q249" t="s">
        <v>225</v>
      </c>
      <c r="R249" t="s">
        <v>66</v>
      </c>
      <c r="S249" t="s">
        <v>66</v>
      </c>
      <c r="T249">
        <v>7776</v>
      </c>
      <c r="U249" t="s">
        <v>51</v>
      </c>
      <c r="V249">
        <v>1364</v>
      </c>
      <c r="W249">
        <v>1556</v>
      </c>
      <c r="X249" t="s">
        <v>2315</v>
      </c>
      <c r="Y249" t="s">
        <v>1314</v>
      </c>
      <c r="Z249" t="s">
        <v>745</v>
      </c>
      <c r="AA249" t="s">
        <v>2429</v>
      </c>
      <c r="AB249">
        <v>9173</v>
      </c>
      <c r="AC249">
        <v>5154</v>
      </c>
      <c r="AD249">
        <v>2004</v>
      </c>
      <c r="AE249">
        <v>516</v>
      </c>
      <c r="AF249">
        <v>90</v>
      </c>
      <c r="AG249">
        <v>12</v>
      </c>
      <c r="AH249">
        <v>7734</v>
      </c>
      <c r="AI249">
        <v>640</v>
      </c>
      <c r="AJ249">
        <v>792</v>
      </c>
      <c r="AK249">
        <v>1832</v>
      </c>
      <c r="AL249">
        <v>128</v>
      </c>
      <c r="AM249">
        <v>29</v>
      </c>
      <c r="AN249" t="s">
        <v>472</v>
      </c>
      <c r="AO249">
        <f>AVERAGE(Tabla2[[#This Row],[total_kills]:[rating]])</f>
        <v>4150</v>
      </c>
      <c r="AP249" t="str">
        <f>VLOOKUP(Tabla2[[#This Row],[KPI]],$AS$2:$AT$5,2,1)</f>
        <v>Medio</v>
      </c>
    </row>
    <row r="250" spans="1:42" x14ac:dyDescent="0.3">
      <c r="A250">
        <v>7405</v>
      </c>
      <c r="B250" t="s">
        <v>3132</v>
      </c>
      <c r="C250" t="s">
        <v>3133</v>
      </c>
      <c r="D250">
        <v>30</v>
      </c>
      <c r="E250" t="s">
        <v>75</v>
      </c>
      <c r="F250" t="s">
        <v>3514</v>
      </c>
      <c r="G250" t="s">
        <v>3134</v>
      </c>
      <c r="H250">
        <v>8319</v>
      </c>
      <c r="I250">
        <v>8815</v>
      </c>
      <c r="J250" t="s">
        <v>781</v>
      </c>
      <c r="K250" t="s">
        <v>999</v>
      </c>
      <c r="L250" t="s">
        <v>390</v>
      </c>
      <c r="M250">
        <v>491</v>
      </c>
      <c r="N250">
        <v>12691</v>
      </c>
      <c r="O250" t="s">
        <v>322</v>
      </c>
      <c r="P250" t="s">
        <v>202</v>
      </c>
      <c r="Q250" t="s">
        <v>463</v>
      </c>
      <c r="R250" t="s">
        <v>96</v>
      </c>
      <c r="S250" t="s">
        <v>96</v>
      </c>
      <c r="T250">
        <v>5811</v>
      </c>
      <c r="U250" t="s">
        <v>51</v>
      </c>
      <c r="V250">
        <v>928</v>
      </c>
      <c r="W250">
        <v>988</v>
      </c>
      <c r="X250" t="s">
        <v>1570</v>
      </c>
      <c r="Y250" t="s">
        <v>1906</v>
      </c>
      <c r="Z250" t="s">
        <v>508</v>
      </c>
      <c r="AA250" t="s">
        <v>2084</v>
      </c>
      <c r="AB250">
        <v>6880</v>
      </c>
      <c r="AC250">
        <v>3828</v>
      </c>
      <c r="AD250">
        <v>1537</v>
      </c>
      <c r="AE250">
        <v>377</v>
      </c>
      <c r="AF250">
        <v>66</v>
      </c>
      <c r="AG250">
        <v>3</v>
      </c>
      <c r="AH250">
        <v>5617</v>
      </c>
      <c r="AI250">
        <v>260</v>
      </c>
      <c r="AJ250">
        <v>371</v>
      </c>
      <c r="AK250">
        <v>1906</v>
      </c>
      <c r="AL250">
        <v>140</v>
      </c>
      <c r="AM250">
        <v>38</v>
      </c>
      <c r="AN250" t="s">
        <v>1570</v>
      </c>
      <c r="AO250">
        <f>AVERAGE(Tabla2[[#This Row],[total_kills]:[rating]])</f>
        <v>3108.7368421052633</v>
      </c>
      <c r="AP250" t="str">
        <f>VLOOKUP(Tabla2[[#This Row],[KPI]],$AS$2:$AT$5,2,1)</f>
        <v>Bajo</v>
      </c>
    </row>
    <row r="251" spans="1:42" x14ac:dyDescent="0.3">
      <c r="A251">
        <v>499</v>
      </c>
      <c r="B251" t="s">
        <v>3319</v>
      </c>
      <c r="C251" t="s">
        <v>3320</v>
      </c>
      <c r="D251">
        <v>35</v>
      </c>
      <c r="E251" t="s">
        <v>75</v>
      </c>
      <c r="F251" t="s">
        <v>344</v>
      </c>
      <c r="G251" t="s">
        <v>3321</v>
      </c>
      <c r="H251">
        <v>14410</v>
      </c>
      <c r="I251">
        <v>16212</v>
      </c>
      <c r="J251" t="s">
        <v>781</v>
      </c>
      <c r="K251" t="s">
        <v>2662</v>
      </c>
      <c r="L251" t="s">
        <v>224</v>
      </c>
      <c r="M251">
        <v>894</v>
      </c>
      <c r="N251">
        <v>23450</v>
      </c>
      <c r="O251" t="s">
        <v>49</v>
      </c>
      <c r="P251" t="s">
        <v>235</v>
      </c>
      <c r="Q251" t="s">
        <v>463</v>
      </c>
      <c r="R251" t="s">
        <v>66</v>
      </c>
      <c r="S251" t="s">
        <v>135</v>
      </c>
      <c r="T251">
        <v>10101</v>
      </c>
      <c r="U251" t="s">
        <v>51</v>
      </c>
      <c r="V251">
        <v>1891</v>
      </c>
      <c r="W251">
        <v>2377</v>
      </c>
      <c r="X251" t="s">
        <v>94</v>
      </c>
      <c r="Y251" t="s">
        <v>1906</v>
      </c>
      <c r="Z251" t="s">
        <v>3255</v>
      </c>
      <c r="AA251" t="s">
        <v>2429</v>
      </c>
      <c r="AB251">
        <v>13349</v>
      </c>
      <c r="AC251">
        <v>6734</v>
      </c>
      <c r="AD251">
        <v>2555</v>
      </c>
      <c r="AE251">
        <v>699</v>
      </c>
      <c r="AF251">
        <v>105</v>
      </c>
      <c r="AG251">
        <v>8</v>
      </c>
      <c r="AH251">
        <v>9139</v>
      </c>
      <c r="AI251">
        <v>1118</v>
      </c>
      <c r="AJ251">
        <v>1109</v>
      </c>
      <c r="AK251">
        <v>2748</v>
      </c>
      <c r="AL251">
        <v>243</v>
      </c>
      <c r="AM251">
        <v>72</v>
      </c>
      <c r="AN251" t="s">
        <v>1906</v>
      </c>
      <c r="AO251">
        <f>AVERAGE(Tabla2[[#This Row],[total_kills]:[rating]])</f>
        <v>5642.8421052631575</v>
      </c>
      <c r="AP251" t="str">
        <f>VLOOKUP(Tabla2[[#This Row],[KPI]],$AS$2:$AT$5,2,1)</f>
        <v>Alto</v>
      </c>
    </row>
    <row r="252" spans="1:42" x14ac:dyDescent="0.3">
      <c r="A252">
        <v>9350</v>
      </c>
      <c r="B252" t="s">
        <v>3398</v>
      </c>
      <c r="C252" t="s">
        <v>3399</v>
      </c>
      <c r="D252">
        <v>27</v>
      </c>
      <c r="E252" t="s">
        <v>59</v>
      </c>
      <c r="F252" t="s">
        <v>3514</v>
      </c>
      <c r="G252" t="s">
        <v>3400</v>
      </c>
      <c r="H252">
        <v>9243</v>
      </c>
      <c r="I252">
        <v>10836</v>
      </c>
      <c r="J252" t="s">
        <v>781</v>
      </c>
      <c r="K252" t="s">
        <v>3374</v>
      </c>
      <c r="L252" t="s">
        <v>93</v>
      </c>
      <c r="M252">
        <v>605</v>
      </c>
      <c r="N252">
        <v>15797</v>
      </c>
      <c r="O252" t="s">
        <v>95</v>
      </c>
      <c r="P252" t="s">
        <v>235</v>
      </c>
      <c r="Q252" t="s">
        <v>463</v>
      </c>
      <c r="R252" t="s">
        <v>67</v>
      </c>
      <c r="S252" t="s">
        <v>66</v>
      </c>
      <c r="T252">
        <v>6637</v>
      </c>
      <c r="U252" t="s">
        <v>51</v>
      </c>
      <c r="V252">
        <v>1224</v>
      </c>
      <c r="W252">
        <v>1575</v>
      </c>
      <c r="X252" t="s">
        <v>123</v>
      </c>
      <c r="Y252" t="s">
        <v>1551</v>
      </c>
      <c r="Z252" t="s">
        <v>1467</v>
      </c>
      <c r="AA252" t="s">
        <v>474</v>
      </c>
      <c r="AB252">
        <v>9160</v>
      </c>
      <c r="AC252">
        <v>4548</v>
      </c>
      <c r="AD252">
        <v>1651</v>
      </c>
      <c r="AE252">
        <v>366</v>
      </c>
      <c r="AF252">
        <v>65</v>
      </c>
      <c r="AG252">
        <v>7</v>
      </c>
      <c r="AH252">
        <v>6387</v>
      </c>
      <c r="AI252">
        <v>148</v>
      </c>
      <c r="AJ252">
        <v>1005</v>
      </c>
      <c r="AK252">
        <v>1532</v>
      </c>
      <c r="AL252">
        <v>127</v>
      </c>
      <c r="AM252">
        <v>60</v>
      </c>
      <c r="AN252" t="s">
        <v>64</v>
      </c>
      <c r="AO252">
        <f>AVERAGE(Tabla2[[#This Row],[total_kills]:[rating]])</f>
        <v>3735.4210526315787</v>
      </c>
      <c r="AP252" t="str">
        <f>VLOOKUP(Tabla2[[#This Row],[KPI]],$AS$2:$AT$5,2,1)</f>
        <v>Medio</v>
      </c>
    </row>
    <row r="253" spans="1:42" x14ac:dyDescent="0.3">
      <c r="A253">
        <v>7026</v>
      </c>
      <c r="B253" t="s">
        <v>1151</v>
      </c>
      <c r="C253" t="s">
        <v>1152</v>
      </c>
      <c r="D253">
        <v>27</v>
      </c>
      <c r="E253" t="s">
        <v>209</v>
      </c>
      <c r="F253" t="s">
        <v>3514</v>
      </c>
      <c r="G253" t="s">
        <v>1153</v>
      </c>
      <c r="H253">
        <v>17368</v>
      </c>
      <c r="I253">
        <v>15847</v>
      </c>
      <c r="J253" t="s">
        <v>1154</v>
      </c>
      <c r="K253" t="s">
        <v>1155</v>
      </c>
      <c r="L253" t="s">
        <v>390</v>
      </c>
      <c r="M253">
        <v>913</v>
      </c>
      <c r="N253">
        <v>23620</v>
      </c>
      <c r="O253" t="s">
        <v>283</v>
      </c>
      <c r="P253" t="s">
        <v>553</v>
      </c>
      <c r="Q253" t="s">
        <v>225</v>
      </c>
      <c r="R253" t="s">
        <v>67</v>
      </c>
      <c r="S253" t="s">
        <v>50</v>
      </c>
      <c r="T253">
        <v>11622</v>
      </c>
      <c r="U253" t="s">
        <v>51</v>
      </c>
      <c r="V253">
        <v>2398</v>
      </c>
      <c r="W253">
        <v>2263</v>
      </c>
      <c r="X253" t="s">
        <v>590</v>
      </c>
      <c r="Y253" t="s">
        <v>255</v>
      </c>
      <c r="Z253" t="s">
        <v>517</v>
      </c>
      <c r="AA253" t="s">
        <v>746</v>
      </c>
      <c r="AB253">
        <v>11998</v>
      </c>
      <c r="AC253">
        <v>7318</v>
      </c>
      <c r="AD253">
        <v>3083</v>
      </c>
      <c r="AE253">
        <v>1027</v>
      </c>
      <c r="AF253">
        <v>171</v>
      </c>
      <c r="AG253">
        <v>23</v>
      </c>
      <c r="AH253">
        <v>12857</v>
      </c>
      <c r="AI253">
        <v>633</v>
      </c>
      <c r="AJ253">
        <v>930</v>
      </c>
      <c r="AK253">
        <v>2814</v>
      </c>
      <c r="AL253">
        <v>141</v>
      </c>
      <c r="AM253">
        <v>28</v>
      </c>
      <c r="AN253" t="s">
        <v>464</v>
      </c>
      <c r="AO253">
        <f>AVERAGE(Tabla2[[#This Row],[total_kills]:[rating]])</f>
        <v>6055.4736842105267</v>
      </c>
      <c r="AP253" t="str">
        <f>VLOOKUP(Tabla2[[#This Row],[KPI]],$AS$2:$AT$5,2,1)</f>
        <v>Alto</v>
      </c>
    </row>
    <row r="254" spans="1:42" x14ac:dyDescent="0.3">
      <c r="A254">
        <v>5440</v>
      </c>
      <c r="B254" t="s">
        <v>3053</v>
      </c>
      <c r="C254" t="s">
        <v>3054</v>
      </c>
      <c r="D254">
        <v>26</v>
      </c>
      <c r="E254" t="s">
        <v>187</v>
      </c>
      <c r="F254" t="s">
        <v>3055</v>
      </c>
      <c r="G254" t="s">
        <v>3056</v>
      </c>
      <c r="H254">
        <v>10179</v>
      </c>
      <c r="I254">
        <v>10697</v>
      </c>
      <c r="J254" t="s">
        <v>1154</v>
      </c>
      <c r="K254" t="s">
        <v>2171</v>
      </c>
      <c r="L254" t="s">
        <v>331</v>
      </c>
      <c r="M254">
        <v>594</v>
      </c>
      <c r="N254">
        <v>15719</v>
      </c>
      <c r="O254" t="s">
        <v>276</v>
      </c>
      <c r="P254" t="s">
        <v>235</v>
      </c>
      <c r="Q254" t="s">
        <v>167</v>
      </c>
      <c r="R254" t="s">
        <v>50</v>
      </c>
      <c r="S254" t="s">
        <v>96</v>
      </c>
      <c r="T254">
        <v>7032</v>
      </c>
      <c r="U254" t="s">
        <v>51</v>
      </c>
      <c r="V254">
        <v>1187</v>
      </c>
      <c r="W254">
        <v>1415</v>
      </c>
      <c r="X254" t="s">
        <v>47</v>
      </c>
      <c r="Y254" t="s">
        <v>1551</v>
      </c>
      <c r="Z254" t="s">
        <v>653</v>
      </c>
      <c r="AA254" t="s">
        <v>822</v>
      </c>
      <c r="AB254">
        <v>8687</v>
      </c>
      <c r="AC254">
        <v>4597</v>
      </c>
      <c r="AD254">
        <v>1832</v>
      </c>
      <c r="AE254">
        <v>507</v>
      </c>
      <c r="AF254">
        <v>89</v>
      </c>
      <c r="AG254">
        <v>7</v>
      </c>
      <c r="AH254">
        <v>7310</v>
      </c>
      <c r="AI254">
        <v>292</v>
      </c>
      <c r="AJ254">
        <v>787</v>
      </c>
      <c r="AK254">
        <v>1613</v>
      </c>
      <c r="AL254">
        <v>148</v>
      </c>
      <c r="AM254">
        <v>56</v>
      </c>
      <c r="AN254" t="s">
        <v>820</v>
      </c>
      <c r="AO254">
        <f>AVERAGE(Tabla2[[#This Row],[total_kills]:[rating]])</f>
        <v>3828.8421052631579</v>
      </c>
      <c r="AP254" t="str">
        <f>VLOOKUP(Tabla2[[#This Row],[KPI]],$AS$2:$AT$5,2,1)</f>
        <v>Medio</v>
      </c>
    </row>
    <row r="255" spans="1:42" x14ac:dyDescent="0.3">
      <c r="A255">
        <v>472</v>
      </c>
      <c r="B255" t="s">
        <v>3423</v>
      </c>
      <c r="C255" t="s">
        <v>3424</v>
      </c>
      <c r="D255">
        <v>35</v>
      </c>
      <c r="E255" t="s">
        <v>59</v>
      </c>
      <c r="F255" t="s">
        <v>60</v>
      </c>
      <c r="G255" t="s">
        <v>3425</v>
      </c>
      <c r="H255">
        <v>13472</v>
      </c>
      <c r="I255">
        <v>16880</v>
      </c>
      <c r="J255" t="s">
        <v>1154</v>
      </c>
      <c r="K255" t="s">
        <v>3303</v>
      </c>
      <c r="L255" t="s">
        <v>425</v>
      </c>
      <c r="M255">
        <v>899</v>
      </c>
      <c r="N255">
        <v>23232</v>
      </c>
      <c r="O255" t="s">
        <v>284</v>
      </c>
      <c r="P255" t="s">
        <v>553</v>
      </c>
      <c r="Q255" t="s">
        <v>495</v>
      </c>
      <c r="R255" t="s">
        <v>50</v>
      </c>
      <c r="S255" t="s">
        <v>135</v>
      </c>
      <c r="T255">
        <v>9604</v>
      </c>
      <c r="U255" t="s">
        <v>51</v>
      </c>
      <c r="V255">
        <v>1977</v>
      </c>
      <c r="W255">
        <v>2548</v>
      </c>
      <c r="X255" t="s">
        <v>123</v>
      </c>
      <c r="Y255" t="s">
        <v>1749</v>
      </c>
      <c r="Z255" t="s">
        <v>324</v>
      </c>
      <c r="AA255" t="s">
        <v>783</v>
      </c>
      <c r="AB255">
        <v>13628</v>
      </c>
      <c r="AC255">
        <v>6564</v>
      </c>
      <c r="AD255">
        <v>2346</v>
      </c>
      <c r="AE255">
        <v>582</v>
      </c>
      <c r="AF255">
        <v>105</v>
      </c>
      <c r="AG255">
        <v>7</v>
      </c>
      <c r="AH255">
        <v>10064</v>
      </c>
      <c r="AI255">
        <v>67</v>
      </c>
      <c r="AJ255">
        <v>860</v>
      </c>
      <c r="AK255">
        <v>2256</v>
      </c>
      <c r="AL255">
        <v>118</v>
      </c>
      <c r="AM255">
        <v>108</v>
      </c>
      <c r="AN255" t="s">
        <v>2425</v>
      </c>
      <c r="AO255">
        <f>AVERAGE(Tabla2[[#This Row],[total_kills]:[rating]])</f>
        <v>5543</v>
      </c>
      <c r="AP255" t="str">
        <f>VLOOKUP(Tabla2[[#This Row],[KPI]],$AS$2:$AT$5,2,1)</f>
        <v>Alto</v>
      </c>
    </row>
    <row r="256" spans="1:42" x14ac:dyDescent="0.3">
      <c r="A256">
        <v>3055</v>
      </c>
      <c r="B256" t="s">
        <v>1514</v>
      </c>
      <c r="C256" t="s">
        <v>1515</v>
      </c>
      <c r="D256">
        <v>28</v>
      </c>
      <c r="E256" t="s">
        <v>545</v>
      </c>
      <c r="F256" t="s">
        <v>1340</v>
      </c>
      <c r="G256" t="s">
        <v>605</v>
      </c>
      <c r="H256">
        <v>35063</v>
      </c>
      <c r="I256">
        <v>32431</v>
      </c>
      <c r="J256" t="s">
        <v>1516</v>
      </c>
      <c r="K256" t="s">
        <v>837</v>
      </c>
      <c r="L256" t="s">
        <v>1517</v>
      </c>
      <c r="M256">
        <v>1893</v>
      </c>
      <c r="N256">
        <v>49688</v>
      </c>
      <c r="O256" t="s">
        <v>646</v>
      </c>
      <c r="P256" t="s">
        <v>434</v>
      </c>
      <c r="Q256" t="s">
        <v>276</v>
      </c>
      <c r="R256" t="s">
        <v>96</v>
      </c>
      <c r="S256" t="s">
        <v>66</v>
      </c>
      <c r="T256">
        <v>23622</v>
      </c>
      <c r="U256" t="s">
        <v>51</v>
      </c>
      <c r="V256">
        <v>4372</v>
      </c>
      <c r="W256">
        <v>4035</v>
      </c>
      <c r="X256" t="s">
        <v>277</v>
      </c>
      <c r="Y256" t="s">
        <v>503</v>
      </c>
      <c r="Z256" t="s">
        <v>1214</v>
      </c>
      <c r="AA256" t="s">
        <v>257</v>
      </c>
      <c r="AB256">
        <v>26066</v>
      </c>
      <c r="AC256">
        <v>15014</v>
      </c>
      <c r="AD256">
        <v>6304</v>
      </c>
      <c r="AE256">
        <v>1887</v>
      </c>
      <c r="AF256">
        <v>383</v>
      </c>
      <c r="AG256">
        <v>34</v>
      </c>
      <c r="AH256">
        <v>23260</v>
      </c>
      <c r="AI256">
        <v>1373</v>
      </c>
      <c r="AJ256">
        <v>2914</v>
      </c>
      <c r="AK256">
        <v>6307</v>
      </c>
      <c r="AL256">
        <v>1003</v>
      </c>
      <c r="AM256">
        <v>270</v>
      </c>
      <c r="AN256" t="s">
        <v>407</v>
      </c>
      <c r="AO256">
        <f>AVERAGE(Tabla2[[#This Row],[total_kills]:[rating]])</f>
        <v>12416.78947368421</v>
      </c>
      <c r="AP256" t="str">
        <f>VLOOKUP(Tabla2[[#This Row],[KPI]],$AS$2:$AT$5,2,1)</f>
        <v>Superior</v>
      </c>
    </row>
    <row r="257" spans="1:42" x14ac:dyDescent="0.3">
      <c r="A257">
        <v>11064</v>
      </c>
      <c r="B257" t="s">
        <v>2145</v>
      </c>
      <c r="C257" t="s">
        <v>2146</v>
      </c>
      <c r="D257">
        <v>26</v>
      </c>
      <c r="E257" t="s">
        <v>459</v>
      </c>
      <c r="F257" t="s">
        <v>3514</v>
      </c>
      <c r="G257" t="s">
        <v>2147</v>
      </c>
      <c r="H257">
        <v>12753</v>
      </c>
      <c r="I257">
        <v>12761</v>
      </c>
      <c r="J257" t="s">
        <v>1516</v>
      </c>
      <c r="K257" t="s">
        <v>892</v>
      </c>
      <c r="L257" t="s">
        <v>462</v>
      </c>
      <c r="M257">
        <v>690</v>
      </c>
      <c r="N257">
        <v>17971</v>
      </c>
      <c r="O257" t="s">
        <v>646</v>
      </c>
      <c r="P257" t="s">
        <v>553</v>
      </c>
      <c r="Q257" t="s">
        <v>646</v>
      </c>
      <c r="R257" t="s">
        <v>50</v>
      </c>
      <c r="S257" t="s">
        <v>96</v>
      </c>
      <c r="T257">
        <v>8488</v>
      </c>
      <c r="U257" t="s">
        <v>51</v>
      </c>
      <c r="V257">
        <v>2103</v>
      </c>
      <c r="W257">
        <v>2238</v>
      </c>
      <c r="X257" t="s">
        <v>1570</v>
      </c>
      <c r="Y257" t="s">
        <v>407</v>
      </c>
      <c r="Z257" t="s">
        <v>887</v>
      </c>
      <c r="AA257" t="s">
        <v>126</v>
      </c>
      <c r="AB257">
        <v>9483</v>
      </c>
      <c r="AC257">
        <v>5304</v>
      </c>
      <c r="AD257">
        <v>2280</v>
      </c>
      <c r="AE257">
        <v>742</v>
      </c>
      <c r="AF257">
        <v>147</v>
      </c>
      <c r="AG257">
        <v>15</v>
      </c>
      <c r="AH257">
        <v>9181</v>
      </c>
      <c r="AI257">
        <v>264</v>
      </c>
      <c r="AJ257">
        <v>1124</v>
      </c>
      <c r="AK257">
        <v>2054</v>
      </c>
      <c r="AL257">
        <v>120</v>
      </c>
      <c r="AM257">
        <v>30</v>
      </c>
      <c r="AN257" t="s">
        <v>277</v>
      </c>
      <c r="AO257">
        <f>AVERAGE(Tabla2[[#This Row],[total_kills]:[rating]])</f>
        <v>4618.3157894736842</v>
      </c>
      <c r="AP257" t="str">
        <f>VLOOKUP(Tabla2[[#This Row],[KPI]],$AS$2:$AT$5,2,1)</f>
        <v>Medio</v>
      </c>
    </row>
    <row r="258" spans="1:42" x14ac:dyDescent="0.3">
      <c r="A258">
        <v>4637</v>
      </c>
      <c r="B258" t="s">
        <v>2316</v>
      </c>
      <c r="C258" t="s">
        <v>2317</v>
      </c>
      <c r="D258">
        <v>33</v>
      </c>
      <c r="E258" t="s">
        <v>270</v>
      </c>
      <c r="F258" t="s">
        <v>3514</v>
      </c>
      <c r="G258" t="s">
        <v>2318</v>
      </c>
      <c r="H258">
        <v>8381</v>
      </c>
      <c r="I258">
        <v>8327</v>
      </c>
      <c r="J258" t="s">
        <v>1516</v>
      </c>
      <c r="K258" t="s">
        <v>515</v>
      </c>
      <c r="L258" t="s">
        <v>575</v>
      </c>
      <c r="M258">
        <v>482</v>
      </c>
      <c r="N258">
        <v>12229</v>
      </c>
      <c r="O258" t="s">
        <v>463</v>
      </c>
      <c r="P258" t="s">
        <v>434</v>
      </c>
      <c r="Q258" t="s">
        <v>167</v>
      </c>
      <c r="R258" t="s">
        <v>202</v>
      </c>
      <c r="S258" t="s">
        <v>67</v>
      </c>
      <c r="T258">
        <v>5672</v>
      </c>
      <c r="U258" t="s">
        <v>51</v>
      </c>
      <c r="V258">
        <v>1512</v>
      </c>
      <c r="W258">
        <v>1519</v>
      </c>
      <c r="X258">
        <v>1</v>
      </c>
      <c r="Y258" t="s">
        <v>277</v>
      </c>
      <c r="Z258" t="s">
        <v>1614</v>
      </c>
      <c r="AA258" t="s">
        <v>238</v>
      </c>
      <c r="AB258">
        <v>6557</v>
      </c>
      <c r="AC258">
        <v>3641</v>
      </c>
      <c r="AD258">
        <v>1453</v>
      </c>
      <c r="AE258">
        <v>491</v>
      </c>
      <c r="AF258">
        <v>74</v>
      </c>
      <c r="AG258">
        <v>13</v>
      </c>
      <c r="AH258">
        <v>5704</v>
      </c>
      <c r="AI258">
        <v>499</v>
      </c>
      <c r="AJ258">
        <v>687</v>
      </c>
      <c r="AK258">
        <v>1350</v>
      </c>
      <c r="AL258">
        <v>131</v>
      </c>
      <c r="AM258">
        <v>27</v>
      </c>
      <c r="AN258">
        <v>1</v>
      </c>
      <c r="AO258">
        <f>AVERAGE(Tabla2[[#This Row],[total_kills]:[rating]])</f>
        <v>2797.6666666666665</v>
      </c>
      <c r="AP258" t="str">
        <f>VLOOKUP(Tabla2[[#This Row],[KPI]],$AS$2:$AT$5,2,1)</f>
        <v>Bajo</v>
      </c>
    </row>
    <row r="259" spans="1:42" x14ac:dyDescent="0.3">
      <c r="A259">
        <v>12129</v>
      </c>
      <c r="B259" t="s">
        <v>2768</v>
      </c>
      <c r="C259" t="s">
        <v>2769</v>
      </c>
      <c r="D259">
        <v>25</v>
      </c>
      <c r="E259" t="s">
        <v>477</v>
      </c>
      <c r="F259" t="s">
        <v>593</v>
      </c>
      <c r="G259" t="s">
        <v>2770</v>
      </c>
      <c r="H259">
        <v>10034</v>
      </c>
      <c r="I259">
        <v>10257</v>
      </c>
      <c r="J259" t="s">
        <v>1516</v>
      </c>
      <c r="K259" t="s">
        <v>1680</v>
      </c>
      <c r="L259">
        <v>3</v>
      </c>
      <c r="M259">
        <v>591</v>
      </c>
      <c r="N259">
        <v>15136</v>
      </c>
      <c r="O259" t="s">
        <v>322</v>
      </c>
      <c r="P259" t="s">
        <v>166</v>
      </c>
      <c r="Q259" t="s">
        <v>167</v>
      </c>
      <c r="R259" t="s">
        <v>202</v>
      </c>
      <c r="S259" t="s">
        <v>67</v>
      </c>
      <c r="T259">
        <v>6919</v>
      </c>
      <c r="U259" t="s">
        <v>51</v>
      </c>
      <c r="V259">
        <v>1377</v>
      </c>
      <c r="W259">
        <v>1459</v>
      </c>
      <c r="X259" t="s">
        <v>1570</v>
      </c>
      <c r="Y259" t="s">
        <v>472</v>
      </c>
      <c r="Z259" t="s">
        <v>391</v>
      </c>
      <c r="AA259" t="s">
        <v>1083</v>
      </c>
      <c r="AB259">
        <v>8217</v>
      </c>
      <c r="AC259">
        <v>4552</v>
      </c>
      <c r="AD259">
        <v>1743</v>
      </c>
      <c r="AE259">
        <v>509</v>
      </c>
      <c r="AF259">
        <v>106</v>
      </c>
      <c r="AG259">
        <v>9</v>
      </c>
      <c r="AH259">
        <v>7220</v>
      </c>
      <c r="AI259">
        <v>31</v>
      </c>
      <c r="AJ259">
        <v>1011</v>
      </c>
      <c r="AK259">
        <v>1656</v>
      </c>
      <c r="AL259">
        <v>82</v>
      </c>
      <c r="AM259">
        <v>55</v>
      </c>
      <c r="AN259" t="s">
        <v>304</v>
      </c>
      <c r="AO259">
        <f>AVERAGE(Tabla2[[#This Row],[total_kills]:[rating]])</f>
        <v>3548.35</v>
      </c>
      <c r="AP259" t="str">
        <f>VLOOKUP(Tabla2[[#This Row],[KPI]],$AS$2:$AT$5,2,1)</f>
        <v>Medio</v>
      </c>
    </row>
    <row r="260" spans="1:42" x14ac:dyDescent="0.3">
      <c r="A260">
        <v>10192</v>
      </c>
      <c r="B260" t="s">
        <v>2752</v>
      </c>
      <c r="C260" t="s">
        <v>2753</v>
      </c>
      <c r="D260">
        <v>28</v>
      </c>
      <c r="E260" t="s">
        <v>209</v>
      </c>
      <c r="F260" t="s">
        <v>1259</v>
      </c>
      <c r="G260" t="s">
        <v>2754</v>
      </c>
      <c r="H260">
        <v>10691</v>
      </c>
      <c r="I260">
        <v>10922</v>
      </c>
      <c r="J260" t="s">
        <v>2755</v>
      </c>
      <c r="K260" t="s">
        <v>582</v>
      </c>
      <c r="L260" t="s">
        <v>179</v>
      </c>
      <c r="M260">
        <v>598</v>
      </c>
      <c r="N260">
        <v>15794</v>
      </c>
      <c r="O260" t="s">
        <v>167</v>
      </c>
      <c r="P260" t="s">
        <v>48</v>
      </c>
      <c r="Q260" t="s">
        <v>463</v>
      </c>
      <c r="R260" t="s">
        <v>96</v>
      </c>
      <c r="S260" t="s">
        <v>96</v>
      </c>
      <c r="T260">
        <v>7376</v>
      </c>
      <c r="U260" t="s">
        <v>51</v>
      </c>
      <c r="V260">
        <v>1647</v>
      </c>
      <c r="W260">
        <v>1660</v>
      </c>
      <c r="X260" t="s">
        <v>285</v>
      </c>
      <c r="Y260" t="s">
        <v>255</v>
      </c>
      <c r="Z260" t="s">
        <v>1310</v>
      </c>
      <c r="AA260" t="s">
        <v>676</v>
      </c>
      <c r="AB260">
        <v>8418</v>
      </c>
      <c r="AC260">
        <v>4822</v>
      </c>
      <c r="AD260">
        <v>1913</v>
      </c>
      <c r="AE260">
        <v>528</v>
      </c>
      <c r="AF260">
        <v>106</v>
      </c>
      <c r="AG260">
        <v>7</v>
      </c>
      <c r="AH260">
        <v>5374</v>
      </c>
      <c r="AI260">
        <v>2683</v>
      </c>
      <c r="AJ260">
        <v>637</v>
      </c>
      <c r="AK260">
        <v>1925</v>
      </c>
      <c r="AL260">
        <v>65</v>
      </c>
      <c r="AM260">
        <v>38</v>
      </c>
      <c r="AN260" t="s">
        <v>503</v>
      </c>
      <c r="AO260">
        <f>AVERAGE(Tabla2[[#This Row],[total_kills]:[rating]])</f>
        <v>3958.1052631578946</v>
      </c>
      <c r="AP260" t="str">
        <f>VLOOKUP(Tabla2[[#This Row],[KPI]],$AS$2:$AT$5,2,1)</f>
        <v>Medio</v>
      </c>
    </row>
    <row r="261" spans="1:42" x14ac:dyDescent="0.3">
      <c r="A261">
        <v>7925</v>
      </c>
      <c r="B261" t="s">
        <v>2802</v>
      </c>
      <c r="C261" t="s">
        <v>2803</v>
      </c>
      <c r="D261">
        <v>32</v>
      </c>
      <c r="E261" t="s">
        <v>187</v>
      </c>
      <c r="F261" t="s">
        <v>3514</v>
      </c>
      <c r="G261" t="s">
        <v>2804</v>
      </c>
      <c r="H261">
        <v>7943</v>
      </c>
      <c r="I261">
        <v>8207</v>
      </c>
      <c r="J261" t="s">
        <v>2755</v>
      </c>
      <c r="K261">
        <v>76</v>
      </c>
      <c r="L261" t="s">
        <v>164</v>
      </c>
      <c r="M261">
        <v>441</v>
      </c>
      <c r="N261">
        <v>11654</v>
      </c>
      <c r="O261" t="s">
        <v>167</v>
      </c>
      <c r="P261" t="s">
        <v>553</v>
      </c>
      <c r="Q261" t="s">
        <v>905</v>
      </c>
      <c r="R261" t="s">
        <v>67</v>
      </c>
      <c r="S261" t="s">
        <v>67</v>
      </c>
      <c r="T261">
        <v>5470</v>
      </c>
      <c r="U261" t="s">
        <v>51</v>
      </c>
      <c r="V261">
        <v>1142</v>
      </c>
      <c r="W261">
        <v>1096</v>
      </c>
      <c r="X261" t="s">
        <v>407</v>
      </c>
      <c r="Y261">
        <v>1</v>
      </c>
      <c r="Z261" t="s">
        <v>653</v>
      </c>
      <c r="AA261" t="s">
        <v>844</v>
      </c>
      <c r="AB261">
        <v>6184</v>
      </c>
      <c r="AC261">
        <v>3575</v>
      </c>
      <c r="AD261">
        <v>1428</v>
      </c>
      <c r="AE261">
        <v>369</v>
      </c>
      <c r="AF261">
        <v>93</v>
      </c>
      <c r="AG261">
        <v>5</v>
      </c>
      <c r="AH261">
        <v>4880</v>
      </c>
      <c r="AI261">
        <v>1030</v>
      </c>
      <c r="AJ261">
        <v>288</v>
      </c>
      <c r="AK261">
        <v>1628</v>
      </c>
      <c r="AL261">
        <v>92</v>
      </c>
      <c r="AM261">
        <v>46</v>
      </c>
      <c r="AN261" t="s">
        <v>503</v>
      </c>
      <c r="AO261">
        <f>AVERAGE(Tabla2[[#This Row],[total_kills]:[rating]])</f>
        <v>2649.9047619047619</v>
      </c>
      <c r="AP261" t="str">
        <f>VLOOKUP(Tabla2[[#This Row],[KPI]],$AS$2:$AT$5,2,1)</f>
        <v>Bajo</v>
      </c>
    </row>
    <row r="262" spans="1:42" x14ac:dyDescent="0.3">
      <c r="A262">
        <v>17145</v>
      </c>
      <c r="B262" t="s">
        <v>1320</v>
      </c>
      <c r="C262" t="s">
        <v>1321</v>
      </c>
      <c r="D262">
        <v>21</v>
      </c>
      <c r="E262" t="s">
        <v>467</v>
      </c>
      <c r="F262" t="s">
        <v>468</v>
      </c>
      <c r="G262" t="s">
        <v>468</v>
      </c>
      <c r="H262">
        <v>21206</v>
      </c>
      <c r="I262">
        <v>19252</v>
      </c>
      <c r="J262" t="s">
        <v>1322</v>
      </c>
      <c r="K262" t="s">
        <v>1183</v>
      </c>
      <c r="L262" t="s">
        <v>1170</v>
      </c>
      <c r="M262">
        <v>1127</v>
      </c>
      <c r="N262">
        <v>30404</v>
      </c>
      <c r="O262" t="s">
        <v>905</v>
      </c>
      <c r="P262" t="s">
        <v>202</v>
      </c>
      <c r="Q262" t="s">
        <v>215</v>
      </c>
      <c r="R262" t="s">
        <v>66</v>
      </c>
      <c r="S262" t="s">
        <v>50</v>
      </c>
      <c r="T262">
        <v>14268</v>
      </c>
      <c r="U262" t="s">
        <v>51</v>
      </c>
      <c r="V262">
        <v>2605</v>
      </c>
      <c r="W262">
        <v>2454</v>
      </c>
      <c r="X262" t="s">
        <v>590</v>
      </c>
      <c r="Y262" t="s">
        <v>472</v>
      </c>
      <c r="Z262" t="s">
        <v>821</v>
      </c>
      <c r="AA262" t="s">
        <v>1052</v>
      </c>
      <c r="AB262">
        <v>16136</v>
      </c>
      <c r="AC262">
        <v>9022</v>
      </c>
      <c r="AD262">
        <v>3845</v>
      </c>
      <c r="AE262">
        <v>1139</v>
      </c>
      <c r="AF262">
        <v>233</v>
      </c>
      <c r="AG262">
        <v>29</v>
      </c>
      <c r="AH262">
        <v>16167</v>
      </c>
      <c r="AI262">
        <v>492</v>
      </c>
      <c r="AJ262">
        <v>940</v>
      </c>
      <c r="AK262">
        <v>3358</v>
      </c>
      <c r="AL262">
        <v>263</v>
      </c>
      <c r="AM262">
        <v>57</v>
      </c>
      <c r="AN262" t="s">
        <v>561</v>
      </c>
      <c r="AO262">
        <f>AVERAGE(Tabla2[[#This Row],[total_kills]:[rating]])</f>
        <v>7526.1578947368425</v>
      </c>
      <c r="AP262" t="str">
        <f>VLOOKUP(Tabla2[[#This Row],[KPI]],$AS$2:$AT$5,2,1)</f>
        <v>Superior</v>
      </c>
    </row>
    <row r="263" spans="1:42" x14ac:dyDescent="0.3">
      <c r="A263">
        <v>3183</v>
      </c>
      <c r="B263" t="s">
        <v>2116</v>
      </c>
      <c r="C263" t="s">
        <v>2117</v>
      </c>
      <c r="D263">
        <v>32</v>
      </c>
      <c r="E263" t="s">
        <v>467</v>
      </c>
      <c r="F263" t="s">
        <v>2118</v>
      </c>
      <c r="G263" t="s">
        <v>2119</v>
      </c>
      <c r="H263">
        <v>16849</v>
      </c>
      <c r="I263">
        <v>16756</v>
      </c>
      <c r="J263" t="s">
        <v>1322</v>
      </c>
      <c r="K263">
        <v>81</v>
      </c>
      <c r="L263" t="s">
        <v>612</v>
      </c>
      <c r="M263">
        <v>899</v>
      </c>
      <c r="N263">
        <v>23232</v>
      </c>
      <c r="O263" t="s">
        <v>495</v>
      </c>
      <c r="P263" t="s">
        <v>303</v>
      </c>
      <c r="Q263" t="s">
        <v>311</v>
      </c>
      <c r="R263" t="s">
        <v>50</v>
      </c>
      <c r="S263" t="s">
        <v>66</v>
      </c>
      <c r="T263">
        <v>11300</v>
      </c>
      <c r="U263" t="s">
        <v>51</v>
      </c>
      <c r="V263">
        <v>2845</v>
      </c>
      <c r="W263">
        <v>2903</v>
      </c>
      <c r="X263" t="s">
        <v>245</v>
      </c>
      <c r="Y263" t="s">
        <v>464</v>
      </c>
      <c r="Z263" t="s">
        <v>156</v>
      </c>
      <c r="AA263" t="s">
        <v>1122</v>
      </c>
      <c r="AB263">
        <v>11932</v>
      </c>
      <c r="AC263">
        <v>7121</v>
      </c>
      <c r="AD263">
        <v>3040</v>
      </c>
      <c r="AE263">
        <v>936</v>
      </c>
      <c r="AF263">
        <v>191</v>
      </c>
      <c r="AG263">
        <v>12</v>
      </c>
      <c r="AH263">
        <v>12202</v>
      </c>
      <c r="AI263">
        <v>168</v>
      </c>
      <c r="AJ263">
        <v>1356</v>
      </c>
      <c r="AK263">
        <v>2848</v>
      </c>
      <c r="AL263">
        <v>260</v>
      </c>
      <c r="AM263">
        <v>23</v>
      </c>
      <c r="AN263" t="s">
        <v>255</v>
      </c>
      <c r="AO263">
        <f>AVERAGE(Tabla2[[#This Row],[total_kills]:[rating]])</f>
        <v>5747.7</v>
      </c>
      <c r="AP263" t="str">
        <f>VLOOKUP(Tabla2[[#This Row],[KPI]],$AS$2:$AT$5,2,1)</f>
        <v>Alto</v>
      </c>
    </row>
    <row r="264" spans="1:42" x14ac:dyDescent="0.3">
      <c r="A264">
        <v>8570</v>
      </c>
      <c r="B264" t="s">
        <v>2038</v>
      </c>
      <c r="C264" t="s">
        <v>2039</v>
      </c>
      <c r="D264">
        <v>27</v>
      </c>
      <c r="E264" t="s">
        <v>327</v>
      </c>
      <c r="F264" t="s">
        <v>2040</v>
      </c>
      <c r="G264" t="s">
        <v>1740</v>
      </c>
      <c r="H264">
        <v>31122</v>
      </c>
      <c r="I264">
        <v>30364</v>
      </c>
      <c r="J264" t="s">
        <v>2041</v>
      </c>
      <c r="K264" t="s">
        <v>843</v>
      </c>
      <c r="L264" t="s">
        <v>93</v>
      </c>
      <c r="M264">
        <v>1690</v>
      </c>
      <c r="N264">
        <v>44986</v>
      </c>
      <c r="O264" t="s">
        <v>463</v>
      </c>
      <c r="P264" t="s">
        <v>166</v>
      </c>
      <c r="Q264" t="s">
        <v>225</v>
      </c>
      <c r="R264" t="s">
        <v>50</v>
      </c>
      <c r="S264" t="s">
        <v>67</v>
      </c>
      <c r="T264">
        <v>20895</v>
      </c>
      <c r="U264" t="s">
        <v>51</v>
      </c>
      <c r="V264">
        <v>4076</v>
      </c>
      <c r="W264">
        <v>4254</v>
      </c>
      <c r="X264" t="s">
        <v>472</v>
      </c>
      <c r="Y264" t="s">
        <v>472</v>
      </c>
      <c r="Z264" t="s">
        <v>383</v>
      </c>
      <c r="AA264" t="s">
        <v>1244</v>
      </c>
      <c r="AB264">
        <v>24091</v>
      </c>
      <c r="AC264">
        <v>13188</v>
      </c>
      <c r="AD264">
        <v>5593</v>
      </c>
      <c r="AE264">
        <v>1749</v>
      </c>
      <c r="AF264">
        <v>327</v>
      </c>
      <c r="AG264">
        <v>38</v>
      </c>
      <c r="AH264">
        <v>23846</v>
      </c>
      <c r="AI264">
        <v>501</v>
      </c>
      <c r="AJ264">
        <v>1043</v>
      </c>
      <c r="AK264">
        <v>5352</v>
      </c>
      <c r="AL264">
        <v>363</v>
      </c>
      <c r="AM264">
        <v>92</v>
      </c>
      <c r="AN264" t="s">
        <v>255</v>
      </c>
      <c r="AO264">
        <f>AVERAGE(Tabla2[[#This Row],[total_kills]:[rating]])</f>
        <v>11240.526315789473</v>
      </c>
      <c r="AP264" t="str">
        <f>VLOOKUP(Tabla2[[#This Row],[KPI]],$AS$2:$AT$5,2,1)</f>
        <v>Superior</v>
      </c>
    </row>
    <row r="265" spans="1:42" x14ac:dyDescent="0.3">
      <c r="A265">
        <v>14203</v>
      </c>
      <c r="B265" t="s">
        <v>3113</v>
      </c>
      <c r="C265" t="s">
        <v>3114</v>
      </c>
      <c r="D265">
        <v>24</v>
      </c>
      <c r="E265" t="s">
        <v>459</v>
      </c>
      <c r="F265" t="s">
        <v>1903</v>
      </c>
      <c r="G265" t="s">
        <v>3115</v>
      </c>
      <c r="H265">
        <v>13373</v>
      </c>
      <c r="I265">
        <v>13829</v>
      </c>
      <c r="J265" t="s">
        <v>2041</v>
      </c>
      <c r="K265" t="s">
        <v>2624</v>
      </c>
      <c r="L265" t="s">
        <v>244</v>
      </c>
      <c r="M265">
        <v>836</v>
      </c>
      <c r="N265">
        <v>21792</v>
      </c>
      <c r="O265" t="s">
        <v>49</v>
      </c>
      <c r="P265" t="s">
        <v>202</v>
      </c>
      <c r="Q265" t="s">
        <v>215</v>
      </c>
      <c r="R265" t="s">
        <v>50</v>
      </c>
      <c r="S265" t="s">
        <v>66</v>
      </c>
      <c r="T265">
        <v>9476</v>
      </c>
      <c r="U265" t="s">
        <v>51</v>
      </c>
      <c r="V265">
        <v>1812</v>
      </c>
      <c r="W265">
        <v>2054</v>
      </c>
      <c r="X265" t="s">
        <v>2315</v>
      </c>
      <c r="Y265" t="s">
        <v>950</v>
      </c>
      <c r="Z265" t="s">
        <v>1358</v>
      </c>
      <c r="AA265" t="s">
        <v>2631</v>
      </c>
      <c r="AB265">
        <v>12316</v>
      </c>
      <c r="AC265">
        <v>6395</v>
      </c>
      <c r="AD265">
        <v>2372</v>
      </c>
      <c r="AE265">
        <v>607</v>
      </c>
      <c r="AF265">
        <v>97</v>
      </c>
      <c r="AG265">
        <v>5</v>
      </c>
      <c r="AH265">
        <v>8780</v>
      </c>
      <c r="AI265">
        <v>997</v>
      </c>
      <c r="AJ265">
        <v>1267</v>
      </c>
      <c r="AK265">
        <v>1992</v>
      </c>
      <c r="AL265">
        <v>208</v>
      </c>
      <c r="AM265">
        <v>185</v>
      </c>
      <c r="AN265">
        <v>1</v>
      </c>
      <c r="AO265">
        <f>AVERAGE(Tabla2[[#This Row],[total_kills]:[rating]])</f>
        <v>4919.7</v>
      </c>
      <c r="AP265" t="str">
        <f>VLOOKUP(Tabla2[[#This Row],[KPI]],$AS$2:$AT$5,2,1)</f>
        <v>Alto</v>
      </c>
    </row>
    <row r="266" spans="1:42" x14ac:dyDescent="0.3">
      <c r="A266">
        <v>11140</v>
      </c>
      <c r="B266" t="s">
        <v>429</v>
      </c>
      <c r="C266" t="s">
        <v>430</v>
      </c>
      <c r="D266">
        <v>23</v>
      </c>
      <c r="E266" t="s">
        <v>299</v>
      </c>
      <c r="F266" t="s">
        <v>260</v>
      </c>
      <c r="G266" t="s">
        <v>431</v>
      </c>
      <c r="H266">
        <v>18179</v>
      </c>
      <c r="I266">
        <v>15568</v>
      </c>
      <c r="J266" t="s">
        <v>432</v>
      </c>
      <c r="K266" t="s">
        <v>232</v>
      </c>
      <c r="L266" t="s">
        <v>433</v>
      </c>
      <c r="M266">
        <v>946</v>
      </c>
      <c r="N266">
        <v>23988</v>
      </c>
      <c r="O266" t="s">
        <v>234</v>
      </c>
      <c r="P266" t="s">
        <v>434</v>
      </c>
      <c r="Q266" t="s">
        <v>276</v>
      </c>
      <c r="R266" t="s">
        <v>50</v>
      </c>
      <c r="S266" t="s">
        <v>96</v>
      </c>
      <c r="T266">
        <v>11887</v>
      </c>
      <c r="U266" t="s">
        <v>51</v>
      </c>
      <c r="V266">
        <v>2792</v>
      </c>
      <c r="W266">
        <v>2439</v>
      </c>
      <c r="X266" t="s">
        <v>111</v>
      </c>
      <c r="Y266" t="s">
        <v>277</v>
      </c>
      <c r="Z266" t="s">
        <v>435</v>
      </c>
      <c r="AA266" t="s">
        <v>436</v>
      </c>
      <c r="AB266">
        <v>12101</v>
      </c>
      <c r="AC266">
        <v>7199</v>
      </c>
      <c r="AD266">
        <v>3368</v>
      </c>
      <c r="AE266">
        <v>1063</v>
      </c>
      <c r="AF266">
        <v>230</v>
      </c>
      <c r="AG266">
        <v>27</v>
      </c>
      <c r="AH266">
        <v>12322</v>
      </c>
      <c r="AI266">
        <v>825</v>
      </c>
      <c r="AJ266">
        <v>1492</v>
      </c>
      <c r="AK266">
        <v>3018</v>
      </c>
      <c r="AL266">
        <v>490</v>
      </c>
      <c r="AM266">
        <v>77</v>
      </c>
      <c r="AN266" t="s">
        <v>127</v>
      </c>
      <c r="AO266">
        <f>AVERAGE(Tabla2[[#This Row],[total_kills]:[rating]])</f>
        <v>6211.105263157895</v>
      </c>
      <c r="AP266" t="str">
        <f>VLOOKUP(Tabla2[[#This Row],[KPI]],$AS$2:$AT$5,2,1)</f>
        <v>Alto</v>
      </c>
    </row>
    <row r="267" spans="1:42" x14ac:dyDescent="0.3">
      <c r="A267">
        <v>2299</v>
      </c>
      <c r="B267" t="s">
        <v>1965</v>
      </c>
      <c r="C267" t="s">
        <v>1966</v>
      </c>
      <c r="D267">
        <v>28</v>
      </c>
      <c r="E267" t="s">
        <v>1967</v>
      </c>
      <c r="F267" t="s">
        <v>1968</v>
      </c>
      <c r="G267" t="s">
        <v>1969</v>
      </c>
      <c r="H267">
        <v>11861</v>
      </c>
      <c r="I267">
        <v>11265</v>
      </c>
      <c r="J267" t="s">
        <v>432</v>
      </c>
      <c r="K267" t="s">
        <v>1494</v>
      </c>
      <c r="L267" t="s">
        <v>201</v>
      </c>
      <c r="M267">
        <v>664</v>
      </c>
      <c r="N267">
        <v>17181</v>
      </c>
      <c r="O267" t="s">
        <v>463</v>
      </c>
      <c r="P267" t="s">
        <v>202</v>
      </c>
      <c r="Q267" t="s">
        <v>322</v>
      </c>
      <c r="R267" t="s">
        <v>96</v>
      </c>
      <c r="S267" t="s">
        <v>96</v>
      </c>
      <c r="T267">
        <v>8123</v>
      </c>
      <c r="U267" t="s">
        <v>51</v>
      </c>
      <c r="V267">
        <v>1576</v>
      </c>
      <c r="W267">
        <v>1444</v>
      </c>
      <c r="X267" t="s">
        <v>295</v>
      </c>
      <c r="Y267" t="s">
        <v>285</v>
      </c>
      <c r="Z267" t="s">
        <v>237</v>
      </c>
      <c r="AA267" t="s">
        <v>1083</v>
      </c>
      <c r="AB267">
        <v>9058</v>
      </c>
      <c r="AC267">
        <v>5230</v>
      </c>
      <c r="AD267">
        <v>2188</v>
      </c>
      <c r="AE267">
        <v>592</v>
      </c>
      <c r="AF267">
        <v>98</v>
      </c>
      <c r="AG267">
        <v>15</v>
      </c>
      <c r="AH267">
        <v>7874</v>
      </c>
      <c r="AI267">
        <v>757</v>
      </c>
      <c r="AJ267">
        <v>1039</v>
      </c>
      <c r="AK267">
        <v>1991</v>
      </c>
      <c r="AL267">
        <v>190</v>
      </c>
      <c r="AM267">
        <v>25</v>
      </c>
      <c r="AN267" t="s">
        <v>449</v>
      </c>
      <c r="AO267">
        <f>AVERAGE(Tabla2[[#This Row],[total_kills]:[rating]])</f>
        <v>4272.1578947368425</v>
      </c>
      <c r="AP267" t="str">
        <f>VLOOKUP(Tabla2[[#This Row],[KPI]],$AS$2:$AT$5,2,1)</f>
        <v>Medio</v>
      </c>
    </row>
    <row r="268" spans="1:42" x14ac:dyDescent="0.3">
      <c r="A268">
        <v>7388</v>
      </c>
      <c r="B268" t="s">
        <v>2778</v>
      </c>
      <c r="C268" t="s">
        <v>2779</v>
      </c>
      <c r="D268">
        <v>29</v>
      </c>
      <c r="E268" t="s">
        <v>683</v>
      </c>
      <c r="F268" t="s">
        <v>2780</v>
      </c>
      <c r="G268" t="s">
        <v>2781</v>
      </c>
      <c r="H268">
        <v>11465</v>
      </c>
      <c r="I268">
        <v>11889</v>
      </c>
      <c r="J268" t="s">
        <v>432</v>
      </c>
      <c r="K268" t="s">
        <v>1119</v>
      </c>
      <c r="L268" t="s">
        <v>275</v>
      </c>
      <c r="M268">
        <v>642</v>
      </c>
      <c r="N268">
        <v>16858</v>
      </c>
      <c r="O268" t="s">
        <v>167</v>
      </c>
      <c r="P268" t="s">
        <v>166</v>
      </c>
      <c r="Q268" t="s">
        <v>646</v>
      </c>
      <c r="R268" t="s">
        <v>48</v>
      </c>
      <c r="S268" t="s">
        <v>67</v>
      </c>
      <c r="T268">
        <v>7823</v>
      </c>
      <c r="U268" t="s">
        <v>51</v>
      </c>
      <c r="V268">
        <v>1925</v>
      </c>
      <c r="W268">
        <v>1980</v>
      </c>
      <c r="X268" t="s">
        <v>503</v>
      </c>
      <c r="Y268" t="s">
        <v>407</v>
      </c>
      <c r="Z268" t="s">
        <v>1765</v>
      </c>
      <c r="AA268" t="s">
        <v>882</v>
      </c>
      <c r="AB268">
        <v>9035</v>
      </c>
      <c r="AC268">
        <v>5047</v>
      </c>
      <c r="AD268">
        <v>2058</v>
      </c>
      <c r="AE268">
        <v>587</v>
      </c>
      <c r="AF268">
        <v>114</v>
      </c>
      <c r="AG268">
        <v>17</v>
      </c>
      <c r="AH268">
        <v>7625</v>
      </c>
      <c r="AI268">
        <v>985</v>
      </c>
      <c r="AJ268">
        <v>665</v>
      </c>
      <c r="AK268">
        <v>2089</v>
      </c>
      <c r="AL268">
        <v>99</v>
      </c>
      <c r="AM268">
        <v>28</v>
      </c>
      <c r="AN268" t="s">
        <v>503</v>
      </c>
      <c r="AO268">
        <f>AVERAGE(Tabla2[[#This Row],[total_kills]:[rating]])</f>
        <v>4259.5263157894733</v>
      </c>
      <c r="AP268" t="str">
        <f>VLOOKUP(Tabla2[[#This Row],[KPI]],$AS$2:$AT$5,2,1)</f>
        <v>Medio</v>
      </c>
    </row>
    <row r="269" spans="1:42" x14ac:dyDescent="0.3">
      <c r="A269">
        <v>9845</v>
      </c>
      <c r="B269" t="s">
        <v>3078</v>
      </c>
      <c r="C269" t="s">
        <v>3079</v>
      </c>
      <c r="D269">
        <v>28</v>
      </c>
      <c r="E269" t="s">
        <v>500</v>
      </c>
      <c r="F269" t="s">
        <v>3514</v>
      </c>
      <c r="G269" t="s">
        <v>3080</v>
      </c>
      <c r="H269">
        <v>6351</v>
      </c>
      <c r="I269">
        <v>6673</v>
      </c>
      <c r="J269" t="s">
        <v>432</v>
      </c>
      <c r="K269" t="s">
        <v>2931</v>
      </c>
      <c r="L269" t="s">
        <v>275</v>
      </c>
      <c r="M269">
        <v>385</v>
      </c>
      <c r="N269">
        <v>10066</v>
      </c>
      <c r="O269" t="s">
        <v>215</v>
      </c>
      <c r="P269" t="s">
        <v>166</v>
      </c>
      <c r="Q269" t="s">
        <v>322</v>
      </c>
      <c r="R269" t="s">
        <v>48</v>
      </c>
      <c r="S269" t="s">
        <v>67</v>
      </c>
      <c r="T269">
        <v>4455</v>
      </c>
      <c r="U269" t="s">
        <v>51</v>
      </c>
      <c r="V269">
        <v>511</v>
      </c>
      <c r="W269">
        <v>648</v>
      </c>
      <c r="X269" t="s">
        <v>109</v>
      </c>
      <c r="Y269" t="s">
        <v>165</v>
      </c>
      <c r="Z269" t="s">
        <v>2167</v>
      </c>
      <c r="AA269" t="s">
        <v>3081</v>
      </c>
      <c r="AB269">
        <v>5611</v>
      </c>
      <c r="AC269">
        <v>3010</v>
      </c>
      <c r="AD269">
        <v>1085</v>
      </c>
      <c r="AE269">
        <v>282</v>
      </c>
      <c r="AF269">
        <v>65</v>
      </c>
      <c r="AG269">
        <v>13</v>
      </c>
      <c r="AH269">
        <v>4351</v>
      </c>
      <c r="AI269">
        <v>159</v>
      </c>
      <c r="AJ269">
        <v>503</v>
      </c>
      <c r="AK269">
        <v>1279</v>
      </c>
      <c r="AL269">
        <v>69</v>
      </c>
      <c r="AM269">
        <v>4</v>
      </c>
      <c r="AN269" t="s">
        <v>1570</v>
      </c>
      <c r="AO269">
        <f>AVERAGE(Tabla2[[#This Row],[total_kills]:[rating]])</f>
        <v>2395.7894736842104</v>
      </c>
      <c r="AP269" t="str">
        <f>VLOOKUP(Tabla2[[#This Row],[KPI]],$AS$2:$AT$5,2,1)</f>
        <v>Bajo</v>
      </c>
    </row>
    <row r="270" spans="1:42" x14ac:dyDescent="0.3">
      <c r="A270">
        <v>1889</v>
      </c>
      <c r="B270" t="s">
        <v>3123</v>
      </c>
      <c r="C270" t="s">
        <v>3124</v>
      </c>
      <c r="D270">
        <v>28</v>
      </c>
      <c r="E270" t="s">
        <v>196</v>
      </c>
      <c r="F270" t="s">
        <v>3514</v>
      </c>
      <c r="G270" t="s">
        <v>3125</v>
      </c>
      <c r="H270">
        <v>10221</v>
      </c>
      <c r="I270">
        <v>10753</v>
      </c>
      <c r="J270" t="s">
        <v>432</v>
      </c>
      <c r="K270">
        <v>72</v>
      </c>
      <c r="L270" t="s">
        <v>1170</v>
      </c>
      <c r="M270">
        <v>623</v>
      </c>
      <c r="N270">
        <v>16172</v>
      </c>
      <c r="O270" t="s">
        <v>215</v>
      </c>
      <c r="P270" t="s">
        <v>166</v>
      </c>
      <c r="Q270" t="s">
        <v>322</v>
      </c>
      <c r="R270" t="s">
        <v>50</v>
      </c>
      <c r="S270" t="s">
        <v>96</v>
      </c>
      <c r="T270">
        <v>7137</v>
      </c>
      <c r="U270" t="s">
        <v>51</v>
      </c>
      <c r="V270">
        <v>1289</v>
      </c>
      <c r="W270">
        <v>1481</v>
      </c>
      <c r="X270" t="s">
        <v>2324</v>
      </c>
      <c r="Y270" t="s">
        <v>1749</v>
      </c>
      <c r="Z270" t="s">
        <v>932</v>
      </c>
      <c r="AA270" t="s">
        <v>474</v>
      </c>
      <c r="AB270">
        <v>9035</v>
      </c>
      <c r="AC270">
        <v>4713</v>
      </c>
      <c r="AD270">
        <v>1859</v>
      </c>
      <c r="AE270">
        <v>483</v>
      </c>
      <c r="AF270">
        <v>75</v>
      </c>
      <c r="AG270">
        <v>7</v>
      </c>
      <c r="AH270">
        <v>7417</v>
      </c>
      <c r="AI270">
        <v>124</v>
      </c>
      <c r="AJ270">
        <v>751</v>
      </c>
      <c r="AK270">
        <v>1771</v>
      </c>
      <c r="AL270">
        <v>144</v>
      </c>
      <c r="AM270">
        <v>28</v>
      </c>
      <c r="AN270" t="s">
        <v>1570</v>
      </c>
      <c r="AO270">
        <f>AVERAGE(Tabla2[[#This Row],[total_kills]:[rating]])</f>
        <v>3707.75</v>
      </c>
      <c r="AP270" t="str">
        <f>VLOOKUP(Tabla2[[#This Row],[KPI]],$AS$2:$AT$5,2,1)</f>
        <v>Medio</v>
      </c>
    </row>
    <row r="271" spans="1:42" x14ac:dyDescent="0.3">
      <c r="A271">
        <v>14290</v>
      </c>
      <c r="B271" t="s">
        <v>3192</v>
      </c>
      <c r="C271" t="s">
        <v>3193</v>
      </c>
      <c r="D271">
        <v>24</v>
      </c>
      <c r="E271" t="s">
        <v>299</v>
      </c>
      <c r="F271" t="s">
        <v>3194</v>
      </c>
      <c r="G271" t="s">
        <v>3195</v>
      </c>
      <c r="H271">
        <v>10297</v>
      </c>
      <c r="I271">
        <v>11362</v>
      </c>
      <c r="J271" t="s">
        <v>432</v>
      </c>
      <c r="K271" t="s">
        <v>1363</v>
      </c>
      <c r="L271" t="s">
        <v>375</v>
      </c>
      <c r="M271">
        <v>598</v>
      </c>
      <c r="N271">
        <v>15642</v>
      </c>
      <c r="O271" t="s">
        <v>322</v>
      </c>
      <c r="P271" t="s">
        <v>166</v>
      </c>
      <c r="Q271" t="s">
        <v>495</v>
      </c>
      <c r="R271" t="s">
        <v>67</v>
      </c>
      <c r="S271" t="s">
        <v>50</v>
      </c>
      <c r="T271">
        <v>7005</v>
      </c>
      <c r="U271" t="s">
        <v>51</v>
      </c>
      <c r="V271">
        <v>1792</v>
      </c>
      <c r="W271">
        <v>2166</v>
      </c>
      <c r="X271" t="s">
        <v>2425</v>
      </c>
      <c r="Y271" t="s">
        <v>255</v>
      </c>
      <c r="Z271" t="s">
        <v>399</v>
      </c>
      <c r="AA271" t="s">
        <v>1385</v>
      </c>
      <c r="AB271">
        <v>8637</v>
      </c>
      <c r="AC271">
        <v>4488</v>
      </c>
      <c r="AD271">
        <v>1870</v>
      </c>
      <c r="AE271">
        <v>531</v>
      </c>
      <c r="AF271">
        <v>104</v>
      </c>
      <c r="AG271">
        <v>12</v>
      </c>
      <c r="AH271">
        <v>6777</v>
      </c>
      <c r="AI271">
        <v>858</v>
      </c>
      <c r="AJ271">
        <v>915</v>
      </c>
      <c r="AK271">
        <v>1569</v>
      </c>
      <c r="AL271">
        <v>145</v>
      </c>
      <c r="AM271">
        <v>59</v>
      </c>
      <c r="AN271" t="s">
        <v>255</v>
      </c>
      <c r="AO271">
        <f>AVERAGE(Tabla2[[#This Row],[total_kills]:[rating]])</f>
        <v>3938.2631578947367</v>
      </c>
      <c r="AP271" t="str">
        <f>VLOOKUP(Tabla2[[#This Row],[KPI]],$AS$2:$AT$5,2,1)</f>
        <v>Medio</v>
      </c>
    </row>
    <row r="272" spans="1:42" x14ac:dyDescent="0.3">
      <c r="A272">
        <v>7529</v>
      </c>
      <c r="B272" t="s">
        <v>2537</v>
      </c>
      <c r="C272" t="s">
        <v>2538</v>
      </c>
      <c r="D272">
        <v>26</v>
      </c>
      <c r="E272" t="s">
        <v>452</v>
      </c>
      <c r="F272" t="s">
        <v>3514</v>
      </c>
      <c r="G272" t="s">
        <v>2539</v>
      </c>
      <c r="H272">
        <v>9723</v>
      </c>
      <c r="I272">
        <v>9954</v>
      </c>
      <c r="J272" t="s">
        <v>2540</v>
      </c>
      <c r="K272" t="s">
        <v>1062</v>
      </c>
      <c r="L272" t="s">
        <v>164</v>
      </c>
      <c r="M272">
        <v>540</v>
      </c>
      <c r="N272">
        <v>14097</v>
      </c>
      <c r="O272" t="s">
        <v>463</v>
      </c>
      <c r="P272" t="s">
        <v>166</v>
      </c>
      <c r="Q272" t="s">
        <v>646</v>
      </c>
      <c r="R272" t="s">
        <v>67</v>
      </c>
      <c r="S272" t="s">
        <v>50</v>
      </c>
      <c r="T272">
        <v>6493</v>
      </c>
      <c r="U272" t="s">
        <v>51</v>
      </c>
      <c r="V272">
        <v>1492</v>
      </c>
      <c r="W272">
        <v>1586</v>
      </c>
      <c r="X272" t="s">
        <v>1570</v>
      </c>
      <c r="Y272" t="s">
        <v>255</v>
      </c>
      <c r="Z272" t="s">
        <v>170</v>
      </c>
      <c r="AA272" t="s">
        <v>568</v>
      </c>
      <c r="AB272">
        <v>7604</v>
      </c>
      <c r="AC272">
        <v>4065</v>
      </c>
      <c r="AD272">
        <v>1749</v>
      </c>
      <c r="AE272">
        <v>573</v>
      </c>
      <c r="AF272">
        <v>94</v>
      </c>
      <c r="AG272">
        <v>12</v>
      </c>
      <c r="AH272">
        <v>7165</v>
      </c>
      <c r="AI272">
        <v>121</v>
      </c>
      <c r="AJ272">
        <v>418</v>
      </c>
      <c r="AK272">
        <v>1840</v>
      </c>
      <c r="AL272">
        <v>140</v>
      </c>
      <c r="AM272">
        <v>47</v>
      </c>
      <c r="AN272" t="s">
        <v>285</v>
      </c>
      <c r="AO272">
        <f>AVERAGE(Tabla2[[#This Row],[total_kills]:[rating]])</f>
        <v>3563.8421052631579</v>
      </c>
      <c r="AP272" t="str">
        <f>VLOOKUP(Tabla2[[#This Row],[KPI]],$AS$2:$AT$5,2,1)</f>
        <v>Medio</v>
      </c>
    </row>
    <row r="273" spans="1:42" x14ac:dyDescent="0.3">
      <c r="A273">
        <v>10563</v>
      </c>
      <c r="B273" t="s">
        <v>2999</v>
      </c>
      <c r="C273" t="s">
        <v>3000</v>
      </c>
      <c r="D273">
        <v>27</v>
      </c>
      <c r="E273" t="s">
        <v>104</v>
      </c>
      <c r="F273" t="s">
        <v>3514</v>
      </c>
      <c r="G273" t="s">
        <v>3001</v>
      </c>
      <c r="H273">
        <v>8518</v>
      </c>
      <c r="I273">
        <v>8892</v>
      </c>
      <c r="J273" t="s">
        <v>2540</v>
      </c>
      <c r="K273" t="s">
        <v>862</v>
      </c>
      <c r="L273">
        <v>4</v>
      </c>
      <c r="M273">
        <v>501</v>
      </c>
      <c r="N273">
        <v>13104</v>
      </c>
      <c r="O273" t="s">
        <v>276</v>
      </c>
      <c r="P273" t="s">
        <v>235</v>
      </c>
      <c r="Q273" t="s">
        <v>167</v>
      </c>
      <c r="R273" t="s">
        <v>50</v>
      </c>
      <c r="S273" t="s">
        <v>96</v>
      </c>
      <c r="T273">
        <v>5901</v>
      </c>
      <c r="U273" t="s">
        <v>51</v>
      </c>
      <c r="V273">
        <v>1263</v>
      </c>
      <c r="W273">
        <v>1395</v>
      </c>
      <c r="X273" t="s">
        <v>1749</v>
      </c>
      <c r="Y273" t="s">
        <v>503</v>
      </c>
      <c r="Z273" t="s">
        <v>237</v>
      </c>
      <c r="AA273" t="s">
        <v>1379</v>
      </c>
      <c r="AB273">
        <v>7203</v>
      </c>
      <c r="AC273">
        <v>3884</v>
      </c>
      <c r="AD273">
        <v>1508</v>
      </c>
      <c r="AE273">
        <v>427</v>
      </c>
      <c r="AF273">
        <v>73</v>
      </c>
      <c r="AG273">
        <v>9</v>
      </c>
      <c r="AH273">
        <v>5526</v>
      </c>
      <c r="AI273">
        <v>671</v>
      </c>
      <c r="AJ273">
        <v>665</v>
      </c>
      <c r="AK273">
        <v>1516</v>
      </c>
      <c r="AL273">
        <v>108</v>
      </c>
      <c r="AM273">
        <v>54</v>
      </c>
      <c r="AN273" t="s">
        <v>820</v>
      </c>
      <c r="AO273">
        <f>AVERAGE(Tabla2[[#This Row],[total_kills]:[rating]])</f>
        <v>3061.1</v>
      </c>
      <c r="AP273" t="str">
        <f>VLOOKUP(Tabla2[[#This Row],[KPI]],$AS$2:$AT$5,2,1)</f>
        <v>Bajo</v>
      </c>
    </row>
    <row r="274" spans="1:42" x14ac:dyDescent="0.3">
      <c r="A274">
        <v>9104</v>
      </c>
      <c r="B274" t="s">
        <v>3156</v>
      </c>
      <c r="C274" t="s">
        <v>3157</v>
      </c>
      <c r="D274">
        <v>28</v>
      </c>
      <c r="E274" t="s">
        <v>299</v>
      </c>
      <c r="F274" t="s">
        <v>3514</v>
      </c>
      <c r="G274" t="s">
        <v>3158</v>
      </c>
      <c r="H274">
        <v>6730</v>
      </c>
      <c r="I274">
        <v>7350</v>
      </c>
      <c r="J274" t="s">
        <v>2540</v>
      </c>
      <c r="K274">
        <v>72</v>
      </c>
      <c r="L274" t="s">
        <v>214</v>
      </c>
      <c r="M274">
        <v>391</v>
      </c>
      <c r="N274">
        <v>10173</v>
      </c>
      <c r="O274" t="s">
        <v>322</v>
      </c>
      <c r="P274" t="s">
        <v>202</v>
      </c>
      <c r="Q274" t="s">
        <v>311</v>
      </c>
      <c r="R274" t="s">
        <v>96</v>
      </c>
      <c r="S274" t="s">
        <v>50</v>
      </c>
      <c r="T274">
        <v>4611</v>
      </c>
      <c r="U274" t="s">
        <v>51</v>
      </c>
      <c r="V274">
        <v>782</v>
      </c>
      <c r="W274">
        <v>979</v>
      </c>
      <c r="X274" t="s">
        <v>94</v>
      </c>
      <c r="Y274" t="s">
        <v>1551</v>
      </c>
      <c r="Z274" t="s">
        <v>183</v>
      </c>
      <c r="AA274" t="s">
        <v>247</v>
      </c>
      <c r="AB274">
        <v>5562</v>
      </c>
      <c r="AC274">
        <v>3014</v>
      </c>
      <c r="AD274">
        <v>1160</v>
      </c>
      <c r="AE274">
        <v>356</v>
      </c>
      <c r="AF274">
        <v>78</v>
      </c>
      <c r="AG274">
        <v>3</v>
      </c>
      <c r="AH274">
        <v>4515</v>
      </c>
      <c r="AI274">
        <v>476</v>
      </c>
      <c r="AJ274">
        <v>389</v>
      </c>
      <c r="AK274">
        <v>1279</v>
      </c>
      <c r="AL274">
        <v>70</v>
      </c>
      <c r="AM274">
        <v>18</v>
      </c>
      <c r="AN274" t="s">
        <v>950</v>
      </c>
      <c r="AO274">
        <f>AVERAGE(Tabla2[[#This Row],[total_kills]:[rating]])</f>
        <v>2400.4</v>
      </c>
      <c r="AP274" t="str">
        <f>VLOOKUP(Tabla2[[#This Row],[KPI]],$AS$2:$AT$5,2,1)</f>
        <v>Bajo</v>
      </c>
    </row>
    <row r="275" spans="1:42" x14ac:dyDescent="0.3">
      <c r="A275">
        <v>44</v>
      </c>
      <c r="B275" t="s">
        <v>2462</v>
      </c>
      <c r="C275" t="s">
        <v>2463</v>
      </c>
      <c r="D275">
        <v>32</v>
      </c>
      <c r="E275" t="s">
        <v>545</v>
      </c>
      <c r="F275" t="s">
        <v>3514</v>
      </c>
      <c r="G275" t="s">
        <v>2464</v>
      </c>
      <c r="H275">
        <v>15776</v>
      </c>
      <c r="I275">
        <v>15796</v>
      </c>
      <c r="J275" t="s">
        <v>2465</v>
      </c>
      <c r="K275" t="s">
        <v>645</v>
      </c>
      <c r="L275" t="s">
        <v>80</v>
      </c>
      <c r="M275">
        <v>876</v>
      </c>
      <c r="N275">
        <v>23180</v>
      </c>
      <c r="O275" t="s">
        <v>167</v>
      </c>
      <c r="P275" t="s">
        <v>202</v>
      </c>
      <c r="Q275" t="s">
        <v>167</v>
      </c>
      <c r="R275" t="s">
        <v>96</v>
      </c>
      <c r="S275" t="s">
        <v>96</v>
      </c>
      <c r="T275">
        <v>10702</v>
      </c>
      <c r="U275" t="s">
        <v>51</v>
      </c>
      <c r="V275">
        <v>2510</v>
      </c>
      <c r="W275">
        <v>2507</v>
      </c>
      <c r="X275">
        <v>1</v>
      </c>
      <c r="Y275" t="s">
        <v>412</v>
      </c>
      <c r="Z275" t="s">
        <v>932</v>
      </c>
      <c r="AA275" t="s">
        <v>568</v>
      </c>
      <c r="AB275">
        <v>12478</v>
      </c>
      <c r="AC275">
        <v>6854</v>
      </c>
      <c r="AD275">
        <v>2826</v>
      </c>
      <c r="AE275">
        <v>840</v>
      </c>
      <c r="AF275">
        <v>165</v>
      </c>
      <c r="AG275">
        <v>17</v>
      </c>
      <c r="AH275">
        <v>8303</v>
      </c>
      <c r="AI275">
        <v>2784</v>
      </c>
      <c r="AJ275">
        <v>1510</v>
      </c>
      <c r="AK275">
        <v>2938</v>
      </c>
      <c r="AL275">
        <v>198</v>
      </c>
      <c r="AM275">
        <v>66</v>
      </c>
      <c r="AN275" t="s">
        <v>285</v>
      </c>
      <c r="AO275">
        <f>AVERAGE(Tabla2[[#This Row],[total_kills]:[rating]])</f>
        <v>5516.35</v>
      </c>
      <c r="AP275" t="str">
        <f>VLOOKUP(Tabla2[[#This Row],[KPI]],$AS$2:$AT$5,2,1)</f>
        <v>Alto</v>
      </c>
    </row>
    <row r="276" spans="1:42" x14ac:dyDescent="0.3">
      <c r="A276">
        <v>8459</v>
      </c>
      <c r="B276" t="s">
        <v>2913</v>
      </c>
      <c r="C276" t="s">
        <v>2914</v>
      </c>
      <c r="D276">
        <v>26</v>
      </c>
      <c r="E276" t="s">
        <v>841</v>
      </c>
      <c r="F276" t="s">
        <v>3514</v>
      </c>
      <c r="G276" t="s">
        <v>2915</v>
      </c>
      <c r="H276">
        <v>13682</v>
      </c>
      <c r="I276">
        <v>14349</v>
      </c>
      <c r="J276" t="s">
        <v>2465</v>
      </c>
      <c r="K276" t="s">
        <v>1494</v>
      </c>
      <c r="L276" t="s">
        <v>331</v>
      </c>
      <c r="M276">
        <v>780</v>
      </c>
      <c r="N276">
        <v>20389</v>
      </c>
      <c r="O276" t="s">
        <v>225</v>
      </c>
      <c r="P276" t="s">
        <v>235</v>
      </c>
      <c r="Q276" t="s">
        <v>905</v>
      </c>
      <c r="R276" t="s">
        <v>50</v>
      </c>
      <c r="S276" t="s">
        <v>50</v>
      </c>
      <c r="T276">
        <v>9371</v>
      </c>
      <c r="U276" t="s">
        <v>51</v>
      </c>
      <c r="V276">
        <v>1841</v>
      </c>
      <c r="W276">
        <v>1951</v>
      </c>
      <c r="X276" t="s">
        <v>1570</v>
      </c>
      <c r="Y276" t="s">
        <v>472</v>
      </c>
      <c r="Z276" t="s">
        <v>237</v>
      </c>
      <c r="AA276" t="s">
        <v>363</v>
      </c>
      <c r="AB276">
        <v>11018</v>
      </c>
      <c r="AC276">
        <v>6055</v>
      </c>
      <c r="AD276">
        <v>2482</v>
      </c>
      <c r="AE276">
        <v>687</v>
      </c>
      <c r="AF276">
        <v>133</v>
      </c>
      <c r="AG276">
        <v>14</v>
      </c>
      <c r="AH276">
        <v>8760</v>
      </c>
      <c r="AI276">
        <v>1308</v>
      </c>
      <c r="AJ276">
        <v>795</v>
      </c>
      <c r="AK276">
        <v>2627</v>
      </c>
      <c r="AL276">
        <v>145</v>
      </c>
      <c r="AM276">
        <v>75</v>
      </c>
      <c r="AN276" t="s">
        <v>472</v>
      </c>
      <c r="AO276">
        <f>AVERAGE(Tabla2[[#This Row],[total_kills]:[rating]])</f>
        <v>5076.9473684210525</v>
      </c>
      <c r="AP276" t="str">
        <f>VLOOKUP(Tabla2[[#This Row],[KPI]],$AS$2:$AT$5,2,1)</f>
        <v>Alto</v>
      </c>
    </row>
    <row r="277" spans="1:42" x14ac:dyDescent="0.3">
      <c r="A277">
        <v>8549</v>
      </c>
      <c r="B277" t="s">
        <v>3116</v>
      </c>
      <c r="C277" t="s">
        <v>3117</v>
      </c>
      <c r="D277">
        <v>24</v>
      </c>
      <c r="E277" t="s">
        <v>327</v>
      </c>
      <c r="F277" t="s">
        <v>2040</v>
      </c>
      <c r="G277" t="s">
        <v>3118</v>
      </c>
      <c r="H277">
        <v>15251</v>
      </c>
      <c r="I277">
        <v>16330</v>
      </c>
      <c r="J277" t="s">
        <v>2465</v>
      </c>
      <c r="K277" t="s">
        <v>1640</v>
      </c>
      <c r="L277" t="s">
        <v>46</v>
      </c>
      <c r="M277">
        <v>882</v>
      </c>
      <c r="N277">
        <v>23538</v>
      </c>
      <c r="O277" t="s">
        <v>276</v>
      </c>
      <c r="P277" t="s">
        <v>202</v>
      </c>
      <c r="Q277" t="s">
        <v>463</v>
      </c>
      <c r="R277" t="s">
        <v>96</v>
      </c>
      <c r="S277" t="s">
        <v>96</v>
      </c>
      <c r="T277">
        <v>10499</v>
      </c>
      <c r="U277" t="s">
        <v>51</v>
      </c>
      <c r="V277">
        <v>2499</v>
      </c>
      <c r="W277">
        <v>2586</v>
      </c>
      <c r="X277" t="s">
        <v>503</v>
      </c>
      <c r="Y277" t="s">
        <v>255</v>
      </c>
      <c r="Z277" t="s">
        <v>932</v>
      </c>
      <c r="AA277" t="s">
        <v>568</v>
      </c>
      <c r="AB277">
        <v>13039</v>
      </c>
      <c r="AC277">
        <v>6826</v>
      </c>
      <c r="AD277">
        <v>2750</v>
      </c>
      <c r="AE277">
        <v>776</v>
      </c>
      <c r="AF277">
        <v>138</v>
      </c>
      <c r="AG277">
        <v>9</v>
      </c>
      <c r="AH277">
        <v>8402</v>
      </c>
      <c r="AI277">
        <v>3254</v>
      </c>
      <c r="AJ277">
        <v>649</v>
      </c>
      <c r="AK277">
        <v>2734</v>
      </c>
      <c r="AL277">
        <v>230</v>
      </c>
      <c r="AM277">
        <v>37</v>
      </c>
      <c r="AN277" t="s">
        <v>1570</v>
      </c>
      <c r="AO277">
        <f>AVERAGE(Tabla2[[#This Row],[total_kills]:[rating]])</f>
        <v>5812.0526315789475</v>
      </c>
      <c r="AP277" t="str">
        <f>VLOOKUP(Tabla2[[#This Row],[KPI]],$AS$2:$AT$5,2,1)</f>
        <v>Alto</v>
      </c>
    </row>
    <row r="278" spans="1:42" x14ac:dyDescent="0.3">
      <c r="A278">
        <v>7797</v>
      </c>
      <c r="B278" t="s">
        <v>3332</v>
      </c>
      <c r="C278" t="s">
        <v>3333</v>
      </c>
      <c r="D278">
        <v>28</v>
      </c>
      <c r="E278" t="s">
        <v>75</v>
      </c>
      <c r="F278" t="s">
        <v>3514</v>
      </c>
      <c r="G278" t="s">
        <v>3334</v>
      </c>
      <c r="H278">
        <v>6837</v>
      </c>
      <c r="I278">
        <v>7811</v>
      </c>
      <c r="J278" t="s">
        <v>2465</v>
      </c>
      <c r="K278" t="s">
        <v>1435</v>
      </c>
      <c r="L278" t="s">
        <v>425</v>
      </c>
      <c r="M278">
        <v>415</v>
      </c>
      <c r="N278">
        <v>10974</v>
      </c>
      <c r="O278" t="s">
        <v>144</v>
      </c>
      <c r="P278" t="s">
        <v>235</v>
      </c>
      <c r="Q278" t="s">
        <v>646</v>
      </c>
      <c r="R278" t="s">
        <v>66</v>
      </c>
      <c r="S278" t="s">
        <v>66</v>
      </c>
      <c r="T278">
        <v>4748</v>
      </c>
      <c r="U278" t="s">
        <v>51</v>
      </c>
      <c r="V278">
        <v>972</v>
      </c>
      <c r="W278">
        <v>1169</v>
      </c>
      <c r="X278" t="s">
        <v>2425</v>
      </c>
      <c r="Y278" t="s">
        <v>950</v>
      </c>
      <c r="Z278" t="s">
        <v>427</v>
      </c>
      <c r="AA278" t="s">
        <v>1244</v>
      </c>
      <c r="AB278">
        <v>6226</v>
      </c>
      <c r="AC278">
        <v>3138</v>
      </c>
      <c r="AD278">
        <v>1202</v>
      </c>
      <c r="AE278">
        <v>349</v>
      </c>
      <c r="AF278">
        <v>54</v>
      </c>
      <c r="AG278">
        <v>5</v>
      </c>
      <c r="AH278">
        <v>4010</v>
      </c>
      <c r="AI278">
        <v>1131</v>
      </c>
      <c r="AJ278">
        <v>335</v>
      </c>
      <c r="AK278">
        <v>1263</v>
      </c>
      <c r="AL278">
        <v>71</v>
      </c>
      <c r="AM278">
        <v>34</v>
      </c>
      <c r="AN278" t="s">
        <v>1551</v>
      </c>
      <c r="AO278">
        <f>AVERAGE(Tabla2[[#This Row],[total_kills]:[rating]])</f>
        <v>2670.7368421052633</v>
      </c>
      <c r="AP278" t="str">
        <f>VLOOKUP(Tabla2[[#This Row],[KPI]],$AS$2:$AT$5,2,1)</f>
        <v>Bajo</v>
      </c>
    </row>
    <row r="279" spans="1:42" x14ac:dyDescent="0.3">
      <c r="A279">
        <v>10994</v>
      </c>
      <c r="B279" t="s">
        <v>1394</v>
      </c>
      <c r="C279" t="s">
        <v>1395</v>
      </c>
      <c r="D279">
        <v>20</v>
      </c>
      <c r="E279" t="s">
        <v>196</v>
      </c>
      <c r="F279" t="s">
        <v>1396</v>
      </c>
      <c r="G279" t="s">
        <v>1397</v>
      </c>
      <c r="H279">
        <v>21743</v>
      </c>
      <c r="I279">
        <v>20242</v>
      </c>
      <c r="J279" t="s">
        <v>1398</v>
      </c>
      <c r="K279" t="s">
        <v>837</v>
      </c>
      <c r="L279" t="s">
        <v>398</v>
      </c>
      <c r="M279">
        <v>1120</v>
      </c>
      <c r="N279">
        <v>29840</v>
      </c>
      <c r="O279" t="s">
        <v>495</v>
      </c>
      <c r="P279" t="s">
        <v>235</v>
      </c>
      <c r="Q279" t="s">
        <v>167</v>
      </c>
      <c r="R279" t="s">
        <v>96</v>
      </c>
      <c r="S279" t="s">
        <v>50</v>
      </c>
      <c r="T279">
        <v>14585</v>
      </c>
      <c r="U279" t="s">
        <v>51</v>
      </c>
      <c r="V279">
        <v>3383</v>
      </c>
      <c r="W279">
        <v>3138</v>
      </c>
      <c r="X279" t="s">
        <v>277</v>
      </c>
      <c r="Y279" t="s">
        <v>590</v>
      </c>
      <c r="Z279" t="s">
        <v>718</v>
      </c>
      <c r="AA279" t="s">
        <v>734</v>
      </c>
      <c r="AB279">
        <v>15255</v>
      </c>
      <c r="AC279">
        <v>9161</v>
      </c>
      <c r="AD279">
        <v>3973</v>
      </c>
      <c r="AE279">
        <v>1193</v>
      </c>
      <c r="AF279">
        <v>233</v>
      </c>
      <c r="AG279">
        <v>25</v>
      </c>
      <c r="AH279">
        <v>14788</v>
      </c>
      <c r="AI279">
        <v>2122</v>
      </c>
      <c r="AJ279">
        <v>969</v>
      </c>
      <c r="AK279">
        <v>3546</v>
      </c>
      <c r="AL279">
        <v>271</v>
      </c>
      <c r="AM279">
        <v>115</v>
      </c>
      <c r="AN279" t="s">
        <v>370</v>
      </c>
      <c r="AO279">
        <f>AVERAGE(Tabla2[[#This Row],[total_kills]:[rating]])</f>
        <v>7668.5263157894733</v>
      </c>
      <c r="AP279" t="str">
        <f>VLOOKUP(Tabla2[[#This Row],[KPI]],$AS$2:$AT$5,2,1)</f>
        <v>Superior</v>
      </c>
    </row>
    <row r="280" spans="1:42" x14ac:dyDescent="0.3">
      <c r="A280">
        <v>10436</v>
      </c>
      <c r="B280" t="s">
        <v>2571</v>
      </c>
      <c r="C280" t="s">
        <v>2572</v>
      </c>
      <c r="D280">
        <v>24</v>
      </c>
      <c r="E280" t="s">
        <v>318</v>
      </c>
      <c r="F280" t="s">
        <v>1617</v>
      </c>
      <c r="G280" t="s">
        <v>2573</v>
      </c>
      <c r="H280">
        <v>10081</v>
      </c>
      <c r="I280">
        <v>10170</v>
      </c>
      <c r="J280" t="s">
        <v>1398</v>
      </c>
      <c r="K280" t="s">
        <v>2250</v>
      </c>
      <c r="L280" t="s">
        <v>390</v>
      </c>
      <c r="M280">
        <v>577</v>
      </c>
      <c r="N280">
        <v>14992</v>
      </c>
      <c r="O280" t="s">
        <v>225</v>
      </c>
      <c r="P280" t="s">
        <v>235</v>
      </c>
      <c r="Q280" t="s">
        <v>167</v>
      </c>
      <c r="R280" t="s">
        <v>50</v>
      </c>
      <c r="S280" t="s">
        <v>50</v>
      </c>
      <c r="T280">
        <v>6855</v>
      </c>
      <c r="U280" t="s">
        <v>51</v>
      </c>
      <c r="V280">
        <v>1197</v>
      </c>
      <c r="W280">
        <v>1431</v>
      </c>
      <c r="X280" t="s">
        <v>47</v>
      </c>
      <c r="Y280" t="s">
        <v>1749</v>
      </c>
      <c r="Z280" t="s">
        <v>324</v>
      </c>
      <c r="AA280" t="s">
        <v>1572</v>
      </c>
      <c r="AB280">
        <v>8137</v>
      </c>
      <c r="AC280">
        <v>4421</v>
      </c>
      <c r="AD280">
        <v>1769</v>
      </c>
      <c r="AE280">
        <v>545</v>
      </c>
      <c r="AF280">
        <v>113</v>
      </c>
      <c r="AG280">
        <v>7</v>
      </c>
      <c r="AH280">
        <v>7001</v>
      </c>
      <c r="AI280">
        <v>198</v>
      </c>
      <c r="AJ280">
        <v>901</v>
      </c>
      <c r="AK280">
        <v>1878</v>
      </c>
      <c r="AL280">
        <v>110</v>
      </c>
      <c r="AM280">
        <v>18</v>
      </c>
      <c r="AN280" t="s">
        <v>245</v>
      </c>
      <c r="AO280">
        <f>AVERAGE(Tabla2[[#This Row],[total_kills]:[rating]])</f>
        <v>3705.3157894736842</v>
      </c>
      <c r="AP280" t="str">
        <f>VLOOKUP(Tabla2[[#This Row],[KPI]],$AS$2:$AT$5,2,1)</f>
        <v>Medio</v>
      </c>
    </row>
    <row r="281" spans="1:42" x14ac:dyDescent="0.3">
      <c r="A281">
        <v>5327</v>
      </c>
      <c r="B281" t="s">
        <v>3315</v>
      </c>
      <c r="C281" t="s">
        <v>3316</v>
      </c>
      <c r="D281">
        <v>28</v>
      </c>
      <c r="E281" t="s">
        <v>467</v>
      </c>
      <c r="F281" t="s">
        <v>3514</v>
      </c>
      <c r="G281" t="s">
        <v>3317</v>
      </c>
      <c r="H281">
        <v>9990</v>
      </c>
      <c r="I281">
        <v>11036</v>
      </c>
      <c r="J281" t="s">
        <v>1398</v>
      </c>
      <c r="K281" t="s">
        <v>3318</v>
      </c>
      <c r="L281" t="s">
        <v>541</v>
      </c>
      <c r="M281">
        <v>642</v>
      </c>
      <c r="N281">
        <v>16554</v>
      </c>
      <c r="O281" t="s">
        <v>134</v>
      </c>
      <c r="P281" t="s">
        <v>166</v>
      </c>
      <c r="Q281" t="s">
        <v>225</v>
      </c>
      <c r="R281" t="s">
        <v>50</v>
      </c>
      <c r="S281" t="s">
        <v>135</v>
      </c>
      <c r="T281">
        <v>7138</v>
      </c>
      <c r="U281" t="s">
        <v>51</v>
      </c>
      <c r="V281">
        <v>1323</v>
      </c>
      <c r="W281">
        <v>1508</v>
      </c>
      <c r="X281" t="s">
        <v>2315</v>
      </c>
      <c r="Y281" t="s">
        <v>1749</v>
      </c>
      <c r="Z281" t="s">
        <v>170</v>
      </c>
      <c r="AA281" t="s">
        <v>822</v>
      </c>
      <c r="AB281">
        <v>9416</v>
      </c>
      <c r="AC281">
        <v>4851</v>
      </c>
      <c r="AD281">
        <v>1813</v>
      </c>
      <c r="AE281">
        <v>400</v>
      </c>
      <c r="AF281">
        <v>69</v>
      </c>
      <c r="AG281">
        <v>5</v>
      </c>
      <c r="AH281">
        <v>7602</v>
      </c>
      <c r="AI281">
        <v>182</v>
      </c>
      <c r="AJ281">
        <v>164</v>
      </c>
      <c r="AK281">
        <v>1877</v>
      </c>
      <c r="AL281">
        <v>156</v>
      </c>
      <c r="AM281">
        <v>12</v>
      </c>
      <c r="AN281" t="s">
        <v>1906</v>
      </c>
      <c r="AO281">
        <f>AVERAGE(Tabla2[[#This Row],[total_kills]:[rating]])</f>
        <v>3933.5789473684213</v>
      </c>
      <c r="AP281" t="str">
        <f>VLOOKUP(Tabla2[[#This Row],[KPI]],$AS$2:$AT$5,2,1)</f>
        <v>Medio</v>
      </c>
    </row>
    <row r="282" spans="1:42" x14ac:dyDescent="0.3">
      <c r="A282">
        <v>12715</v>
      </c>
      <c r="B282" t="s">
        <v>772</v>
      </c>
      <c r="C282" t="s">
        <v>773</v>
      </c>
      <c r="D282">
        <v>29</v>
      </c>
      <c r="E282" t="s">
        <v>299</v>
      </c>
      <c r="F282" t="s">
        <v>3514</v>
      </c>
      <c r="G282" t="s">
        <v>774</v>
      </c>
      <c r="H282">
        <v>13957</v>
      </c>
      <c r="I282">
        <v>12329</v>
      </c>
      <c r="J282" t="s">
        <v>775</v>
      </c>
      <c r="K282" t="s">
        <v>776</v>
      </c>
      <c r="L282" t="s">
        <v>63</v>
      </c>
      <c r="M282">
        <v>732</v>
      </c>
      <c r="N282">
        <v>18819</v>
      </c>
      <c r="O282" t="s">
        <v>283</v>
      </c>
      <c r="P282" t="s">
        <v>50</v>
      </c>
      <c r="Q282" t="s">
        <v>322</v>
      </c>
      <c r="R282" t="s">
        <v>66</v>
      </c>
      <c r="S282" t="s">
        <v>96</v>
      </c>
      <c r="T282">
        <v>9266</v>
      </c>
      <c r="U282" t="s">
        <v>51</v>
      </c>
      <c r="V282">
        <v>2293</v>
      </c>
      <c r="W282">
        <v>1838</v>
      </c>
      <c r="X282" t="s">
        <v>72</v>
      </c>
      <c r="Y282" t="s">
        <v>362</v>
      </c>
      <c r="Z282" t="s">
        <v>777</v>
      </c>
      <c r="AA282" t="s">
        <v>542</v>
      </c>
      <c r="AB282">
        <v>9553</v>
      </c>
      <c r="AC282">
        <v>5738</v>
      </c>
      <c r="AD282">
        <v>2570</v>
      </c>
      <c r="AE282">
        <v>770</v>
      </c>
      <c r="AF282">
        <v>171</v>
      </c>
      <c r="AG282">
        <v>17</v>
      </c>
      <c r="AH282">
        <v>6381</v>
      </c>
      <c r="AI282">
        <v>4569</v>
      </c>
      <c r="AJ282">
        <v>576</v>
      </c>
      <c r="AK282">
        <v>2343</v>
      </c>
      <c r="AL282">
        <v>96</v>
      </c>
      <c r="AM282">
        <v>28</v>
      </c>
      <c r="AN282" t="s">
        <v>561</v>
      </c>
      <c r="AO282">
        <f>AVERAGE(Tabla2[[#This Row],[total_kills]:[rating]])</f>
        <v>4844.5263157894733</v>
      </c>
      <c r="AP282" t="str">
        <f>VLOOKUP(Tabla2[[#This Row],[KPI]],$AS$2:$AT$5,2,1)</f>
        <v>Alto</v>
      </c>
    </row>
    <row r="283" spans="1:42" x14ac:dyDescent="0.3">
      <c r="A283">
        <v>5388</v>
      </c>
      <c r="B283" t="s">
        <v>1316</v>
      </c>
      <c r="C283" t="s">
        <v>1317</v>
      </c>
      <c r="D283">
        <v>28</v>
      </c>
      <c r="E283" t="s">
        <v>327</v>
      </c>
      <c r="F283" t="s">
        <v>3514</v>
      </c>
      <c r="G283" t="s">
        <v>1318</v>
      </c>
      <c r="H283">
        <v>33812</v>
      </c>
      <c r="I283">
        <v>30796</v>
      </c>
      <c r="J283" t="s">
        <v>775</v>
      </c>
      <c r="K283">
        <v>82</v>
      </c>
      <c r="L283" t="s">
        <v>1319</v>
      </c>
      <c r="M283">
        <v>1757</v>
      </c>
      <c r="N283">
        <v>46953</v>
      </c>
      <c r="O283" t="s">
        <v>311</v>
      </c>
      <c r="P283" t="s">
        <v>553</v>
      </c>
      <c r="Q283" t="s">
        <v>322</v>
      </c>
      <c r="R283" t="s">
        <v>96</v>
      </c>
      <c r="S283" t="s">
        <v>96</v>
      </c>
      <c r="T283">
        <v>22894</v>
      </c>
      <c r="U283" t="s">
        <v>51</v>
      </c>
      <c r="V283">
        <v>4845</v>
      </c>
      <c r="W283">
        <v>4113</v>
      </c>
      <c r="X283" t="s">
        <v>169</v>
      </c>
      <c r="Y283" t="s">
        <v>407</v>
      </c>
      <c r="Z283" t="s">
        <v>443</v>
      </c>
      <c r="AA283" t="s">
        <v>648</v>
      </c>
      <c r="AB283">
        <v>24059</v>
      </c>
      <c r="AC283">
        <v>14496</v>
      </c>
      <c r="AD283">
        <v>6246</v>
      </c>
      <c r="AE283">
        <v>1825</v>
      </c>
      <c r="AF283">
        <v>297</v>
      </c>
      <c r="AG283">
        <v>30</v>
      </c>
      <c r="AH283">
        <v>21723</v>
      </c>
      <c r="AI283">
        <v>3916</v>
      </c>
      <c r="AJ283">
        <v>1780</v>
      </c>
      <c r="AK283">
        <v>5507</v>
      </c>
      <c r="AL283">
        <v>671</v>
      </c>
      <c r="AM283">
        <v>257</v>
      </c>
      <c r="AN283" t="s">
        <v>304</v>
      </c>
      <c r="AO283">
        <f>AVERAGE(Tabla2[[#This Row],[total_kills]:[rating]])</f>
        <v>11302.95</v>
      </c>
      <c r="AP283" t="str">
        <f>VLOOKUP(Tabla2[[#This Row],[KPI]],$AS$2:$AT$5,2,1)</f>
        <v>Superior</v>
      </c>
    </row>
    <row r="284" spans="1:42" x14ac:dyDescent="0.3">
      <c r="A284">
        <v>429</v>
      </c>
      <c r="B284" t="s">
        <v>3269</v>
      </c>
      <c r="C284" t="s">
        <v>3270</v>
      </c>
      <c r="D284">
        <v>32</v>
      </c>
      <c r="E284" t="s">
        <v>196</v>
      </c>
      <c r="F284" t="s">
        <v>447</v>
      </c>
      <c r="G284" t="s">
        <v>3271</v>
      </c>
      <c r="H284">
        <v>33193</v>
      </c>
      <c r="I284">
        <v>36823</v>
      </c>
      <c r="J284" t="s">
        <v>3272</v>
      </c>
      <c r="K284" t="s">
        <v>2177</v>
      </c>
      <c r="L284">
        <v>5</v>
      </c>
      <c r="M284">
        <v>2031</v>
      </c>
      <c r="N284">
        <v>53271</v>
      </c>
      <c r="O284" t="s">
        <v>144</v>
      </c>
      <c r="P284" t="s">
        <v>202</v>
      </c>
      <c r="Q284" t="s">
        <v>463</v>
      </c>
      <c r="R284" t="s">
        <v>96</v>
      </c>
      <c r="S284" t="s">
        <v>135</v>
      </c>
      <c r="T284">
        <v>22967</v>
      </c>
      <c r="U284" t="s">
        <v>51</v>
      </c>
      <c r="V284">
        <v>5280</v>
      </c>
      <c r="W284">
        <v>6411</v>
      </c>
      <c r="X284" t="s">
        <v>2998</v>
      </c>
      <c r="Y284" t="s">
        <v>472</v>
      </c>
      <c r="Z284" t="s">
        <v>347</v>
      </c>
      <c r="AA284" t="s">
        <v>739</v>
      </c>
      <c r="AB284">
        <v>30304</v>
      </c>
      <c r="AC284">
        <v>15099</v>
      </c>
      <c r="AD284">
        <v>5905</v>
      </c>
      <c r="AE284">
        <v>1634</v>
      </c>
      <c r="AF284">
        <v>304</v>
      </c>
      <c r="AG284">
        <v>25</v>
      </c>
      <c r="AH284">
        <v>20680</v>
      </c>
      <c r="AI284">
        <v>3866</v>
      </c>
      <c r="AJ284">
        <v>2528</v>
      </c>
      <c r="AK284">
        <v>5557</v>
      </c>
      <c r="AL284">
        <v>466</v>
      </c>
      <c r="AM284">
        <v>137</v>
      </c>
      <c r="AN284" t="s">
        <v>1749</v>
      </c>
      <c r="AO284">
        <f>AVERAGE(Tabla2[[#This Row],[total_kills]:[rating]])</f>
        <v>12324.3</v>
      </c>
      <c r="AP284" t="str">
        <f>VLOOKUP(Tabla2[[#This Row],[KPI]],$AS$2:$AT$5,2,1)</f>
        <v>Superior</v>
      </c>
    </row>
    <row r="285" spans="1:42" x14ac:dyDescent="0.3">
      <c r="A285">
        <v>11337</v>
      </c>
      <c r="B285" t="s">
        <v>1712</v>
      </c>
      <c r="C285" t="s">
        <v>1713</v>
      </c>
      <c r="D285">
        <v>22</v>
      </c>
      <c r="E285" t="s">
        <v>104</v>
      </c>
      <c r="F285" t="s">
        <v>1714</v>
      </c>
      <c r="G285" t="s">
        <v>1715</v>
      </c>
      <c r="H285">
        <v>12100</v>
      </c>
      <c r="I285">
        <v>11539</v>
      </c>
      <c r="J285" t="s">
        <v>1716</v>
      </c>
      <c r="K285" t="s">
        <v>1494</v>
      </c>
      <c r="L285" t="s">
        <v>122</v>
      </c>
      <c r="M285">
        <v>649</v>
      </c>
      <c r="N285">
        <v>17027</v>
      </c>
      <c r="O285" t="s">
        <v>646</v>
      </c>
      <c r="P285" t="s">
        <v>67</v>
      </c>
      <c r="Q285" t="s">
        <v>167</v>
      </c>
      <c r="R285" t="s">
        <v>50</v>
      </c>
      <c r="S285" t="s">
        <v>50</v>
      </c>
      <c r="T285">
        <v>8150</v>
      </c>
      <c r="U285" t="s">
        <v>51</v>
      </c>
      <c r="V285">
        <v>2308</v>
      </c>
      <c r="W285">
        <v>2014</v>
      </c>
      <c r="X285" t="s">
        <v>84</v>
      </c>
      <c r="Y285" t="s">
        <v>84</v>
      </c>
      <c r="Z285" t="s">
        <v>809</v>
      </c>
      <c r="AA285" t="s">
        <v>1717</v>
      </c>
      <c r="AB285">
        <v>8877</v>
      </c>
      <c r="AC285">
        <v>5114</v>
      </c>
      <c r="AD285">
        <v>2269</v>
      </c>
      <c r="AE285">
        <v>634</v>
      </c>
      <c r="AF285">
        <v>119</v>
      </c>
      <c r="AG285">
        <v>14</v>
      </c>
      <c r="AH285">
        <v>5242</v>
      </c>
      <c r="AI285">
        <v>3866</v>
      </c>
      <c r="AJ285">
        <v>774</v>
      </c>
      <c r="AK285">
        <v>2055</v>
      </c>
      <c r="AL285">
        <v>107</v>
      </c>
      <c r="AM285">
        <v>102</v>
      </c>
      <c r="AN285" t="s">
        <v>295</v>
      </c>
      <c r="AO285">
        <f>AVERAGE(Tabla2[[#This Row],[total_kills]:[rating]])</f>
        <v>4366.3157894736842</v>
      </c>
      <c r="AP285" t="str">
        <f>VLOOKUP(Tabla2[[#This Row],[KPI]],$AS$2:$AT$5,2,1)</f>
        <v>Medio</v>
      </c>
    </row>
    <row r="286" spans="1:42" x14ac:dyDescent="0.3">
      <c r="A286">
        <v>1278</v>
      </c>
      <c r="B286" t="s">
        <v>3218</v>
      </c>
      <c r="C286" t="s">
        <v>3219</v>
      </c>
      <c r="D286">
        <v>30</v>
      </c>
      <c r="E286" t="s">
        <v>467</v>
      </c>
      <c r="F286" t="s">
        <v>3514</v>
      </c>
      <c r="G286" t="s">
        <v>3220</v>
      </c>
      <c r="H286">
        <v>9802</v>
      </c>
      <c r="I286">
        <v>10611</v>
      </c>
      <c r="J286" t="s">
        <v>1716</v>
      </c>
      <c r="K286" t="s">
        <v>2936</v>
      </c>
      <c r="L286" t="s">
        <v>390</v>
      </c>
      <c r="M286">
        <v>595</v>
      </c>
      <c r="N286">
        <v>15532</v>
      </c>
      <c r="O286" t="s">
        <v>215</v>
      </c>
      <c r="P286" t="s">
        <v>166</v>
      </c>
      <c r="Q286" t="s">
        <v>167</v>
      </c>
      <c r="R286" t="s">
        <v>50</v>
      </c>
      <c r="S286" t="s">
        <v>96</v>
      </c>
      <c r="T286">
        <v>6901</v>
      </c>
      <c r="U286" t="s">
        <v>51</v>
      </c>
      <c r="V286">
        <v>1169</v>
      </c>
      <c r="W286">
        <v>1417</v>
      </c>
      <c r="X286" t="s">
        <v>2998</v>
      </c>
      <c r="Y286" t="s">
        <v>1551</v>
      </c>
      <c r="Z286" t="s">
        <v>278</v>
      </c>
      <c r="AA286" t="s">
        <v>2364</v>
      </c>
      <c r="AB286">
        <v>8631</v>
      </c>
      <c r="AC286">
        <v>4645</v>
      </c>
      <c r="AD286">
        <v>1706</v>
      </c>
      <c r="AE286">
        <v>465</v>
      </c>
      <c r="AF286">
        <v>80</v>
      </c>
      <c r="AG286">
        <v>5</v>
      </c>
      <c r="AH286">
        <v>7248</v>
      </c>
      <c r="AI286">
        <v>88</v>
      </c>
      <c r="AJ286">
        <v>688</v>
      </c>
      <c r="AK286">
        <v>1635</v>
      </c>
      <c r="AL286">
        <v>144</v>
      </c>
      <c r="AM286">
        <v>15</v>
      </c>
      <c r="AN286" t="s">
        <v>1314</v>
      </c>
      <c r="AO286">
        <f>AVERAGE(Tabla2[[#This Row],[total_kills]:[rating]])</f>
        <v>3756.6842105263158</v>
      </c>
      <c r="AP286" t="str">
        <f>VLOOKUP(Tabla2[[#This Row],[KPI]],$AS$2:$AT$5,2,1)</f>
        <v>Medio</v>
      </c>
    </row>
    <row r="287" spans="1:42" x14ac:dyDescent="0.3">
      <c r="A287">
        <v>13229</v>
      </c>
      <c r="B287" t="s">
        <v>1518</v>
      </c>
      <c r="C287" t="s">
        <v>1519</v>
      </c>
      <c r="D287">
        <v>20</v>
      </c>
      <c r="E287" t="s">
        <v>459</v>
      </c>
      <c r="F287" t="s">
        <v>571</v>
      </c>
      <c r="G287" t="s">
        <v>1520</v>
      </c>
      <c r="H287">
        <v>7426</v>
      </c>
      <c r="I287">
        <v>6938</v>
      </c>
      <c r="J287" t="s">
        <v>1521</v>
      </c>
      <c r="K287" t="s">
        <v>617</v>
      </c>
      <c r="L287" t="s">
        <v>164</v>
      </c>
      <c r="M287">
        <v>410</v>
      </c>
      <c r="N287">
        <v>10503</v>
      </c>
      <c r="O287" t="s">
        <v>646</v>
      </c>
      <c r="P287" t="s">
        <v>202</v>
      </c>
      <c r="Q287" t="s">
        <v>322</v>
      </c>
      <c r="R287" t="s">
        <v>67</v>
      </c>
      <c r="S287" t="s">
        <v>50</v>
      </c>
      <c r="T287">
        <v>4989</v>
      </c>
      <c r="U287" t="s">
        <v>51</v>
      </c>
      <c r="V287">
        <v>962</v>
      </c>
      <c r="W287">
        <v>897</v>
      </c>
      <c r="X287" t="s">
        <v>464</v>
      </c>
      <c r="Y287" t="s">
        <v>245</v>
      </c>
      <c r="Z287" t="s">
        <v>383</v>
      </c>
      <c r="AA287" t="s">
        <v>1101</v>
      </c>
      <c r="AB287">
        <v>5514</v>
      </c>
      <c r="AC287">
        <v>3158</v>
      </c>
      <c r="AD287">
        <v>1326</v>
      </c>
      <c r="AE287">
        <v>414</v>
      </c>
      <c r="AF287">
        <v>81</v>
      </c>
      <c r="AG287">
        <v>10</v>
      </c>
      <c r="AH287">
        <v>4615</v>
      </c>
      <c r="AI287">
        <v>785</v>
      </c>
      <c r="AJ287">
        <v>548</v>
      </c>
      <c r="AK287">
        <v>1372</v>
      </c>
      <c r="AL287">
        <v>98</v>
      </c>
      <c r="AM287">
        <v>30</v>
      </c>
      <c r="AN287" t="s">
        <v>295</v>
      </c>
      <c r="AO287">
        <f>AVERAGE(Tabla2[[#This Row],[total_kills]:[rating]])</f>
        <v>2635.5789473684213</v>
      </c>
      <c r="AP287" t="str">
        <f>VLOOKUP(Tabla2[[#This Row],[KPI]],$AS$2:$AT$5,2,1)</f>
        <v>Bajo</v>
      </c>
    </row>
    <row r="288" spans="1:42" x14ac:dyDescent="0.3">
      <c r="A288">
        <v>7296</v>
      </c>
      <c r="B288" t="s">
        <v>2430</v>
      </c>
      <c r="C288" t="s">
        <v>2431</v>
      </c>
      <c r="D288">
        <v>28</v>
      </c>
      <c r="E288" t="s">
        <v>141</v>
      </c>
      <c r="F288" t="s">
        <v>2432</v>
      </c>
      <c r="G288" t="s">
        <v>2433</v>
      </c>
      <c r="H288">
        <v>7860</v>
      </c>
      <c r="I288">
        <v>7786</v>
      </c>
      <c r="J288" t="s">
        <v>1521</v>
      </c>
      <c r="K288" t="s">
        <v>353</v>
      </c>
      <c r="L288" t="s">
        <v>331</v>
      </c>
      <c r="M288">
        <v>436</v>
      </c>
      <c r="N288">
        <v>11572</v>
      </c>
      <c r="O288" t="s">
        <v>167</v>
      </c>
      <c r="P288" t="s">
        <v>166</v>
      </c>
      <c r="Q288" t="s">
        <v>225</v>
      </c>
      <c r="R288" t="s">
        <v>67</v>
      </c>
      <c r="S288" t="s">
        <v>48</v>
      </c>
      <c r="T288">
        <v>5377</v>
      </c>
      <c r="U288" t="s">
        <v>51</v>
      </c>
      <c r="V288">
        <v>1063</v>
      </c>
      <c r="W288">
        <v>995</v>
      </c>
      <c r="X288" t="s">
        <v>464</v>
      </c>
      <c r="Y288" t="s">
        <v>245</v>
      </c>
      <c r="Z288" t="s">
        <v>2434</v>
      </c>
      <c r="AA288" t="s">
        <v>1101</v>
      </c>
      <c r="AB288">
        <v>6195</v>
      </c>
      <c r="AC288">
        <v>3482</v>
      </c>
      <c r="AD288">
        <v>1401</v>
      </c>
      <c r="AE288">
        <v>409</v>
      </c>
      <c r="AF288">
        <v>79</v>
      </c>
      <c r="AG288">
        <v>6</v>
      </c>
      <c r="AH288">
        <v>5040</v>
      </c>
      <c r="AI288">
        <v>795</v>
      </c>
      <c r="AJ288">
        <v>456</v>
      </c>
      <c r="AK288">
        <v>1451</v>
      </c>
      <c r="AL288">
        <v>103</v>
      </c>
      <c r="AM288">
        <v>23</v>
      </c>
      <c r="AN288" t="s">
        <v>285</v>
      </c>
      <c r="AO288">
        <f>AVERAGE(Tabla2[[#This Row],[total_kills]:[rating]])</f>
        <v>2869.9473684210525</v>
      </c>
      <c r="AP288" t="str">
        <f>VLOOKUP(Tabla2[[#This Row],[KPI]],$AS$2:$AT$5,2,1)</f>
        <v>Bajo</v>
      </c>
    </row>
    <row r="289" spans="1:42" x14ac:dyDescent="0.3">
      <c r="A289">
        <v>8522</v>
      </c>
      <c r="B289" t="s">
        <v>2195</v>
      </c>
      <c r="C289" t="s">
        <v>2196</v>
      </c>
      <c r="D289">
        <v>27</v>
      </c>
      <c r="E289" t="s">
        <v>459</v>
      </c>
      <c r="F289" t="s">
        <v>3514</v>
      </c>
      <c r="G289" t="s">
        <v>2197</v>
      </c>
      <c r="H289">
        <v>18921</v>
      </c>
      <c r="I289">
        <v>18300</v>
      </c>
      <c r="J289" t="s">
        <v>2198</v>
      </c>
      <c r="K289" t="s">
        <v>601</v>
      </c>
      <c r="L289" t="s">
        <v>462</v>
      </c>
      <c r="M289">
        <v>1083</v>
      </c>
      <c r="N289">
        <v>28153</v>
      </c>
      <c r="O289" t="s">
        <v>225</v>
      </c>
      <c r="P289" t="s">
        <v>202</v>
      </c>
      <c r="Q289" t="s">
        <v>276</v>
      </c>
      <c r="R289" t="s">
        <v>50</v>
      </c>
      <c r="S289" t="s">
        <v>67</v>
      </c>
      <c r="T289">
        <v>12947</v>
      </c>
      <c r="U289" t="s">
        <v>51</v>
      </c>
      <c r="V289">
        <v>2381</v>
      </c>
      <c r="W289">
        <v>2328</v>
      </c>
      <c r="X289" t="s">
        <v>449</v>
      </c>
      <c r="Y289" t="s">
        <v>820</v>
      </c>
      <c r="Z289" t="s">
        <v>324</v>
      </c>
      <c r="AA289" t="s">
        <v>1985</v>
      </c>
      <c r="AB289">
        <v>15206</v>
      </c>
      <c r="AC289">
        <v>8446</v>
      </c>
      <c r="AD289">
        <v>3296</v>
      </c>
      <c r="AE289">
        <v>975</v>
      </c>
      <c r="AF289">
        <v>206</v>
      </c>
      <c r="AG289">
        <v>24</v>
      </c>
      <c r="AH289">
        <v>13588</v>
      </c>
      <c r="AI289">
        <v>345</v>
      </c>
      <c r="AJ289">
        <v>1334</v>
      </c>
      <c r="AK289">
        <v>3423</v>
      </c>
      <c r="AL289">
        <v>194</v>
      </c>
      <c r="AM289">
        <v>52</v>
      </c>
      <c r="AN289" t="s">
        <v>255</v>
      </c>
      <c r="AO289">
        <f>AVERAGE(Tabla2[[#This Row],[total_kills]:[rating]])</f>
        <v>6905.3684210526317</v>
      </c>
      <c r="AP289" t="str">
        <f>VLOOKUP(Tabla2[[#This Row],[KPI]],$AS$2:$AT$5,2,1)</f>
        <v>Superior</v>
      </c>
    </row>
    <row r="290" spans="1:42" x14ac:dyDescent="0.3">
      <c r="A290">
        <v>19190</v>
      </c>
      <c r="B290" t="s">
        <v>2468</v>
      </c>
      <c r="C290" t="s">
        <v>2469</v>
      </c>
      <c r="D290">
        <v>23</v>
      </c>
      <c r="E290" t="s">
        <v>299</v>
      </c>
      <c r="F290" t="s">
        <v>3514</v>
      </c>
      <c r="G290" t="s">
        <v>2470</v>
      </c>
      <c r="H290">
        <v>6567</v>
      </c>
      <c r="I290">
        <v>6403</v>
      </c>
      <c r="J290" t="s">
        <v>2198</v>
      </c>
      <c r="K290" t="s">
        <v>800</v>
      </c>
      <c r="L290" t="s">
        <v>1846</v>
      </c>
      <c r="M290">
        <v>395</v>
      </c>
      <c r="N290">
        <v>9991</v>
      </c>
      <c r="O290" t="s">
        <v>322</v>
      </c>
      <c r="P290" t="s">
        <v>166</v>
      </c>
      <c r="Q290" t="s">
        <v>65</v>
      </c>
      <c r="R290" t="s">
        <v>48</v>
      </c>
      <c r="S290" t="s">
        <v>50</v>
      </c>
      <c r="T290">
        <v>4549</v>
      </c>
      <c r="U290" t="s">
        <v>51</v>
      </c>
      <c r="V290">
        <v>923</v>
      </c>
      <c r="W290">
        <v>930</v>
      </c>
      <c r="X290" t="s">
        <v>285</v>
      </c>
      <c r="Y290" t="s">
        <v>503</v>
      </c>
      <c r="Z290" t="s">
        <v>821</v>
      </c>
      <c r="AA290" t="s">
        <v>852</v>
      </c>
      <c r="AB290">
        <v>5442</v>
      </c>
      <c r="AC290">
        <v>2990</v>
      </c>
      <c r="AD290">
        <v>1175</v>
      </c>
      <c r="AE290">
        <v>316</v>
      </c>
      <c r="AF290">
        <v>61</v>
      </c>
      <c r="AG290">
        <v>7</v>
      </c>
      <c r="AH290">
        <v>4708</v>
      </c>
      <c r="AI290">
        <v>240</v>
      </c>
      <c r="AJ290">
        <v>516</v>
      </c>
      <c r="AK290">
        <v>953</v>
      </c>
      <c r="AL290">
        <v>148</v>
      </c>
      <c r="AM290">
        <v>33</v>
      </c>
      <c r="AN290" t="s">
        <v>464</v>
      </c>
      <c r="AO290">
        <f>AVERAGE(Tabla2[[#This Row],[total_kills]:[rating]])</f>
        <v>2439.3157894736842</v>
      </c>
      <c r="AP290" t="str">
        <f>VLOOKUP(Tabla2[[#This Row],[KPI]],$AS$2:$AT$5,2,1)</f>
        <v>Bajo</v>
      </c>
    </row>
    <row r="291" spans="1:42" x14ac:dyDescent="0.3">
      <c r="A291">
        <v>484</v>
      </c>
      <c r="B291" t="s">
        <v>3236</v>
      </c>
      <c r="C291" t="s">
        <v>3237</v>
      </c>
      <c r="D291">
        <v>34</v>
      </c>
      <c r="E291" t="s">
        <v>59</v>
      </c>
      <c r="F291" t="s">
        <v>3514</v>
      </c>
      <c r="G291" t="s">
        <v>60</v>
      </c>
      <c r="H291">
        <v>23470</v>
      </c>
      <c r="I291">
        <v>25460</v>
      </c>
      <c r="J291" t="s">
        <v>3238</v>
      </c>
      <c r="K291" t="s">
        <v>2067</v>
      </c>
      <c r="L291" t="s">
        <v>375</v>
      </c>
      <c r="M291">
        <v>1405</v>
      </c>
      <c r="N291">
        <v>37152</v>
      </c>
      <c r="O291" t="s">
        <v>215</v>
      </c>
      <c r="P291" t="s">
        <v>434</v>
      </c>
      <c r="Q291" t="s">
        <v>463</v>
      </c>
      <c r="R291" t="s">
        <v>67</v>
      </c>
      <c r="S291" t="s">
        <v>66</v>
      </c>
      <c r="T291">
        <v>16526</v>
      </c>
      <c r="U291" t="s">
        <v>51</v>
      </c>
      <c r="V291">
        <v>3259</v>
      </c>
      <c r="W291">
        <v>3779</v>
      </c>
      <c r="X291" t="s">
        <v>64</v>
      </c>
      <c r="Y291" t="s">
        <v>1570</v>
      </c>
      <c r="Z291" t="s">
        <v>237</v>
      </c>
      <c r="AA291" t="s">
        <v>2053</v>
      </c>
      <c r="AB291">
        <v>20626</v>
      </c>
      <c r="AC291">
        <v>11121</v>
      </c>
      <c r="AD291">
        <v>4124</v>
      </c>
      <c r="AE291">
        <v>1088</v>
      </c>
      <c r="AF291">
        <v>180</v>
      </c>
      <c r="AG291">
        <v>13</v>
      </c>
      <c r="AH291">
        <v>16873</v>
      </c>
      <c r="AI291">
        <v>517</v>
      </c>
      <c r="AJ291">
        <v>1567</v>
      </c>
      <c r="AK291">
        <v>3915</v>
      </c>
      <c r="AL291">
        <v>388</v>
      </c>
      <c r="AM291">
        <v>223</v>
      </c>
      <c r="AN291" t="s">
        <v>1314</v>
      </c>
      <c r="AO291">
        <f>AVERAGE(Tabla2[[#This Row],[total_kills]:[rating]])</f>
        <v>9036.105263157895</v>
      </c>
      <c r="AP291" t="str">
        <f>VLOOKUP(Tabla2[[#This Row],[KPI]],$AS$2:$AT$5,2,1)</f>
        <v>Superior</v>
      </c>
    </row>
    <row r="292" spans="1:42" x14ac:dyDescent="0.3">
      <c r="A292">
        <v>9221</v>
      </c>
      <c r="B292" t="s">
        <v>2456</v>
      </c>
      <c r="C292" t="s">
        <v>2457</v>
      </c>
      <c r="D292">
        <v>30</v>
      </c>
      <c r="E292" t="s">
        <v>1012</v>
      </c>
      <c r="F292" t="s">
        <v>1013</v>
      </c>
      <c r="G292" t="s">
        <v>2098</v>
      </c>
      <c r="H292">
        <v>10944</v>
      </c>
      <c r="I292">
        <v>10827</v>
      </c>
      <c r="J292" t="s">
        <v>2458</v>
      </c>
      <c r="K292" t="s">
        <v>1042</v>
      </c>
      <c r="L292" t="s">
        <v>1170</v>
      </c>
      <c r="M292">
        <v>619</v>
      </c>
      <c r="N292">
        <v>16203</v>
      </c>
      <c r="O292" t="s">
        <v>167</v>
      </c>
      <c r="P292" t="s">
        <v>235</v>
      </c>
      <c r="Q292" t="s">
        <v>225</v>
      </c>
      <c r="R292" t="s">
        <v>50</v>
      </c>
      <c r="S292" t="s">
        <v>50</v>
      </c>
      <c r="T292">
        <v>7500</v>
      </c>
      <c r="U292" t="s">
        <v>51</v>
      </c>
      <c r="V292">
        <v>1539</v>
      </c>
      <c r="W292">
        <v>1502</v>
      </c>
      <c r="X292" t="s">
        <v>449</v>
      </c>
      <c r="Y292" t="s">
        <v>285</v>
      </c>
      <c r="Z292" t="s">
        <v>809</v>
      </c>
      <c r="AA292" t="s">
        <v>640</v>
      </c>
      <c r="AB292">
        <v>8703</v>
      </c>
      <c r="AC292">
        <v>4870</v>
      </c>
      <c r="AD292">
        <v>1938</v>
      </c>
      <c r="AE292">
        <v>579</v>
      </c>
      <c r="AF292">
        <v>104</v>
      </c>
      <c r="AG292">
        <v>9</v>
      </c>
      <c r="AH292">
        <v>7428</v>
      </c>
      <c r="AI292">
        <v>556</v>
      </c>
      <c r="AJ292">
        <v>923</v>
      </c>
      <c r="AK292">
        <v>1903</v>
      </c>
      <c r="AL292">
        <v>143</v>
      </c>
      <c r="AM292">
        <v>17</v>
      </c>
      <c r="AN292" t="s">
        <v>285</v>
      </c>
      <c r="AO292">
        <f>AVERAGE(Tabla2[[#This Row],[total_kills]:[rating]])</f>
        <v>4016.1578947368421</v>
      </c>
      <c r="AP292" t="str">
        <f>VLOOKUP(Tabla2[[#This Row],[KPI]],$AS$2:$AT$5,2,1)</f>
        <v>Medio</v>
      </c>
    </row>
    <row r="293" spans="1:42" x14ac:dyDescent="0.3">
      <c r="A293">
        <v>9019</v>
      </c>
      <c r="B293" t="s">
        <v>2831</v>
      </c>
      <c r="C293" t="s">
        <v>2832</v>
      </c>
      <c r="D293">
        <v>26</v>
      </c>
      <c r="E293" t="s">
        <v>141</v>
      </c>
      <c r="F293" t="s">
        <v>1093</v>
      </c>
      <c r="G293" t="s">
        <v>2833</v>
      </c>
      <c r="H293">
        <v>26062</v>
      </c>
      <c r="I293">
        <v>26818</v>
      </c>
      <c r="J293" t="s">
        <v>2458</v>
      </c>
      <c r="K293" t="s">
        <v>1351</v>
      </c>
      <c r="L293" t="s">
        <v>541</v>
      </c>
      <c r="M293">
        <v>1518</v>
      </c>
      <c r="N293">
        <v>39795</v>
      </c>
      <c r="O293" t="s">
        <v>276</v>
      </c>
      <c r="P293" t="s">
        <v>202</v>
      </c>
      <c r="Q293" t="s">
        <v>225</v>
      </c>
      <c r="R293" t="s">
        <v>50</v>
      </c>
      <c r="S293" t="s">
        <v>96</v>
      </c>
      <c r="T293">
        <v>17945</v>
      </c>
      <c r="U293" t="s">
        <v>51</v>
      </c>
      <c r="V293">
        <v>4108</v>
      </c>
      <c r="W293">
        <v>4290</v>
      </c>
      <c r="X293" t="s">
        <v>472</v>
      </c>
      <c r="Y293">
        <v>1</v>
      </c>
      <c r="Z293" t="s">
        <v>1765</v>
      </c>
      <c r="AA293" t="s">
        <v>1030</v>
      </c>
      <c r="AB293">
        <v>21850</v>
      </c>
      <c r="AC293">
        <v>11747</v>
      </c>
      <c r="AD293">
        <v>4581</v>
      </c>
      <c r="AE293">
        <v>1342</v>
      </c>
      <c r="AF293">
        <v>248</v>
      </c>
      <c r="AG293">
        <v>27</v>
      </c>
      <c r="AH293">
        <v>17259</v>
      </c>
      <c r="AI293">
        <v>2721</v>
      </c>
      <c r="AJ293">
        <v>1319</v>
      </c>
      <c r="AK293">
        <v>4470</v>
      </c>
      <c r="AL293">
        <v>314</v>
      </c>
      <c r="AM293">
        <v>58</v>
      </c>
      <c r="AN293" t="s">
        <v>472</v>
      </c>
      <c r="AO293">
        <f>AVERAGE(Tabla2[[#This Row],[total_kills]:[rating]])</f>
        <v>9323.65</v>
      </c>
      <c r="AP293" t="str">
        <f>VLOOKUP(Tabla2[[#This Row],[KPI]],$AS$2:$AT$5,2,1)</f>
        <v>Superior</v>
      </c>
    </row>
    <row r="294" spans="1:42" x14ac:dyDescent="0.3">
      <c r="A294">
        <v>13976</v>
      </c>
      <c r="B294" t="s">
        <v>3096</v>
      </c>
      <c r="C294" t="s">
        <v>3097</v>
      </c>
      <c r="D294">
        <v>27</v>
      </c>
      <c r="E294" t="s">
        <v>742</v>
      </c>
      <c r="F294" t="s">
        <v>1023</v>
      </c>
      <c r="G294" t="s">
        <v>743</v>
      </c>
      <c r="H294">
        <v>21726</v>
      </c>
      <c r="I294">
        <v>23045</v>
      </c>
      <c r="J294" t="s">
        <v>2458</v>
      </c>
      <c r="K294" t="s">
        <v>776</v>
      </c>
      <c r="L294" t="s">
        <v>1846</v>
      </c>
      <c r="M294">
        <v>1261</v>
      </c>
      <c r="N294">
        <v>33615</v>
      </c>
      <c r="O294" t="s">
        <v>276</v>
      </c>
      <c r="P294" t="s">
        <v>553</v>
      </c>
      <c r="Q294" t="s">
        <v>463</v>
      </c>
      <c r="R294" t="s">
        <v>50</v>
      </c>
      <c r="S294" t="s">
        <v>66</v>
      </c>
      <c r="T294">
        <v>15065</v>
      </c>
      <c r="U294" t="s">
        <v>51</v>
      </c>
      <c r="V294">
        <v>4424</v>
      </c>
      <c r="W294">
        <v>4589</v>
      </c>
      <c r="X294" t="s">
        <v>472</v>
      </c>
      <c r="Y294" t="s">
        <v>561</v>
      </c>
      <c r="Z294" t="s">
        <v>54</v>
      </c>
      <c r="AA294" t="s">
        <v>205</v>
      </c>
      <c r="AB294">
        <v>18550</v>
      </c>
      <c r="AC294">
        <v>9960</v>
      </c>
      <c r="AD294">
        <v>3789</v>
      </c>
      <c r="AE294">
        <v>1091</v>
      </c>
      <c r="AF294">
        <v>210</v>
      </c>
      <c r="AG294">
        <v>15</v>
      </c>
      <c r="AH294">
        <v>14632</v>
      </c>
      <c r="AI294">
        <v>1796</v>
      </c>
      <c r="AJ294">
        <v>1663</v>
      </c>
      <c r="AK294">
        <v>3241</v>
      </c>
      <c r="AL294">
        <v>345</v>
      </c>
      <c r="AM294">
        <v>115</v>
      </c>
      <c r="AN294" t="s">
        <v>407</v>
      </c>
      <c r="AO294">
        <f>AVERAGE(Tabla2[[#This Row],[total_kills]:[rating]])</f>
        <v>8375.3684210526317</v>
      </c>
      <c r="AP294" t="str">
        <f>VLOOKUP(Tabla2[[#This Row],[KPI]],$AS$2:$AT$5,2,1)</f>
        <v>Superior</v>
      </c>
    </row>
    <row r="295" spans="1:42" x14ac:dyDescent="0.3">
      <c r="A295">
        <v>10961</v>
      </c>
      <c r="B295" t="s">
        <v>2918</v>
      </c>
      <c r="C295" t="s">
        <v>2919</v>
      </c>
      <c r="D295">
        <v>20</v>
      </c>
      <c r="E295" t="s">
        <v>196</v>
      </c>
      <c r="F295" t="s">
        <v>3514</v>
      </c>
      <c r="G295" t="s">
        <v>2920</v>
      </c>
      <c r="H295">
        <v>6701</v>
      </c>
      <c r="I295">
        <v>7027</v>
      </c>
      <c r="J295" t="s">
        <v>2921</v>
      </c>
      <c r="K295">
        <v>68</v>
      </c>
      <c r="L295" t="s">
        <v>93</v>
      </c>
      <c r="M295">
        <v>390</v>
      </c>
      <c r="N295">
        <v>10304</v>
      </c>
      <c r="O295" t="s">
        <v>276</v>
      </c>
      <c r="P295" t="s">
        <v>96</v>
      </c>
      <c r="Q295" t="s">
        <v>167</v>
      </c>
      <c r="R295" t="s">
        <v>96</v>
      </c>
      <c r="S295" t="s">
        <v>66</v>
      </c>
      <c r="T295">
        <v>4566</v>
      </c>
      <c r="U295" t="s">
        <v>51</v>
      </c>
      <c r="V295">
        <v>1279</v>
      </c>
      <c r="W295">
        <v>1299</v>
      </c>
      <c r="X295" t="s">
        <v>245</v>
      </c>
      <c r="Y295" t="s">
        <v>277</v>
      </c>
      <c r="Z295" t="s">
        <v>838</v>
      </c>
      <c r="AA295" t="s">
        <v>906</v>
      </c>
      <c r="AB295">
        <v>5738</v>
      </c>
      <c r="AC295">
        <v>2952</v>
      </c>
      <c r="AD295">
        <v>1184</v>
      </c>
      <c r="AE295">
        <v>350</v>
      </c>
      <c r="AF295">
        <v>69</v>
      </c>
      <c r="AG295">
        <v>11</v>
      </c>
      <c r="AH295">
        <v>2685</v>
      </c>
      <c r="AI295">
        <v>2627</v>
      </c>
      <c r="AJ295">
        <v>225</v>
      </c>
      <c r="AK295">
        <v>1097</v>
      </c>
      <c r="AL295">
        <v>71</v>
      </c>
      <c r="AM295">
        <v>19</v>
      </c>
      <c r="AN295" t="s">
        <v>285</v>
      </c>
      <c r="AO295">
        <f>AVERAGE(Tabla2[[#This Row],[total_kills]:[rating]])</f>
        <v>2433.1</v>
      </c>
      <c r="AP295" t="str">
        <f>VLOOKUP(Tabla2[[#This Row],[KPI]],$AS$2:$AT$5,2,1)</f>
        <v>Bajo</v>
      </c>
    </row>
    <row r="296" spans="1:42" x14ac:dyDescent="0.3">
      <c r="A296">
        <v>11492</v>
      </c>
      <c r="B296" t="s">
        <v>3137</v>
      </c>
      <c r="C296" t="s">
        <v>3138</v>
      </c>
      <c r="D296">
        <v>26</v>
      </c>
      <c r="E296" t="s">
        <v>299</v>
      </c>
      <c r="F296" t="s">
        <v>3514</v>
      </c>
      <c r="G296" t="s">
        <v>3139</v>
      </c>
      <c r="H296">
        <v>9682</v>
      </c>
      <c r="I296">
        <v>10298</v>
      </c>
      <c r="J296" t="s">
        <v>2921</v>
      </c>
      <c r="K296" t="s">
        <v>1529</v>
      </c>
      <c r="L296" t="s">
        <v>949</v>
      </c>
      <c r="M296">
        <v>579</v>
      </c>
      <c r="N296">
        <v>15033</v>
      </c>
      <c r="O296" t="s">
        <v>65</v>
      </c>
      <c r="P296" t="s">
        <v>235</v>
      </c>
      <c r="Q296" t="s">
        <v>463</v>
      </c>
      <c r="R296" t="s">
        <v>96</v>
      </c>
      <c r="S296" t="s">
        <v>66</v>
      </c>
      <c r="T296">
        <v>6751</v>
      </c>
      <c r="U296" t="s">
        <v>51</v>
      </c>
      <c r="V296">
        <v>1152</v>
      </c>
      <c r="W296">
        <v>1284</v>
      </c>
      <c r="X296" t="s">
        <v>1906</v>
      </c>
      <c r="Y296" t="s">
        <v>1749</v>
      </c>
      <c r="Z296" t="s">
        <v>399</v>
      </c>
      <c r="AA296" t="s">
        <v>1572</v>
      </c>
      <c r="AB296">
        <v>8282</v>
      </c>
      <c r="AC296">
        <v>4453</v>
      </c>
      <c r="AD296">
        <v>1767</v>
      </c>
      <c r="AE296">
        <v>446</v>
      </c>
      <c r="AF296">
        <v>68</v>
      </c>
      <c r="AG296">
        <v>17</v>
      </c>
      <c r="AH296">
        <v>6773</v>
      </c>
      <c r="AI296">
        <v>254</v>
      </c>
      <c r="AJ296">
        <v>833</v>
      </c>
      <c r="AK296">
        <v>1648</v>
      </c>
      <c r="AL296">
        <v>158</v>
      </c>
      <c r="AM296">
        <v>37</v>
      </c>
      <c r="AN296" t="s">
        <v>285</v>
      </c>
      <c r="AO296">
        <f>AVERAGE(Tabla2[[#This Row],[total_kills]:[rating]])</f>
        <v>3658.6842105263158</v>
      </c>
      <c r="AP296" t="str">
        <f>VLOOKUP(Tabla2[[#This Row],[KPI]],$AS$2:$AT$5,2,1)</f>
        <v>Medio</v>
      </c>
    </row>
    <row r="297" spans="1:42" x14ac:dyDescent="0.3">
      <c r="A297">
        <v>9219</v>
      </c>
      <c r="B297" t="s">
        <v>922</v>
      </c>
      <c r="C297" t="s">
        <v>923</v>
      </c>
      <c r="D297">
        <v>25</v>
      </c>
      <c r="E297" t="s">
        <v>104</v>
      </c>
      <c r="F297" t="s">
        <v>3514</v>
      </c>
      <c r="G297" t="s">
        <v>924</v>
      </c>
      <c r="H297">
        <v>19490</v>
      </c>
      <c r="I297">
        <v>17889</v>
      </c>
      <c r="J297" t="s">
        <v>925</v>
      </c>
      <c r="K297" t="s">
        <v>926</v>
      </c>
      <c r="L297" t="s">
        <v>462</v>
      </c>
      <c r="M297">
        <v>998</v>
      </c>
      <c r="N297">
        <v>25554</v>
      </c>
      <c r="O297" t="s">
        <v>234</v>
      </c>
      <c r="P297" t="s">
        <v>553</v>
      </c>
      <c r="Q297" t="s">
        <v>905</v>
      </c>
      <c r="R297" t="s">
        <v>50</v>
      </c>
      <c r="S297" t="s">
        <v>96</v>
      </c>
      <c r="T297">
        <v>12790</v>
      </c>
      <c r="U297" t="s">
        <v>51</v>
      </c>
      <c r="V297">
        <v>3354</v>
      </c>
      <c r="W297">
        <v>3317</v>
      </c>
      <c r="X297" t="s">
        <v>255</v>
      </c>
      <c r="Y297" t="s">
        <v>362</v>
      </c>
      <c r="Z297" t="s">
        <v>533</v>
      </c>
      <c r="AA297" t="s">
        <v>542</v>
      </c>
      <c r="AB297">
        <v>12764</v>
      </c>
      <c r="AC297">
        <v>7808</v>
      </c>
      <c r="AD297">
        <v>3545</v>
      </c>
      <c r="AE297">
        <v>1181</v>
      </c>
      <c r="AF297">
        <v>231</v>
      </c>
      <c r="AG297">
        <v>25</v>
      </c>
      <c r="AH297">
        <v>13991</v>
      </c>
      <c r="AI297">
        <v>919</v>
      </c>
      <c r="AJ297">
        <v>1262</v>
      </c>
      <c r="AK297">
        <v>3071</v>
      </c>
      <c r="AL297">
        <v>198</v>
      </c>
      <c r="AM297">
        <v>98</v>
      </c>
      <c r="AN297" t="s">
        <v>277</v>
      </c>
      <c r="AO297">
        <f>AVERAGE(Tabla2[[#This Row],[total_kills]:[rating]])</f>
        <v>6762.3684210526317</v>
      </c>
      <c r="AP297" t="str">
        <f>VLOOKUP(Tabla2[[#This Row],[KPI]],$AS$2:$AT$5,2,1)</f>
        <v>Alto</v>
      </c>
    </row>
    <row r="298" spans="1:42" x14ac:dyDescent="0.3">
      <c r="A298">
        <v>9108</v>
      </c>
      <c r="B298" t="s">
        <v>1277</v>
      </c>
      <c r="C298" t="s">
        <v>1278</v>
      </c>
      <c r="D298">
        <v>25</v>
      </c>
      <c r="E298" t="s">
        <v>299</v>
      </c>
      <c r="F298" t="s">
        <v>3514</v>
      </c>
      <c r="G298" t="s">
        <v>1279</v>
      </c>
      <c r="H298">
        <v>12952</v>
      </c>
      <c r="I298">
        <v>11725</v>
      </c>
      <c r="J298" t="s">
        <v>925</v>
      </c>
      <c r="K298">
        <v>76</v>
      </c>
      <c r="L298" t="s">
        <v>398</v>
      </c>
      <c r="M298">
        <v>718</v>
      </c>
      <c r="N298">
        <v>18208</v>
      </c>
      <c r="O298" t="s">
        <v>646</v>
      </c>
      <c r="P298" t="s">
        <v>202</v>
      </c>
      <c r="Q298" t="s">
        <v>65</v>
      </c>
      <c r="R298" t="s">
        <v>96</v>
      </c>
      <c r="S298" t="s">
        <v>96</v>
      </c>
      <c r="T298">
        <v>8719</v>
      </c>
      <c r="U298" t="s">
        <v>51</v>
      </c>
      <c r="V298">
        <v>1889</v>
      </c>
      <c r="W298">
        <v>1716</v>
      </c>
      <c r="X298" t="s">
        <v>561</v>
      </c>
      <c r="Y298" t="s">
        <v>412</v>
      </c>
      <c r="Z298" t="s">
        <v>1280</v>
      </c>
      <c r="AA298" t="s">
        <v>577</v>
      </c>
      <c r="AB298">
        <v>9489</v>
      </c>
      <c r="AC298">
        <v>5483</v>
      </c>
      <c r="AD298">
        <v>2375</v>
      </c>
      <c r="AE298">
        <v>737</v>
      </c>
      <c r="AF298">
        <v>112</v>
      </c>
      <c r="AG298">
        <v>12</v>
      </c>
      <c r="AH298">
        <v>8633</v>
      </c>
      <c r="AI298">
        <v>1246</v>
      </c>
      <c r="AJ298">
        <v>867</v>
      </c>
      <c r="AK298">
        <v>2023</v>
      </c>
      <c r="AL298">
        <v>171</v>
      </c>
      <c r="AM298">
        <v>30</v>
      </c>
      <c r="AN298" t="s">
        <v>590</v>
      </c>
      <c r="AO298">
        <f>AVERAGE(Tabla2[[#This Row],[total_kills]:[rating]])</f>
        <v>4359.05</v>
      </c>
      <c r="AP298" t="str">
        <f>VLOOKUP(Tabla2[[#This Row],[KPI]],$AS$2:$AT$5,2,1)</f>
        <v>Medio</v>
      </c>
    </row>
    <row r="299" spans="1:42" x14ac:dyDescent="0.3">
      <c r="A299">
        <v>9256</v>
      </c>
      <c r="B299" t="s">
        <v>1869</v>
      </c>
      <c r="C299" t="s">
        <v>1870</v>
      </c>
      <c r="D299">
        <v>26</v>
      </c>
      <c r="E299" t="s">
        <v>545</v>
      </c>
      <c r="F299" t="s">
        <v>3514</v>
      </c>
      <c r="G299" t="s">
        <v>1871</v>
      </c>
      <c r="H299">
        <v>22193</v>
      </c>
      <c r="I299">
        <v>21099</v>
      </c>
      <c r="J299" t="s">
        <v>925</v>
      </c>
      <c r="K299" t="s">
        <v>178</v>
      </c>
      <c r="L299" t="s">
        <v>46</v>
      </c>
      <c r="M299">
        <v>1207</v>
      </c>
      <c r="N299">
        <v>32000</v>
      </c>
      <c r="O299" t="s">
        <v>463</v>
      </c>
      <c r="P299" t="s">
        <v>202</v>
      </c>
      <c r="Q299" t="s">
        <v>322</v>
      </c>
      <c r="R299" t="s">
        <v>96</v>
      </c>
      <c r="S299" t="s">
        <v>50</v>
      </c>
      <c r="T299">
        <v>15109</v>
      </c>
      <c r="U299" t="s">
        <v>51</v>
      </c>
      <c r="V299">
        <v>2964</v>
      </c>
      <c r="W299">
        <v>2973</v>
      </c>
      <c r="X299">
        <v>1</v>
      </c>
      <c r="Y299" t="s">
        <v>503</v>
      </c>
      <c r="Z299" t="s">
        <v>54</v>
      </c>
      <c r="AA299" t="s">
        <v>1101</v>
      </c>
      <c r="AB299">
        <v>16891</v>
      </c>
      <c r="AC299">
        <v>9676</v>
      </c>
      <c r="AD299">
        <v>4049</v>
      </c>
      <c r="AE299">
        <v>1143</v>
      </c>
      <c r="AF299">
        <v>215</v>
      </c>
      <c r="AG299">
        <v>26</v>
      </c>
      <c r="AH299">
        <v>14277</v>
      </c>
      <c r="AI299">
        <v>2647</v>
      </c>
      <c r="AJ299">
        <v>867</v>
      </c>
      <c r="AK299">
        <v>4100</v>
      </c>
      <c r="AL299">
        <v>293</v>
      </c>
      <c r="AM299">
        <v>53</v>
      </c>
      <c r="AN299" t="s">
        <v>449</v>
      </c>
      <c r="AO299">
        <f>AVERAGE(Tabla2[[#This Row],[total_kills]:[rating]])</f>
        <v>7589.15</v>
      </c>
      <c r="AP299" t="str">
        <f>VLOOKUP(Tabla2[[#This Row],[KPI]],$AS$2:$AT$5,2,1)</f>
        <v>Superior</v>
      </c>
    </row>
    <row r="300" spans="1:42" x14ac:dyDescent="0.3">
      <c r="A300">
        <v>8446</v>
      </c>
      <c r="B300" t="s">
        <v>2771</v>
      </c>
      <c r="C300" t="s">
        <v>2772</v>
      </c>
      <c r="D300">
        <v>29</v>
      </c>
      <c r="E300" t="s">
        <v>758</v>
      </c>
      <c r="F300" t="s">
        <v>3514</v>
      </c>
      <c r="G300" t="s">
        <v>900</v>
      </c>
      <c r="H300">
        <v>6410</v>
      </c>
      <c r="I300">
        <v>6354</v>
      </c>
      <c r="J300" t="s">
        <v>925</v>
      </c>
      <c r="K300" t="s">
        <v>2773</v>
      </c>
      <c r="L300" t="s">
        <v>46</v>
      </c>
      <c r="M300">
        <v>397</v>
      </c>
      <c r="N300">
        <v>10059</v>
      </c>
      <c r="O300" t="s">
        <v>65</v>
      </c>
      <c r="P300" t="s">
        <v>235</v>
      </c>
      <c r="Q300" t="s">
        <v>215</v>
      </c>
      <c r="R300" t="s">
        <v>50</v>
      </c>
      <c r="S300" t="s">
        <v>67</v>
      </c>
      <c r="T300">
        <v>4506</v>
      </c>
      <c r="U300" t="s">
        <v>51</v>
      </c>
      <c r="V300">
        <v>733</v>
      </c>
      <c r="W300">
        <v>707</v>
      </c>
      <c r="X300" t="s">
        <v>407</v>
      </c>
      <c r="Y300" t="s">
        <v>1749</v>
      </c>
      <c r="Z300" t="s">
        <v>2774</v>
      </c>
      <c r="AA300" t="s">
        <v>2131</v>
      </c>
      <c r="AB300">
        <v>5553</v>
      </c>
      <c r="AC300">
        <v>3018</v>
      </c>
      <c r="AD300">
        <v>1131</v>
      </c>
      <c r="AE300">
        <v>308</v>
      </c>
      <c r="AF300">
        <v>43</v>
      </c>
      <c r="AG300">
        <v>6</v>
      </c>
      <c r="AH300">
        <v>4707</v>
      </c>
      <c r="AI300">
        <v>157</v>
      </c>
      <c r="AJ300">
        <v>413</v>
      </c>
      <c r="AK300">
        <v>1051</v>
      </c>
      <c r="AL300">
        <v>78</v>
      </c>
      <c r="AM300">
        <v>27</v>
      </c>
      <c r="AN300" t="s">
        <v>503</v>
      </c>
      <c r="AO300">
        <f>AVERAGE(Tabla2[[#This Row],[total_kills]:[rating]])</f>
        <v>2403.0526315789475</v>
      </c>
      <c r="AP300" t="str">
        <f>VLOOKUP(Tabla2[[#This Row],[KPI]],$AS$2:$AT$5,2,1)</f>
        <v>Bajo</v>
      </c>
    </row>
    <row r="301" spans="1:42" x14ac:dyDescent="0.3">
      <c r="A301">
        <v>8151</v>
      </c>
      <c r="B301" t="s">
        <v>3047</v>
      </c>
      <c r="C301" t="s">
        <v>3048</v>
      </c>
      <c r="D301">
        <v>25</v>
      </c>
      <c r="E301" t="s">
        <v>196</v>
      </c>
      <c r="F301" t="s">
        <v>599</v>
      </c>
      <c r="G301" t="s">
        <v>3049</v>
      </c>
      <c r="H301">
        <v>30139</v>
      </c>
      <c r="I301">
        <v>31648</v>
      </c>
      <c r="J301" t="s">
        <v>925</v>
      </c>
      <c r="K301" t="s">
        <v>486</v>
      </c>
      <c r="L301" t="s">
        <v>224</v>
      </c>
      <c r="M301">
        <v>1765</v>
      </c>
      <c r="N301">
        <v>46574</v>
      </c>
      <c r="O301" t="s">
        <v>276</v>
      </c>
      <c r="P301" t="s">
        <v>166</v>
      </c>
      <c r="Q301" t="s">
        <v>167</v>
      </c>
      <c r="R301" t="s">
        <v>67</v>
      </c>
      <c r="S301" t="s">
        <v>96</v>
      </c>
      <c r="T301">
        <v>20872</v>
      </c>
      <c r="U301" t="s">
        <v>51</v>
      </c>
      <c r="V301">
        <v>4685</v>
      </c>
      <c r="W301">
        <v>5068</v>
      </c>
      <c r="X301" t="s">
        <v>1314</v>
      </c>
      <c r="Y301" t="s">
        <v>285</v>
      </c>
      <c r="Z301" t="s">
        <v>324</v>
      </c>
      <c r="AA301" t="s">
        <v>1030</v>
      </c>
      <c r="AB301">
        <v>25702</v>
      </c>
      <c r="AC301">
        <v>13743</v>
      </c>
      <c r="AD301">
        <v>5318</v>
      </c>
      <c r="AE301">
        <v>1524</v>
      </c>
      <c r="AF301">
        <v>264</v>
      </c>
      <c r="AG301">
        <v>23</v>
      </c>
      <c r="AH301">
        <v>22436</v>
      </c>
      <c r="AI301">
        <v>815</v>
      </c>
      <c r="AJ301">
        <v>2011</v>
      </c>
      <c r="AK301">
        <v>4482</v>
      </c>
      <c r="AL301">
        <v>404</v>
      </c>
      <c r="AM301">
        <v>73</v>
      </c>
      <c r="AN301" t="s">
        <v>820</v>
      </c>
      <c r="AO301">
        <f>AVERAGE(Tabla2[[#This Row],[total_kills]:[rating]])</f>
        <v>11449.78947368421</v>
      </c>
      <c r="AP301" t="str">
        <f>VLOOKUP(Tabla2[[#This Row],[KPI]],$AS$2:$AT$5,2,1)</f>
        <v>Superior</v>
      </c>
    </row>
    <row r="302" spans="1:42" x14ac:dyDescent="0.3">
      <c r="A302">
        <v>7463</v>
      </c>
      <c r="B302" t="s">
        <v>3070</v>
      </c>
      <c r="C302" t="s">
        <v>3071</v>
      </c>
      <c r="D302">
        <v>29</v>
      </c>
      <c r="E302" t="s">
        <v>196</v>
      </c>
      <c r="F302" t="s">
        <v>3514</v>
      </c>
      <c r="G302" t="s">
        <v>973</v>
      </c>
      <c r="H302">
        <v>12779</v>
      </c>
      <c r="I302">
        <v>13628</v>
      </c>
      <c r="J302" t="s">
        <v>925</v>
      </c>
      <c r="K302" t="s">
        <v>1529</v>
      </c>
      <c r="L302" t="s">
        <v>425</v>
      </c>
      <c r="M302">
        <v>754</v>
      </c>
      <c r="N302">
        <v>19798</v>
      </c>
      <c r="O302" t="s">
        <v>276</v>
      </c>
      <c r="P302" t="s">
        <v>235</v>
      </c>
      <c r="Q302" t="s">
        <v>463</v>
      </c>
      <c r="R302" t="s">
        <v>50</v>
      </c>
      <c r="S302" t="s">
        <v>96</v>
      </c>
      <c r="T302">
        <v>8729</v>
      </c>
      <c r="U302" t="s">
        <v>51</v>
      </c>
      <c r="V302">
        <v>1712</v>
      </c>
      <c r="W302">
        <v>2170</v>
      </c>
      <c r="X302" t="s">
        <v>109</v>
      </c>
      <c r="Y302" t="s">
        <v>1314</v>
      </c>
      <c r="Z302" t="s">
        <v>391</v>
      </c>
      <c r="AA302" t="s">
        <v>518</v>
      </c>
      <c r="AB302">
        <v>11069</v>
      </c>
      <c r="AC302">
        <v>5634</v>
      </c>
      <c r="AD302">
        <v>2296</v>
      </c>
      <c r="AE302">
        <v>662</v>
      </c>
      <c r="AF302">
        <v>121</v>
      </c>
      <c r="AG302">
        <v>16</v>
      </c>
      <c r="AH302">
        <v>9025</v>
      </c>
      <c r="AI302">
        <v>394</v>
      </c>
      <c r="AJ302">
        <v>1075</v>
      </c>
      <c r="AK302">
        <v>2170</v>
      </c>
      <c r="AL302">
        <v>120</v>
      </c>
      <c r="AM302">
        <v>11</v>
      </c>
      <c r="AN302" t="s">
        <v>1570</v>
      </c>
      <c r="AO302">
        <f>AVERAGE(Tabla2[[#This Row],[total_kills]:[rating]])</f>
        <v>4850.6842105263158</v>
      </c>
      <c r="AP302" t="str">
        <f>VLOOKUP(Tabla2[[#This Row],[KPI]],$AS$2:$AT$5,2,1)</f>
        <v>Alto</v>
      </c>
    </row>
    <row r="303" spans="1:42" x14ac:dyDescent="0.3">
      <c r="A303">
        <v>13182</v>
      </c>
      <c r="B303" t="s">
        <v>1997</v>
      </c>
      <c r="C303" t="s">
        <v>1998</v>
      </c>
      <c r="D303">
        <v>22</v>
      </c>
      <c r="E303" t="s">
        <v>459</v>
      </c>
      <c r="F303" t="s">
        <v>3514</v>
      </c>
      <c r="G303" t="s">
        <v>1999</v>
      </c>
      <c r="H303">
        <v>8078</v>
      </c>
      <c r="I303">
        <v>7894</v>
      </c>
      <c r="J303" t="s">
        <v>2000</v>
      </c>
      <c r="K303" t="s">
        <v>1062</v>
      </c>
      <c r="L303">
        <v>3</v>
      </c>
      <c r="M303">
        <v>449</v>
      </c>
      <c r="N303">
        <v>11596</v>
      </c>
      <c r="O303" t="s">
        <v>905</v>
      </c>
      <c r="P303" t="s">
        <v>202</v>
      </c>
      <c r="Q303" t="s">
        <v>167</v>
      </c>
      <c r="R303" t="s">
        <v>67</v>
      </c>
      <c r="S303" t="s">
        <v>67</v>
      </c>
      <c r="T303">
        <v>5403</v>
      </c>
      <c r="U303" t="s">
        <v>51</v>
      </c>
      <c r="V303">
        <v>1221</v>
      </c>
      <c r="W303">
        <v>1289</v>
      </c>
      <c r="X303" t="s">
        <v>820</v>
      </c>
      <c r="Y303" t="s">
        <v>255</v>
      </c>
      <c r="Z303" t="s">
        <v>1327</v>
      </c>
      <c r="AA303" t="s">
        <v>577</v>
      </c>
      <c r="AB303">
        <v>6193</v>
      </c>
      <c r="AC303">
        <v>3383</v>
      </c>
      <c r="AD303">
        <v>1481</v>
      </c>
      <c r="AE303">
        <v>433</v>
      </c>
      <c r="AF303">
        <v>96</v>
      </c>
      <c r="AG303">
        <v>10</v>
      </c>
      <c r="AH303">
        <v>6019</v>
      </c>
      <c r="AI303">
        <v>144</v>
      </c>
      <c r="AJ303">
        <v>435</v>
      </c>
      <c r="AK303">
        <v>1423</v>
      </c>
      <c r="AL303">
        <v>68</v>
      </c>
      <c r="AM303">
        <v>12</v>
      </c>
      <c r="AN303" t="s">
        <v>464</v>
      </c>
      <c r="AO303">
        <f>AVERAGE(Tabla2[[#This Row],[total_kills]:[rating]])</f>
        <v>2781.5</v>
      </c>
      <c r="AP303" t="str">
        <f>VLOOKUP(Tabla2[[#This Row],[KPI]],$AS$2:$AT$5,2,1)</f>
        <v>Bajo</v>
      </c>
    </row>
    <row r="304" spans="1:42" x14ac:dyDescent="0.3">
      <c r="A304">
        <v>11701</v>
      </c>
      <c r="B304" t="s">
        <v>2126</v>
      </c>
      <c r="C304" t="s">
        <v>2127</v>
      </c>
      <c r="D304">
        <v>25</v>
      </c>
      <c r="E304" t="s">
        <v>708</v>
      </c>
      <c r="F304" t="s">
        <v>2128</v>
      </c>
      <c r="G304" t="s">
        <v>2129</v>
      </c>
      <c r="H304">
        <v>15351</v>
      </c>
      <c r="I304">
        <v>14425</v>
      </c>
      <c r="J304" t="s">
        <v>2000</v>
      </c>
      <c r="K304" t="s">
        <v>601</v>
      </c>
      <c r="L304" t="s">
        <v>687</v>
      </c>
      <c r="M304">
        <v>866</v>
      </c>
      <c r="N304">
        <v>23162</v>
      </c>
      <c r="O304" t="s">
        <v>322</v>
      </c>
      <c r="P304" t="s">
        <v>202</v>
      </c>
      <c r="Q304" t="s">
        <v>144</v>
      </c>
      <c r="R304" t="s">
        <v>96</v>
      </c>
      <c r="S304" t="s">
        <v>96</v>
      </c>
      <c r="T304">
        <v>10700</v>
      </c>
      <c r="U304" t="s">
        <v>51</v>
      </c>
      <c r="V304">
        <v>1826</v>
      </c>
      <c r="W304">
        <v>1667</v>
      </c>
      <c r="X304" t="s">
        <v>561</v>
      </c>
      <c r="Y304" t="s">
        <v>1570</v>
      </c>
      <c r="Z304" t="s">
        <v>2130</v>
      </c>
      <c r="AA304" t="s">
        <v>2131</v>
      </c>
      <c r="AB304">
        <v>12462</v>
      </c>
      <c r="AC304">
        <v>7087</v>
      </c>
      <c r="AD304">
        <v>2754</v>
      </c>
      <c r="AE304">
        <v>699</v>
      </c>
      <c r="AF304">
        <v>141</v>
      </c>
      <c r="AG304">
        <v>19</v>
      </c>
      <c r="AH304">
        <v>11159</v>
      </c>
      <c r="AI304">
        <v>602</v>
      </c>
      <c r="AJ304">
        <v>1002</v>
      </c>
      <c r="AK304">
        <v>2354</v>
      </c>
      <c r="AL304">
        <v>214</v>
      </c>
      <c r="AM304">
        <v>70</v>
      </c>
      <c r="AN304" t="s">
        <v>590</v>
      </c>
      <c r="AO304">
        <f>AVERAGE(Tabla2[[#This Row],[total_kills]:[rating]])</f>
        <v>5608.4210526315792</v>
      </c>
      <c r="AP304" t="str">
        <f>VLOOKUP(Tabla2[[#This Row],[KPI]],$AS$2:$AT$5,2,1)</f>
        <v>Alto</v>
      </c>
    </row>
    <row r="305" spans="1:42" x14ac:dyDescent="0.3">
      <c r="A305">
        <v>302</v>
      </c>
      <c r="B305" t="s">
        <v>2765</v>
      </c>
      <c r="C305" t="s">
        <v>2766</v>
      </c>
      <c r="D305">
        <v>33</v>
      </c>
      <c r="E305" t="s">
        <v>75</v>
      </c>
      <c r="F305" t="s">
        <v>3514</v>
      </c>
      <c r="G305" t="s">
        <v>2767</v>
      </c>
      <c r="H305">
        <v>14944</v>
      </c>
      <c r="I305">
        <v>15089</v>
      </c>
      <c r="J305" t="s">
        <v>2000</v>
      </c>
      <c r="K305" t="s">
        <v>582</v>
      </c>
      <c r="L305" t="s">
        <v>425</v>
      </c>
      <c r="M305">
        <v>852</v>
      </c>
      <c r="N305">
        <v>22314</v>
      </c>
      <c r="O305" t="s">
        <v>225</v>
      </c>
      <c r="P305" t="s">
        <v>166</v>
      </c>
      <c r="Q305" t="s">
        <v>167</v>
      </c>
      <c r="R305" t="s">
        <v>50</v>
      </c>
      <c r="S305" t="s">
        <v>50</v>
      </c>
      <c r="T305">
        <v>10358</v>
      </c>
      <c r="U305" t="s">
        <v>51</v>
      </c>
      <c r="V305">
        <v>1930</v>
      </c>
      <c r="W305">
        <v>1725</v>
      </c>
      <c r="X305" t="s">
        <v>370</v>
      </c>
      <c r="Y305" t="s">
        <v>503</v>
      </c>
      <c r="Z305" t="s">
        <v>473</v>
      </c>
      <c r="AA305" t="s">
        <v>518</v>
      </c>
      <c r="AB305">
        <v>11956</v>
      </c>
      <c r="AC305">
        <v>6807</v>
      </c>
      <c r="AD305">
        <v>2730</v>
      </c>
      <c r="AE305">
        <v>683</v>
      </c>
      <c r="AF305">
        <v>119</v>
      </c>
      <c r="AG305">
        <v>19</v>
      </c>
      <c r="AH305">
        <v>10659</v>
      </c>
      <c r="AI305">
        <v>1101</v>
      </c>
      <c r="AJ305">
        <v>364</v>
      </c>
      <c r="AK305">
        <v>2630</v>
      </c>
      <c r="AL305">
        <v>181</v>
      </c>
      <c r="AM305">
        <v>16</v>
      </c>
      <c r="AN305" t="s">
        <v>503</v>
      </c>
      <c r="AO305">
        <f>AVERAGE(Tabla2[[#This Row],[total_kills]:[rating]])</f>
        <v>5498.7894736842109</v>
      </c>
      <c r="AP305" t="str">
        <f>VLOOKUP(Tabla2[[#This Row],[KPI]],$AS$2:$AT$5,2,1)</f>
        <v>Alto</v>
      </c>
    </row>
    <row r="306" spans="1:42" x14ac:dyDescent="0.3">
      <c r="A306">
        <v>12271</v>
      </c>
      <c r="B306" t="s">
        <v>672</v>
      </c>
      <c r="C306" t="s">
        <v>673</v>
      </c>
      <c r="D306">
        <v>24</v>
      </c>
      <c r="E306" t="s">
        <v>500</v>
      </c>
      <c r="F306" t="s">
        <v>3514</v>
      </c>
      <c r="G306" t="s">
        <v>674</v>
      </c>
      <c r="H306">
        <v>14503</v>
      </c>
      <c r="I306">
        <v>12528</v>
      </c>
      <c r="J306" t="s">
        <v>675</v>
      </c>
      <c r="K306" t="s">
        <v>253</v>
      </c>
      <c r="L306">
        <v>2</v>
      </c>
      <c r="M306">
        <v>752</v>
      </c>
      <c r="N306">
        <v>19559</v>
      </c>
      <c r="O306" t="s">
        <v>283</v>
      </c>
      <c r="P306" t="s">
        <v>48</v>
      </c>
      <c r="Q306" t="s">
        <v>65</v>
      </c>
      <c r="R306" t="s">
        <v>66</v>
      </c>
      <c r="S306" t="s">
        <v>96</v>
      </c>
      <c r="T306">
        <v>9691</v>
      </c>
      <c r="U306" t="s">
        <v>51</v>
      </c>
      <c r="V306">
        <v>2043</v>
      </c>
      <c r="W306">
        <v>1500</v>
      </c>
      <c r="X306" t="s">
        <v>596</v>
      </c>
      <c r="Y306" t="s">
        <v>590</v>
      </c>
      <c r="Z306" t="s">
        <v>125</v>
      </c>
      <c r="AA306" t="s">
        <v>676</v>
      </c>
      <c r="AB306">
        <v>9868</v>
      </c>
      <c r="AC306">
        <v>6043</v>
      </c>
      <c r="AD306">
        <v>2660</v>
      </c>
      <c r="AE306">
        <v>828</v>
      </c>
      <c r="AF306">
        <v>144</v>
      </c>
      <c r="AG306">
        <v>16</v>
      </c>
      <c r="AH306">
        <v>10480</v>
      </c>
      <c r="AI306">
        <v>939</v>
      </c>
      <c r="AJ306">
        <v>753</v>
      </c>
      <c r="AK306">
        <v>2236</v>
      </c>
      <c r="AL306">
        <v>95</v>
      </c>
      <c r="AM306">
        <v>28</v>
      </c>
      <c r="AN306" t="s">
        <v>111</v>
      </c>
      <c r="AO306">
        <f>AVERAGE(Tabla2[[#This Row],[total_kills]:[rating]])</f>
        <v>4733.3999999999996</v>
      </c>
      <c r="AP306" t="str">
        <f>VLOOKUP(Tabla2[[#This Row],[KPI]],$AS$2:$AT$5,2,1)</f>
        <v>Medio</v>
      </c>
    </row>
    <row r="307" spans="1:42" x14ac:dyDescent="0.3">
      <c r="A307">
        <v>11586</v>
      </c>
      <c r="B307" t="s">
        <v>1000</v>
      </c>
      <c r="C307" t="s">
        <v>1001</v>
      </c>
      <c r="D307">
        <v>23</v>
      </c>
      <c r="E307" t="s">
        <v>459</v>
      </c>
      <c r="F307" t="s">
        <v>3514</v>
      </c>
      <c r="G307" t="s">
        <v>1002</v>
      </c>
      <c r="H307">
        <v>11313</v>
      </c>
      <c r="I307">
        <v>10311</v>
      </c>
      <c r="J307" t="s">
        <v>675</v>
      </c>
      <c r="K307" t="s">
        <v>1003</v>
      </c>
      <c r="L307" t="s">
        <v>1004</v>
      </c>
      <c r="M307">
        <v>594</v>
      </c>
      <c r="N307">
        <v>15426</v>
      </c>
      <c r="O307" t="s">
        <v>495</v>
      </c>
      <c r="P307" t="s">
        <v>166</v>
      </c>
      <c r="Q307" t="s">
        <v>225</v>
      </c>
      <c r="R307" t="s">
        <v>50</v>
      </c>
      <c r="S307" t="s">
        <v>67</v>
      </c>
      <c r="T307">
        <v>7453</v>
      </c>
      <c r="U307" t="s">
        <v>51</v>
      </c>
      <c r="V307">
        <v>1664</v>
      </c>
      <c r="W307">
        <v>1652</v>
      </c>
      <c r="X307" t="s">
        <v>255</v>
      </c>
      <c r="Y307" t="s">
        <v>412</v>
      </c>
      <c r="Z307" t="s">
        <v>473</v>
      </c>
      <c r="AA307" t="s">
        <v>659</v>
      </c>
      <c r="AB307">
        <v>7973</v>
      </c>
      <c r="AC307">
        <v>4588</v>
      </c>
      <c r="AD307">
        <v>2051</v>
      </c>
      <c r="AE307">
        <v>646</v>
      </c>
      <c r="AF307">
        <v>155</v>
      </c>
      <c r="AG307">
        <v>13</v>
      </c>
      <c r="AH307">
        <v>7504</v>
      </c>
      <c r="AI307">
        <v>727</v>
      </c>
      <c r="AJ307">
        <v>851</v>
      </c>
      <c r="AK307">
        <v>1992</v>
      </c>
      <c r="AL307">
        <v>203</v>
      </c>
      <c r="AM307">
        <v>58</v>
      </c>
      <c r="AN307" t="s">
        <v>98</v>
      </c>
      <c r="AO307">
        <f>AVERAGE(Tabla2[[#This Row],[total_kills]:[rating]])</f>
        <v>3956.5263157894738</v>
      </c>
      <c r="AP307" t="str">
        <f>VLOOKUP(Tabla2[[#This Row],[KPI]],$AS$2:$AT$5,2,1)</f>
        <v>Medio</v>
      </c>
    </row>
    <row r="308" spans="1:42" x14ac:dyDescent="0.3">
      <c r="A308">
        <v>5792</v>
      </c>
      <c r="B308" t="s">
        <v>2305</v>
      </c>
      <c r="C308" t="s">
        <v>2306</v>
      </c>
      <c r="D308">
        <v>29</v>
      </c>
      <c r="E308" t="s">
        <v>1643</v>
      </c>
      <c r="F308" t="s">
        <v>3514</v>
      </c>
      <c r="G308" t="s">
        <v>2307</v>
      </c>
      <c r="H308">
        <v>7851</v>
      </c>
      <c r="I308">
        <v>7867</v>
      </c>
      <c r="J308" t="s">
        <v>2308</v>
      </c>
      <c r="K308" t="s">
        <v>2309</v>
      </c>
      <c r="L308" t="s">
        <v>93</v>
      </c>
      <c r="M308">
        <v>429</v>
      </c>
      <c r="N308">
        <v>11159</v>
      </c>
      <c r="O308" t="s">
        <v>905</v>
      </c>
      <c r="P308" t="s">
        <v>553</v>
      </c>
      <c r="Q308" t="s">
        <v>905</v>
      </c>
      <c r="R308" t="s">
        <v>50</v>
      </c>
      <c r="S308" t="s">
        <v>67</v>
      </c>
      <c r="T308">
        <v>5256</v>
      </c>
      <c r="U308" t="s">
        <v>51</v>
      </c>
      <c r="V308">
        <v>1162</v>
      </c>
      <c r="W308">
        <v>1187</v>
      </c>
      <c r="X308" t="s">
        <v>245</v>
      </c>
      <c r="Y308" t="s">
        <v>255</v>
      </c>
      <c r="Z308" t="s">
        <v>54</v>
      </c>
      <c r="AA308" t="s">
        <v>789</v>
      </c>
      <c r="AB308">
        <v>5903</v>
      </c>
      <c r="AC308">
        <v>3288</v>
      </c>
      <c r="AD308">
        <v>1441</v>
      </c>
      <c r="AE308">
        <v>449</v>
      </c>
      <c r="AF308">
        <v>69</v>
      </c>
      <c r="AG308">
        <v>9</v>
      </c>
      <c r="AH308">
        <v>5830</v>
      </c>
      <c r="AI308">
        <v>217</v>
      </c>
      <c r="AJ308">
        <v>308</v>
      </c>
      <c r="AK308">
        <v>1409</v>
      </c>
      <c r="AL308">
        <v>77</v>
      </c>
      <c r="AM308">
        <v>16</v>
      </c>
      <c r="AN308">
        <v>1</v>
      </c>
      <c r="AO308">
        <f>AVERAGE(Tabla2[[#This Row],[total_kills]:[rating]])</f>
        <v>2696.4</v>
      </c>
      <c r="AP308" t="str">
        <f>VLOOKUP(Tabla2[[#This Row],[KPI]],$AS$2:$AT$5,2,1)</f>
        <v>Bajo</v>
      </c>
    </row>
    <row r="309" spans="1:42" x14ac:dyDescent="0.3">
      <c r="A309">
        <v>11248</v>
      </c>
      <c r="B309" t="s">
        <v>2811</v>
      </c>
      <c r="C309" t="s">
        <v>2812</v>
      </c>
      <c r="D309">
        <v>28</v>
      </c>
      <c r="E309" t="s">
        <v>477</v>
      </c>
      <c r="F309" t="s">
        <v>3514</v>
      </c>
      <c r="G309" t="s">
        <v>2813</v>
      </c>
      <c r="H309">
        <v>6618</v>
      </c>
      <c r="I309">
        <v>6689</v>
      </c>
      <c r="J309" t="s">
        <v>2308</v>
      </c>
      <c r="K309" t="s">
        <v>2727</v>
      </c>
      <c r="L309" t="s">
        <v>462</v>
      </c>
      <c r="M309">
        <v>398</v>
      </c>
      <c r="N309">
        <v>10120</v>
      </c>
      <c r="O309" t="s">
        <v>276</v>
      </c>
      <c r="P309" t="s">
        <v>202</v>
      </c>
      <c r="Q309" t="s">
        <v>322</v>
      </c>
      <c r="R309" t="s">
        <v>96</v>
      </c>
      <c r="S309" t="s">
        <v>66</v>
      </c>
      <c r="T309">
        <v>4618</v>
      </c>
      <c r="U309" t="s">
        <v>51</v>
      </c>
      <c r="V309">
        <v>882</v>
      </c>
      <c r="W309">
        <v>809</v>
      </c>
      <c r="X309" t="s">
        <v>295</v>
      </c>
      <c r="Y309" t="s">
        <v>503</v>
      </c>
      <c r="Z309" t="s">
        <v>705</v>
      </c>
      <c r="AA309" t="s">
        <v>828</v>
      </c>
      <c r="AB309">
        <v>5502</v>
      </c>
      <c r="AC309">
        <v>3054</v>
      </c>
      <c r="AD309">
        <v>1179</v>
      </c>
      <c r="AE309">
        <v>338</v>
      </c>
      <c r="AF309">
        <v>43</v>
      </c>
      <c r="AG309">
        <v>4</v>
      </c>
      <c r="AH309">
        <v>3794</v>
      </c>
      <c r="AI309">
        <v>708</v>
      </c>
      <c r="AJ309">
        <v>833</v>
      </c>
      <c r="AK309">
        <v>1216</v>
      </c>
      <c r="AL309">
        <v>59</v>
      </c>
      <c r="AM309">
        <v>15</v>
      </c>
      <c r="AN309" t="s">
        <v>449</v>
      </c>
      <c r="AO309">
        <f>AVERAGE(Tabla2[[#This Row],[total_kills]:[rating]])</f>
        <v>2467.3157894736842</v>
      </c>
      <c r="AP309" t="str">
        <f>VLOOKUP(Tabla2[[#This Row],[KPI]],$AS$2:$AT$5,2,1)</f>
        <v>Bajo</v>
      </c>
    </row>
    <row r="310" spans="1:42" x14ac:dyDescent="0.3">
      <c r="A310">
        <v>14221</v>
      </c>
      <c r="B310" t="s">
        <v>2857</v>
      </c>
      <c r="C310" t="s">
        <v>2858</v>
      </c>
      <c r="D310">
        <v>26</v>
      </c>
      <c r="E310" t="s">
        <v>327</v>
      </c>
      <c r="F310" t="s">
        <v>2859</v>
      </c>
      <c r="G310" t="s">
        <v>2860</v>
      </c>
      <c r="H310">
        <v>9154</v>
      </c>
      <c r="I310">
        <v>9322</v>
      </c>
      <c r="J310" t="s">
        <v>2308</v>
      </c>
      <c r="K310" t="s">
        <v>2727</v>
      </c>
      <c r="L310" t="s">
        <v>331</v>
      </c>
      <c r="M310">
        <v>536</v>
      </c>
      <c r="N310">
        <v>14240</v>
      </c>
      <c r="O310" t="s">
        <v>65</v>
      </c>
      <c r="P310" t="s">
        <v>235</v>
      </c>
      <c r="Q310" t="s">
        <v>276</v>
      </c>
      <c r="R310" t="s">
        <v>50</v>
      </c>
      <c r="S310" t="s">
        <v>50</v>
      </c>
      <c r="T310">
        <v>6379</v>
      </c>
      <c r="U310" t="s">
        <v>51</v>
      </c>
      <c r="V310">
        <v>1169</v>
      </c>
      <c r="W310">
        <v>1176</v>
      </c>
      <c r="X310" t="s">
        <v>285</v>
      </c>
      <c r="Y310" t="s">
        <v>1570</v>
      </c>
      <c r="Z310" t="s">
        <v>821</v>
      </c>
      <c r="AA310" t="s">
        <v>1805</v>
      </c>
      <c r="AB310">
        <v>7861</v>
      </c>
      <c r="AC310">
        <v>4256</v>
      </c>
      <c r="AD310">
        <v>1573</v>
      </c>
      <c r="AE310">
        <v>455</v>
      </c>
      <c r="AF310">
        <v>88</v>
      </c>
      <c r="AG310">
        <v>7</v>
      </c>
      <c r="AH310">
        <v>6585</v>
      </c>
      <c r="AI310">
        <v>161</v>
      </c>
      <c r="AJ310">
        <v>707</v>
      </c>
      <c r="AK310">
        <v>1571</v>
      </c>
      <c r="AL310">
        <v>140</v>
      </c>
      <c r="AM310">
        <v>5</v>
      </c>
      <c r="AN310" t="s">
        <v>449</v>
      </c>
      <c r="AO310">
        <f>AVERAGE(Tabla2[[#This Row],[total_kills]:[rating]])</f>
        <v>3441.3157894736842</v>
      </c>
      <c r="AP310" t="str">
        <f>VLOOKUP(Tabla2[[#This Row],[KPI]],$AS$2:$AT$5,2,1)</f>
        <v>Medio</v>
      </c>
    </row>
    <row r="311" spans="1:42" x14ac:dyDescent="0.3">
      <c r="A311">
        <v>12553</v>
      </c>
      <c r="B311" t="s">
        <v>409</v>
      </c>
      <c r="C311" t="s">
        <v>410</v>
      </c>
      <c r="D311">
        <v>22</v>
      </c>
      <c r="E311" t="s">
        <v>104</v>
      </c>
      <c r="F311" t="s">
        <v>105</v>
      </c>
      <c r="G311" t="s">
        <v>105</v>
      </c>
      <c r="H311">
        <v>20149</v>
      </c>
      <c r="I311">
        <v>16995</v>
      </c>
      <c r="J311" t="s">
        <v>411</v>
      </c>
      <c r="K311" t="s">
        <v>397</v>
      </c>
      <c r="L311">
        <v>5</v>
      </c>
      <c r="M311">
        <v>1022</v>
      </c>
      <c r="N311">
        <v>26677</v>
      </c>
      <c r="O311" t="s">
        <v>234</v>
      </c>
      <c r="P311" t="s">
        <v>166</v>
      </c>
      <c r="Q311" t="s">
        <v>65</v>
      </c>
      <c r="R311" t="s">
        <v>96</v>
      </c>
      <c r="S311" t="s">
        <v>67</v>
      </c>
      <c r="T311">
        <v>13336</v>
      </c>
      <c r="U311" t="s">
        <v>51</v>
      </c>
      <c r="V311">
        <v>2580</v>
      </c>
      <c r="W311">
        <v>1877</v>
      </c>
      <c r="X311" t="s">
        <v>254</v>
      </c>
      <c r="Y311" t="s">
        <v>412</v>
      </c>
      <c r="Z311" t="s">
        <v>99</v>
      </c>
      <c r="AA311" t="s">
        <v>413</v>
      </c>
      <c r="AB311">
        <v>13341</v>
      </c>
      <c r="AC311">
        <v>8292</v>
      </c>
      <c r="AD311">
        <v>3570</v>
      </c>
      <c r="AE311">
        <v>1201</v>
      </c>
      <c r="AF311">
        <v>251</v>
      </c>
      <c r="AG311">
        <v>22</v>
      </c>
      <c r="AH311">
        <v>15471</v>
      </c>
      <c r="AI311">
        <v>453</v>
      </c>
      <c r="AJ311">
        <v>744</v>
      </c>
      <c r="AK311">
        <v>3219</v>
      </c>
      <c r="AL311">
        <v>286</v>
      </c>
      <c r="AM311">
        <v>43</v>
      </c>
      <c r="AN311" t="s">
        <v>169</v>
      </c>
      <c r="AO311">
        <f>AVERAGE(Tabla2[[#This Row],[total_kills]:[rating]])</f>
        <v>6476.7</v>
      </c>
      <c r="AP311" t="str">
        <f>VLOOKUP(Tabla2[[#This Row],[KPI]],$AS$2:$AT$5,2,1)</f>
        <v>Alto</v>
      </c>
    </row>
    <row r="312" spans="1:42" x14ac:dyDescent="0.3">
      <c r="A312">
        <v>8735</v>
      </c>
      <c r="B312" t="s">
        <v>1026</v>
      </c>
      <c r="C312" t="s">
        <v>1027</v>
      </c>
      <c r="D312">
        <v>25</v>
      </c>
      <c r="E312" t="s">
        <v>459</v>
      </c>
      <c r="F312" t="s">
        <v>557</v>
      </c>
      <c r="G312" t="s">
        <v>1028</v>
      </c>
      <c r="H312">
        <v>22601</v>
      </c>
      <c r="I312">
        <v>20356</v>
      </c>
      <c r="J312" t="s">
        <v>411</v>
      </c>
      <c r="K312" t="s">
        <v>1029</v>
      </c>
      <c r="L312" t="s">
        <v>80</v>
      </c>
      <c r="M312">
        <v>1166</v>
      </c>
      <c r="N312">
        <v>30439</v>
      </c>
      <c r="O312" t="s">
        <v>283</v>
      </c>
      <c r="P312" t="s">
        <v>202</v>
      </c>
      <c r="Q312" t="s">
        <v>225</v>
      </c>
      <c r="R312" t="s">
        <v>50</v>
      </c>
      <c r="S312" t="s">
        <v>50</v>
      </c>
      <c r="T312">
        <v>15178</v>
      </c>
      <c r="U312" t="s">
        <v>51</v>
      </c>
      <c r="V312">
        <v>3098</v>
      </c>
      <c r="W312">
        <v>2604</v>
      </c>
      <c r="X312" t="s">
        <v>127</v>
      </c>
      <c r="Y312" t="s">
        <v>412</v>
      </c>
      <c r="Z312" t="s">
        <v>237</v>
      </c>
      <c r="AA312" t="s">
        <v>1030</v>
      </c>
      <c r="AB312">
        <v>15261</v>
      </c>
      <c r="AC312">
        <v>9552</v>
      </c>
      <c r="AD312">
        <v>4111</v>
      </c>
      <c r="AE312">
        <v>1257</v>
      </c>
      <c r="AF312">
        <v>238</v>
      </c>
      <c r="AG312">
        <v>20</v>
      </c>
      <c r="AH312">
        <v>13738</v>
      </c>
      <c r="AI312">
        <v>3495</v>
      </c>
      <c r="AJ312">
        <v>967</v>
      </c>
      <c r="AK312">
        <v>4100</v>
      </c>
      <c r="AL312">
        <v>285</v>
      </c>
      <c r="AM312">
        <v>57</v>
      </c>
      <c r="AN312" t="s">
        <v>464</v>
      </c>
      <c r="AO312">
        <f>AVERAGE(Tabla2[[#This Row],[total_kills]:[rating]])</f>
        <v>7817</v>
      </c>
      <c r="AP312" t="str">
        <f>VLOOKUP(Tabla2[[#This Row],[KPI]],$AS$2:$AT$5,2,1)</f>
        <v>Superior</v>
      </c>
    </row>
    <row r="313" spans="1:42" x14ac:dyDescent="0.3">
      <c r="A313">
        <v>7511</v>
      </c>
      <c r="B313" t="s">
        <v>2977</v>
      </c>
      <c r="C313" t="s">
        <v>2978</v>
      </c>
      <c r="D313">
        <v>27</v>
      </c>
      <c r="E313" t="s">
        <v>708</v>
      </c>
      <c r="F313" t="s">
        <v>3514</v>
      </c>
      <c r="G313" t="s">
        <v>2634</v>
      </c>
      <c r="H313">
        <v>32721</v>
      </c>
      <c r="I313">
        <v>34569</v>
      </c>
      <c r="J313" t="s">
        <v>411</v>
      </c>
      <c r="K313">
        <v>75</v>
      </c>
      <c r="L313" t="s">
        <v>46</v>
      </c>
      <c r="M313">
        <v>1830</v>
      </c>
      <c r="N313">
        <v>48692</v>
      </c>
      <c r="O313" t="s">
        <v>225</v>
      </c>
      <c r="P313" t="s">
        <v>235</v>
      </c>
      <c r="Q313" t="s">
        <v>646</v>
      </c>
      <c r="R313" t="s">
        <v>67</v>
      </c>
      <c r="S313" t="s">
        <v>96</v>
      </c>
      <c r="T313">
        <v>22383</v>
      </c>
      <c r="U313" t="s">
        <v>51</v>
      </c>
      <c r="V313">
        <v>5751</v>
      </c>
      <c r="W313">
        <v>6153</v>
      </c>
      <c r="X313" t="s">
        <v>950</v>
      </c>
      <c r="Y313" t="s">
        <v>304</v>
      </c>
      <c r="Z313" t="s">
        <v>170</v>
      </c>
      <c r="AA313" t="s">
        <v>1385</v>
      </c>
      <c r="AB313">
        <v>26309</v>
      </c>
      <c r="AC313">
        <v>14452</v>
      </c>
      <c r="AD313">
        <v>5914</v>
      </c>
      <c r="AE313">
        <v>1669</v>
      </c>
      <c r="AF313">
        <v>323</v>
      </c>
      <c r="AG313">
        <v>25</v>
      </c>
      <c r="AH313">
        <v>23331</v>
      </c>
      <c r="AI313">
        <v>2098</v>
      </c>
      <c r="AJ313">
        <v>1541</v>
      </c>
      <c r="AK313">
        <v>5366</v>
      </c>
      <c r="AL313">
        <v>371</v>
      </c>
      <c r="AM313">
        <v>67</v>
      </c>
      <c r="AN313" t="s">
        <v>820</v>
      </c>
      <c r="AO313">
        <f>AVERAGE(Tabla2[[#This Row],[total_kills]:[rating]])</f>
        <v>11682</v>
      </c>
      <c r="AP313" t="str">
        <f>VLOOKUP(Tabla2[[#This Row],[KPI]],$AS$2:$AT$5,2,1)</f>
        <v>Superior</v>
      </c>
    </row>
    <row r="314" spans="1:42" x14ac:dyDescent="0.3">
      <c r="A314">
        <v>6455</v>
      </c>
      <c r="B314" t="s">
        <v>3440</v>
      </c>
      <c r="C314" t="s">
        <v>3441</v>
      </c>
      <c r="D314">
        <v>35</v>
      </c>
      <c r="E314" t="s">
        <v>500</v>
      </c>
      <c r="F314" t="s">
        <v>3514</v>
      </c>
      <c r="G314" t="s">
        <v>3442</v>
      </c>
      <c r="H314">
        <v>5530</v>
      </c>
      <c r="I314">
        <v>7492</v>
      </c>
      <c r="J314" t="s">
        <v>411</v>
      </c>
      <c r="K314" t="s">
        <v>3443</v>
      </c>
      <c r="L314" t="s">
        <v>46</v>
      </c>
      <c r="M314">
        <v>410</v>
      </c>
      <c r="N314">
        <v>10602</v>
      </c>
      <c r="O314" t="s">
        <v>3444</v>
      </c>
      <c r="P314" t="s">
        <v>48</v>
      </c>
      <c r="Q314" t="s">
        <v>646</v>
      </c>
      <c r="R314" t="s">
        <v>96</v>
      </c>
      <c r="S314" t="s">
        <v>66</v>
      </c>
      <c r="T314">
        <v>4080</v>
      </c>
      <c r="U314" t="s">
        <v>51</v>
      </c>
      <c r="V314">
        <v>588</v>
      </c>
      <c r="W314">
        <v>939</v>
      </c>
      <c r="X314" t="s">
        <v>215</v>
      </c>
      <c r="Y314" t="s">
        <v>94</v>
      </c>
      <c r="Z314" t="s">
        <v>653</v>
      </c>
      <c r="AA314" t="s">
        <v>3445</v>
      </c>
      <c r="AB314">
        <v>6522</v>
      </c>
      <c r="AC314">
        <v>2901</v>
      </c>
      <c r="AD314">
        <v>950</v>
      </c>
      <c r="AE314">
        <v>192</v>
      </c>
      <c r="AF314">
        <v>33</v>
      </c>
      <c r="AG314">
        <v>4</v>
      </c>
      <c r="AH314">
        <v>3711</v>
      </c>
      <c r="AI314">
        <v>316</v>
      </c>
      <c r="AJ314">
        <v>452</v>
      </c>
      <c r="AK314">
        <v>940</v>
      </c>
      <c r="AL314">
        <v>71</v>
      </c>
      <c r="AM314">
        <v>51</v>
      </c>
      <c r="AN314" t="s">
        <v>81</v>
      </c>
      <c r="AO314">
        <f>AVERAGE(Tabla2[[#This Row],[total_kills]:[rating]])</f>
        <v>2409.6842105263158</v>
      </c>
      <c r="AP314" t="str">
        <f>VLOOKUP(Tabla2[[#This Row],[KPI]],$AS$2:$AT$5,2,1)</f>
        <v>Bajo</v>
      </c>
    </row>
    <row r="315" spans="1:42" x14ac:dyDescent="0.3">
      <c r="A315">
        <v>10470</v>
      </c>
      <c r="B315" t="s">
        <v>2075</v>
      </c>
      <c r="C315" t="s">
        <v>2076</v>
      </c>
      <c r="D315">
        <v>25</v>
      </c>
      <c r="E315" t="s">
        <v>459</v>
      </c>
      <c r="F315" t="s">
        <v>3514</v>
      </c>
      <c r="G315" t="s">
        <v>2077</v>
      </c>
      <c r="H315">
        <v>14179</v>
      </c>
      <c r="I315">
        <v>13547</v>
      </c>
      <c r="J315" t="s">
        <v>2078</v>
      </c>
      <c r="K315" t="s">
        <v>948</v>
      </c>
      <c r="L315">
        <v>4</v>
      </c>
      <c r="M315">
        <v>807</v>
      </c>
      <c r="N315">
        <v>20719</v>
      </c>
      <c r="O315" t="s">
        <v>167</v>
      </c>
      <c r="P315" t="s">
        <v>235</v>
      </c>
      <c r="Q315" t="s">
        <v>276</v>
      </c>
      <c r="R315" t="s">
        <v>50</v>
      </c>
      <c r="S315" t="s">
        <v>67</v>
      </c>
      <c r="T315">
        <v>9748</v>
      </c>
      <c r="U315" t="s">
        <v>51</v>
      </c>
      <c r="V315">
        <v>2066</v>
      </c>
      <c r="W315">
        <v>1954</v>
      </c>
      <c r="X315" t="s">
        <v>590</v>
      </c>
      <c r="Y315" t="s">
        <v>255</v>
      </c>
      <c r="Z315" t="s">
        <v>1765</v>
      </c>
      <c r="AA315" t="s">
        <v>640</v>
      </c>
      <c r="AB315">
        <v>10971</v>
      </c>
      <c r="AC315">
        <v>6361</v>
      </c>
      <c r="AD315">
        <v>2495</v>
      </c>
      <c r="AE315">
        <v>744</v>
      </c>
      <c r="AF315">
        <v>144</v>
      </c>
      <c r="AG315">
        <v>4</v>
      </c>
      <c r="AH315">
        <v>9347</v>
      </c>
      <c r="AI315">
        <v>1218</v>
      </c>
      <c r="AJ315">
        <v>841</v>
      </c>
      <c r="AK315">
        <v>2541</v>
      </c>
      <c r="AL315">
        <v>199</v>
      </c>
      <c r="AM315">
        <v>61</v>
      </c>
      <c r="AN315" t="s">
        <v>255</v>
      </c>
      <c r="AO315">
        <f>AVERAGE(Tabla2[[#This Row],[total_kills]:[rating]])</f>
        <v>4897.5</v>
      </c>
      <c r="AP315" t="str">
        <f>VLOOKUP(Tabla2[[#This Row],[KPI]],$AS$2:$AT$5,2,1)</f>
        <v>Alto</v>
      </c>
    </row>
    <row r="316" spans="1:42" x14ac:dyDescent="0.3">
      <c r="A316">
        <v>7687</v>
      </c>
      <c r="B316" t="s">
        <v>2358</v>
      </c>
      <c r="C316" t="s">
        <v>2359</v>
      </c>
      <c r="D316">
        <v>26</v>
      </c>
      <c r="E316" t="s">
        <v>459</v>
      </c>
      <c r="F316" t="s">
        <v>528</v>
      </c>
      <c r="G316" t="s">
        <v>528</v>
      </c>
      <c r="H316">
        <v>24560</v>
      </c>
      <c r="I316">
        <v>24088</v>
      </c>
      <c r="J316" t="s">
        <v>2078</v>
      </c>
      <c r="K316" t="s">
        <v>1435</v>
      </c>
      <c r="L316" t="s">
        <v>575</v>
      </c>
      <c r="M316">
        <v>1401</v>
      </c>
      <c r="N316">
        <v>36557</v>
      </c>
      <c r="O316" t="s">
        <v>225</v>
      </c>
      <c r="P316" t="s">
        <v>235</v>
      </c>
      <c r="Q316" t="s">
        <v>322</v>
      </c>
      <c r="R316" t="s">
        <v>67</v>
      </c>
      <c r="S316" t="s">
        <v>50</v>
      </c>
      <c r="T316">
        <v>16723</v>
      </c>
      <c r="U316" t="s">
        <v>51</v>
      </c>
      <c r="V316">
        <v>3743</v>
      </c>
      <c r="W316">
        <v>3758</v>
      </c>
      <c r="X316">
        <v>1</v>
      </c>
      <c r="Y316" t="s">
        <v>255</v>
      </c>
      <c r="Z316" t="s">
        <v>583</v>
      </c>
      <c r="AA316" t="s">
        <v>1030</v>
      </c>
      <c r="AB316">
        <v>19834</v>
      </c>
      <c r="AC316">
        <v>10725</v>
      </c>
      <c r="AD316">
        <v>4456</v>
      </c>
      <c r="AE316">
        <v>1289</v>
      </c>
      <c r="AF316">
        <v>228</v>
      </c>
      <c r="AG316">
        <v>25</v>
      </c>
      <c r="AH316">
        <v>15315</v>
      </c>
      <c r="AI316">
        <v>2886</v>
      </c>
      <c r="AJ316">
        <v>1640</v>
      </c>
      <c r="AK316">
        <v>4256</v>
      </c>
      <c r="AL316">
        <v>385</v>
      </c>
      <c r="AM316">
        <v>108</v>
      </c>
      <c r="AN316">
        <v>1</v>
      </c>
      <c r="AO316">
        <f>AVERAGE(Tabla2[[#This Row],[total_kills]:[rating]])</f>
        <v>8189.4761904761908</v>
      </c>
      <c r="AP316" t="str">
        <f>VLOOKUP(Tabla2[[#This Row],[KPI]],$AS$2:$AT$5,2,1)</f>
        <v>Superior</v>
      </c>
    </row>
    <row r="317" spans="1:42" x14ac:dyDescent="0.3">
      <c r="A317">
        <v>11286</v>
      </c>
      <c r="B317" t="s">
        <v>2964</v>
      </c>
      <c r="C317" t="s">
        <v>2965</v>
      </c>
      <c r="D317">
        <v>27</v>
      </c>
      <c r="E317" t="s">
        <v>327</v>
      </c>
      <c r="F317" t="s">
        <v>2966</v>
      </c>
      <c r="G317" t="s">
        <v>2967</v>
      </c>
      <c r="H317">
        <v>8674</v>
      </c>
      <c r="I317">
        <v>8925</v>
      </c>
      <c r="J317" t="s">
        <v>2968</v>
      </c>
      <c r="K317" t="s">
        <v>1834</v>
      </c>
      <c r="L317">
        <v>4</v>
      </c>
      <c r="M317">
        <v>504</v>
      </c>
      <c r="N317">
        <v>13584</v>
      </c>
      <c r="O317" t="s">
        <v>65</v>
      </c>
      <c r="P317" t="s">
        <v>202</v>
      </c>
      <c r="Q317" t="s">
        <v>322</v>
      </c>
      <c r="R317" t="s">
        <v>96</v>
      </c>
      <c r="S317" t="s">
        <v>66</v>
      </c>
      <c r="T317">
        <v>6044</v>
      </c>
      <c r="U317" t="s">
        <v>51</v>
      </c>
      <c r="V317">
        <v>986</v>
      </c>
      <c r="W317">
        <v>1065</v>
      </c>
      <c r="X317" t="s">
        <v>950</v>
      </c>
      <c r="Y317" t="s">
        <v>1906</v>
      </c>
      <c r="Z317" t="s">
        <v>217</v>
      </c>
      <c r="AA317" t="s">
        <v>1468</v>
      </c>
      <c r="AB317">
        <v>7540</v>
      </c>
      <c r="AC317">
        <v>4016</v>
      </c>
      <c r="AD317">
        <v>1505</v>
      </c>
      <c r="AE317">
        <v>450</v>
      </c>
      <c r="AF317">
        <v>67</v>
      </c>
      <c r="AG317">
        <v>6</v>
      </c>
      <c r="AH317">
        <v>6371</v>
      </c>
      <c r="AI317">
        <v>90</v>
      </c>
      <c r="AJ317">
        <v>586</v>
      </c>
      <c r="AK317">
        <v>1517</v>
      </c>
      <c r="AL317">
        <v>111</v>
      </c>
      <c r="AM317">
        <v>21</v>
      </c>
      <c r="AN317">
        <v>1</v>
      </c>
      <c r="AO317">
        <f>AVERAGE(Tabla2[[#This Row],[total_kills]:[rating]])</f>
        <v>2955.5714285714284</v>
      </c>
      <c r="AP317" t="str">
        <f>VLOOKUP(Tabla2[[#This Row],[KPI]],$AS$2:$AT$5,2,1)</f>
        <v>Bajo</v>
      </c>
    </row>
    <row r="318" spans="1:42" x14ac:dyDescent="0.3">
      <c r="A318">
        <v>4829</v>
      </c>
      <c r="B318" t="s">
        <v>3186</v>
      </c>
      <c r="C318" t="s">
        <v>3187</v>
      </c>
      <c r="D318">
        <v>26</v>
      </c>
      <c r="E318" t="s">
        <v>327</v>
      </c>
      <c r="F318" t="s">
        <v>3514</v>
      </c>
      <c r="G318" t="s">
        <v>3188</v>
      </c>
      <c r="H318">
        <v>13340</v>
      </c>
      <c r="I318">
        <v>14565</v>
      </c>
      <c r="J318" t="s">
        <v>2968</v>
      </c>
      <c r="K318" t="s">
        <v>1183</v>
      </c>
      <c r="L318" t="s">
        <v>264</v>
      </c>
      <c r="M318">
        <v>768</v>
      </c>
      <c r="N318">
        <v>20598</v>
      </c>
      <c r="O318" t="s">
        <v>276</v>
      </c>
      <c r="P318" t="s">
        <v>553</v>
      </c>
      <c r="Q318" t="s">
        <v>646</v>
      </c>
      <c r="R318" t="s">
        <v>96</v>
      </c>
      <c r="S318" t="s">
        <v>66</v>
      </c>
      <c r="T318">
        <v>9145</v>
      </c>
      <c r="U318" t="s">
        <v>51</v>
      </c>
      <c r="V318">
        <v>2070</v>
      </c>
      <c r="W318">
        <v>2456</v>
      </c>
      <c r="X318" t="s">
        <v>47</v>
      </c>
      <c r="Y318" t="s">
        <v>503</v>
      </c>
      <c r="Z318" t="s">
        <v>1020</v>
      </c>
      <c r="AA318" t="s">
        <v>844</v>
      </c>
      <c r="AB318">
        <v>11453</v>
      </c>
      <c r="AC318">
        <v>5945</v>
      </c>
      <c r="AD318">
        <v>2367</v>
      </c>
      <c r="AE318">
        <v>686</v>
      </c>
      <c r="AF318">
        <v>135</v>
      </c>
      <c r="AG318">
        <v>12</v>
      </c>
      <c r="AH318">
        <v>9440</v>
      </c>
      <c r="AI318">
        <v>741</v>
      </c>
      <c r="AJ318">
        <v>724</v>
      </c>
      <c r="AK318">
        <v>2226</v>
      </c>
      <c r="AL318">
        <v>216</v>
      </c>
      <c r="AM318">
        <v>20</v>
      </c>
      <c r="AN318" t="s">
        <v>950</v>
      </c>
      <c r="AO318">
        <f>AVERAGE(Tabla2[[#This Row],[total_kills]:[rating]])</f>
        <v>5100.3684210526317</v>
      </c>
      <c r="AP318" t="str">
        <f>VLOOKUP(Tabla2[[#This Row],[KPI]],$AS$2:$AT$5,2,1)</f>
        <v>Alto</v>
      </c>
    </row>
    <row r="319" spans="1:42" x14ac:dyDescent="0.3">
      <c r="A319">
        <v>169</v>
      </c>
      <c r="B319" t="s">
        <v>3242</v>
      </c>
      <c r="C319" t="s">
        <v>3243</v>
      </c>
      <c r="D319">
        <v>35</v>
      </c>
      <c r="E319" t="s">
        <v>104</v>
      </c>
      <c r="F319" t="s">
        <v>3514</v>
      </c>
      <c r="G319" t="s">
        <v>3244</v>
      </c>
      <c r="H319">
        <v>8158</v>
      </c>
      <c r="I319">
        <v>8829</v>
      </c>
      <c r="J319" t="s">
        <v>2968</v>
      </c>
      <c r="K319" t="s">
        <v>1834</v>
      </c>
      <c r="L319" t="s">
        <v>1170</v>
      </c>
      <c r="M319">
        <v>514</v>
      </c>
      <c r="N319">
        <v>13305</v>
      </c>
      <c r="O319" t="s">
        <v>49</v>
      </c>
      <c r="P319" t="s">
        <v>166</v>
      </c>
      <c r="Q319" t="s">
        <v>322</v>
      </c>
      <c r="R319" t="s">
        <v>50</v>
      </c>
      <c r="S319" t="s">
        <v>96</v>
      </c>
      <c r="T319">
        <v>5727</v>
      </c>
      <c r="U319" t="s">
        <v>51</v>
      </c>
      <c r="V319">
        <v>969</v>
      </c>
      <c r="W319">
        <v>1145</v>
      </c>
      <c r="X319" t="s">
        <v>2667</v>
      </c>
      <c r="Y319" t="s">
        <v>1551</v>
      </c>
      <c r="Z319" t="s">
        <v>777</v>
      </c>
      <c r="AA319" t="s">
        <v>1443</v>
      </c>
      <c r="AB319">
        <v>7578</v>
      </c>
      <c r="AC319">
        <v>3800</v>
      </c>
      <c r="AD319">
        <v>1490</v>
      </c>
      <c r="AE319">
        <v>376</v>
      </c>
      <c r="AF319">
        <v>55</v>
      </c>
      <c r="AG319">
        <v>6</v>
      </c>
      <c r="AH319">
        <v>6055</v>
      </c>
      <c r="AI319">
        <v>64</v>
      </c>
      <c r="AJ319">
        <v>566</v>
      </c>
      <c r="AK319">
        <v>1322</v>
      </c>
      <c r="AL319">
        <v>124</v>
      </c>
      <c r="AM319">
        <v>50</v>
      </c>
      <c r="AN319" t="s">
        <v>1314</v>
      </c>
      <c r="AO319">
        <f>AVERAGE(Tabla2[[#This Row],[total_kills]:[rating]])</f>
        <v>3164.8947368421054</v>
      </c>
      <c r="AP319" t="str">
        <f>VLOOKUP(Tabla2[[#This Row],[KPI]],$AS$2:$AT$5,2,1)</f>
        <v>Bajo</v>
      </c>
    </row>
    <row r="320" spans="1:42" x14ac:dyDescent="0.3">
      <c r="A320">
        <v>11213</v>
      </c>
      <c r="B320" t="s">
        <v>2019</v>
      </c>
      <c r="C320" t="s">
        <v>2020</v>
      </c>
      <c r="D320">
        <v>24</v>
      </c>
      <c r="E320" t="s">
        <v>104</v>
      </c>
      <c r="F320" t="s">
        <v>2021</v>
      </c>
      <c r="G320" t="s">
        <v>2022</v>
      </c>
      <c r="H320">
        <v>9708</v>
      </c>
      <c r="I320">
        <v>9374</v>
      </c>
      <c r="J320" t="s">
        <v>2023</v>
      </c>
      <c r="K320" t="s">
        <v>645</v>
      </c>
      <c r="L320" t="s">
        <v>589</v>
      </c>
      <c r="M320">
        <v>544</v>
      </c>
      <c r="N320">
        <v>14126</v>
      </c>
      <c r="O320" t="s">
        <v>463</v>
      </c>
      <c r="P320" t="s">
        <v>202</v>
      </c>
      <c r="Q320" t="s">
        <v>322</v>
      </c>
      <c r="R320" t="s">
        <v>50</v>
      </c>
      <c r="S320" t="s">
        <v>67</v>
      </c>
      <c r="T320">
        <v>6612</v>
      </c>
      <c r="U320" t="s">
        <v>51</v>
      </c>
      <c r="V320">
        <v>1102</v>
      </c>
      <c r="W320">
        <v>1101</v>
      </c>
      <c r="X320">
        <v>1</v>
      </c>
      <c r="Y320" t="s">
        <v>950</v>
      </c>
      <c r="Z320" t="s">
        <v>635</v>
      </c>
      <c r="AA320" t="s">
        <v>1276</v>
      </c>
      <c r="AB320">
        <v>7514</v>
      </c>
      <c r="AC320">
        <v>4299</v>
      </c>
      <c r="AD320">
        <v>1672</v>
      </c>
      <c r="AE320">
        <v>511</v>
      </c>
      <c r="AF320">
        <v>118</v>
      </c>
      <c r="AG320">
        <v>12</v>
      </c>
      <c r="AH320">
        <v>7005</v>
      </c>
      <c r="AI320">
        <v>305</v>
      </c>
      <c r="AJ320">
        <v>455</v>
      </c>
      <c r="AK320">
        <v>1832</v>
      </c>
      <c r="AL320">
        <v>123</v>
      </c>
      <c r="AM320">
        <v>23</v>
      </c>
      <c r="AN320" t="s">
        <v>304</v>
      </c>
      <c r="AO320">
        <f>AVERAGE(Tabla2[[#This Row],[total_kills]:[rating]])</f>
        <v>3321.85</v>
      </c>
      <c r="AP320" t="str">
        <f>VLOOKUP(Tabla2[[#This Row],[KPI]],$AS$2:$AT$5,2,1)</f>
        <v>Medio</v>
      </c>
    </row>
    <row r="321" spans="1:42" x14ac:dyDescent="0.3">
      <c r="A321">
        <v>9916</v>
      </c>
      <c r="B321" t="s">
        <v>2737</v>
      </c>
      <c r="C321" t="s">
        <v>2738</v>
      </c>
      <c r="D321">
        <v>26</v>
      </c>
      <c r="E321" t="s">
        <v>327</v>
      </c>
      <c r="F321" t="s">
        <v>3514</v>
      </c>
      <c r="G321" t="s">
        <v>2739</v>
      </c>
      <c r="H321">
        <v>11640</v>
      </c>
      <c r="I321">
        <v>11657</v>
      </c>
      <c r="J321" t="s">
        <v>2023</v>
      </c>
      <c r="K321" t="s">
        <v>1042</v>
      </c>
      <c r="L321" t="s">
        <v>687</v>
      </c>
      <c r="M321">
        <v>662</v>
      </c>
      <c r="N321">
        <v>17680</v>
      </c>
      <c r="O321" t="s">
        <v>322</v>
      </c>
      <c r="P321" t="s">
        <v>202</v>
      </c>
      <c r="Q321" t="s">
        <v>322</v>
      </c>
      <c r="R321" t="s">
        <v>135</v>
      </c>
      <c r="S321" t="s">
        <v>96</v>
      </c>
      <c r="T321">
        <v>8123</v>
      </c>
      <c r="U321" t="s">
        <v>51</v>
      </c>
      <c r="V321">
        <v>1224</v>
      </c>
      <c r="W321">
        <v>1198</v>
      </c>
      <c r="X321" t="s">
        <v>449</v>
      </c>
      <c r="Y321" t="s">
        <v>1906</v>
      </c>
      <c r="Z321" t="s">
        <v>1358</v>
      </c>
      <c r="AA321" t="s">
        <v>2068</v>
      </c>
      <c r="AB321">
        <v>9557</v>
      </c>
      <c r="AC321">
        <v>5385</v>
      </c>
      <c r="AD321">
        <v>2079</v>
      </c>
      <c r="AE321">
        <v>552</v>
      </c>
      <c r="AF321">
        <v>94</v>
      </c>
      <c r="AG321">
        <v>13</v>
      </c>
      <c r="AH321">
        <v>8223</v>
      </c>
      <c r="AI321">
        <v>329</v>
      </c>
      <c r="AJ321">
        <v>741</v>
      </c>
      <c r="AK321">
        <v>2159</v>
      </c>
      <c r="AL321">
        <v>201</v>
      </c>
      <c r="AM321">
        <v>28</v>
      </c>
      <c r="AN321" t="s">
        <v>503</v>
      </c>
      <c r="AO321">
        <f>AVERAGE(Tabla2[[#This Row],[total_kills]:[rating]])</f>
        <v>4291.8421052631575</v>
      </c>
      <c r="AP321" t="str">
        <f>VLOOKUP(Tabla2[[#This Row],[KPI]],$AS$2:$AT$5,2,1)</f>
        <v>Medio</v>
      </c>
    </row>
    <row r="322" spans="1:42" x14ac:dyDescent="0.3">
      <c r="A322">
        <v>3730</v>
      </c>
      <c r="B322" t="s">
        <v>2894</v>
      </c>
      <c r="C322" t="s">
        <v>2895</v>
      </c>
      <c r="D322">
        <v>30</v>
      </c>
      <c r="E322" t="s">
        <v>895</v>
      </c>
      <c r="F322" t="s">
        <v>2896</v>
      </c>
      <c r="G322" t="s">
        <v>2897</v>
      </c>
      <c r="H322">
        <v>8068</v>
      </c>
      <c r="I322">
        <v>8433</v>
      </c>
      <c r="J322" t="s">
        <v>2023</v>
      </c>
      <c r="K322" t="s">
        <v>1195</v>
      </c>
      <c r="L322" t="s">
        <v>1170</v>
      </c>
      <c r="M322">
        <v>459</v>
      </c>
      <c r="N322">
        <v>12013</v>
      </c>
      <c r="O322" t="s">
        <v>225</v>
      </c>
      <c r="P322" t="s">
        <v>166</v>
      </c>
      <c r="Q322" t="s">
        <v>905</v>
      </c>
      <c r="R322" t="s">
        <v>50</v>
      </c>
      <c r="S322" t="s">
        <v>50</v>
      </c>
      <c r="T322">
        <v>5522</v>
      </c>
      <c r="U322" t="s">
        <v>51</v>
      </c>
      <c r="V322">
        <v>1104</v>
      </c>
      <c r="W322">
        <v>1083</v>
      </c>
      <c r="X322" t="s">
        <v>449</v>
      </c>
      <c r="Y322" t="s">
        <v>245</v>
      </c>
      <c r="Z322" t="s">
        <v>54</v>
      </c>
      <c r="AA322" t="s">
        <v>408</v>
      </c>
      <c r="AB322">
        <v>6491</v>
      </c>
      <c r="AC322">
        <v>3552</v>
      </c>
      <c r="AD322">
        <v>1489</v>
      </c>
      <c r="AE322">
        <v>397</v>
      </c>
      <c r="AF322">
        <v>74</v>
      </c>
      <c r="AG322">
        <v>10</v>
      </c>
      <c r="AH322">
        <v>5691</v>
      </c>
      <c r="AI322">
        <v>68</v>
      </c>
      <c r="AJ322">
        <v>865</v>
      </c>
      <c r="AK322">
        <v>1308</v>
      </c>
      <c r="AL322">
        <v>126</v>
      </c>
      <c r="AM322">
        <v>34</v>
      </c>
      <c r="AN322" t="s">
        <v>472</v>
      </c>
      <c r="AO322">
        <f>AVERAGE(Tabla2[[#This Row],[total_kills]:[rating]])</f>
        <v>2988.7894736842104</v>
      </c>
      <c r="AP322" t="str">
        <f>VLOOKUP(Tabla2[[#This Row],[KPI]],$AS$2:$AT$5,2,1)</f>
        <v>Bajo</v>
      </c>
    </row>
    <row r="323" spans="1:42" x14ac:dyDescent="0.3">
      <c r="A323">
        <v>7749</v>
      </c>
      <c r="B323" t="s">
        <v>1928</v>
      </c>
      <c r="C323" t="s">
        <v>1929</v>
      </c>
      <c r="D323">
        <v>26</v>
      </c>
      <c r="E323" t="s">
        <v>379</v>
      </c>
      <c r="F323" t="s">
        <v>3514</v>
      </c>
      <c r="G323" t="s">
        <v>1695</v>
      </c>
      <c r="H323">
        <v>13135</v>
      </c>
      <c r="I323">
        <v>12900</v>
      </c>
      <c r="J323" t="s">
        <v>1930</v>
      </c>
      <c r="K323" t="s">
        <v>1183</v>
      </c>
      <c r="L323" t="s">
        <v>471</v>
      </c>
      <c r="M323">
        <v>709</v>
      </c>
      <c r="N323">
        <v>18569</v>
      </c>
      <c r="O323" t="s">
        <v>646</v>
      </c>
      <c r="P323" t="s">
        <v>235</v>
      </c>
      <c r="Q323" t="s">
        <v>463</v>
      </c>
      <c r="R323" t="s">
        <v>50</v>
      </c>
      <c r="S323" t="s">
        <v>50</v>
      </c>
      <c r="T323">
        <v>8763</v>
      </c>
      <c r="U323" t="s">
        <v>51</v>
      </c>
      <c r="V323">
        <v>1895</v>
      </c>
      <c r="W323">
        <v>1953</v>
      </c>
      <c r="X323" t="s">
        <v>503</v>
      </c>
      <c r="Y323">
        <v>1</v>
      </c>
      <c r="Z323" t="s">
        <v>443</v>
      </c>
      <c r="AA323" t="s">
        <v>1030</v>
      </c>
      <c r="AB323">
        <v>9806</v>
      </c>
      <c r="AC323">
        <v>5504</v>
      </c>
      <c r="AD323">
        <v>2342</v>
      </c>
      <c r="AE323">
        <v>743</v>
      </c>
      <c r="AF323">
        <v>159</v>
      </c>
      <c r="AG323">
        <v>15</v>
      </c>
      <c r="AH323">
        <v>8880</v>
      </c>
      <c r="AI323">
        <v>939</v>
      </c>
      <c r="AJ323">
        <v>559</v>
      </c>
      <c r="AK323">
        <v>2542</v>
      </c>
      <c r="AL323">
        <v>155</v>
      </c>
      <c r="AM323">
        <v>75</v>
      </c>
      <c r="AN323" t="s">
        <v>449</v>
      </c>
      <c r="AO323">
        <f>AVERAGE(Tabla2[[#This Row],[total_kills]:[rating]])</f>
        <v>4482.2</v>
      </c>
      <c r="AP323" t="str">
        <f>VLOOKUP(Tabla2[[#This Row],[KPI]],$AS$2:$AT$5,2,1)</f>
        <v>Medio</v>
      </c>
    </row>
    <row r="324" spans="1:42" x14ac:dyDescent="0.3">
      <c r="A324">
        <v>17553</v>
      </c>
      <c r="B324" t="s">
        <v>2482</v>
      </c>
      <c r="C324" t="s">
        <v>2483</v>
      </c>
      <c r="D324">
        <v>22</v>
      </c>
      <c r="E324" t="s">
        <v>104</v>
      </c>
      <c r="F324" t="s">
        <v>1125</v>
      </c>
      <c r="G324" t="s">
        <v>2484</v>
      </c>
      <c r="H324">
        <v>11119</v>
      </c>
      <c r="I324">
        <v>11328</v>
      </c>
      <c r="J324" t="s">
        <v>1930</v>
      </c>
      <c r="K324" t="s">
        <v>480</v>
      </c>
      <c r="L324" t="s">
        <v>975</v>
      </c>
      <c r="M324">
        <v>616</v>
      </c>
      <c r="N324">
        <v>16090</v>
      </c>
      <c r="O324" t="s">
        <v>463</v>
      </c>
      <c r="P324" t="s">
        <v>235</v>
      </c>
      <c r="Q324" t="s">
        <v>905</v>
      </c>
      <c r="R324" t="s">
        <v>50</v>
      </c>
      <c r="S324" t="s">
        <v>96</v>
      </c>
      <c r="T324">
        <v>7452</v>
      </c>
      <c r="U324" t="s">
        <v>51</v>
      </c>
      <c r="V324">
        <v>1566</v>
      </c>
      <c r="W324">
        <v>1717</v>
      </c>
      <c r="X324" t="s">
        <v>1749</v>
      </c>
      <c r="Y324" t="s">
        <v>245</v>
      </c>
      <c r="Z324" t="s">
        <v>653</v>
      </c>
      <c r="AA324" t="s">
        <v>724</v>
      </c>
      <c r="AB324">
        <v>8638</v>
      </c>
      <c r="AC324">
        <v>4698</v>
      </c>
      <c r="AD324">
        <v>1994</v>
      </c>
      <c r="AE324">
        <v>620</v>
      </c>
      <c r="AF324">
        <v>127</v>
      </c>
      <c r="AG324">
        <v>13</v>
      </c>
      <c r="AH324">
        <v>8235</v>
      </c>
      <c r="AI324">
        <v>267</v>
      </c>
      <c r="AJ324">
        <v>505</v>
      </c>
      <c r="AK324">
        <v>1901</v>
      </c>
      <c r="AL324">
        <v>196</v>
      </c>
      <c r="AM324">
        <v>40</v>
      </c>
      <c r="AN324" t="s">
        <v>407</v>
      </c>
      <c r="AO324">
        <f>AVERAGE(Tabla2[[#This Row],[total_kills]:[rating]])</f>
        <v>4059.0526315789475</v>
      </c>
      <c r="AP324" t="str">
        <f>VLOOKUP(Tabla2[[#This Row],[KPI]],$AS$2:$AT$5,2,1)</f>
        <v>Medio</v>
      </c>
    </row>
    <row r="325" spans="1:42" x14ac:dyDescent="0.3">
      <c r="A325">
        <v>12490</v>
      </c>
      <c r="B325" t="s">
        <v>2890</v>
      </c>
      <c r="C325" t="s">
        <v>2891</v>
      </c>
      <c r="D325">
        <v>23</v>
      </c>
      <c r="E325" t="s">
        <v>209</v>
      </c>
      <c r="F325" t="s">
        <v>2892</v>
      </c>
      <c r="G325" t="s">
        <v>2893</v>
      </c>
      <c r="H325">
        <v>7817</v>
      </c>
      <c r="I325">
        <v>8085</v>
      </c>
      <c r="J325" t="s">
        <v>1930</v>
      </c>
      <c r="K325" t="s">
        <v>1062</v>
      </c>
      <c r="L325" t="s">
        <v>224</v>
      </c>
      <c r="M325">
        <v>438</v>
      </c>
      <c r="N325">
        <v>11619</v>
      </c>
      <c r="O325" t="s">
        <v>225</v>
      </c>
      <c r="P325" t="s">
        <v>202</v>
      </c>
      <c r="Q325" t="s">
        <v>905</v>
      </c>
      <c r="R325" t="s">
        <v>50</v>
      </c>
      <c r="S325" t="s">
        <v>96</v>
      </c>
      <c r="T325">
        <v>5435</v>
      </c>
      <c r="U325" t="s">
        <v>51</v>
      </c>
      <c r="V325">
        <v>1250</v>
      </c>
      <c r="W325">
        <v>1229</v>
      </c>
      <c r="X325" t="s">
        <v>449</v>
      </c>
      <c r="Y325" t="s">
        <v>412</v>
      </c>
      <c r="Z325" t="s">
        <v>399</v>
      </c>
      <c r="AA325" t="s">
        <v>568</v>
      </c>
      <c r="AB325">
        <v>6184</v>
      </c>
      <c r="AC325">
        <v>3590</v>
      </c>
      <c r="AD325">
        <v>1392</v>
      </c>
      <c r="AE325">
        <v>374</v>
      </c>
      <c r="AF325">
        <v>74</v>
      </c>
      <c r="AG325">
        <v>5</v>
      </c>
      <c r="AH325">
        <v>5250</v>
      </c>
      <c r="AI325">
        <v>901</v>
      </c>
      <c r="AJ325">
        <v>178</v>
      </c>
      <c r="AK325">
        <v>1344</v>
      </c>
      <c r="AL325">
        <v>144</v>
      </c>
      <c r="AM325">
        <v>24</v>
      </c>
      <c r="AN325" t="s">
        <v>412</v>
      </c>
      <c r="AO325">
        <f>AVERAGE(Tabla2[[#This Row],[total_kills]:[rating]])</f>
        <v>2912.2631578947367</v>
      </c>
      <c r="AP325" t="str">
        <f>VLOOKUP(Tabla2[[#This Row],[KPI]],$AS$2:$AT$5,2,1)</f>
        <v>Bajo</v>
      </c>
    </row>
    <row r="326" spans="1:42" x14ac:dyDescent="0.3">
      <c r="A326">
        <v>2148</v>
      </c>
      <c r="B326" t="s">
        <v>2958</v>
      </c>
      <c r="C326" t="s">
        <v>2959</v>
      </c>
      <c r="D326">
        <v>31</v>
      </c>
      <c r="E326" t="s">
        <v>708</v>
      </c>
      <c r="F326" t="s">
        <v>3514</v>
      </c>
      <c r="G326" t="s">
        <v>2960</v>
      </c>
      <c r="H326">
        <v>10261</v>
      </c>
      <c r="I326">
        <v>10891</v>
      </c>
      <c r="J326" t="s">
        <v>1930</v>
      </c>
      <c r="K326" t="s">
        <v>1089</v>
      </c>
      <c r="L326" t="s">
        <v>575</v>
      </c>
      <c r="M326">
        <v>591</v>
      </c>
      <c r="N326">
        <v>15363</v>
      </c>
      <c r="O326" t="s">
        <v>225</v>
      </c>
      <c r="P326" t="s">
        <v>235</v>
      </c>
      <c r="Q326" t="s">
        <v>646</v>
      </c>
      <c r="R326" t="s">
        <v>96</v>
      </c>
      <c r="S326" t="s">
        <v>66</v>
      </c>
      <c r="T326">
        <v>6980</v>
      </c>
      <c r="U326" t="s">
        <v>51</v>
      </c>
      <c r="V326">
        <v>1504</v>
      </c>
      <c r="W326">
        <v>1796</v>
      </c>
      <c r="X326" t="s">
        <v>47</v>
      </c>
      <c r="Y326" t="s">
        <v>472</v>
      </c>
      <c r="Z326" t="s">
        <v>2961</v>
      </c>
      <c r="AA326" t="s">
        <v>640</v>
      </c>
      <c r="AB326">
        <v>8383</v>
      </c>
      <c r="AC326">
        <v>4508</v>
      </c>
      <c r="AD326">
        <v>1806</v>
      </c>
      <c r="AE326">
        <v>542</v>
      </c>
      <c r="AF326">
        <v>110</v>
      </c>
      <c r="AG326">
        <v>14</v>
      </c>
      <c r="AH326">
        <v>7341</v>
      </c>
      <c r="AI326">
        <v>293</v>
      </c>
      <c r="AJ326">
        <v>261</v>
      </c>
      <c r="AK326">
        <v>2206</v>
      </c>
      <c r="AL326">
        <v>153</v>
      </c>
      <c r="AM326">
        <v>23</v>
      </c>
      <c r="AN326" t="s">
        <v>472</v>
      </c>
      <c r="AO326">
        <f>AVERAGE(Tabla2[[#This Row],[total_kills]:[rating]])</f>
        <v>3843.4736842105262</v>
      </c>
      <c r="AP326" t="str">
        <f>VLOOKUP(Tabla2[[#This Row],[KPI]],$AS$2:$AT$5,2,1)</f>
        <v>Medio</v>
      </c>
    </row>
    <row r="327" spans="1:42" x14ac:dyDescent="0.3">
      <c r="A327">
        <v>9325</v>
      </c>
      <c r="B327" t="s">
        <v>3061</v>
      </c>
      <c r="C327" t="s">
        <v>3062</v>
      </c>
      <c r="D327">
        <v>25</v>
      </c>
      <c r="E327" t="s">
        <v>452</v>
      </c>
      <c r="F327" t="s">
        <v>690</v>
      </c>
      <c r="G327" t="s">
        <v>2869</v>
      </c>
      <c r="H327">
        <v>15700</v>
      </c>
      <c r="I327">
        <v>16720</v>
      </c>
      <c r="J327" t="s">
        <v>1930</v>
      </c>
      <c r="K327" t="s">
        <v>1234</v>
      </c>
      <c r="L327" t="s">
        <v>224</v>
      </c>
      <c r="M327">
        <v>897</v>
      </c>
      <c r="N327">
        <v>24098</v>
      </c>
      <c r="O327" t="s">
        <v>276</v>
      </c>
      <c r="P327" t="s">
        <v>235</v>
      </c>
      <c r="Q327" t="s">
        <v>463</v>
      </c>
      <c r="R327" t="s">
        <v>50</v>
      </c>
      <c r="S327" t="s">
        <v>50</v>
      </c>
      <c r="T327">
        <v>10770</v>
      </c>
      <c r="U327" t="s">
        <v>51</v>
      </c>
      <c r="V327">
        <v>2378</v>
      </c>
      <c r="W327">
        <v>2685</v>
      </c>
      <c r="X327" t="s">
        <v>1551</v>
      </c>
      <c r="Y327" t="s">
        <v>503</v>
      </c>
      <c r="Z327" t="s">
        <v>443</v>
      </c>
      <c r="AA327" t="s">
        <v>547</v>
      </c>
      <c r="AB327">
        <v>13328</v>
      </c>
      <c r="AC327">
        <v>7005</v>
      </c>
      <c r="AD327">
        <v>2796</v>
      </c>
      <c r="AE327">
        <v>796</v>
      </c>
      <c r="AF327">
        <v>150</v>
      </c>
      <c r="AG327">
        <v>23</v>
      </c>
      <c r="AH327">
        <v>11850</v>
      </c>
      <c r="AI327">
        <v>99</v>
      </c>
      <c r="AJ327">
        <v>1073</v>
      </c>
      <c r="AK327">
        <v>2458</v>
      </c>
      <c r="AL327">
        <v>219</v>
      </c>
      <c r="AM327">
        <v>37</v>
      </c>
      <c r="AN327" t="s">
        <v>820</v>
      </c>
      <c r="AO327">
        <f>AVERAGE(Tabla2[[#This Row],[total_kills]:[rating]])</f>
        <v>5951.6842105263158</v>
      </c>
      <c r="AP327" t="str">
        <f>VLOOKUP(Tabla2[[#This Row],[KPI]],$AS$2:$AT$5,2,1)</f>
        <v>Alto</v>
      </c>
    </row>
    <row r="328" spans="1:42" x14ac:dyDescent="0.3">
      <c r="A328">
        <v>8504</v>
      </c>
      <c r="B328" t="s">
        <v>3359</v>
      </c>
      <c r="C328" t="s">
        <v>3360</v>
      </c>
      <c r="D328">
        <v>32</v>
      </c>
      <c r="E328" t="s">
        <v>459</v>
      </c>
      <c r="F328" t="s">
        <v>3514</v>
      </c>
      <c r="G328" t="s">
        <v>3361</v>
      </c>
      <c r="H328">
        <v>7418</v>
      </c>
      <c r="I328">
        <v>8680</v>
      </c>
      <c r="J328" t="s">
        <v>1930</v>
      </c>
      <c r="K328" t="s">
        <v>2936</v>
      </c>
      <c r="L328">
        <v>4</v>
      </c>
      <c r="M328">
        <v>462</v>
      </c>
      <c r="N328">
        <v>11931</v>
      </c>
      <c r="O328" t="s">
        <v>144</v>
      </c>
      <c r="P328" t="s">
        <v>235</v>
      </c>
      <c r="Q328" t="s">
        <v>495</v>
      </c>
      <c r="R328" t="s">
        <v>50</v>
      </c>
      <c r="S328" t="s">
        <v>66</v>
      </c>
      <c r="T328">
        <v>5149</v>
      </c>
      <c r="U328" t="s">
        <v>51</v>
      </c>
      <c r="V328">
        <v>1041</v>
      </c>
      <c r="W328">
        <v>1375</v>
      </c>
      <c r="X328" t="s">
        <v>234</v>
      </c>
      <c r="Y328" t="s">
        <v>1749</v>
      </c>
      <c r="Z328" t="s">
        <v>745</v>
      </c>
      <c r="AA328" t="s">
        <v>852</v>
      </c>
      <c r="AB328">
        <v>6782</v>
      </c>
      <c r="AC328">
        <v>3407</v>
      </c>
      <c r="AD328">
        <v>1306</v>
      </c>
      <c r="AE328">
        <v>363</v>
      </c>
      <c r="AF328">
        <v>66</v>
      </c>
      <c r="AG328">
        <v>7</v>
      </c>
      <c r="AH328">
        <v>5563</v>
      </c>
      <c r="AI328">
        <v>120</v>
      </c>
      <c r="AJ328">
        <v>333</v>
      </c>
      <c r="AK328">
        <v>1275</v>
      </c>
      <c r="AL328">
        <v>71</v>
      </c>
      <c r="AM328">
        <v>69</v>
      </c>
      <c r="AN328" t="s">
        <v>2315</v>
      </c>
      <c r="AO328">
        <f>AVERAGE(Tabla2[[#This Row],[total_kills]:[rating]])</f>
        <v>2771.1</v>
      </c>
      <c r="AP328" t="str">
        <f>VLOOKUP(Tabla2[[#This Row],[KPI]],$AS$2:$AT$5,2,1)</f>
        <v>Bajo</v>
      </c>
    </row>
    <row r="329" spans="1:42" x14ac:dyDescent="0.3">
      <c r="A329">
        <v>19673</v>
      </c>
      <c r="B329" t="s">
        <v>1682</v>
      </c>
      <c r="C329" t="s">
        <v>1683</v>
      </c>
      <c r="D329">
        <v>18</v>
      </c>
      <c r="E329" t="s">
        <v>75</v>
      </c>
      <c r="F329" t="s">
        <v>1242</v>
      </c>
      <c r="G329" t="s">
        <v>1684</v>
      </c>
      <c r="H329">
        <v>9880</v>
      </c>
      <c r="I329">
        <v>9564</v>
      </c>
      <c r="J329" t="s">
        <v>1685</v>
      </c>
      <c r="K329" t="s">
        <v>263</v>
      </c>
      <c r="L329" t="s">
        <v>331</v>
      </c>
      <c r="M329">
        <v>516</v>
      </c>
      <c r="N329">
        <v>13868</v>
      </c>
      <c r="O329" t="s">
        <v>646</v>
      </c>
      <c r="P329" t="s">
        <v>202</v>
      </c>
      <c r="Q329" t="s">
        <v>463</v>
      </c>
      <c r="R329" t="s">
        <v>67</v>
      </c>
      <c r="S329" t="s">
        <v>50</v>
      </c>
      <c r="T329">
        <v>6551</v>
      </c>
      <c r="U329" t="s">
        <v>51</v>
      </c>
      <c r="V329">
        <v>1590</v>
      </c>
      <c r="W329">
        <v>1629</v>
      </c>
      <c r="X329" t="s">
        <v>245</v>
      </c>
      <c r="Y329" t="s">
        <v>407</v>
      </c>
      <c r="Z329" t="s">
        <v>728</v>
      </c>
      <c r="AA329" t="s">
        <v>697</v>
      </c>
      <c r="AB329">
        <v>7317</v>
      </c>
      <c r="AC329">
        <v>4068</v>
      </c>
      <c r="AD329">
        <v>1789</v>
      </c>
      <c r="AE329">
        <v>555</v>
      </c>
      <c r="AF329">
        <v>126</v>
      </c>
      <c r="AG329">
        <v>13</v>
      </c>
      <c r="AH329">
        <v>7360</v>
      </c>
      <c r="AI329">
        <v>436</v>
      </c>
      <c r="AJ329">
        <v>492</v>
      </c>
      <c r="AK329">
        <v>1500</v>
      </c>
      <c r="AL329">
        <v>87</v>
      </c>
      <c r="AM329">
        <v>39</v>
      </c>
      <c r="AN329" t="s">
        <v>295</v>
      </c>
      <c r="AO329">
        <f>AVERAGE(Tabla2[[#This Row],[total_kills]:[rating]])</f>
        <v>3546.3157894736842</v>
      </c>
      <c r="AP329" t="str">
        <f>VLOOKUP(Tabla2[[#This Row],[KPI]],$AS$2:$AT$5,2,1)</f>
        <v>Medio</v>
      </c>
    </row>
    <row r="330" spans="1:42" x14ac:dyDescent="0.3">
      <c r="A330">
        <v>11287</v>
      </c>
      <c r="B330" t="s">
        <v>3028</v>
      </c>
      <c r="C330" t="s">
        <v>3029</v>
      </c>
      <c r="D330">
        <v>24</v>
      </c>
      <c r="E330" t="s">
        <v>327</v>
      </c>
      <c r="F330" t="s">
        <v>2966</v>
      </c>
      <c r="G330" t="s">
        <v>3030</v>
      </c>
      <c r="H330">
        <v>14316</v>
      </c>
      <c r="I330">
        <v>15126</v>
      </c>
      <c r="J330" t="s">
        <v>3031</v>
      </c>
      <c r="K330">
        <v>75</v>
      </c>
      <c r="L330" t="s">
        <v>1981</v>
      </c>
      <c r="M330">
        <v>804</v>
      </c>
      <c r="N330">
        <v>21820</v>
      </c>
      <c r="O330" t="s">
        <v>322</v>
      </c>
      <c r="P330" t="s">
        <v>235</v>
      </c>
      <c r="Q330" t="s">
        <v>463</v>
      </c>
      <c r="R330" t="s">
        <v>50</v>
      </c>
      <c r="S330" t="s">
        <v>96</v>
      </c>
      <c r="T330">
        <v>9896</v>
      </c>
      <c r="U330" t="s">
        <v>51</v>
      </c>
      <c r="V330">
        <v>2320</v>
      </c>
      <c r="W330">
        <v>2428</v>
      </c>
      <c r="X330" t="s">
        <v>472</v>
      </c>
      <c r="Y330" t="s">
        <v>255</v>
      </c>
      <c r="Z330" t="s">
        <v>2434</v>
      </c>
      <c r="AA330" t="s">
        <v>676</v>
      </c>
      <c r="AB330">
        <v>11924</v>
      </c>
      <c r="AC330">
        <v>6545</v>
      </c>
      <c r="AD330">
        <v>2459</v>
      </c>
      <c r="AE330">
        <v>734</v>
      </c>
      <c r="AF330">
        <v>139</v>
      </c>
      <c r="AG330">
        <v>19</v>
      </c>
      <c r="AH330">
        <v>10592</v>
      </c>
      <c r="AI330">
        <v>338</v>
      </c>
      <c r="AJ330">
        <v>831</v>
      </c>
      <c r="AK330">
        <v>2267</v>
      </c>
      <c r="AL330">
        <v>289</v>
      </c>
      <c r="AM330">
        <v>55</v>
      </c>
      <c r="AN330" t="s">
        <v>449</v>
      </c>
      <c r="AO330">
        <f>AVERAGE(Tabla2[[#This Row],[total_kills]:[rating]])</f>
        <v>5148.8500000000004</v>
      </c>
      <c r="AP330" t="str">
        <f>VLOOKUP(Tabla2[[#This Row],[KPI]],$AS$2:$AT$5,2,1)</f>
        <v>Alto</v>
      </c>
    </row>
    <row r="331" spans="1:42" x14ac:dyDescent="0.3">
      <c r="A331">
        <v>8564</v>
      </c>
      <c r="B331" t="s">
        <v>853</v>
      </c>
      <c r="C331" t="s">
        <v>854</v>
      </c>
      <c r="D331">
        <v>30</v>
      </c>
      <c r="E331" t="s">
        <v>104</v>
      </c>
      <c r="F331" t="s">
        <v>855</v>
      </c>
      <c r="G331" t="s">
        <v>856</v>
      </c>
      <c r="H331">
        <v>28173</v>
      </c>
      <c r="I331">
        <v>25379</v>
      </c>
      <c r="J331" t="s">
        <v>857</v>
      </c>
      <c r="K331" t="s">
        <v>382</v>
      </c>
      <c r="L331">
        <v>5</v>
      </c>
      <c r="M331">
        <v>1436</v>
      </c>
      <c r="N331">
        <v>37508</v>
      </c>
      <c r="O331" t="s">
        <v>180</v>
      </c>
      <c r="P331" t="s">
        <v>166</v>
      </c>
      <c r="Q331" t="s">
        <v>167</v>
      </c>
      <c r="R331" t="s">
        <v>96</v>
      </c>
      <c r="S331" t="s">
        <v>66</v>
      </c>
      <c r="T331">
        <v>18644</v>
      </c>
      <c r="U331" t="s">
        <v>51</v>
      </c>
      <c r="V331">
        <v>4992</v>
      </c>
      <c r="W331">
        <v>4238</v>
      </c>
      <c r="X331" t="s">
        <v>169</v>
      </c>
      <c r="Y331" t="s">
        <v>111</v>
      </c>
      <c r="Z331" t="s">
        <v>858</v>
      </c>
      <c r="AA331" t="s">
        <v>138</v>
      </c>
      <c r="AB331">
        <v>18864</v>
      </c>
      <c r="AC331">
        <v>11560</v>
      </c>
      <c r="AD331">
        <v>5089</v>
      </c>
      <c r="AE331">
        <v>1599</v>
      </c>
      <c r="AF331">
        <v>350</v>
      </c>
      <c r="AG331">
        <v>46</v>
      </c>
      <c r="AH331">
        <v>20370</v>
      </c>
      <c r="AI331">
        <v>391</v>
      </c>
      <c r="AJ331">
        <v>2270</v>
      </c>
      <c r="AK331">
        <v>4542</v>
      </c>
      <c r="AL331">
        <v>383</v>
      </c>
      <c r="AM331">
        <v>257</v>
      </c>
      <c r="AN331" t="s">
        <v>277</v>
      </c>
      <c r="AO331">
        <f>AVERAGE(Tabla2[[#This Row],[total_kills]:[rating]])</f>
        <v>9304.7999999999993</v>
      </c>
      <c r="AP331" t="str">
        <f>VLOOKUP(Tabla2[[#This Row],[KPI]],$AS$2:$AT$5,2,1)</f>
        <v>Superior</v>
      </c>
    </row>
    <row r="332" spans="1:42" x14ac:dyDescent="0.3">
      <c r="A332">
        <v>11154</v>
      </c>
      <c r="B332" t="s">
        <v>944</v>
      </c>
      <c r="C332" t="s">
        <v>945</v>
      </c>
      <c r="D332">
        <v>25</v>
      </c>
      <c r="E332" t="s">
        <v>104</v>
      </c>
      <c r="F332" t="s">
        <v>866</v>
      </c>
      <c r="G332" t="s">
        <v>946</v>
      </c>
      <c r="H332">
        <v>13416</v>
      </c>
      <c r="I332">
        <v>11515</v>
      </c>
      <c r="J332" t="s">
        <v>947</v>
      </c>
      <c r="K332" t="s">
        <v>948</v>
      </c>
      <c r="L332" t="s">
        <v>949</v>
      </c>
      <c r="M332">
        <v>739</v>
      </c>
      <c r="N332">
        <v>19050</v>
      </c>
      <c r="O332" t="s">
        <v>905</v>
      </c>
      <c r="P332" t="s">
        <v>202</v>
      </c>
      <c r="Q332" t="s">
        <v>134</v>
      </c>
      <c r="R332" t="s">
        <v>96</v>
      </c>
      <c r="S332" t="s">
        <v>48</v>
      </c>
      <c r="T332">
        <v>9135</v>
      </c>
      <c r="U332" t="s">
        <v>51</v>
      </c>
      <c r="V332">
        <v>1358</v>
      </c>
      <c r="W332">
        <v>1079</v>
      </c>
      <c r="X332" t="s">
        <v>87</v>
      </c>
      <c r="Y332" t="s">
        <v>950</v>
      </c>
      <c r="Z332" t="s">
        <v>508</v>
      </c>
      <c r="AA332" t="s">
        <v>951</v>
      </c>
      <c r="AB332">
        <v>9915</v>
      </c>
      <c r="AC332">
        <v>5878</v>
      </c>
      <c r="AD332">
        <v>2392</v>
      </c>
      <c r="AE332">
        <v>719</v>
      </c>
      <c r="AF332">
        <v>133</v>
      </c>
      <c r="AG332">
        <v>13</v>
      </c>
      <c r="AH332">
        <v>10562</v>
      </c>
      <c r="AI332">
        <v>76</v>
      </c>
      <c r="AJ332">
        <v>561</v>
      </c>
      <c r="AK332">
        <v>2044</v>
      </c>
      <c r="AL332">
        <v>198</v>
      </c>
      <c r="AM332">
        <v>37</v>
      </c>
      <c r="AN332" t="s">
        <v>370</v>
      </c>
      <c r="AO332">
        <f>AVERAGE(Tabla2[[#This Row],[total_kills]:[rating]])</f>
        <v>4674.7368421052633</v>
      </c>
      <c r="AP332" t="str">
        <f>VLOOKUP(Tabla2[[#This Row],[KPI]],$AS$2:$AT$5,2,1)</f>
        <v>Medio</v>
      </c>
    </row>
    <row r="333" spans="1:42" x14ac:dyDescent="0.3">
      <c r="A333">
        <v>9220</v>
      </c>
      <c r="B333" t="s">
        <v>2671</v>
      </c>
      <c r="C333" t="s">
        <v>2672</v>
      </c>
      <c r="D333">
        <v>25</v>
      </c>
      <c r="E333" t="s">
        <v>104</v>
      </c>
      <c r="F333" t="s">
        <v>2021</v>
      </c>
      <c r="G333" t="s">
        <v>2673</v>
      </c>
      <c r="H333">
        <v>17479</v>
      </c>
      <c r="I333">
        <v>17781</v>
      </c>
      <c r="J333" t="s">
        <v>947</v>
      </c>
      <c r="K333" t="s">
        <v>2354</v>
      </c>
      <c r="L333" t="s">
        <v>201</v>
      </c>
      <c r="M333">
        <v>997</v>
      </c>
      <c r="N333">
        <v>25816</v>
      </c>
      <c r="O333" t="s">
        <v>167</v>
      </c>
      <c r="P333" t="s">
        <v>202</v>
      </c>
      <c r="Q333" t="s">
        <v>463</v>
      </c>
      <c r="R333" t="s">
        <v>50</v>
      </c>
      <c r="S333" t="s">
        <v>50</v>
      </c>
      <c r="T333">
        <v>11932</v>
      </c>
      <c r="U333" t="s">
        <v>51</v>
      </c>
      <c r="V333">
        <v>2768</v>
      </c>
      <c r="W333">
        <v>2692</v>
      </c>
      <c r="X333" t="s">
        <v>412</v>
      </c>
      <c r="Y333" t="s">
        <v>412</v>
      </c>
      <c r="Z333" t="s">
        <v>576</v>
      </c>
      <c r="AA333" t="s">
        <v>602</v>
      </c>
      <c r="AB333">
        <v>13884</v>
      </c>
      <c r="AC333">
        <v>7672</v>
      </c>
      <c r="AD333">
        <v>3165</v>
      </c>
      <c r="AE333">
        <v>918</v>
      </c>
      <c r="AF333">
        <v>163</v>
      </c>
      <c r="AG333">
        <v>14</v>
      </c>
      <c r="AH333">
        <v>12098</v>
      </c>
      <c r="AI333">
        <v>1355</v>
      </c>
      <c r="AJ333">
        <v>955</v>
      </c>
      <c r="AK333">
        <v>2816</v>
      </c>
      <c r="AL333">
        <v>235</v>
      </c>
      <c r="AM333">
        <v>53</v>
      </c>
      <c r="AN333" t="s">
        <v>245</v>
      </c>
      <c r="AO333">
        <f>AVERAGE(Tabla2[[#This Row],[total_kills]:[rating]])</f>
        <v>6462.7894736842109</v>
      </c>
      <c r="AP333" t="str">
        <f>VLOOKUP(Tabla2[[#This Row],[KPI]],$AS$2:$AT$5,2,1)</f>
        <v>Alto</v>
      </c>
    </row>
    <row r="334" spans="1:42" x14ac:dyDescent="0.3">
      <c r="A334">
        <v>9616</v>
      </c>
      <c r="B334" t="s">
        <v>1824</v>
      </c>
      <c r="C334" t="s">
        <v>1825</v>
      </c>
      <c r="D334">
        <v>28</v>
      </c>
      <c r="E334" t="s">
        <v>42</v>
      </c>
      <c r="F334" t="s">
        <v>1826</v>
      </c>
      <c r="G334" t="s">
        <v>1827</v>
      </c>
      <c r="H334">
        <v>18691</v>
      </c>
      <c r="I334">
        <v>17492</v>
      </c>
      <c r="J334" t="s">
        <v>1828</v>
      </c>
      <c r="K334" t="s">
        <v>916</v>
      </c>
      <c r="L334" t="s">
        <v>164</v>
      </c>
      <c r="M334">
        <v>1030</v>
      </c>
      <c r="N334">
        <v>27668</v>
      </c>
      <c r="O334" t="s">
        <v>167</v>
      </c>
      <c r="P334" t="s">
        <v>202</v>
      </c>
      <c r="Q334" t="s">
        <v>215</v>
      </c>
      <c r="R334" t="s">
        <v>96</v>
      </c>
      <c r="S334" t="s">
        <v>96</v>
      </c>
      <c r="T334">
        <v>12796</v>
      </c>
      <c r="U334" t="s">
        <v>51</v>
      </c>
      <c r="V334">
        <v>2542</v>
      </c>
      <c r="W334">
        <v>2429</v>
      </c>
      <c r="X334" t="s">
        <v>304</v>
      </c>
      <c r="Y334" t="s">
        <v>245</v>
      </c>
      <c r="Z334" t="s">
        <v>705</v>
      </c>
      <c r="AA334" t="s">
        <v>852</v>
      </c>
      <c r="AB334">
        <v>14872</v>
      </c>
      <c r="AC334">
        <v>8302</v>
      </c>
      <c r="AD334">
        <v>3318</v>
      </c>
      <c r="AE334">
        <v>969</v>
      </c>
      <c r="AF334">
        <v>189</v>
      </c>
      <c r="AG334">
        <v>18</v>
      </c>
      <c r="AH334">
        <v>9930</v>
      </c>
      <c r="AI334">
        <v>2939</v>
      </c>
      <c r="AJ334">
        <v>2687</v>
      </c>
      <c r="AK334">
        <v>2813</v>
      </c>
      <c r="AL334">
        <v>223</v>
      </c>
      <c r="AM334">
        <v>176</v>
      </c>
      <c r="AN334" t="s">
        <v>449</v>
      </c>
      <c r="AO334">
        <f>AVERAGE(Tabla2[[#This Row],[total_kills]:[rating]])</f>
        <v>6793.894736842105</v>
      </c>
      <c r="AP334" t="str">
        <f>VLOOKUP(Tabla2[[#This Row],[KPI]],$AS$2:$AT$5,2,1)</f>
        <v>Alto</v>
      </c>
    </row>
    <row r="335" spans="1:42" x14ac:dyDescent="0.3">
      <c r="A335">
        <v>2398</v>
      </c>
      <c r="B335" t="s">
        <v>1982</v>
      </c>
      <c r="C335" t="s">
        <v>1983</v>
      </c>
      <c r="D335">
        <v>29</v>
      </c>
      <c r="E335" t="s">
        <v>545</v>
      </c>
      <c r="F335" t="s">
        <v>3514</v>
      </c>
      <c r="G335" t="s">
        <v>1984</v>
      </c>
      <c r="H335">
        <v>7087</v>
      </c>
      <c r="I335">
        <v>6759</v>
      </c>
      <c r="J335" t="s">
        <v>1828</v>
      </c>
      <c r="K335" t="s">
        <v>213</v>
      </c>
      <c r="L335">
        <v>4</v>
      </c>
      <c r="M335">
        <v>382</v>
      </c>
      <c r="N335">
        <v>10157</v>
      </c>
      <c r="O335" t="s">
        <v>905</v>
      </c>
      <c r="P335" t="s">
        <v>553</v>
      </c>
      <c r="Q335" t="s">
        <v>225</v>
      </c>
      <c r="R335" t="s">
        <v>50</v>
      </c>
      <c r="S335" t="s">
        <v>202</v>
      </c>
      <c r="T335">
        <v>4845</v>
      </c>
      <c r="U335" t="s">
        <v>51</v>
      </c>
      <c r="V335">
        <v>816</v>
      </c>
      <c r="W335">
        <v>728</v>
      </c>
      <c r="X335" t="s">
        <v>370</v>
      </c>
      <c r="Y335" t="s">
        <v>820</v>
      </c>
      <c r="Z335" t="s">
        <v>443</v>
      </c>
      <c r="AA335" t="s">
        <v>1985</v>
      </c>
      <c r="AB335">
        <v>5312</v>
      </c>
      <c r="AC335">
        <v>3125</v>
      </c>
      <c r="AD335">
        <v>1290</v>
      </c>
      <c r="AE335">
        <v>363</v>
      </c>
      <c r="AF335">
        <v>59</v>
      </c>
      <c r="AG335">
        <v>8</v>
      </c>
      <c r="AH335">
        <v>5397</v>
      </c>
      <c r="AI335">
        <v>176</v>
      </c>
      <c r="AJ335">
        <v>202</v>
      </c>
      <c r="AK335">
        <v>1175</v>
      </c>
      <c r="AL335">
        <v>123</v>
      </c>
      <c r="AM335">
        <v>16</v>
      </c>
      <c r="AN335" t="s">
        <v>449</v>
      </c>
      <c r="AO335">
        <f>AVERAGE(Tabla2[[#This Row],[total_kills]:[rating]])</f>
        <v>2401.1999999999998</v>
      </c>
      <c r="AP335" t="str">
        <f>VLOOKUP(Tabla2[[#This Row],[KPI]],$AS$2:$AT$5,2,1)</f>
        <v>Bajo</v>
      </c>
    </row>
    <row r="336" spans="1:42" x14ac:dyDescent="0.3">
      <c r="A336">
        <v>9857</v>
      </c>
      <c r="B336" t="s">
        <v>3140</v>
      </c>
      <c r="C336" t="s">
        <v>3141</v>
      </c>
      <c r="D336">
        <v>29</v>
      </c>
      <c r="E336" t="s">
        <v>159</v>
      </c>
      <c r="F336" t="s">
        <v>3514</v>
      </c>
      <c r="G336" t="s">
        <v>1082</v>
      </c>
      <c r="H336">
        <v>16499</v>
      </c>
      <c r="I336">
        <v>17247</v>
      </c>
      <c r="J336" t="s">
        <v>3142</v>
      </c>
      <c r="K336" t="s">
        <v>3143</v>
      </c>
      <c r="L336" t="s">
        <v>398</v>
      </c>
      <c r="M336">
        <v>1025</v>
      </c>
      <c r="N336">
        <v>26895</v>
      </c>
      <c r="O336" t="s">
        <v>49</v>
      </c>
      <c r="P336" t="s">
        <v>202</v>
      </c>
      <c r="Q336" t="s">
        <v>65</v>
      </c>
      <c r="R336" t="s">
        <v>96</v>
      </c>
      <c r="S336" t="s">
        <v>96</v>
      </c>
      <c r="T336">
        <v>11687</v>
      </c>
      <c r="U336" t="s">
        <v>51</v>
      </c>
      <c r="V336">
        <v>1934</v>
      </c>
      <c r="W336">
        <v>2125</v>
      </c>
      <c r="X336" t="s">
        <v>1749</v>
      </c>
      <c r="Y336" t="s">
        <v>1551</v>
      </c>
      <c r="Z336" t="s">
        <v>286</v>
      </c>
      <c r="AA336" t="s">
        <v>1944</v>
      </c>
      <c r="AB336">
        <v>15208</v>
      </c>
      <c r="AC336">
        <v>7947</v>
      </c>
      <c r="AD336">
        <v>2848</v>
      </c>
      <c r="AE336">
        <v>725</v>
      </c>
      <c r="AF336">
        <v>154</v>
      </c>
      <c r="AG336">
        <v>13</v>
      </c>
      <c r="AH336">
        <v>11239</v>
      </c>
      <c r="AI336">
        <v>920</v>
      </c>
      <c r="AJ336">
        <v>1379</v>
      </c>
      <c r="AK336">
        <v>2727</v>
      </c>
      <c r="AL336">
        <v>243</v>
      </c>
      <c r="AM336">
        <v>50</v>
      </c>
      <c r="AN336" t="s">
        <v>1570</v>
      </c>
      <c r="AO336">
        <f>AVERAGE(Tabla2[[#This Row],[total_kills]:[rating]])</f>
        <v>6361.3157894736842</v>
      </c>
      <c r="AP336" t="str">
        <f>VLOOKUP(Tabla2[[#This Row],[KPI]],$AS$2:$AT$5,2,1)</f>
        <v>Alto</v>
      </c>
    </row>
    <row r="337" spans="1:42" x14ac:dyDescent="0.3">
      <c r="A337">
        <v>10842</v>
      </c>
      <c r="B337" t="s">
        <v>1573</v>
      </c>
      <c r="C337" t="s">
        <v>1574</v>
      </c>
      <c r="D337">
        <v>25</v>
      </c>
      <c r="E337" t="s">
        <v>104</v>
      </c>
      <c r="F337" t="s">
        <v>1180</v>
      </c>
      <c r="G337" t="s">
        <v>1575</v>
      </c>
      <c r="H337">
        <v>11128</v>
      </c>
      <c r="I337">
        <v>10262</v>
      </c>
      <c r="J337" t="s">
        <v>1576</v>
      </c>
      <c r="K337" t="s">
        <v>1494</v>
      </c>
      <c r="L337" t="s">
        <v>201</v>
      </c>
      <c r="M337">
        <v>618</v>
      </c>
      <c r="N337">
        <v>15955</v>
      </c>
      <c r="O337" t="s">
        <v>905</v>
      </c>
      <c r="P337" t="s">
        <v>202</v>
      </c>
      <c r="Q337" t="s">
        <v>65</v>
      </c>
      <c r="R337" t="s">
        <v>96</v>
      </c>
      <c r="S337" t="s">
        <v>50</v>
      </c>
      <c r="T337">
        <v>7624</v>
      </c>
      <c r="U337" t="s">
        <v>51</v>
      </c>
      <c r="V337">
        <v>1557</v>
      </c>
      <c r="W337">
        <v>1353</v>
      </c>
      <c r="X337" t="s">
        <v>84</v>
      </c>
      <c r="Y337" t="s">
        <v>255</v>
      </c>
      <c r="Z337" t="s">
        <v>137</v>
      </c>
      <c r="AA337" t="s">
        <v>363</v>
      </c>
      <c r="AB337">
        <v>8331</v>
      </c>
      <c r="AC337">
        <v>4947</v>
      </c>
      <c r="AD337">
        <v>1995</v>
      </c>
      <c r="AE337">
        <v>546</v>
      </c>
      <c r="AF337">
        <v>127</v>
      </c>
      <c r="AG337">
        <v>9</v>
      </c>
      <c r="AH337">
        <v>7137</v>
      </c>
      <c r="AI337">
        <v>1499</v>
      </c>
      <c r="AJ337">
        <v>612</v>
      </c>
      <c r="AK337">
        <v>1717</v>
      </c>
      <c r="AL337">
        <v>182</v>
      </c>
      <c r="AM337">
        <v>29</v>
      </c>
      <c r="AN337" t="s">
        <v>277</v>
      </c>
      <c r="AO337">
        <f>AVERAGE(Tabla2[[#This Row],[total_kills]:[rating]])</f>
        <v>3980.4210526315787</v>
      </c>
      <c r="AP337" t="str">
        <f>VLOOKUP(Tabla2[[#This Row],[KPI]],$AS$2:$AT$5,2,1)</f>
        <v>Medio</v>
      </c>
    </row>
    <row r="338" spans="1:42" x14ac:dyDescent="0.3">
      <c r="A338">
        <v>3886</v>
      </c>
      <c r="B338" t="s">
        <v>2759</v>
      </c>
      <c r="C338" t="s">
        <v>2760</v>
      </c>
      <c r="D338">
        <v>31</v>
      </c>
      <c r="E338" t="s">
        <v>459</v>
      </c>
      <c r="F338" t="s">
        <v>3514</v>
      </c>
      <c r="G338" t="s">
        <v>2761</v>
      </c>
      <c r="H338">
        <v>10456</v>
      </c>
      <c r="I338">
        <v>10680</v>
      </c>
      <c r="J338" t="s">
        <v>1576</v>
      </c>
      <c r="K338">
        <v>76</v>
      </c>
      <c r="L338" t="s">
        <v>398</v>
      </c>
      <c r="M338">
        <v>603</v>
      </c>
      <c r="N338">
        <v>15586</v>
      </c>
      <c r="O338" t="s">
        <v>225</v>
      </c>
      <c r="P338" t="s">
        <v>166</v>
      </c>
      <c r="Q338" t="s">
        <v>463</v>
      </c>
      <c r="R338" t="s">
        <v>67</v>
      </c>
      <c r="S338" t="s">
        <v>67</v>
      </c>
      <c r="T338">
        <v>7209</v>
      </c>
      <c r="U338" t="s">
        <v>51</v>
      </c>
      <c r="V338">
        <v>1287</v>
      </c>
      <c r="W338">
        <v>1416</v>
      </c>
      <c r="X338" t="s">
        <v>1749</v>
      </c>
      <c r="Y338" t="s">
        <v>950</v>
      </c>
      <c r="Z338" t="s">
        <v>1490</v>
      </c>
      <c r="AA338" t="s">
        <v>1276</v>
      </c>
      <c r="AB338">
        <v>8377</v>
      </c>
      <c r="AC338">
        <v>4714</v>
      </c>
      <c r="AD338">
        <v>1876</v>
      </c>
      <c r="AE338">
        <v>496</v>
      </c>
      <c r="AF338">
        <v>113</v>
      </c>
      <c r="AG338">
        <v>10</v>
      </c>
      <c r="AH338">
        <v>7010</v>
      </c>
      <c r="AI338">
        <v>86</v>
      </c>
      <c r="AJ338">
        <v>955</v>
      </c>
      <c r="AK338">
        <v>2239</v>
      </c>
      <c r="AL338">
        <v>128</v>
      </c>
      <c r="AM338">
        <v>60</v>
      </c>
      <c r="AN338" t="s">
        <v>503</v>
      </c>
      <c r="AO338">
        <f>AVERAGE(Tabla2[[#This Row],[total_kills]:[rating]])</f>
        <v>3668.85</v>
      </c>
      <c r="AP338" t="str">
        <f>VLOOKUP(Tabla2[[#This Row],[KPI]],$AS$2:$AT$5,2,1)</f>
        <v>Medio</v>
      </c>
    </row>
    <row r="339" spans="1:42" x14ac:dyDescent="0.3">
      <c r="A339">
        <v>922</v>
      </c>
      <c r="B339" t="s">
        <v>2955</v>
      </c>
      <c r="C339" t="s">
        <v>2956</v>
      </c>
      <c r="D339">
        <v>32</v>
      </c>
      <c r="E339" t="s">
        <v>196</v>
      </c>
      <c r="F339" t="s">
        <v>701</v>
      </c>
      <c r="G339" t="s">
        <v>2957</v>
      </c>
      <c r="H339">
        <v>27353</v>
      </c>
      <c r="I339">
        <v>28322</v>
      </c>
      <c r="J339" t="s">
        <v>1576</v>
      </c>
      <c r="K339" t="s">
        <v>2686</v>
      </c>
      <c r="L339" t="s">
        <v>1170</v>
      </c>
      <c r="M339">
        <v>1591</v>
      </c>
      <c r="N339">
        <v>41992</v>
      </c>
      <c r="O339" t="s">
        <v>276</v>
      </c>
      <c r="P339" t="s">
        <v>202</v>
      </c>
      <c r="Q339" t="s">
        <v>225</v>
      </c>
      <c r="R339" t="s">
        <v>96</v>
      </c>
      <c r="S339" t="s">
        <v>66</v>
      </c>
      <c r="T339">
        <v>19032</v>
      </c>
      <c r="U339" t="s">
        <v>51</v>
      </c>
      <c r="V339">
        <v>3855</v>
      </c>
      <c r="W339">
        <v>3732</v>
      </c>
      <c r="X339" t="s">
        <v>412</v>
      </c>
      <c r="Y339" t="s">
        <v>245</v>
      </c>
      <c r="Z339" t="s">
        <v>887</v>
      </c>
      <c r="AA339" t="s">
        <v>888</v>
      </c>
      <c r="AB339">
        <v>22960</v>
      </c>
      <c r="AC339">
        <v>12595</v>
      </c>
      <c r="AD339">
        <v>4861</v>
      </c>
      <c r="AE339">
        <v>1297</v>
      </c>
      <c r="AF339">
        <v>254</v>
      </c>
      <c r="AG339">
        <v>25</v>
      </c>
      <c r="AH339">
        <v>16110</v>
      </c>
      <c r="AI339">
        <v>2654</v>
      </c>
      <c r="AJ339">
        <v>3495</v>
      </c>
      <c r="AK339">
        <v>4753</v>
      </c>
      <c r="AL339">
        <v>328</v>
      </c>
      <c r="AM339">
        <v>71</v>
      </c>
      <c r="AN339" t="s">
        <v>472</v>
      </c>
      <c r="AO339">
        <f>AVERAGE(Tabla2[[#This Row],[total_kills]:[rating]])</f>
        <v>10277.894736842105</v>
      </c>
      <c r="AP339" t="str">
        <f>VLOOKUP(Tabla2[[#This Row],[KPI]],$AS$2:$AT$5,2,1)</f>
        <v>Superior</v>
      </c>
    </row>
    <row r="340" spans="1:42" x14ac:dyDescent="0.3">
      <c r="A340">
        <v>3410</v>
      </c>
      <c r="B340" t="s">
        <v>1931</v>
      </c>
      <c r="C340" t="s">
        <v>1932</v>
      </c>
      <c r="D340">
        <v>29</v>
      </c>
      <c r="E340" t="s">
        <v>742</v>
      </c>
      <c r="F340" t="s">
        <v>3514</v>
      </c>
      <c r="G340" t="s">
        <v>1023</v>
      </c>
      <c r="H340">
        <v>12328</v>
      </c>
      <c r="I340">
        <v>11700</v>
      </c>
      <c r="J340" t="s">
        <v>1933</v>
      </c>
      <c r="K340">
        <v>74</v>
      </c>
      <c r="L340" t="s">
        <v>179</v>
      </c>
      <c r="M340">
        <v>667</v>
      </c>
      <c r="N340">
        <v>17746</v>
      </c>
      <c r="O340" t="s">
        <v>463</v>
      </c>
      <c r="P340" t="s">
        <v>67</v>
      </c>
      <c r="Q340" t="s">
        <v>322</v>
      </c>
      <c r="R340" t="s">
        <v>96</v>
      </c>
      <c r="S340" t="s">
        <v>50</v>
      </c>
      <c r="T340">
        <v>8516</v>
      </c>
      <c r="U340" t="s">
        <v>51</v>
      </c>
      <c r="V340">
        <v>1900</v>
      </c>
      <c r="W340">
        <v>1582</v>
      </c>
      <c r="X340" t="s">
        <v>147</v>
      </c>
      <c r="Y340" t="s">
        <v>304</v>
      </c>
      <c r="Z340" t="s">
        <v>1268</v>
      </c>
      <c r="AA340" t="s">
        <v>659</v>
      </c>
      <c r="AB340">
        <v>9230</v>
      </c>
      <c r="AC340">
        <v>5594</v>
      </c>
      <c r="AD340">
        <v>2174</v>
      </c>
      <c r="AE340">
        <v>624</v>
      </c>
      <c r="AF340">
        <v>107</v>
      </c>
      <c r="AG340">
        <v>17</v>
      </c>
      <c r="AH340">
        <v>6643</v>
      </c>
      <c r="AI340">
        <v>2847</v>
      </c>
      <c r="AJ340">
        <v>622</v>
      </c>
      <c r="AK340">
        <v>2122</v>
      </c>
      <c r="AL340">
        <v>98</v>
      </c>
      <c r="AM340">
        <v>16</v>
      </c>
      <c r="AN340" t="s">
        <v>449</v>
      </c>
      <c r="AO340">
        <f>AVERAGE(Tabla2[[#This Row],[total_kills]:[rating]])</f>
        <v>4230.3500000000004</v>
      </c>
      <c r="AP340" t="str">
        <f>VLOOKUP(Tabla2[[#This Row],[KPI]],$AS$2:$AT$5,2,1)</f>
        <v>Medio</v>
      </c>
    </row>
    <row r="341" spans="1:42" x14ac:dyDescent="0.3">
      <c r="A341">
        <v>13240</v>
      </c>
      <c r="B341" t="s">
        <v>2286</v>
      </c>
      <c r="C341" t="s">
        <v>2287</v>
      </c>
      <c r="D341">
        <v>22</v>
      </c>
      <c r="E341" t="s">
        <v>1144</v>
      </c>
      <c r="F341" t="s">
        <v>3514</v>
      </c>
      <c r="G341" t="s">
        <v>2288</v>
      </c>
      <c r="H341">
        <v>16518</v>
      </c>
      <c r="I341">
        <v>16449</v>
      </c>
      <c r="J341" t="s">
        <v>1933</v>
      </c>
      <c r="K341" t="s">
        <v>624</v>
      </c>
      <c r="L341" t="s">
        <v>179</v>
      </c>
      <c r="M341">
        <v>902</v>
      </c>
      <c r="N341">
        <v>24117</v>
      </c>
      <c r="O341" t="s">
        <v>167</v>
      </c>
      <c r="P341" t="s">
        <v>202</v>
      </c>
      <c r="Q341" t="s">
        <v>167</v>
      </c>
      <c r="R341" t="s">
        <v>96</v>
      </c>
      <c r="S341" t="s">
        <v>96</v>
      </c>
      <c r="T341">
        <v>11134</v>
      </c>
      <c r="U341" t="s">
        <v>51</v>
      </c>
      <c r="V341">
        <v>2600</v>
      </c>
      <c r="W341">
        <v>2896</v>
      </c>
      <c r="X341" t="s">
        <v>1906</v>
      </c>
      <c r="Y341" t="s">
        <v>255</v>
      </c>
      <c r="Z341" t="s">
        <v>705</v>
      </c>
      <c r="AA341" t="s">
        <v>844</v>
      </c>
      <c r="AB341">
        <v>12983</v>
      </c>
      <c r="AC341">
        <v>7105</v>
      </c>
      <c r="AD341">
        <v>2904</v>
      </c>
      <c r="AE341">
        <v>915</v>
      </c>
      <c r="AF341">
        <v>190</v>
      </c>
      <c r="AG341">
        <v>20</v>
      </c>
      <c r="AH341">
        <v>11530</v>
      </c>
      <c r="AI341">
        <v>1025</v>
      </c>
      <c r="AJ341">
        <v>1165</v>
      </c>
      <c r="AK341">
        <v>2650</v>
      </c>
      <c r="AL341">
        <v>143</v>
      </c>
      <c r="AM341">
        <v>55</v>
      </c>
      <c r="AN341" t="s">
        <v>407</v>
      </c>
      <c r="AO341">
        <f>AVERAGE(Tabla2[[#This Row],[total_kills]:[rating]])</f>
        <v>6068.4736842105267</v>
      </c>
      <c r="AP341" t="str">
        <f>VLOOKUP(Tabla2[[#This Row],[KPI]],$AS$2:$AT$5,2,1)</f>
        <v>Alto</v>
      </c>
    </row>
    <row r="342" spans="1:42" x14ac:dyDescent="0.3">
      <c r="A342">
        <v>8371</v>
      </c>
      <c r="B342" t="s">
        <v>1672</v>
      </c>
      <c r="C342" t="s">
        <v>1673</v>
      </c>
      <c r="D342">
        <v>26</v>
      </c>
      <c r="E342" t="s">
        <v>683</v>
      </c>
      <c r="F342" t="s">
        <v>1674</v>
      </c>
      <c r="G342" t="s">
        <v>1674</v>
      </c>
      <c r="H342">
        <v>24213</v>
      </c>
      <c r="I342">
        <v>22720</v>
      </c>
      <c r="J342" t="s">
        <v>1675</v>
      </c>
      <c r="K342" t="s">
        <v>531</v>
      </c>
      <c r="L342" t="s">
        <v>1170</v>
      </c>
      <c r="M342">
        <v>1315</v>
      </c>
      <c r="N342">
        <v>34818</v>
      </c>
      <c r="O342" t="s">
        <v>905</v>
      </c>
      <c r="P342" t="s">
        <v>235</v>
      </c>
      <c r="Q342" t="s">
        <v>276</v>
      </c>
      <c r="R342" t="s">
        <v>96</v>
      </c>
      <c r="S342" t="s">
        <v>67</v>
      </c>
      <c r="T342">
        <v>16410</v>
      </c>
      <c r="U342" t="s">
        <v>51</v>
      </c>
      <c r="V342">
        <v>3505</v>
      </c>
      <c r="W342">
        <v>3427</v>
      </c>
      <c r="X342" t="s">
        <v>449</v>
      </c>
      <c r="Y342" t="s">
        <v>255</v>
      </c>
      <c r="Z342" t="s">
        <v>821</v>
      </c>
      <c r="AA342" t="s">
        <v>408</v>
      </c>
      <c r="AB342">
        <v>18408</v>
      </c>
      <c r="AC342">
        <v>10479</v>
      </c>
      <c r="AD342">
        <v>4352</v>
      </c>
      <c r="AE342">
        <v>1315</v>
      </c>
      <c r="AF342">
        <v>239</v>
      </c>
      <c r="AG342">
        <v>25</v>
      </c>
      <c r="AH342">
        <v>17048</v>
      </c>
      <c r="AI342">
        <v>1257</v>
      </c>
      <c r="AJ342">
        <v>1328</v>
      </c>
      <c r="AK342">
        <v>4226</v>
      </c>
      <c r="AL342">
        <v>362</v>
      </c>
      <c r="AM342">
        <v>53</v>
      </c>
      <c r="AN342" t="s">
        <v>412</v>
      </c>
      <c r="AO342">
        <f>AVERAGE(Tabla2[[#This Row],[total_kills]:[rating]])</f>
        <v>8710.5263157894733</v>
      </c>
      <c r="AP342" t="str">
        <f>VLOOKUP(Tabla2[[#This Row],[KPI]],$AS$2:$AT$5,2,1)</f>
        <v>Superior</v>
      </c>
    </row>
    <row r="343" spans="1:42" x14ac:dyDescent="0.3">
      <c r="A343">
        <v>7253</v>
      </c>
      <c r="B343" t="s">
        <v>1934</v>
      </c>
      <c r="C343" t="s">
        <v>1935</v>
      </c>
      <c r="D343">
        <v>32</v>
      </c>
      <c r="E343" t="s">
        <v>500</v>
      </c>
      <c r="F343" t="s">
        <v>3514</v>
      </c>
      <c r="G343" t="s">
        <v>1936</v>
      </c>
      <c r="H343">
        <v>11498</v>
      </c>
      <c r="I343">
        <v>11237</v>
      </c>
      <c r="J343" t="s">
        <v>1675</v>
      </c>
      <c r="K343">
        <v>80</v>
      </c>
      <c r="L343" t="s">
        <v>949</v>
      </c>
      <c r="M343">
        <v>616</v>
      </c>
      <c r="N343">
        <v>16284</v>
      </c>
      <c r="O343" t="s">
        <v>646</v>
      </c>
      <c r="P343" t="s">
        <v>166</v>
      </c>
      <c r="Q343" t="s">
        <v>463</v>
      </c>
      <c r="R343" t="s">
        <v>96</v>
      </c>
      <c r="S343" t="s">
        <v>66</v>
      </c>
      <c r="T343">
        <v>7680</v>
      </c>
      <c r="U343" t="s">
        <v>51</v>
      </c>
      <c r="V343">
        <v>2042</v>
      </c>
      <c r="W343">
        <v>2030</v>
      </c>
      <c r="X343" t="s">
        <v>255</v>
      </c>
      <c r="Y343" t="s">
        <v>295</v>
      </c>
      <c r="Z343" t="s">
        <v>347</v>
      </c>
      <c r="AA343" t="s">
        <v>392</v>
      </c>
      <c r="AB343">
        <v>8604</v>
      </c>
      <c r="AC343">
        <v>4782</v>
      </c>
      <c r="AD343">
        <v>2137</v>
      </c>
      <c r="AE343">
        <v>631</v>
      </c>
      <c r="AF343">
        <v>108</v>
      </c>
      <c r="AG343">
        <v>22</v>
      </c>
      <c r="AH343">
        <v>6911</v>
      </c>
      <c r="AI343">
        <v>1359</v>
      </c>
      <c r="AJ343">
        <v>876</v>
      </c>
      <c r="AK343">
        <v>2025</v>
      </c>
      <c r="AL343">
        <v>171</v>
      </c>
      <c r="AM343">
        <v>180</v>
      </c>
      <c r="AN343" t="s">
        <v>449</v>
      </c>
      <c r="AO343">
        <f>AVERAGE(Tabla2[[#This Row],[total_kills]:[rating]])</f>
        <v>3963.65</v>
      </c>
      <c r="AP343" t="str">
        <f>VLOOKUP(Tabla2[[#This Row],[KPI]],$AS$2:$AT$5,2,1)</f>
        <v>Medio</v>
      </c>
    </row>
    <row r="344" spans="1:42" x14ac:dyDescent="0.3">
      <c r="A344">
        <v>13157</v>
      </c>
      <c r="B344" t="s">
        <v>2403</v>
      </c>
      <c r="C344" t="s">
        <v>2404</v>
      </c>
      <c r="D344">
        <v>24</v>
      </c>
      <c r="E344" t="s">
        <v>75</v>
      </c>
      <c r="F344" t="s">
        <v>491</v>
      </c>
      <c r="G344" t="s">
        <v>491</v>
      </c>
      <c r="H344">
        <v>29312</v>
      </c>
      <c r="I344">
        <v>29038</v>
      </c>
      <c r="J344" t="s">
        <v>1675</v>
      </c>
      <c r="K344" t="s">
        <v>723</v>
      </c>
      <c r="L344" t="s">
        <v>224</v>
      </c>
      <c r="M344">
        <v>1598</v>
      </c>
      <c r="N344">
        <v>43012</v>
      </c>
      <c r="O344" t="s">
        <v>167</v>
      </c>
      <c r="P344" t="s">
        <v>235</v>
      </c>
      <c r="Q344" t="s">
        <v>167</v>
      </c>
      <c r="R344" t="s">
        <v>50</v>
      </c>
      <c r="S344" t="s">
        <v>96</v>
      </c>
      <c r="T344">
        <v>20081</v>
      </c>
      <c r="U344" t="s">
        <v>51</v>
      </c>
      <c r="V344">
        <v>4508</v>
      </c>
      <c r="W344">
        <v>4337</v>
      </c>
      <c r="X344" t="s">
        <v>407</v>
      </c>
      <c r="Y344" t="s">
        <v>449</v>
      </c>
      <c r="Z344" t="s">
        <v>54</v>
      </c>
      <c r="AA344" t="s">
        <v>577</v>
      </c>
      <c r="AB344">
        <v>22931</v>
      </c>
      <c r="AC344">
        <v>13033</v>
      </c>
      <c r="AD344">
        <v>5234</v>
      </c>
      <c r="AE344">
        <v>1480</v>
      </c>
      <c r="AF344">
        <v>299</v>
      </c>
      <c r="AG344">
        <v>35</v>
      </c>
      <c r="AH344">
        <v>21174</v>
      </c>
      <c r="AI344">
        <v>496</v>
      </c>
      <c r="AJ344">
        <v>2723</v>
      </c>
      <c r="AK344">
        <v>4648</v>
      </c>
      <c r="AL344">
        <v>273</v>
      </c>
      <c r="AM344">
        <v>71</v>
      </c>
      <c r="AN344" t="s">
        <v>464</v>
      </c>
      <c r="AO344">
        <f>AVERAGE(Tabla2[[#This Row],[total_kills]:[rating]])</f>
        <v>10751.736842105263</v>
      </c>
      <c r="AP344" t="str">
        <f>VLOOKUP(Tabla2[[#This Row],[KPI]],$AS$2:$AT$5,2,1)</f>
        <v>Superior</v>
      </c>
    </row>
    <row r="345" spans="1:42" x14ac:dyDescent="0.3">
      <c r="A345">
        <v>13177</v>
      </c>
      <c r="B345" t="s">
        <v>2586</v>
      </c>
      <c r="C345" t="s">
        <v>2587</v>
      </c>
      <c r="D345">
        <v>26</v>
      </c>
      <c r="E345" t="s">
        <v>459</v>
      </c>
      <c r="F345" t="s">
        <v>3514</v>
      </c>
      <c r="G345" t="s">
        <v>2588</v>
      </c>
      <c r="H345">
        <v>7396</v>
      </c>
      <c r="I345">
        <v>7370</v>
      </c>
      <c r="J345" t="s">
        <v>1675</v>
      </c>
      <c r="K345" t="s">
        <v>540</v>
      </c>
      <c r="L345" t="s">
        <v>201</v>
      </c>
      <c r="M345">
        <v>427</v>
      </c>
      <c r="N345">
        <v>10968</v>
      </c>
      <c r="O345" t="s">
        <v>225</v>
      </c>
      <c r="P345" t="s">
        <v>202</v>
      </c>
      <c r="Q345" t="s">
        <v>225</v>
      </c>
      <c r="R345" t="s">
        <v>50</v>
      </c>
      <c r="S345" t="s">
        <v>50</v>
      </c>
      <c r="T345">
        <v>5095</v>
      </c>
      <c r="U345" t="s">
        <v>51</v>
      </c>
      <c r="V345">
        <v>906</v>
      </c>
      <c r="W345">
        <v>901</v>
      </c>
      <c r="X345" t="s">
        <v>255</v>
      </c>
      <c r="Y345" t="s">
        <v>1570</v>
      </c>
      <c r="Z345" t="s">
        <v>2045</v>
      </c>
      <c r="AA345" t="s">
        <v>287</v>
      </c>
      <c r="AB345">
        <v>5873</v>
      </c>
      <c r="AC345">
        <v>3300</v>
      </c>
      <c r="AD345">
        <v>1367</v>
      </c>
      <c r="AE345">
        <v>358</v>
      </c>
      <c r="AF345">
        <v>62</v>
      </c>
      <c r="AG345">
        <v>8</v>
      </c>
      <c r="AH345">
        <v>5076</v>
      </c>
      <c r="AI345">
        <v>353</v>
      </c>
      <c r="AJ345">
        <v>498</v>
      </c>
      <c r="AK345">
        <v>1394</v>
      </c>
      <c r="AL345">
        <v>82</v>
      </c>
      <c r="AM345">
        <v>6</v>
      </c>
      <c r="AN345" t="s">
        <v>304</v>
      </c>
      <c r="AO345">
        <f>AVERAGE(Tabla2[[#This Row],[total_kills]:[rating]])</f>
        <v>2707.3684210526317</v>
      </c>
      <c r="AP345" t="str">
        <f>VLOOKUP(Tabla2[[#This Row],[KPI]],$AS$2:$AT$5,2,1)</f>
        <v>Bajo</v>
      </c>
    </row>
    <row r="346" spans="1:42" x14ac:dyDescent="0.3">
      <c r="A346">
        <v>9480</v>
      </c>
      <c r="B346" t="s">
        <v>2653</v>
      </c>
      <c r="C346" t="s">
        <v>2654</v>
      </c>
      <c r="D346">
        <v>26</v>
      </c>
      <c r="E346" t="s">
        <v>104</v>
      </c>
      <c r="F346" t="s">
        <v>3514</v>
      </c>
      <c r="G346" t="s">
        <v>2655</v>
      </c>
      <c r="H346">
        <v>7090</v>
      </c>
      <c r="I346">
        <v>7199</v>
      </c>
      <c r="J346" t="s">
        <v>1675</v>
      </c>
      <c r="K346" t="s">
        <v>494</v>
      </c>
      <c r="L346" t="s">
        <v>46</v>
      </c>
      <c r="M346">
        <v>407</v>
      </c>
      <c r="N346">
        <v>10476</v>
      </c>
      <c r="O346" t="s">
        <v>167</v>
      </c>
      <c r="P346" t="s">
        <v>235</v>
      </c>
      <c r="Q346" t="s">
        <v>463</v>
      </c>
      <c r="R346" t="s">
        <v>96</v>
      </c>
      <c r="S346" t="s">
        <v>50</v>
      </c>
      <c r="T346">
        <v>4836</v>
      </c>
      <c r="U346" t="s">
        <v>51</v>
      </c>
      <c r="V346">
        <v>997</v>
      </c>
      <c r="W346">
        <v>1106</v>
      </c>
      <c r="X346" t="s">
        <v>1906</v>
      </c>
      <c r="Y346" t="s">
        <v>503</v>
      </c>
      <c r="Z346" t="s">
        <v>1020</v>
      </c>
      <c r="AA346" t="s">
        <v>363</v>
      </c>
      <c r="AB346">
        <v>5640</v>
      </c>
      <c r="AC346">
        <v>3109</v>
      </c>
      <c r="AD346">
        <v>1285</v>
      </c>
      <c r="AE346">
        <v>363</v>
      </c>
      <c r="AF346">
        <v>73</v>
      </c>
      <c r="AG346">
        <v>6</v>
      </c>
      <c r="AH346">
        <v>5182</v>
      </c>
      <c r="AI346">
        <v>73</v>
      </c>
      <c r="AJ346">
        <v>442</v>
      </c>
      <c r="AK346">
        <v>1329</v>
      </c>
      <c r="AL346">
        <v>62</v>
      </c>
      <c r="AM346">
        <v>16</v>
      </c>
      <c r="AN346" t="s">
        <v>245</v>
      </c>
      <c r="AO346">
        <f>AVERAGE(Tabla2[[#This Row],[total_kills]:[rating]])</f>
        <v>2615.3157894736842</v>
      </c>
      <c r="AP346" t="str">
        <f>VLOOKUP(Tabla2[[#This Row],[KPI]],$AS$2:$AT$5,2,1)</f>
        <v>Bajo</v>
      </c>
    </row>
    <row r="347" spans="1:42" x14ac:dyDescent="0.3">
      <c r="A347">
        <v>8605</v>
      </c>
      <c r="B347" t="s">
        <v>1127</v>
      </c>
      <c r="C347" t="s">
        <v>1128</v>
      </c>
      <c r="D347">
        <v>27</v>
      </c>
      <c r="E347" t="s">
        <v>209</v>
      </c>
      <c r="F347" t="s">
        <v>3514</v>
      </c>
      <c r="G347" t="s">
        <v>210</v>
      </c>
      <c r="H347">
        <v>23702</v>
      </c>
      <c r="I347">
        <v>21561</v>
      </c>
      <c r="J347" t="s">
        <v>1129</v>
      </c>
      <c r="K347" t="s">
        <v>1130</v>
      </c>
      <c r="L347" t="s">
        <v>462</v>
      </c>
      <c r="M347">
        <v>1253</v>
      </c>
      <c r="N347">
        <v>32437</v>
      </c>
      <c r="O347" t="s">
        <v>495</v>
      </c>
      <c r="P347" t="s">
        <v>202</v>
      </c>
      <c r="Q347" t="s">
        <v>322</v>
      </c>
      <c r="R347" t="s">
        <v>50</v>
      </c>
      <c r="S347" t="s">
        <v>96</v>
      </c>
      <c r="T347">
        <v>15837</v>
      </c>
      <c r="U347" t="s">
        <v>51</v>
      </c>
      <c r="V347">
        <v>3842</v>
      </c>
      <c r="W347">
        <v>3575</v>
      </c>
      <c r="X347" t="s">
        <v>464</v>
      </c>
      <c r="Y347" t="s">
        <v>277</v>
      </c>
      <c r="Z347" t="s">
        <v>192</v>
      </c>
      <c r="AA347" t="s">
        <v>86</v>
      </c>
      <c r="AB347">
        <v>16600</v>
      </c>
      <c r="AC347">
        <v>9947</v>
      </c>
      <c r="AD347">
        <v>4257</v>
      </c>
      <c r="AE347">
        <v>1324</v>
      </c>
      <c r="AF347">
        <v>278</v>
      </c>
      <c r="AG347">
        <v>31</v>
      </c>
      <c r="AH347">
        <v>14963</v>
      </c>
      <c r="AI347">
        <v>2229</v>
      </c>
      <c r="AJ347">
        <v>2071</v>
      </c>
      <c r="AK347">
        <v>4110</v>
      </c>
      <c r="AL347">
        <v>199</v>
      </c>
      <c r="AM347">
        <v>184</v>
      </c>
      <c r="AN347" t="s">
        <v>464</v>
      </c>
      <c r="AO347">
        <f>AVERAGE(Tabla2[[#This Row],[total_kills]:[rating]])</f>
        <v>8336.8421052631584</v>
      </c>
      <c r="AP347" t="str">
        <f>VLOOKUP(Tabla2[[#This Row],[KPI]],$AS$2:$AT$5,2,1)</f>
        <v>Superior</v>
      </c>
    </row>
    <row r="348" spans="1:42" x14ac:dyDescent="0.3">
      <c r="A348">
        <v>12092</v>
      </c>
      <c r="B348" t="s">
        <v>1649</v>
      </c>
      <c r="C348" t="s">
        <v>1650</v>
      </c>
      <c r="D348">
        <v>23</v>
      </c>
      <c r="E348" t="s">
        <v>512</v>
      </c>
      <c r="F348" t="s">
        <v>513</v>
      </c>
      <c r="G348" t="s">
        <v>1651</v>
      </c>
      <c r="H348">
        <v>10448</v>
      </c>
      <c r="I348">
        <v>9800</v>
      </c>
      <c r="J348" t="s">
        <v>1129</v>
      </c>
      <c r="K348" t="s">
        <v>263</v>
      </c>
      <c r="L348" t="s">
        <v>201</v>
      </c>
      <c r="M348">
        <v>561</v>
      </c>
      <c r="N348">
        <v>14866</v>
      </c>
      <c r="O348" t="s">
        <v>905</v>
      </c>
      <c r="P348" t="s">
        <v>235</v>
      </c>
      <c r="Q348" t="s">
        <v>322</v>
      </c>
      <c r="R348" t="s">
        <v>50</v>
      </c>
      <c r="S348" t="s">
        <v>50</v>
      </c>
      <c r="T348">
        <v>7086</v>
      </c>
      <c r="U348" t="s">
        <v>51</v>
      </c>
      <c r="V348">
        <v>1610</v>
      </c>
      <c r="W348">
        <v>1522</v>
      </c>
      <c r="X348" t="s">
        <v>590</v>
      </c>
      <c r="Y348" t="s">
        <v>407</v>
      </c>
      <c r="Z348" t="s">
        <v>718</v>
      </c>
      <c r="AA348" t="s">
        <v>602</v>
      </c>
      <c r="AB348">
        <v>7780</v>
      </c>
      <c r="AC348">
        <v>4514</v>
      </c>
      <c r="AD348">
        <v>1906</v>
      </c>
      <c r="AE348">
        <v>555</v>
      </c>
      <c r="AF348">
        <v>98</v>
      </c>
      <c r="AG348">
        <v>13</v>
      </c>
      <c r="AH348">
        <v>8002</v>
      </c>
      <c r="AI348">
        <v>175</v>
      </c>
      <c r="AJ348">
        <v>581</v>
      </c>
      <c r="AK348">
        <v>1600</v>
      </c>
      <c r="AL348">
        <v>99</v>
      </c>
      <c r="AM348">
        <v>30</v>
      </c>
      <c r="AN348" t="s">
        <v>362</v>
      </c>
      <c r="AO348">
        <f>AVERAGE(Tabla2[[#This Row],[total_kills]:[rating]])</f>
        <v>3749.7894736842104</v>
      </c>
      <c r="AP348" t="str">
        <f>VLOOKUP(Tabla2[[#This Row],[KPI]],$AS$2:$AT$5,2,1)</f>
        <v>Medio</v>
      </c>
    </row>
    <row r="349" spans="1:42" x14ac:dyDescent="0.3">
      <c r="A349">
        <v>3347</v>
      </c>
      <c r="B349" t="s">
        <v>2796</v>
      </c>
      <c r="C349" t="s">
        <v>2797</v>
      </c>
      <c r="D349">
        <v>27</v>
      </c>
      <c r="E349" t="s">
        <v>75</v>
      </c>
      <c r="F349" t="s">
        <v>2798</v>
      </c>
      <c r="G349" t="s">
        <v>60</v>
      </c>
      <c r="H349">
        <v>26348</v>
      </c>
      <c r="I349">
        <v>26940</v>
      </c>
      <c r="J349" t="s">
        <v>1129</v>
      </c>
      <c r="K349" t="s">
        <v>1288</v>
      </c>
      <c r="L349" t="s">
        <v>282</v>
      </c>
      <c r="M349">
        <v>1507</v>
      </c>
      <c r="N349">
        <v>39658</v>
      </c>
      <c r="O349" t="s">
        <v>322</v>
      </c>
      <c r="P349" t="s">
        <v>166</v>
      </c>
      <c r="Q349" t="s">
        <v>167</v>
      </c>
      <c r="R349" t="s">
        <v>66</v>
      </c>
      <c r="S349" t="s">
        <v>135</v>
      </c>
      <c r="T349">
        <v>18157</v>
      </c>
      <c r="U349" t="s">
        <v>51</v>
      </c>
      <c r="V349">
        <v>3935</v>
      </c>
      <c r="W349">
        <v>4229</v>
      </c>
      <c r="X349" t="s">
        <v>950</v>
      </c>
      <c r="Y349" t="s">
        <v>285</v>
      </c>
      <c r="Z349" t="s">
        <v>137</v>
      </c>
      <c r="AA349" t="s">
        <v>408</v>
      </c>
      <c r="AB349">
        <v>21501</v>
      </c>
      <c r="AC349">
        <v>11915</v>
      </c>
      <c r="AD349">
        <v>4642</v>
      </c>
      <c r="AE349">
        <v>1330</v>
      </c>
      <c r="AF349">
        <v>247</v>
      </c>
      <c r="AG349">
        <v>23</v>
      </c>
      <c r="AH349">
        <v>18815</v>
      </c>
      <c r="AI349">
        <v>1313</v>
      </c>
      <c r="AJ349">
        <v>1434</v>
      </c>
      <c r="AK349">
        <v>4193</v>
      </c>
      <c r="AL349">
        <v>411</v>
      </c>
      <c r="AM349">
        <v>218</v>
      </c>
      <c r="AN349" t="s">
        <v>503</v>
      </c>
      <c r="AO349">
        <f>AVERAGE(Tabla2[[#This Row],[total_kills]:[rating]])</f>
        <v>9832.4210526315783</v>
      </c>
      <c r="AP349" t="str">
        <f>VLOOKUP(Tabla2[[#This Row],[KPI]],$AS$2:$AT$5,2,1)</f>
        <v>Superior</v>
      </c>
    </row>
    <row r="350" spans="1:42" x14ac:dyDescent="0.3">
      <c r="A350">
        <v>41</v>
      </c>
      <c r="B350" t="s">
        <v>3348</v>
      </c>
      <c r="C350" t="s">
        <v>3349</v>
      </c>
      <c r="D350">
        <v>31</v>
      </c>
      <c r="E350" t="s">
        <v>545</v>
      </c>
      <c r="F350" t="s">
        <v>3514</v>
      </c>
      <c r="G350" t="s">
        <v>1149</v>
      </c>
      <c r="H350">
        <v>18722</v>
      </c>
      <c r="I350">
        <v>20989</v>
      </c>
      <c r="J350" t="s">
        <v>1129</v>
      </c>
      <c r="K350" t="s">
        <v>3350</v>
      </c>
      <c r="L350">
        <v>4</v>
      </c>
      <c r="M350">
        <v>1199</v>
      </c>
      <c r="N350">
        <v>31403</v>
      </c>
      <c r="O350" t="s">
        <v>134</v>
      </c>
      <c r="P350" t="s">
        <v>235</v>
      </c>
      <c r="Q350" t="s">
        <v>225</v>
      </c>
      <c r="R350" t="s">
        <v>96</v>
      </c>
      <c r="S350" t="s">
        <v>66</v>
      </c>
      <c r="T350">
        <v>13294</v>
      </c>
      <c r="U350" t="s">
        <v>51</v>
      </c>
      <c r="V350">
        <v>2583</v>
      </c>
      <c r="W350">
        <v>3318</v>
      </c>
      <c r="X350" t="s">
        <v>123</v>
      </c>
      <c r="Y350" t="s">
        <v>1906</v>
      </c>
      <c r="Z350" t="s">
        <v>635</v>
      </c>
      <c r="AA350" t="s">
        <v>2429</v>
      </c>
      <c r="AB350">
        <v>18109</v>
      </c>
      <c r="AC350">
        <v>9042</v>
      </c>
      <c r="AD350">
        <v>3264</v>
      </c>
      <c r="AE350">
        <v>845</v>
      </c>
      <c r="AF350">
        <v>136</v>
      </c>
      <c r="AG350">
        <v>7</v>
      </c>
      <c r="AH350">
        <v>14083</v>
      </c>
      <c r="AI350">
        <v>234</v>
      </c>
      <c r="AJ350">
        <v>1063</v>
      </c>
      <c r="AK350">
        <v>2976</v>
      </c>
      <c r="AL350">
        <v>332</v>
      </c>
      <c r="AM350">
        <v>48</v>
      </c>
      <c r="AN350" t="s">
        <v>1551</v>
      </c>
      <c r="AO350">
        <f>AVERAGE(Tabla2[[#This Row],[total_kills]:[rating]])</f>
        <v>7082.55</v>
      </c>
      <c r="AP350" t="str">
        <f>VLOOKUP(Tabla2[[#This Row],[KPI]],$AS$2:$AT$5,2,1)</f>
        <v>Superior</v>
      </c>
    </row>
    <row r="351" spans="1:42" x14ac:dyDescent="0.3">
      <c r="A351">
        <v>10588</v>
      </c>
      <c r="B351" t="s">
        <v>1048</v>
      </c>
      <c r="C351" t="s">
        <v>1049</v>
      </c>
      <c r="D351">
        <v>24</v>
      </c>
      <c r="E351" t="s">
        <v>299</v>
      </c>
      <c r="F351" t="s">
        <v>260</v>
      </c>
      <c r="G351" t="s">
        <v>1050</v>
      </c>
      <c r="H351">
        <v>17667</v>
      </c>
      <c r="I351">
        <v>15597</v>
      </c>
      <c r="J351" t="s">
        <v>1051</v>
      </c>
      <c r="K351" t="s">
        <v>843</v>
      </c>
      <c r="L351" t="s">
        <v>164</v>
      </c>
      <c r="M351">
        <v>978</v>
      </c>
      <c r="N351">
        <v>25217</v>
      </c>
      <c r="O351" t="s">
        <v>905</v>
      </c>
      <c r="P351" t="s">
        <v>166</v>
      </c>
      <c r="Q351" t="s">
        <v>144</v>
      </c>
      <c r="R351" t="s">
        <v>50</v>
      </c>
      <c r="S351" t="s">
        <v>67</v>
      </c>
      <c r="T351">
        <v>11853</v>
      </c>
      <c r="U351" t="s">
        <v>51</v>
      </c>
      <c r="V351">
        <v>2201</v>
      </c>
      <c r="W351">
        <v>1936</v>
      </c>
      <c r="X351" t="s">
        <v>111</v>
      </c>
      <c r="Y351" t="s">
        <v>245</v>
      </c>
      <c r="Z351" t="s">
        <v>809</v>
      </c>
      <c r="AA351" t="s">
        <v>1052</v>
      </c>
      <c r="AB351">
        <v>13364</v>
      </c>
      <c r="AC351">
        <v>7519</v>
      </c>
      <c r="AD351">
        <v>3105</v>
      </c>
      <c r="AE351">
        <v>998</v>
      </c>
      <c r="AF351">
        <v>211</v>
      </c>
      <c r="AG351">
        <v>20</v>
      </c>
      <c r="AH351">
        <v>12976</v>
      </c>
      <c r="AI351">
        <v>169</v>
      </c>
      <c r="AJ351">
        <v>1289</v>
      </c>
      <c r="AK351">
        <v>2968</v>
      </c>
      <c r="AL351">
        <v>270</v>
      </c>
      <c r="AM351">
        <v>48</v>
      </c>
      <c r="AN351" t="s">
        <v>464</v>
      </c>
      <c r="AO351">
        <f>AVERAGE(Tabla2[[#This Row],[total_kills]:[rating]])</f>
        <v>6230.8421052631575</v>
      </c>
      <c r="AP351" t="str">
        <f>VLOOKUP(Tabla2[[#This Row],[KPI]],$AS$2:$AT$5,2,1)</f>
        <v>Alto</v>
      </c>
    </row>
    <row r="352" spans="1:42" x14ac:dyDescent="0.3">
      <c r="A352">
        <v>10870</v>
      </c>
      <c r="B352" t="s">
        <v>1577</v>
      </c>
      <c r="C352" t="s">
        <v>1578</v>
      </c>
      <c r="D352">
        <v>27</v>
      </c>
      <c r="E352" t="s">
        <v>403</v>
      </c>
      <c r="F352" t="s">
        <v>1446</v>
      </c>
      <c r="G352" t="s">
        <v>1579</v>
      </c>
      <c r="H352">
        <v>15043</v>
      </c>
      <c r="I352">
        <v>14018</v>
      </c>
      <c r="J352" t="s">
        <v>1051</v>
      </c>
      <c r="K352" t="s">
        <v>639</v>
      </c>
      <c r="L352" t="s">
        <v>612</v>
      </c>
      <c r="M352">
        <v>813</v>
      </c>
      <c r="N352">
        <v>21372</v>
      </c>
      <c r="O352" t="s">
        <v>905</v>
      </c>
      <c r="P352" t="s">
        <v>202</v>
      </c>
      <c r="Q352" t="s">
        <v>322</v>
      </c>
      <c r="R352" t="s">
        <v>66</v>
      </c>
      <c r="S352" t="s">
        <v>96</v>
      </c>
      <c r="T352">
        <v>10215</v>
      </c>
      <c r="U352" t="s">
        <v>51</v>
      </c>
      <c r="V352">
        <v>1929</v>
      </c>
      <c r="W352">
        <v>1794</v>
      </c>
      <c r="X352" t="s">
        <v>277</v>
      </c>
      <c r="Y352" t="s">
        <v>245</v>
      </c>
      <c r="Z352" t="s">
        <v>473</v>
      </c>
      <c r="AA352" t="s">
        <v>518</v>
      </c>
      <c r="AB352">
        <v>11157</v>
      </c>
      <c r="AC352">
        <v>6539</v>
      </c>
      <c r="AD352">
        <v>2713</v>
      </c>
      <c r="AE352">
        <v>789</v>
      </c>
      <c r="AF352">
        <v>159</v>
      </c>
      <c r="AG352">
        <v>15</v>
      </c>
      <c r="AH352">
        <v>10285</v>
      </c>
      <c r="AI352">
        <v>819</v>
      </c>
      <c r="AJ352">
        <v>845</v>
      </c>
      <c r="AK352">
        <v>2647</v>
      </c>
      <c r="AL352">
        <v>214</v>
      </c>
      <c r="AM352">
        <v>274</v>
      </c>
      <c r="AN352" t="s">
        <v>295</v>
      </c>
      <c r="AO352">
        <f>AVERAGE(Tabla2[[#This Row],[total_kills]:[rating]])</f>
        <v>5349.4736842105267</v>
      </c>
      <c r="AP352" t="str">
        <f>VLOOKUP(Tabla2[[#This Row],[KPI]],$AS$2:$AT$5,2,1)</f>
        <v>Alto</v>
      </c>
    </row>
    <row r="353" spans="1:42" x14ac:dyDescent="0.3">
      <c r="A353">
        <v>8744</v>
      </c>
      <c r="B353" t="s">
        <v>2199</v>
      </c>
      <c r="C353" t="s">
        <v>2200</v>
      </c>
      <c r="D353">
        <v>31</v>
      </c>
      <c r="E353" t="s">
        <v>299</v>
      </c>
      <c r="F353" t="s">
        <v>3514</v>
      </c>
      <c r="G353" t="s">
        <v>2201</v>
      </c>
      <c r="H353">
        <v>12837</v>
      </c>
      <c r="I353">
        <v>12350</v>
      </c>
      <c r="J353" t="s">
        <v>1051</v>
      </c>
      <c r="K353" t="s">
        <v>920</v>
      </c>
      <c r="L353" t="s">
        <v>949</v>
      </c>
      <c r="M353">
        <v>751</v>
      </c>
      <c r="N353">
        <v>18931</v>
      </c>
      <c r="O353" t="s">
        <v>167</v>
      </c>
      <c r="P353" t="s">
        <v>235</v>
      </c>
      <c r="Q353" t="s">
        <v>276</v>
      </c>
      <c r="R353" t="s">
        <v>50</v>
      </c>
      <c r="S353" t="s">
        <v>96</v>
      </c>
      <c r="T353">
        <v>8799</v>
      </c>
      <c r="U353" t="s">
        <v>51</v>
      </c>
      <c r="V353">
        <v>1548</v>
      </c>
      <c r="W353">
        <v>1650</v>
      </c>
      <c r="X353" t="s">
        <v>1570</v>
      </c>
      <c r="Y353" t="s">
        <v>950</v>
      </c>
      <c r="Z353" t="s">
        <v>1681</v>
      </c>
      <c r="AA353" t="s">
        <v>1276</v>
      </c>
      <c r="AB353">
        <v>10132</v>
      </c>
      <c r="AC353">
        <v>5668</v>
      </c>
      <c r="AD353">
        <v>2357</v>
      </c>
      <c r="AE353">
        <v>654</v>
      </c>
      <c r="AF353">
        <v>112</v>
      </c>
      <c r="AG353">
        <v>8</v>
      </c>
      <c r="AH353">
        <v>9356</v>
      </c>
      <c r="AI353">
        <v>107</v>
      </c>
      <c r="AJ353">
        <v>1035</v>
      </c>
      <c r="AK353">
        <v>2079</v>
      </c>
      <c r="AL353">
        <v>247</v>
      </c>
      <c r="AM353">
        <v>34</v>
      </c>
      <c r="AN353" t="s">
        <v>255</v>
      </c>
      <c r="AO353">
        <f>AVERAGE(Tabla2[[#This Row],[total_kills]:[rating]])</f>
        <v>4666.0526315789475</v>
      </c>
      <c r="AP353" t="str">
        <f>VLOOKUP(Tabla2[[#This Row],[KPI]],$AS$2:$AT$5,2,1)</f>
        <v>Medio</v>
      </c>
    </row>
    <row r="354" spans="1:42" x14ac:dyDescent="0.3">
      <c r="A354">
        <v>3669</v>
      </c>
      <c r="B354" t="s">
        <v>2234</v>
      </c>
      <c r="C354" t="s">
        <v>2235</v>
      </c>
      <c r="D354">
        <v>28</v>
      </c>
      <c r="E354" t="s">
        <v>327</v>
      </c>
      <c r="F354" t="s">
        <v>2236</v>
      </c>
      <c r="G354" t="s">
        <v>2237</v>
      </c>
      <c r="H354">
        <v>32510</v>
      </c>
      <c r="I354">
        <v>31989</v>
      </c>
      <c r="J354" t="s">
        <v>1051</v>
      </c>
      <c r="K354" t="s">
        <v>1183</v>
      </c>
      <c r="L354" t="s">
        <v>244</v>
      </c>
      <c r="M354">
        <v>1781</v>
      </c>
      <c r="N354">
        <v>46956</v>
      </c>
      <c r="O354" t="s">
        <v>463</v>
      </c>
      <c r="P354" t="s">
        <v>166</v>
      </c>
      <c r="Q354" t="s">
        <v>167</v>
      </c>
      <c r="R354" t="s">
        <v>96</v>
      </c>
      <c r="S354" t="s">
        <v>96</v>
      </c>
      <c r="T354">
        <v>22063</v>
      </c>
      <c r="U354" t="s">
        <v>51</v>
      </c>
      <c r="V354">
        <v>4286</v>
      </c>
      <c r="W354">
        <v>4249</v>
      </c>
      <c r="X354" t="s">
        <v>255</v>
      </c>
      <c r="Y354" t="s">
        <v>503</v>
      </c>
      <c r="Z354" t="s">
        <v>809</v>
      </c>
      <c r="AA354" t="s">
        <v>1379</v>
      </c>
      <c r="AB354">
        <v>24893</v>
      </c>
      <c r="AC354">
        <v>14090</v>
      </c>
      <c r="AD354">
        <v>5872</v>
      </c>
      <c r="AE354">
        <v>1766</v>
      </c>
      <c r="AF354">
        <v>310</v>
      </c>
      <c r="AG354">
        <v>25</v>
      </c>
      <c r="AH354">
        <v>24182</v>
      </c>
      <c r="AI354">
        <v>774</v>
      </c>
      <c r="AJ354">
        <v>1270</v>
      </c>
      <c r="AK354">
        <v>5790</v>
      </c>
      <c r="AL354">
        <v>483</v>
      </c>
      <c r="AM354">
        <v>50</v>
      </c>
      <c r="AN354">
        <v>1</v>
      </c>
      <c r="AO354">
        <f>AVERAGE(Tabla2[[#This Row],[total_kills]:[rating]])</f>
        <v>11167</v>
      </c>
      <c r="AP354" t="str">
        <f>VLOOKUP(Tabla2[[#This Row],[KPI]],$AS$2:$AT$5,2,1)</f>
        <v>Superior</v>
      </c>
    </row>
    <row r="355" spans="1:42" x14ac:dyDescent="0.3">
      <c r="A355">
        <v>10163</v>
      </c>
      <c r="B355" t="s">
        <v>2362</v>
      </c>
      <c r="C355" t="s">
        <v>2363</v>
      </c>
      <c r="D355">
        <v>25</v>
      </c>
      <c r="E355" t="s">
        <v>299</v>
      </c>
      <c r="F355" t="s">
        <v>3514</v>
      </c>
      <c r="G355" t="s">
        <v>1279</v>
      </c>
      <c r="H355">
        <v>6620</v>
      </c>
      <c r="I355">
        <v>6458</v>
      </c>
      <c r="J355" t="s">
        <v>1051</v>
      </c>
      <c r="K355" t="s">
        <v>486</v>
      </c>
      <c r="L355" t="s">
        <v>224</v>
      </c>
      <c r="M355">
        <v>389</v>
      </c>
      <c r="N355">
        <v>9930</v>
      </c>
      <c r="O355" t="s">
        <v>225</v>
      </c>
      <c r="P355" t="s">
        <v>235</v>
      </c>
      <c r="Q355" t="s">
        <v>276</v>
      </c>
      <c r="R355" t="s">
        <v>96</v>
      </c>
      <c r="S355" t="s">
        <v>66</v>
      </c>
      <c r="T355">
        <v>4527</v>
      </c>
      <c r="U355" t="s">
        <v>51</v>
      </c>
      <c r="V355">
        <v>763</v>
      </c>
      <c r="W355">
        <v>826</v>
      </c>
      <c r="X355" t="s">
        <v>1314</v>
      </c>
      <c r="Y355" t="s">
        <v>1749</v>
      </c>
      <c r="Z355" t="s">
        <v>1467</v>
      </c>
      <c r="AA355" t="s">
        <v>2364</v>
      </c>
      <c r="AB355">
        <v>5403</v>
      </c>
      <c r="AC355">
        <v>2910</v>
      </c>
      <c r="AD355">
        <v>1214</v>
      </c>
      <c r="AE355">
        <v>334</v>
      </c>
      <c r="AF355">
        <v>65</v>
      </c>
      <c r="AG355">
        <v>4</v>
      </c>
      <c r="AH355">
        <v>4512</v>
      </c>
      <c r="AI355">
        <v>91</v>
      </c>
      <c r="AJ355">
        <v>592</v>
      </c>
      <c r="AK355">
        <v>1324</v>
      </c>
      <c r="AL355">
        <v>96</v>
      </c>
      <c r="AM355">
        <v>17</v>
      </c>
      <c r="AN355">
        <v>1</v>
      </c>
      <c r="AO355">
        <f>AVERAGE(Tabla2[[#This Row],[total_kills]:[rating]])</f>
        <v>2303.8000000000002</v>
      </c>
      <c r="AP355" t="str">
        <f>VLOOKUP(Tabla2[[#This Row],[KPI]],$AS$2:$AT$5,2,1)</f>
        <v>Bajo</v>
      </c>
    </row>
    <row r="356" spans="1:42" x14ac:dyDescent="0.3">
      <c r="A356">
        <v>6451</v>
      </c>
      <c r="B356" t="s">
        <v>3329</v>
      </c>
      <c r="C356" t="s">
        <v>3330</v>
      </c>
      <c r="D356">
        <v>30</v>
      </c>
      <c r="E356" t="s">
        <v>500</v>
      </c>
      <c r="F356" t="s">
        <v>3514</v>
      </c>
      <c r="G356" t="s">
        <v>3331</v>
      </c>
      <c r="H356">
        <v>15287</v>
      </c>
      <c r="I356">
        <v>17081</v>
      </c>
      <c r="J356" t="s">
        <v>1051</v>
      </c>
      <c r="K356">
        <v>68</v>
      </c>
      <c r="L356" t="s">
        <v>398</v>
      </c>
      <c r="M356">
        <v>953</v>
      </c>
      <c r="N356">
        <v>25080</v>
      </c>
      <c r="O356" t="s">
        <v>49</v>
      </c>
      <c r="P356" t="s">
        <v>235</v>
      </c>
      <c r="Q356" t="s">
        <v>167</v>
      </c>
      <c r="R356" t="s">
        <v>50</v>
      </c>
      <c r="S356" t="s">
        <v>66</v>
      </c>
      <c r="T356">
        <v>10878</v>
      </c>
      <c r="U356" t="s">
        <v>51</v>
      </c>
      <c r="V356">
        <v>1896</v>
      </c>
      <c r="W356">
        <v>2362</v>
      </c>
      <c r="X356" t="s">
        <v>94</v>
      </c>
      <c r="Y356" t="s">
        <v>1551</v>
      </c>
      <c r="Z356" t="s">
        <v>217</v>
      </c>
      <c r="AA356" t="s">
        <v>1443</v>
      </c>
      <c r="AB356">
        <v>14202</v>
      </c>
      <c r="AC356">
        <v>7389</v>
      </c>
      <c r="AD356">
        <v>2704</v>
      </c>
      <c r="AE356">
        <v>675</v>
      </c>
      <c r="AF356">
        <v>102</v>
      </c>
      <c r="AG356">
        <v>8</v>
      </c>
      <c r="AH356">
        <v>10789</v>
      </c>
      <c r="AI356">
        <v>199</v>
      </c>
      <c r="AJ356">
        <v>1075</v>
      </c>
      <c r="AK356">
        <v>2924</v>
      </c>
      <c r="AL356">
        <v>215</v>
      </c>
      <c r="AM356">
        <v>106</v>
      </c>
      <c r="AN356" t="s">
        <v>1551</v>
      </c>
      <c r="AO356">
        <f>AVERAGE(Tabla2[[#This Row],[total_kills]:[rating]])</f>
        <v>5699.65</v>
      </c>
      <c r="AP356" t="str">
        <f>VLOOKUP(Tabla2[[#This Row],[KPI]],$AS$2:$AT$5,2,1)</f>
        <v>Alto</v>
      </c>
    </row>
    <row r="357" spans="1:42" x14ac:dyDescent="0.3">
      <c r="A357">
        <v>1378</v>
      </c>
      <c r="B357" t="s">
        <v>761</v>
      </c>
      <c r="C357" t="s">
        <v>762</v>
      </c>
      <c r="D357">
        <v>30</v>
      </c>
      <c r="E357" t="s">
        <v>452</v>
      </c>
      <c r="F357" t="s">
        <v>537</v>
      </c>
      <c r="G357" t="s">
        <v>763</v>
      </c>
      <c r="H357">
        <v>20665</v>
      </c>
      <c r="I357">
        <v>18281</v>
      </c>
      <c r="J357" t="s">
        <v>764</v>
      </c>
      <c r="K357" t="s">
        <v>200</v>
      </c>
      <c r="L357" t="s">
        <v>765</v>
      </c>
      <c r="M357">
        <v>1073</v>
      </c>
      <c r="N357">
        <v>28305</v>
      </c>
      <c r="O357" t="s">
        <v>495</v>
      </c>
      <c r="P357" t="s">
        <v>235</v>
      </c>
      <c r="Q357" t="s">
        <v>276</v>
      </c>
      <c r="R357" t="s">
        <v>66</v>
      </c>
      <c r="S357" t="s">
        <v>96</v>
      </c>
      <c r="T357">
        <v>13633</v>
      </c>
      <c r="U357" t="s">
        <v>51</v>
      </c>
      <c r="V357">
        <v>2478</v>
      </c>
      <c r="W357">
        <v>2315</v>
      </c>
      <c r="X357" t="s">
        <v>464</v>
      </c>
      <c r="Y357" t="s">
        <v>503</v>
      </c>
      <c r="Z357" t="s">
        <v>583</v>
      </c>
      <c r="AA357" t="s">
        <v>518</v>
      </c>
      <c r="AB357">
        <v>14672</v>
      </c>
      <c r="AC357">
        <v>8453</v>
      </c>
      <c r="AD357">
        <v>3680</v>
      </c>
      <c r="AE357">
        <v>1182</v>
      </c>
      <c r="AF357">
        <v>284</v>
      </c>
      <c r="AG357">
        <v>34</v>
      </c>
      <c r="AH357">
        <v>14628</v>
      </c>
      <c r="AI357">
        <v>599</v>
      </c>
      <c r="AJ357">
        <v>1526</v>
      </c>
      <c r="AK357">
        <v>3366</v>
      </c>
      <c r="AL357">
        <v>503</v>
      </c>
      <c r="AM357">
        <v>78</v>
      </c>
      <c r="AN357" t="s">
        <v>295</v>
      </c>
      <c r="AO357">
        <f>AVERAGE(Tabla2[[#This Row],[total_kills]:[rating]])</f>
        <v>7145</v>
      </c>
      <c r="AP357" t="str">
        <f>VLOOKUP(Tabla2[[#This Row],[KPI]],$AS$2:$AT$5,2,1)</f>
        <v>Superior</v>
      </c>
    </row>
    <row r="358" spans="1:42" x14ac:dyDescent="0.3">
      <c r="A358">
        <v>8771</v>
      </c>
      <c r="B358" t="s">
        <v>1660</v>
      </c>
      <c r="C358" t="s">
        <v>1661</v>
      </c>
      <c r="D358">
        <v>28</v>
      </c>
      <c r="E358" t="s">
        <v>299</v>
      </c>
      <c r="F358" t="s">
        <v>3514</v>
      </c>
      <c r="G358" t="s">
        <v>1662</v>
      </c>
      <c r="H358">
        <v>20989</v>
      </c>
      <c r="I358">
        <v>20058</v>
      </c>
      <c r="J358" t="s">
        <v>764</v>
      </c>
      <c r="K358" t="s">
        <v>960</v>
      </c>
      <c r="L358" t="s">
        <v>471</v>
      </c>
      <c r="M358">
        <v>1153</v>
      </c>
      <c r="N358">
        <v>29801</v>
      </c>
      <c r="O358" t="s">
        <v>905</v>
      </c>
      <c r="P358" t="s">
        <v>235</v>
      </c>
      <c r="Q358" t="s">
        <v>225</v>
      </c>
      <c r="R358" t="s">
        <v>50</v>
      </c>
      <c r="S358" t="s">
        <v>50</v>
      </c>
      <c r="T358">
        <v>14006</v>
      </c>
      <c r="U358" t="s">
        <v>51</v>
      </c>
      <c r="V358">
        <v>3249</v>
      </c>
      <c r="W358">
        <v>3541</v>
      </c>
      <c r="X358" t="s">
        <v>1314</v>
      </c>
      <c r="Y358" t="s">
        <v>255</v>
      </c>
      <c r="Z358" t="s">
        <v>125</v>
      </c>
      <c r="AA358" t="s">
        <v>789</v>
      </c>
      <c r="AB358">
        <v>15795</v>
      </c>
      <c r="AC358">
        <v>8793</v>
      </c>
      <c r="AD358">
        <v>3761</v>
      </c>
      <c r="AE358">
        <v>1163</v>
      </c>
      <c r="AF358">
        <v>264</v>
      </c>
      <c r="AG358">
        <v>25</v>
      </c>
      <c r="AH358">
        <v>15518</v>
      </c>
      <c r="AI358">
        <v>204</v>
      </c>
      <c r="AJ358">
        <v>1591</v>
      </c>
      <c r="AK358">
        <v>3442</v>
      </c>
      <c r="AL358">
        <v>221</v>
      </c>
      <c r="AM358">
        <v>61</v>
      </c>
      <c r="AN358" t="s">
        <v>412</v>
      </c>
      <c r="AO358">
        <f>AVERAGE(Tabla2[[#This Row],[total_kills]:[rating]])</f>
        <v>7559.7368421052633</v>
      </c>
      <c r="AP358" t="str">
        <f>VLOOKUP(Tabla2[[#This Row],[KPI]],$AS$2:$AT$5,2,1)</f>
        <v>Superior</v>
      </c>
    </row>
    <row r="359" spans="1:42" x14ac:dyDescent="0.3">
      <c r="A359">
        <v>7775</v>
      </c>
      <c r="B359" t="s">
        <v>1731</v>
      </c>
      <c r="C359" t="s">
        <v>1732</v>
      </c>
      <c r="D359">
        <v>27</v>
      </c>
      <c r="E359" t="s">
        <v>452</v>
      </c>
      <c r="F359" t="s">
        <v>1589</v>
      </c>
      <c r="G359" t="s">
        <v>1733</v>
      </c>
      <c r="H359">
        <v>14727</v>
      </c>
      <c r="I359">
        <v>14535</v>
      </c>
      <c r="J359" t="s">
        <v>764</v>
      </c>
      <c r="K359" t="s">
        <v>704</v>
      </c>
      <c r="L359" t="s">
        <v>63</v>
      </c>
      <c r="M359">
        <v>769</v>
      </c>
      <c r="N359">
        <v>20213</v>
      </c>
      <c r="O359" t="s">
        <v>495</v>
      </c>
      <c r="P359" t="s">
        <v>235</v>
      </c>
      <c r="Q359" t="s">
        <v>311</v>
      </c>
      <c r="R359" t="s">
        <v>50</v>
      </c>
      <c r="S359" t="s">
        <v>96</v>
      </c>
      <c r="T359">
        <v>9698</v>
      </c>
      <c r="U359" t="s">
        <v>51</v>
      </c>
      <c r="V359">
        <v>2612</v>
      </c>
      <c r="W359">
        <v>2731</v>
      </c>
      <c r="X359" t="s">
        <v>472</v>
      </c>
      <c r="Y359" t="s">
        <v>295</v>
      </c>
      <c r="Z359" t="s">
        <v>383</v>
      </c>
      <c r="AA359" t="s">
        <v>671</v>
      </c>
      <c r="AB359">
        <v>10515</v>
      </c>
      <c r="AC359">
        <v>5977</v>
      </c>
      <c r="AD359">
        <v>2650</v>
      </c>
      <c r="AE359">
        <v>857</v>
      </c>
      <c r="AF359">
        <v>193</v>
      </c>
      <c r="AG359">
        <v>21</v>
      </c>
      <c r="AH359">
        <v>9212</v>
      </c>
      <c r="AI359">
        <v>1381</v>
      </c>
      <c r="AJ359">
        <v>965</v>
      </c>
      <c r="AK359">
        <v>2977</v>
      </c>
      <c r="AL359">
        <v>91</v>
      </c>
      <c r="AM359">
        <v>124</v>
      </c>
      <c r="AN359" t="s">
        <v>412</v>
      </c>
      <c r="AO359">
        <f>AVERAGE(Tabla2[[#This Row],[total_kills]:[rating]])</f>
        <v>5276.2105263157891</v>
      </c>
      <c r="AP359" t="str">
        <f>VLOOKUP(Tabla2[[#This Row],[KPI]],$AS$2:$AT$5,2,1)</f>
        <v>Alto</v>
      </c>
    </row>
    <row r="360" spans="1:42" x14ac:dyDescent="0.3">
      <c r="A360">
        <v>15419</v>
      </c>
      <c r="B360" t="s">
        <v>2107</v>
      </c>
      <c r="C360" t="s">
        <v>2108</v>
      </c>
      <c r="D360">
        <v>22</v>
      </c>
      <c r="E360" t="s">
        <v>209</v>
      </c>
      <c r="F360" t="s">
        <v>3514</v>
      </c>
      <c r="G360" t="s">
        <v>2109</v>
      </c>
      <c r="H360">
        <v>10605</v>
      </c>
      <c r="I360">
        <v>10125</v>
      </c>
      <c r="J360" t="s">
        <v>764</v>
      </c>
      <c r="K360" t="s">
        <v>1009</v>
      </c>
      <c r="L360" t="s">
        <v>179</v>
      </c>
      <c r="M360">
        <v>597</v>
      </c>
      <c r="N360">
        <v>15834</v>
      </c>
      <c r="O360" t="s">
        <v>225</v>
      </c>
      <c r="P360" t="s">
        <v>48</v>
      </c>
      <c r="Q360" t="s">
        <v>65</v>
      </c>
      <c r="R360" t="s">
        <v>50</v>
      </c>
      <c r="S360" t="s">
        <v>67</v>
      </c>
      <c r="T360">
        <v>7280</v>
      </c>
      <c r="U360" t="s">
        <v>51</v>
      </c>
      <c r="V360">
        <v>1702</v>
      </c>
      <c r="W360">
        <v>1464</v>
      </c>
      <c r="X360" t="s">
        <v>206</v>
      </c>
      <c r="Y360" t="s">
        <v>304</v>
      </c>
      <c r="Z360" t="s">
        <v>1462</v>
      </c>
      <c r="AA360" t="s">
        <v>1774</v>
      </c>
      <c r="AB360">
        <v>8554</v>
      </c>
      <c r="AC360">
        <v>4767</v>
      </c>
      <c r="AD360">
        <v>1840</v>
      </c>
      <c r="AE360">
        <v>553</v>
      </c>
      <c r="AF360">
        <v>101</v>
      </c>
      <c r="AG360">
        <v>19</v>
      </c>
      <c r="AH360">
        <v>5060</v>
      </c>
      <c r="AI360">
        <v>2964</v>
      </c>
      <c r="AJ360">
        <v>561</v>
      </c>
      <c r="AK360">
        <v>1922</v>
      </c>
      <c r="AL360">
        <v>105</v>
      </c>
      <c r="AM360">
        <v>26</v>
      </c>
      <c r="AN360" t="s">
        <v>590</v>
      </c>
      <c r="AO360">
        <f>AVERAGE(Tabla2[[#This Row],[total_kills]:[rating]])</f>
        <v>3898.8947368421054</v>
      </c>
      <c r="AP360" t="str">
        <f>VLOOKUP(Tabla2[[#This Row],[KPI]],$AS$2:$AT$5,2,1)</f>
        <v>Medio</v>
      </c>
    </row>
    <row r="361" spans="1:42" x14ac:dyDescent="0.3">
      <c r="A361">
        <v>11460</v>
      </c>
      <c r="B361" t="s">
        <v>2876</v>
      </c>
      <c r="C361" t="s">
        <v>2877</v>
      </c>
      <c r="D361">
        <v>28</v>
      </c>
      <c r="E361" t="s">
        <v>290</v>
      </c>
      <c r="F361" t="s">
        <v>3514</v>
      </c>
      <c r="G361" t="s">
        <v>2878</v>
      </c>
      <c r="H361">
        <v>6700</v>
      </c>
      <c r="I361">
        <v>7023</v>
      </c>
      <c r="J361" t="s">
        <v>764</v>
      </c>
      <c r="K361" t="s">
        <v>540</v>
      </c>
      <c r="L361" t="s">
        <v>122</v>
      </c>
      <c r="M361">
        <v>387</v>
      </c>
      <c r="N361">
        <v>9900</v>
      </c>
      <c r="O361" t="s">
        <v>167</v>
      </c>
      <c r="P361" t="s">
        <v>166</v>
      </c>
      <c r="Q361" t="s">
        <v>646</v>
      </c>
      <c r="R361" t="s">
        <v>48</v>
      </c>
      <c r="S361" t="s">
        <v>50</v>
      </c>
      <c r="T361">
        <v>4561</v>
      </c>
      <c r="U361" t="s">
        <v>51</v>
      </c>
      <c r="V361">
        <v>1100</v>
      </c>
      <c r="W361">
        <v>1186</v>
      </c>
      <c r="X361" t="s">
        <v>950</v>
      </c>
      <c r="Y361" t="s">
        <v>449</v>
      </c>
      <c r="Z361" t="s">
        <v>2448</v>
      </c>
      <c r="AA361" t="s">
        <v>602</v>
      </c>
      <c r="AB361">
        <v>5339</v>
      </c>
      <c r="AC361">
        <v>2918</v>
      </c>
      <c r="AD361">
        <v>1225</v>
      </c>
      <c r="AE361">
        <v>347</v>
      </c>
      <c r="AF361">
        <v>64</v>
      </c>
      <c r="AG361">
        <v>7</v>
      </c>
      <c r="AH361">
        <v>4758</v>
      </c>
      <c r="AI361">
        <v>141</v>
      </c>
      <c r="AJ361">
        <v>477</v>
      </c>
      <c r="AK361">
        <v>1269</v>
      </c>
      <c r="AL361">
        <v>65</v>
      </c>
      <c r="AM361">
        <v>3</v>
      </c>
      <c r="AN361" t="s">
        <v>407</v>
      </c>
      <c r="AO361">
        <f>AVERAGE(Tabla2[[#This Row],[total_kills]:[rating]])</f>
        <v>2498.4210526315787</v>
      </c>
      <c r="AP361" t="str">
        <f>VLOOKUP(Tabla2[[#This Row],[KPI]],$AS$2:$AT$5,2,1)</f>
        <v>Bajo</v>
      </c>
    </row>
    <row r="362" spans="1:42" x14ac:dyDescent="0.3">
      <c r="A362">
        <v>12593</v>
      </c>
      <c r="B362" t="s">
        <v>2557</v>
      </c>
      <c r="C362" t="s">
        <v>2558</v>
      </c>
      <c r="D362">
        <v>22</v>
      </c>
      <c r="E362" t="s">
        <v>299</v>
      </c>
      <c r="F362" t="s">
        <v>3514</v>
      </c>
      <c r="G362" t="s">
        <v>2559</v>
      </c>
      <c r="H362">
        <v>13525</v>
      </c>
      <c r="I362">
        <v>13541</v>
      </c>
      <c r="J362" t="s">
        <v>2560</v>
      </c>
      <c r="K362" t="s">
        <v>2052</v>
      </c>
      <c r="L362" t="s">
        <v>164</v>
      </c>
      <c r="M362">
        <v>785</v>
      </c>
      <c r="N362">
        <v>20383</v>
      </c>
      <c r="O362" t="s">
        <v>322</v>
      </c>
      <c r="P362" t="s">
        <v>202</v>
      </c>
      <c r="Q362" t="s">
        <v>322</v>
      </c>
      <c r="R362" t="s">
        <v>50</v>
      </c>
      <c r="S362" t="s">
        <v>66</v>
      </c>
      <c r="T362">
        <v>9221</v>
      </c>
      <c r="U362" t="s">
        <v>51</v>
      </c>
      <c r="V362">
        <v>2052</v>
      </c>
      <c r="W362">
        <v>2261</v>
      </c>
      <c r="X362" t="s">
        <v>1749</v>
      </c>
      <c r="Y362" t="s">
        <v>285</v>
      </c>
      <c r="Z362" t="s">
        <v>314</v>
      </c>
      <c r="AA362" t="s">
        <v>408</v>
      </c>
      <c r="AB362">
        <v>11162</v>
      </c>
      <c r="AC362">
        <v>5957</v>
      </c>
      <c r="AD362">
        <v>2388</v>
      </c>
      <c r="AE362">
        <v>731</v>
      </c>
      <c r="AF362">
        <v>126</v>
      </c>
      <c r="AG362">
        <v>19</v>
      </c>
      <c r="AH362">
        <v>9485</v>
      </c>
      <c r="AI362">
        <v>1002</v>
      </c>
      <c r="AJ362">
        <v>786</v>
      </c>
      <c r="AK362">
        <v>2026</v>
      </c>
      <c r="AL362">
        <v>177</v>
      </c>
      <c r="AM362">
        <v>89</v>
      </c>
      <c r="AN362" t="s">
        <v>407</v>
      </c>
      <c r="AO362">
        <f>AVERAGE(Tabla2[[#This Row],[total_kills]:[rating]])</f>
        <v>5037.6842105263158</v>
      </c>
      <c r="AP362" t="str">
        <f>VLOOKUP(Tabla2[[#This Row],[KPI]],$AS$2:$AT$5,2,1)</f>
        <v>Alto</v>
      </c>
    </row>
    <row r="363" spans="1:42" x14ac:dyDescent="0.3">
      <c r="A363">
        <v>10506</v>
      </c>
      <c r="B363" t="s">
        <v>3159</v>
      </c>
      <c r="C363" t="s">
        <v>3160</v>
      </c>
      <c r="D363">
        <v>29</v>
      </c>
      <c r="E363" t="s">
        <v>1012</v>
      </c>
      <c r="F363" t="s">
        <v>3161</v>
      </c>
      <c r="G363" t="s">
        <v>3162</v>
      </c>
      <c r="H363">
        <v>7365</v>
      </c>
      <c r="I363">
        <v>7787</v>
      </c>
      <c r="J363" t="s">
        <v>2560</v>
      </c>
      <c r="K363" t="s">
        <v>2662</v>
      </c>
      <c r="L363" t="s">
        <v>224</v>
      </c>
      <c r="M363">
        <v>450</v>
      </c>
      <c r="N363">
        <v>11640</v>
      </c>
      <c r="O363" t="s">
        <v>215</v>
      </c>
      <c r="P363" t="s">
        <v>235</v>
      </c>
      <c r="Q363" t="s">
        <v>225</v>
      </c>
      <c r="R363" t="s">
        <v>67</v>
      </c>
      <c r="S363" t="s">
        <v>67</v>
      </c>
      <c r="T363">
        <v>5223</v>
      </c>
      <c r="U363" t="s">
        <v>51</v>
      </c>
      <c r="V363">
        <v>951</v>
      </c>
      <c r="W363">
        <v>926</v>
      </c>
      <c r="X363" t="s">
        <v>412</v>
      </c>
      <c r="Y363" t="s">
        <v>1570</v>
      </c>
      <c r="Z363" t="s">
        <v>1765</v>
      </c>
      <c r="AA363" t="s">
        <v>2429</v>
      </c>
      <c r="AB363">
        <v>6417</v>
      </c>
      <c r="AC363">
        <v>3572</v>
      </c>
      <c r="AD363">
        <v>1241</v>
      </c>
      <c r="AE363">
        <v>333</v>
      </c>
      <c r="AF363">
        <v>73</v>
      </c>
      <c r="AG363">
        <v>4</v>
      </c>
      <c r="AH363">
        <v>5371</v>
      </c>
      <c r="AI363">
        <v>150</v>
      </c>
      <c r="AJ363">
        <v>374</v>
      </c>
      <c r="AK363">
        <v>1349</v>
      </c>
      <c r="AL363">
        <v>126</v>
      </c>
      <c r="AM363">
        <v>12</v>
      </c>
      <c r="AN363" t="s">
        <v>950</v>
      </c>
      <c r="AO363">
        <f>AVERAGE(Tabla2[[#This Row],[total_kills]:[rating]])</f>
        <v>2808.6315789473683</v>
      </c>
      <c r="AP363" t="str">
        <f>VLOOKUP(Tabla2[[#This Row],[KPI]],$AS$2:$AT$5,2,1)</f>
        <v>Bajo</v>
      </c>
    </row>
    <row r="364" spans="1:42" x14ac:dyDescent="0.3">
      <c r="A364">
        <v>7910</v>
      </c>
      <c r="B364" t="s">
        <v>1096</v>
      </c>
      <c r="C364" t="s">
        <v>1097</v>
      </c>
      <c r="D364">
        <v>24</v>
      </c>
      <c r="E364" t="s">
        <v>446</v>
      </c>
      <c r="F364" t="s">
        <v>1098</v>
      </c>
      <c r="G364" t="s">
        <v>1099</v>
      </c>
      <c r="H364">
        <v>14831</v>
      </c>
      <c r="I364">
        <v>13489</v>
      </c>
      <c r="J364" t="s">
        <v>1100</v>
      </c>
      <c r="K364">
        <v>77</v>
      </c>
      <c r="L364" t="s">
        <v>46</v>
      </c>
      <c r="M364">
        <v>759</v>
      </c>
      <c r="N364">
        <v>20147</v>
      </c>
      <c r="O364" t="s">
        <v>283</v>
      </c>
      <c r="P364" t="s">
        <v>202</v>
      </c>
      <c r="Q364" t="s">
        <v>225</v>
      </c>
      <c r="R364" t="s">
        <v>50</v>
      </c>
      <c r="S364" t="s">
        <v>202</v>
      </c>
      <c r="T364">
        <v>9885</v>
      </c>
      <c r="U364" t="s">
        <v>51</v>
      </c>
      <c r="V364">
        <v>1858</v>
      </c>
      <c r="W364">
        <v>1618</v>
      </c>
      <c r="X364" t="s">
        <v>84</v>
      </c>
      <c r="Y364" t="s">
        <v>285</v>
      </c>
      <c r="Z364" t="s">
        <v>932</v>
      </c>
      <c r="AA364" t="s">
        <v>1101</v>
      </c>
      <c r="AB364">
        <v>10262</v>
      </c>
      <c r="AC364">
        <v>6165</v>
      </c>
      <c r="AD364">
        <v>2689</v>
      </c>
      <c r="AE364">
        <v>859</v>
      </c>
      <c r="AF364">
        <v>152</v>
      </c>
      <c r="AG364">
        <v>20</v>
      </c>
      <c r="AH364">
        <v>9002</v>
      </c>
      <c r="AI364">
        <v>2361</v>
      </c>
      <c r="AJ364">
        <v>579</v>
      </c>
      <c r="AK364">
        <v>2725</v>
      </c>
      <c r="AL364">
        <v>177</v>
      </c>
      <c r="AM364">
        <v>22</v>
      </c>
      <c r="AN364" t="s">
        <v>464</v>
      </c>
      <c r="AO364">
        <f>AVERAGE(Tabla2[[#This Row],[total_kills]:[rating]])</f>
        <v>4883.8500000000004</v>
      </c>
      <c r="AP364" t="str">
        <f>VLOOKUP(Tabla2[[#This Row],[KPI]],$AS$2:$AT$5,2,1)</f>
        <v>Alto</v>
      </c>
    </row>
    <row r="365" spans="1:42" x14ac:dyDescent="0.3">
      <c r="A365">
        <v>10840</v>
      </c>
      <c r="B365" t="s">
        <v>2064</v>
      </c>
      <c r="C365" t="s">
        <v>2065</v>
      </c>
      <c r="D365">
        <v>28</v>
      </c>
      <c r="E365" t="s">
        <v>104</v>
      </c>
      <c r="F365" t="s">
        <v>1180</v>
      </c>
      <c r="G365" t="s">
        <v>2066</v>
      </c>
      <c r="H365">
        <v>13179</v>
      </c>
      <c r="I365">
        <v>12188</v>
      </c>
      <c r="J365" t="s">
        <v>1100</v>
      </c>
      <c r="K365" t="s">
        <v>2067</v>
      </c>
      <c r="L365" t="s">
        <v>471</v>
      </c>
      <c r="M365">
        <v>773</v>
      </c>
      <c r="N365">
        <v>20279</v>
      </c>
      <c r="O365" t="s">
        <v>276</v>
      </c>
      <c r="P365" t="s">
        <v>67</v>
      </c>
      <c r="Q365" t="s">
        <v>134</v>
      </c>
      <c r="R365" t="s">
        <v>66</v>
      </c>
      <c r="S365" t="s">
        <v>96</v>
      </c>
      <c r="T365">
        <v>9185</v>
      </c>
      <c r="U365" t="s">
        <v>51</v>
      </c>
      <c r="V365">
        <v>1418</v>
      </c>
      <c r="W365">
        <v>1163</v>
      </c>
      <c r="X365" t="s">
        <v>114</v>
      </c>
      <c r="Y365" t="s">
        <v>1314</v>
      </c>
      <c r="Z365" t="s">
        <v>170</v>
      </c>
      <c r="AA365" t="s">
        <v>2068</v>
      </c>
      <c r="AB365">
        <v>11094</v>
      </c>
      <c r="AC365">
        <v>6063</v>
      </c>
      <c r="AD365">
        <v>2386</v>
      </c>
      <c r="AE365">
        <v>610</v>
      </c>
      <c r="AF365">
        <v>116</v>
      </c>
      <c r="AG365">
        <v>10</v>
      </c>
      <c r="AH365">
        <v>10120</v>
      </c>
      <c r="AI365">
        <v>87</v>
      </c>
      <c r="AJ365">
        <v>705</v>
      </c>
      <c r="AK365">
        <v>2117</v>
      </c>
      <c r="AL365">
        <v>148</v>
      </c>
      <c r="AM365">
        <v>29</v>
      </c>
      <c r="AN365" t="s">
        <v>304</v>
      </c>
      <c r="AO365">
        <f>AVERAGE(Tabla2[[#This Row],[total_kills]:[rating]])</f>
        <v>4824.7368421052633</v>
      </c>
      <c r="AP365" t="str">
        <f>VLOOKUP(Tabla2[[#This Row],[KPI]],$AS$2:$AT$5,2,1)</f>
        <v>Alto</v>
      </c>
    </row>
    <row r="366" spans="1:42" x14ac:dyDescent="0.3">
      <c r="A366">
        <v>7248</v>
      </c>
      <c r="B366" t="s">
        <v>2337</v>
      </c>
      <c r="C366" t="s">
        <v>2338</v>
      </c>
      <c r="D366">
        <v>27</v>
      </c>
      <c r="E366" t="s">
        <v>452</v>
      </c>
      <c r="F366" t="s">
        <v>537</v>
      </c>
      <c r="G366" t="s">
        <v>2339</v>
      </c>
      <c r="H366">
        <v>22799</v>
      </c>
      <c r="I366">
        <v>22439</v>
      </c>
      <c r="J366" t="s">
        <v>1100</v>
      </c>
      <c r="K366" t="s">
        <v>704</v>
      </c>
      <c r="L366">
        <v>6</v>
      </c>
      <c r="M366">
        <v>1275</v>
      </c>
      <c r="N366">
        <v>33704</v>
      </c>
      <c r="O366" t="s">
        <v>167</v>
      </c>
      <c r="P366" t="s">
        <v>553</v>
      </c>
      <c r="Q366" t="s">
        <v>225</v>
      </c>
      <c r="R366" t="s">
        <v>96</v>
      </c>
      <c r="S366" t="s">
        <v>96</v>
      </c>
      <c r="T366">
        <v>15545</v>
      </c>
      <c r="U366" t="s">
        <v>51</v>
      </c>
      <c r="V366">
        <v>3305</v>
      </c>
      <c r="W366">
        <v>3328</v>
      </c>
      <c r="X366" t="s">
        <v>285</v>
      </c>
      <c r="Y366" t="s">
        <v>285</v>
      </c>
      <c r="Z366" t="s">
        <v>1165</v>
      </c>
      <c r="AA366" t="s">
        <v>413</v>
      </c>
      <c r="AB366">
        <v>18159</v>
      </c>
      <c r="AC366">
        <v>10024</v>
      </c>
      <c r="AD366">
        <v>4082</v>
      </c>
      <c r="AE366">
        <v>1172</v>
      </c>
      <c r="AF366">
        <v>240</v>
      </c>
      <c r="AG366">
        <v>27</v>
      </c>
      <c r="AH366">
        <v>15494</v>
      </c>
      <c r="AI366">
        <v>651</v>
      </c>
      <c r="AJ366">
        <v>2069</v>
      </c>
      <c r="AK366">
        <v>4098</v>
      </c>
      <c r="AL366">
        <v>440</v>
      </c>
      <c r="AM366">
        <v>85</v>
      </c>
      <c r="AN366">
        <v>1</v>
      </c>
      <c r="AO366">
        <f>AVERAGE(Tabla2[[#This Row],[total_kills]:[rating]])</f>
        <v>7568.7142857142853</v>
      </c>
      <c r="AP366" t="str">
        <f>VLOOKUP(Tabla2[[#This Row],[KPI]],$AS$2:$AT$5,2,1)</f>
        <v>Superior</v>
      </c>
    </row>
    <row r="367" spans="1:42" x14ac:dyDescent="0.3">
      <c r="A367">
        <v>17504</v>
      </c>
      <c r="B367" t="s">
        <v>1406</v>
      </c>
      <c r="C367" t="s">
        <v>1407</v>
      </c>
      <c r="D367">
        <v>21</v>
      </c>
      <c r="E367" t="s">
        <v>327</v>
      </c>
      <c r="F367" t="s">
        <v>1408</v>
      </c>
      <c r="G367" t="s">
        <v>1409</v>
      </c>
      <c r="H367">
        <v>12891</v>
      </c>
      <c r="I367">
        <v>12282</v>
      </c>
      <c r="J367" t="s">
        <v>1410</v>
      </c>
      <c r="K367" t="s">
        <v>274</v>
      </c>
      <c r="L367" t="s">
        <v>612</v>
      </c>
      <c r="M367">
        <v>649</v>
      </c>
      <c r="N367">
        <v>17432</v>
      </c>
      <c r="O367" t="s">
        <v>283</v>
      </c>
      <c r="P367" t="s">
        <v>235</v>
      </c>
      <c r="Q367" t="s">
        <v>905</v>
      </c>
      <c r="R367" t="s">
        <v>96</v>
      </c>
      <c r="S367" t="s">
        <v>96</v>
      </c>
      <c r="T367">
        <v>8505</v>
      </c>
      <c r="U367" t="s">
        <v>51</v>
      </c>
      <c r="V367">
        <v>2239</v>
      </c>
      <c r="W367">
        <v>2167</v>
      </c>
      <c r="X367" t="s">
        <v>412</v>
      </c>
      <c r="Y367" t="s">
        <v>561</v>
      </c>
      <c r="Z367" t="s">
        <v>278</v>
      </c>
      <c r="AA367" t="s">
        <v>193</v>
      </c>
      <c r="AB367">
        <v>8927</v>
      </c>
      <c r="AC367">
        <v>5242</v>
      </c>
      <c r="AD367">
        <v>2339</v>
      </c>
      <c r="AE367">
        <v>744</v>
      </c>
      <c r="AF367">
        <v>161</v>
      </c>
      <c r="AG367">
        <v>19</v>
      </c>
      <c r="AH367">
        <v>9774</v>
      </c>
      <c r="AI367">
        <v>202</v>
      </c>
      <c r="AJ367">
        <v>704</v>
      </c>
      <c r="AK367">
        <v>2083</v>
      </c>
      <c r="AL367">
        <v>129</v>
      </c>
      <c r="AM367">
        <v>27</v>
      </c>
      <c r="AN367" t="s">
        <v>370</v>
      </c>
      <c r="AO367">
        <f>AVERAGE(Tabla2[[#This Row],[total_kills]:[rating]])</f>
        <v>4553.4736842105267</v>
      </c>
      <c r="AP367" t="str">
        <f>VLOOKUP(Tabla2[[#This Row],[KPI]],$AS$2:$AT$5,2,1)</f>
        <v>Medio</v>
      </c>
    </row>
    <row r="368" spans="1:42" x14ac:dyDescent="0.3">
      <c r="A368">
        <v>7834</v>
      </c>
      <c r="B368" t="s">
        <v>1886</v>
      </c>
      <c r="C368" t="s">
        <v>1887</v>
      </c>
      <c r="D368">
        <v>28</v>
      </c>
      <c r="E368" t="s">
        <v>467</v>
      </c>
      <c r="F368" t="s">
        <v>1888</v>
      </c>
      <c r="G368" t="s">
        <v>1889</v>
      </c>
      <c r="H368">
        <v>33908</v>
      </c>
      <c r="I368">
        <v>32682</v>
      </c>
      <c r="J368" t="s">
        <v>1410</v>
      </c>
      <c r="K368" t="s">
        <v>368</v>
      </c>
      <c r="L368" t="s">
        <v>1170</v>
      </c>
      <c r="M368">
        <v>1865</v>
      </c>
      <c r="N368">
        <v>48655</v>
      </c>
      <c r="O368" t="s">
        <v>905</v>
      </c>
      <c r="P368" t="s">
        <v>553</v>
      </c>
      <c r="Q368" t="s">
        <v>225</v>
      </c>
      <c r="R368" t="s">
        <v>48</v>
      </c>
      <c r="S368" t="s">
        <v>67</v>
      </c>
      <c r="T368">
        <v>22857</v>
      </c>
      <c r="U368" t="s">
        <v>51</v>
      </c>
      <c r="V368">
        <v>5578</v>
      </c>
      <c r="W368">
        <v>5623</v>
      </c>
      <c r="X368" t="s">
        <v>285</v>
      </c>
      <c r="Y368" t="s">
        <v>304</v>
      </c>
      <c r="Z368" t="s">
        <v>718</v>
      </c>
      <c r="AA368" t="s">
        <v>279</v>
      </c>
      <c r="AB368">
        <v>25798</v>
      </c>
      <c r="AC368">
        <v>14522</v>
      </c>
      <c r="AD368">
        <v>6102</v>
      </c>
      <c r="AE368">
        <v>1808</v>
      </c>
      <c r="AF368">
        <v>379</v>
      </c>
      <c r="AG368">
        <v>46</v>
      </c>
      <c r="AH368">
        <v>26515</v>
      </c>
      <c r="AI368">
        <v>112</v>
      </c>
      <c r="AJ368">
        <v>1113</v>
      </c>
      <c r="AK368">
        <v>5717</v>
      </c>
      <c r="AL368">
        <v>472</v>
      </c>
      <c r="AM368">
        <v>24</v>
      </c>
      <c r="AN368" t="s">
        <v>449</v>
      </c>
      <c r="AO368">
        <f>AVERAGE(Tabla2[[#This Row],[total_kills]:[rating]])</f>
        <v>12304</v>
      </c>
      <c r="AP368" t="str">
        <f>VLOOKUP(Tabla2[[#This Row],[KPI]],$AS$2:$AT$5,2,1)</f>
        <v>Superior</v>
      </c>
    </row>
    <row r="369" spans="1:42" x14ac:dyDescent="0.3">
      <c r="A369">
        <v>8552</v>
      </c>
      <c r="B369" t="s">
        <v>883</v>
      </c>
      <c r="C369" t="s">
        <v>884</v>
      </c>
      <c r="D369">
        <v>25</v>
      </c>
      <c r="E369" t="s">
        <v>209</v>
      </c>
      <c r="F369" t="s">
        <v>210</v>
      </c>
      <c r="G369" t="s">
        <v>885</v>
      </c>
      <c r="H369">
        <v>24187</v>
      </c>
      <c r="I369">
        <v>21526</v>
      </c>
      <c r="J369" t="s">
        <v>886</v>
      </c>
      <c r="K369" t="s">
        <v>133</v>
      </c>
      <c r="L369" t="s">
        <v>214</v>
      </c>
      <c r="M369">
        <v>1261</v>
      </c>
      <c r="N369">
        <v>32444</v>
      </c>
      <c r="O369" t="s">
        <v>180</v>
      </c>
      <c r="P369" t="s">
        <v>235</v>
      </c>
      <c r="Q369" t="s">
        <v>322</v>
      </c>
      <c r="R369" t="s">
        <v>67</v>
      </c>
      <c r="S369" t="s">
        <v>67</v>
      </c>
      <c r="T369">
        <v>16192</v>
      </c>
      <c r="U369" t="s">
        <v>51</v>
      </c>
      <c r="V369">
        <v>3175</v>
      </c>
      <c r="W369">
        <v>2896</v>
      </c>
      <c r="X369" t="s">
        <v>561</v>
      </c>
      <c r="Y369" t="s">
        <v>255</v>
      </c>
      <c r="Z369" t="s">
        <v>887</v>
      </c>
      <c r="AA369" t="s">
        <v>888</v>
      </c>
      <c r="AB369">
        <v>16252</v>
      </c>
      <c r="AC369">
        <v>10171</v>
      </c>
      <c r="AD369">
        <v>4354</v>
      </c>
      <c r="AE369">
        <v>1386</v>
      </c>
      <c r="AF369">
        <v>255</v>
      </c>
      <c r="AG369">
        <v>26</v>
      </c>
      <c r="AH369">
        <v>18784</v>
      </c>
      <c r="AI369">
        <v>233</v>
      </c>
      <c r="AJ369">
        <v>1135</v>
      </c>
      <c r="AK369">
        <v>3842</v>
      </c>
      <c r="AL369">
        <v>163</v>
      </c>
      <c r="AM369">
        <v>113</v>
      </c>
      <c r="AN369" t="s">
        <v>277</v>
      </c>
      <c r="AO369">
        <f>AVERAGE(Tabla2[[#This Row],[total_kills]:[rating]])</f>
        <v>8336.5789473684217</v>
      </c>
      <c r="AP369" t="str">
        <f>VLOOKUP(Tabla2[[#This Row],[KPI]],$AS$2:$AT$5,2,1)</f>
        <v>Superior</v>
      </c>
    </row>
    <row r="370" spans="1:42" x14ac:dyDescent="0.3">
      <c r="A370">
        <v>13188</v>
      </c>
      <c r="B370" t="s">
        <v>1456</v>
      </c>
      <c r="C370" t="s">
        <v>1457</v>
      </c>
      <c r="D370">
        <v>24</v>
      </c>
      <c r="E370" t="s">
        <v>459</v>
      </c>
      <c r="F370" t="s">
        <v>3514</v>
      </c>
      <c r="G370" t="s">
        <v>1458</v>
      </c>
      <c r="H370">
        <v>11657</v>
      </c>
      <c r="I370">
        <v>10854</v>
      </c>
      <c r="J370" t="s">
        <v>886</v>
      </c>
      <c r="K370" t="s">
        <v>253</v>
      </c>
      <c r="L370" t="s">
        <v>949</v>
      </c>
      <c r="M370">
        <v>626</v>
      </c>
      <c r="N370">
        <v>16210</v>
      </c>
      <c r="O370" t="s">
        <v>311</v>
      </c>
      <c r="P370" t="s">
        <v>166</v>
      </c>
      <c r="Q370" t="s">
        <v>225</v>
      </c>
      <c r="R370" t="s">
        <v>50</v>
      </c>
      <c r="S370" t="s">
        <v>67</v>
      </c>
      <c r="T370">
        <v>7836</v>
      </c>
      <c r="U370" t="s">
        <v>51</v>
      </c>
      <c r="V370">
        <v>1705</v>
      </c>
      <c r="W370">
        <v>1715</v>
      </c>
      <c r="X370" t="s">
        <v>285</v>
      </c>
      <c r="Y370" t="s">
        <v>449</v>
      </c>
      <c r="Z370" t="s">
        <v>517</v>
      </c>
      <c r="AA370" t="s">
        <v>648</v>
      </c>
      <c r="AB370">
        <v>8374</v>
      </c>
      <c r="AC370">
        <v>4949</v>
      </c>
      <c r="AD370">
        <v>2089</v>
      </c>
      <c r="AE370">
        <v>674</v>
      </c>
      <c r="AF370">
        <v>112</v>
      </c>
      <c r="AG370">
        <v>12</v>
      </c>
      <c r="AH370">
        <v>7896</v>
      </c>
      <c r="AI370">
        <v>583</v>
      </c>
      <c r="AJ370">
        <v>960</v>
      </c>
      <c r="AK370">
        <v>2047</v>
      </c>
      <c r="AL370">
        <v>168</v>
      </c>
      <c r="AM370">
        <v>23</v>
      </c>
      <c r="AN370" t="s">
        <v>362</v>
      </c>
      <c r="AO370">
        <f>AVERAGE(Tabla2[[#This Row],[total_kills]:[rating]])</f>
        <v>4131.0526315789475</v>
      </c>
      <c r="AP370" t="str">
        <f>VLOOKUP(Tabla2[[#This Row],[KPI]],$AS$2:$AT$5,2,1)</f>
        <v>Medio</v>
      </c>
    </row>
    <row r="371" spans="1:42" x14ac:dyDescent="0.3">
      <c r="A371">
        <v>10570</v>
      </c>
      <c r="B371" t="s">
        <v>2292</v>
      </c>
      <c r="C371" t="s">
        <v>2293</v>
      </c>
      <c r="D371">
        <v>25</v>
      </c>
      <c r="E371" t="s">
        <v>104</v>
      </c>
      <c r="F371" t="s">
        <v>3514</v>
      </c>
      <c r="G371" t="s">
        <v>2294</v>
      </c>
      <c r="H371">
        <v>12004</v>
      </c>
      <c r="I371">
        <v>11856</v>
      </c>
      <c r="J371" t="s">
        <v>886</v>
      </c>
      <c r="K371" t="s">
        <v>1057</v>
      </c>
      <c r="L371" t="s">
        <v>331</v>
      </c>
      <c r="M371">
        <v>676</v>
      </c>
      <c r="N371">
        <v>17504</v>
      </c>
      <c r="O371" t="s">
        <v>463</v>
      </c>
      <c r="P371" t="s">
        <v>202</v>
      </c>
      <c r="Q371" t="s">
        <v>167</v>
      </c>
      <c r="R371" t="s">
        <v>50</v>
      </c>
      <c r="S371" t="s">
        <v>96</v>
      </c>
      <c r="T371">
        <v>8152</v>
      </c>
      <c r="U371" t="s">
        <v>51</v>
      </c>
      <c r="V371">
        <v>2100</v>
      </c>
      <c r="W371">
        <v>2069</v>
      </c>
      <c r="X371" t="s">
        <v>255</v>
      </c>
      <c r="Y371" t="s">
        <v>464</v>
      </c>
      <c r="Z371" t="s">
        <v>809</v>
      </c>
      <c r="AA371" t="s">
        <v>315</v>
      </c>
      <c r="AB371">
        <v>9352</v>
      </c>
      <c r="AC371">
        <v>5217</v>
      </c>
      <c r="AD371">
        <v>2166</v>
      </c>
      <c r="AE371">
        <v>629</v>
      </c>
      <c r="AF371">
        <v>132</v>
      </c>
      <c r="AG371">
        <v>8</v>
      </c>
      <c r="AH371">
        <v>8221</v>
      </c>
      <c r="AI371">
        <v>843</v>
      </c>
      <c r="AJ371">
        <v>817</v>
      </c>
      <c r="AK371">
        <v>1938</v>
      </c>
      <c r="AL371">
        <v>127</v>
      </c>
      <c r="AM371">
        <v>105</v>
      </c>
      <c r="AN371">
        <v>1</v>
      </c>
      <c r="AO371">
        <f>AVERAGE(Tabla2[[#This Row],[total_kills]:[rating]])</f>
        <v>4195.8500000000004</v>
      </c>
      <c r="AP371" t="str">
        <f>VLOOKUP(Tabla2[[#This Row],[KPI]],$AS$2:$AT$5,2,1)</f>
        <v>Medio</v>
      </c>
    </row>
    <row r="372" spans="1:42" x14ac:dyDescent="0.3">
      <c r="A372">
        <v>16947</v>
      </c>
      <c r="B372" t="s">
        <v>2611</v>
      </c>
      <c r="C372" t="s">
        <v>2612</v>
      </c>
      <c r="D372">
        <v>22</v>
      </c>
      <c r="E372" t="s">
        <v>75</v>
      </c>
      <c r="F372" t="s">
        <v>60</v>
      </c>
      <c r="G372" t="s">
        <v>2613</v>
      </c>
      <c r="H372">
        <v>11892</v>
      </c>
      <c r="I372">
        <v>11476</v>
      </c>
      <c r="J372" t="s">
        <v>886</v>
      </c>
      <c r="K372" t="s">
        <v>2614</v>
      </c>
      <c r="L372" t="s">
        <v>1170</v>
      </c>
      <c r="M372">
        <v>722</v>
      </c>
      <c r="N372">
        <v>19078</v>
      </c>
      <c r="O372" t="s">
        <v>144</v>
      </c>
      <c r="P372" t="s">
        <v>202</v>
      </c>
      <c r="Q372" t="s">
        <v>134</v>
      </c>
      <c r="R372" t="s">
        <v>96</v>
      </c>
      <c r="S372" t="s">
        <v>96</v>
      </c>
      <c r="T372">
        <v>8350</v>
      </c>
      <c r="U372" t="s">
        <v>51</v>
      </c>
      <c r="V372">
        <v>1218</v>
      </c>
      <c r="W372">
        <v>1159</v>
      </c>
      <c r="X372" t="s">
        <v>304</v>
      </c>
      <c r="Y372" t="s">
        <v>2315</v>
      </c>
      <c r="Z372" t="s">
        <v>391</v>
      </c>
      <c r="AA372" t="s">
        <v>2615</v>
      </c>
      <c r="AB372">
        <v>10728</v>
      </c>
      <c r="AC372">
        <v>5604</v>
      </c>
      <c r="AD372">
        <v>2077</v>
      </c>
      <c r="AE372">
        <v>555</v>
      </c>
      <c r="AF372">
        <v>101</v>
      </c>
      <c r="AG372">
        <v>13</v>
      </c>
      <c r="AH372">
        <v>8644</v>
      </c>
      <c r="AI372">
        <v>218</v>
      </c>
      <c r="AJ372">
        <v>838</v>
      </c>
      <c r="AK372">
        <v>1999</v>
      </c>
      <c r="AL372">
        <v>193</v>
      </c>
      <c r="AM372">
        <v>44</v>
      </c>
      <c r="AN372" t="s">
        <v>407</v>
      </c>
      <c r="AO372">
        <f>AVERAGE(Tabla2[[#This Row],[total_kills]:[rating]])</f>
        <v>4468.894736842105</v>
      </c>
      <c r="AP372" t="str">
        <f>VLOOKUP(Tabla2[[#This Row],[KPI]],$AS$2:$AT$5,2,1)</f>
        <v>Medio</v>
      </c>
    </row>
    <row r="373" spans="1:42" x14ac:dyDescent="0.3">
      <c r="A373">
        <v>9676</v>
      </c>
      <c r="B373" t="s">
        <v>1235</v>
      </c>
      <c r="C373" t="s">
        <v>1236</v>
      </c>
      <c r="D373">
        <v>27</v>
      </c>
      <c r="E373" t="s">
        <v>299</v>
      </c>
      <c r="F373" t="s">
        <v>986</v>
      </c>
      <c r="G373" t="s">
        <v>1237</v>
      </c>
      <c r="H373">
        <v>7903</v>
      </c>
      <c r="I373">
        <v>7368</v>
      </c>
      <c r="J373" t="s">
        <v>1238</v>
      </c>
      <c r="K373" t="s">
        <v>1239</v>
      </c>
      <c r="L373" t="s">
        <v>1170</v>
      </c>
      <c r="M373">
        <v>413</v>
      </c>
      <c r="N373">
        <v>10628</v>
      </c>
      <c r="O373" t="s">
        <v>283</v>
      </c>
      <c r="P373" t="s">
        <v>166</v>
      </c>
      <c r="Q373" t="s">
        <v>463</v>
      </c>
      <c r="R373" t="s">
        <v>96</v>
      </c>
      <c r="S373" t="s">
        <v>50</v>
      </c>
      <c r="T373">
        <v>5243</v>
      </c>
      <c r="U373" t="s">
        <v>51</v>
      </c>
      <c r="V373">
        <v>1090</v>
      </c>
      <c r="W373">
        <v>984</v>
      </c>
      <c r="X373" t="s">
        <v>362</v>
      </c>
      <c r="Y373" t="s">
        <v>412</v>
      </c>
      <c r="Z373" t="s">
        <v>399</v>
      </c>
      <c r="AA373" t="s">
        <v>547</v>
      </c>
      <c r="AB373">
        <v>5385</v>
      </c>
      <c r="AC373">
        <v>3242</v>
      </c>
      <c r="AD373">
        <v>1459</v>
      </c>
      <c r="AE373">
        <v>438</v>
      </c>
      <c r="AF373">
        <v>91</v>
      </c>
      <c r="AG373">
        <v>13</v>
      </c>
      <c r="AH373">
        <v>5822</v>
      </c>
      <c r="AI373">
        <v>234</v>
      </c>
      <c r="AJ373">
        <v>410</v>
      </c>
      <c r="AK373">
        <v>1324</v>
      </c>
      <c r="AL373">
        <v>117</v>
      </c>
      <c r="AM373">
        <v>12</v>
      </c>
      <c r="AN373" t="s">
        <v>590</v>
      </c>
      <c r="AO373">
        <f>AVERAGE(Tabla2[[#This Row],[total_kills]:[rating]])</f>
        <v>2746.1052631578946</v>
      </c>
      <c r="AP373" t="str">
        <f>VLOOKUP(Tabla2[[#This Row],[KPI]],$AS$2:$AT$5,2,1)</f>
        <v>Bajo</v>
      </c>
    </row>
    <row r="374" spans="1:42" x14ac:dyDescent="0.3">
      <c r="A374">
        <v>8800</v>
      </c>
      <c r="B374" t="s">
        <v>1742</v>
      </c>
      <c r="C374" t="s">
        <v>1743</v>
      </c>
      <c r="D374">
        <v>29</v>
      </c>
      <c r="E374" t="s">
        <v>708</v>
      </c>
      <c r="F374" t="s">
        <v>1744</v>
      </c>
      <c r="G374" t="s">
        <v>1745</v>
      </c>
      <c r="H374">
        <v>24939</v>
      </c>
      <c r="I374">
        <v>23516</v>
      </c>
      <c r="J374" t="s">
        <v>1238</v>
      </c>
      <c r="K374" t="s">
        <v>939</v>
      </c>
      <c r="L374">
        <v>4</v>
      </c>
      <c r="M374">
        <v>1355</v>
      </c>
      <c r="N374">
        <v>35985</v>
      </c>
      <c r="O374" t="s">
        <v>463</v>
      </c>
      <c r="P374" t="s">
        <v>235</v>
      </c>
      <c r="Q374" t="s">
        <v>276</v>
      </c>
      <c r="R374" t="s">
        <v>50</v>
      </c>
      <c r="S374" t="s">
        <v>48</v>
      </c>
      <c r="T374">
        <v>16943</v>
      </c>
      <c r="U374" t="s">
        <v>51</v>
      </c>
      <c r="V374">
        <v>3555</v>
      </c>
      <c r="W374">
        <v>3156</v>
      </c>
      <c r="X374" t="s">
        <v>98</v>
      </c>
      <c r="Y374" t="s">
        <v>255</v>
      </c>
      <c r="Z374" t="s">
        <v>427</v>
      </c>
      <c r="AA374" t="s">
        <v>746</v>
      </c>
      <c r="AB374">
        <v>19042</v>
      </c>
      <c r="AC374">
        <v>10857</v>
      </c>
      <c r="AD374">
        <v>4480</v>
      </c>
      <c r="AE374">
        <v>1323</v>
      </c>
      <c r="AF374">
        <v>263</v>
      </c>
      <c r="AG374">
        <v>20</v>
      </c>
      <c r="AH374">
        <v>17713</v>
      </c>
      <c r="AI374">
        <v>1282</v>
      </c>
      <c r="AJ374">
        <v>1071</v>
      </c>
      <c r="AK374">
        <v>4544</v>
      </c>
      <c r="AL374">
        <v>310</v>
      </c>
      <c r="AM374">
        <v>65</v>
      </c>
      <c r="AN374" t="s">
        <v>412</v>
      </c>
      <c r="AO374">
        <f>AVERAGE(Tabla2[[#This Row],[total_kills]:[rating]])</f>
        <v>8521.15</v>
      </c>
      <c r="AP374" t="str">
        <f>VLOOKUP(Tabla2[[#This Row],[KPI]],$AS$2:$AT$5,2,1)</f>
        <v>Superior</v>
      </c>
    </row>
    <row r="375" spans="1:42" x14ac:dyDescent="0.3">
      <c r="A375">
        <v>7412</v>
      </c>
      <c r="B375" t="s">
        <v>2605</v>
      </c>
      <c r="C375" t="s">
        <v>2606</v>
      </c>
      <c r="D375">
        <v>27</v>
      </c>
      <c r="E375" t="s">
        <v>196</v>
      </c>
      <c r="F375" t="s">
        <v>229</v>
      </c>
      <c r="G375" t="s">
        <v>2607</v>
      </c>
      <c r="H375">
        <v>29339</v>
      </c>
      <c r="I375">
        <v>29265</v>
      </c>
      <c r="J375" t="s">
        <v>1238</v>
      </c>
      <c r="K375" t="s">
        <v>645</v>
      </c>
      <c r="L375" t="s">
        <v>1943</v>
      </c>
      <c r="M375">
        <v>1690</v>
      </c>
      <c r="N375">
        <v>44425</v>
      </c>
      <c r="O375" t="s">
        <v>322</v>
      </c>
      <c r="P375" t="s">
        <v>553</v>
      </c>
      <c r="Q375" t="s">
        <v>322</v>
      </c>
      <c r="R375" t="s">
        <v>50</v>
      </c>
      <c r="S375" t="s">
        <v>66</v>
      </c>
      <c r="T375">
        <v>20111</v>
      </c>
      <c r="U375" t="s">
        <v>51</v>
      </c>
      <c r="V375">
        <v>4617</v>
      </c>
      <c r="W375">
        <v>4728</v>
      </c>
      <c r="X375" t="s">
        <v>245</v>
      </c>
      <c r="Y375" t="s">
        <v>255</v>
      </c>
      <c r="Z375" t="s">
        <v>1214</v>
      </c>
      <c r="AA375" t="s">
        <v>560</v>
      </c>
      <c r="AB375">
        <v>24314</v>
      </c>
      <c r="AC375">
        <v>13038</v>
      </c>
      <c r="AD375">
        <v>5236</v>
      </c>
      <c r="AE375">
        <v>1561</v>
      </c>
      <c r="AF375">
        <v>254</v>
      </c>
      <c r="AG375">
        <v>22</v>
      </c>
      <c r="AH375">
        <v>20712</v>
      </c>
      <c r="AI375">
        <v>1079</v>
      </c>
      <c r="AJ375">
        <v>2320</v>
      </c>
      <c r="AK375">
        <v>4670</v>
      </c>
      <c r="AL375">
        <v>565</v>
      </c>
      <c r="AM375">
        <v>53</v>
      </c>
      <c r="AN375" t="s">
        <v>245</v>
      </c>
      <c r="AO375">
        <f>AVERAGE(Tabla2[[#This Row],[total_kills]:[rating]])</f>
        <v>10947.315789473685</v>
      </c>
      <c r="AP375" t="str">
        <f>VLOOKUP(Tabla2[[#This Row],[KPI]],$AS$2:$AT$5,2,1)</f>
        <v>Superior</v>
      </c>
    </row>
    <row r="376" spans="1:42" x14ac:dyDescent="0.3">
      <c r="A376">
        <v>8212</v>
      </c>
      <c r="B376" t="s">
        <v>3362</v>
      </c>
      <c r="C376" t="s">
        <v>3363</v>
      </c>
      <c r="D376">
        <v>27</v>
      </c>
      <c r="E376" t="s">
        <v>708</v>
      </c>
      <c r="F376" t="s">
        <v>2487</v>
      </c>
      <c r="G376" t="s">
        <v>3364</v>
      </c>
      <c r="H376">
        <v>15090</v>
      </c>
      <c r="I376">
        <v>17651</v>
      </c>
      <c r="J376" t="s">
        <v>1238</v>
      </c>
      <c r="K376" t="s">
        <v>2936</v>
      </c>
      <c r="L376" t="s">
        <v>3365</v>
      </c>
      <c r="M376">
        <v>932</v>
      </c>
      <c r="N376">
        <v>24766</v>
      </c>
      <c r="O376" t="s">
        <v>49</v>
      </c>
      <c r="P376" t="s">
        <v>235</v>
      </c>
      <c r="Q376" t="s">
        <v>646</v>
      </c>
      <c r="R376" t="s">
        <v>50</v>
      </c>
      <c r="S376" t="s">
        <v>66</v>
      </c>
      <c r="T376">
        <v>10479</v>
      </c>
      <c r="U376" t="s">
        <v>51</v>
      </c>
      <c r="V376">
        <v>2432</v>
      </c>
      <c r="W376">
        <v>3011</v>
      </c>
      <c r="X376" t="s">
        <v>165</v>
      </c>
      <c r="Y376" t="s">
        <v>472</v>
      </c>
      <c r="Z376" t="s">
        <v>278</v>
      </c>
      <c r="AA376" t="s">
        <v>1030</v>
      </c>
      <c r="AB376">
        <v>14287</v>
      </c>
      <c r="AC376">
        <v>6932</v>
      </c>
      <c r="AD376">
        <v>2648</v>
      </c>
      <c r="AE376">
        <v>751</v>
      </c>
      <c r="AF376">
        <v>134</v>
      </c>
      <c r="AG376">
        <v>14</v>
      </c>
      <c r="AH376">
        <v>9958</v>
      </c>
      <c r="AI376">
        <v>878</v>
      </c>
      <c r="AJ376">
        <v>1506</v>
      </c>
      <c r="AK376">
        <v>2487</v>
      </c>
      <c r="AL376">
        <v>246</v>
      </c>
      <c r="AM376">
        <v>65</v>
      </c>
      <c r="AN376" t="s">
        <v>2315</v>
      </c>
      <c r="AO376">
        <f>AVERAGE(Tabla2[[#This Row],[total_kills]:[rating]])</f>
        <v>6014.0526315789475</v>
      </c>
      <c r="AP376" t="str">
        <f>VLOOKUP(Tabla2[[#This Row],[KPI]],$AS$2:$AT$5,2,1)</f>
        <v>Alto</v>
      </c>
    </row>
    <row r="377" spans="1:42" x14ac:dyDescent="0.3">
      <c r="A377">
        <v>8711</v>
      </c>
      <c r="B377" t="s">
        <v>756</v>
      </c>
      <c r="C377" t="s">
        <v>757</v>
      </c>
      <c r="D377">
        <v>23</v>
      </c>
      <c r="E377" t="s">
        <v>758</v>
      </c>
      <c r="F377" t="s">
        <v>3514</v>
      </c>
      <c r="G377" t="s">
        <v>759</v>
      </c>
      <c r="H377">
        <v>17758</v>
      </c>
      <c r="I377">
        <v>15541</v>
      </c>
      <c r="J377" t="s">
        <v>760</v>
      </c>
      <c r="K377" t="s">
        <v>424</v>
      </c>
      <c r="L377" t="s">
        <v>201</v>
      </c>
      <c r="M377">
        <v>940</v>
      </c>
      <c r="N377">
        <v>24238</v>
      </c>
      <c r="O377" t="s">
        <v>495</v>
      </c>
      <c r="P377" t="s">
        <v>202</v>
      </c>
      <c r="Q377" t="s">
        <v>65</v>
      </c>
      <c r="R377" t="s">
        <v>67</v>
      </c>
      <c r="S377" t="s">
        <v>48</v>
      </c>
      <c r="T377">
        <v>11844</v>
      </c>
      <c r="U377" t="s">
        <v>51</v>
      </c>
      <c r="V377">
        <v>2668</v>
      </c>
      <c r="W377">
        <v>2096</v>
      </c>
      <c r="X377" t="s">
        <v>717</v>
      </c>
      <c r="Y377" t="s">
        <v>464</v>
      </c>
      <c r="Z377" t="s">
        <v>324</v>
      </c>
      <c r="AA377" t="s">
        <v>384</v>
      </c>
      <c r="AB377">
        <v>12394</v>
      </c>
      <c r="AC377">
        <v>7417</v>
      </c>
      <c r="AD377">
        <v>3215</v>
      </c>
      <c r="AE377">
        <v>960</v>
      </c>
      <c r="AF377">
        <v>229</v>
      </c>
      <c r="AG377">
        <v>23</v>
      </c>
      <c r="AH377">
        <v>10797</v>
      </c>
      <c r="AI377">
        <v>3452</v>
      </c>
      <c r="AJ377">
        <v>428</v>
      </c>
      <c r="AK377">
        <v>2795</v>
      </c>
      <c r="AL377">
        <v>233</v>
      </c>
      <c r="AM377">
        <v>122</v>
      </c>
      <c r="AN377" t="s">
        <v>295</v>
      </c>
      <c r="AO377">
        <f>AVERAGE(Tabla2[[#This Row],[total_kills]:[rating]])</f>
        <v>6165.7894736842109</v>
      </c>
      <c r="AP377" t="str">
        <f>VLOOKUP(Tabla2[[#This Row],[KPI]],$AS$2:$AT$5,2,1)</f>
        <v>Alto</v>
      </c>
    </row>
    <row r="378" spans="1:42" x14ac:dyDescent="0.3">
      <c r="A378">
        <v>7154</v>
      </c>
      <c r="B378" t="s">
        <v>1133</v>
      </c>
      <c r="C378" t="s">
        <v>1134</v>
      </c>
      <c r="D378">
        <v>26</v>
      </c>
      <c r="E378" t="s">
        <v>196</v>
      </c>
      <c r="F378" t="s">
        <v>3514</v>
      </c>
      <c r="G378" t="s">
        <v>1135</v>
      </c>
      <c r="H378">
        <v>18116</v>
      </c>
      <c r="I378">
        <v>16100</v>
      </c>
      <c r="J378" t="s">
        <v>760</v>
      </c>
      <c r="K378" t="s">
        <v>843</v>
      </c>
      <c r="L378" t="s">
        <v>80</v>
      </c>
      <c r="M378">
        <v>976</v>
      </c>
      <c r="N378">
        <v>25052</v>
      </c>
      <c r="O378" t="s">
        <v>311</v>
      </c>
      <c r="P378" t="s">
        <v>235</v>
      </c>
      <c r="Q378" t="s">
        <v>65</v>
      </c>
      <c r="R378" t="s">
        <v>50</v>
      </c>
      <c r="S378" t="s">
        <v>67</v>
      </c>
      <c r="T378">
        <v>12226</v>
      </c>
      <c r="U378" t="s">
        <v>51</v>
      </c>
      <c r="V378">
        <v>2152</v>
      </c>
      <c r="W378">
        <v>1778</v>
      </c>
      <c r="X378" t="s">
        <v>136</v>
      </c>
      <c r="Y378" t="s">
        <v>245</v>
      </c>
      <c r="Z378" t="s">
        <v>314</v>
      </c>
      <c r="AA378" t="s">
        <v>828</v>
      </c>
      <c r="AB378">
        <v>12826</v>
      </c>
      <c r="AC378">
        <v>7764</v>
      </c>
      <c r="AD378">
        <v>3307</v>
      </c>
      <c r="AE378">
        <v>966</v>
      </c>
      <c r="AF378">
        <v>175</v>
      </c>
      <c r="AG378">
        <v>14</v>
      </c>
      <c r="AH378">
        <v>12059</v>
      </c>
      <c r="AI378">
        <v>2013</v>
      </c>
      <c r="AJ378">
        <v>422</v>
      </c>
      <c r="AK378">
        <v>3279</v>
      </c>
      <c r="AL378">
        <v>326</v>
      </c>
      <c r="AM378">
        <v>35</v>
      </c>
      <c r="AN378" t="s">
        <v>464</v>
      </c>
      <c r="AO378">
        <f>AVERAGE(Tabla2[[#This Row],[total_kills]:[rating]])</f>
        <v>6294</v>
      </c>
      <c r="AP378" t="str">
        <f>VLOOKUP(Tabla2[[#This Row],[KPI]],$AS$2:$AT$5,2,1)</f>
        <v>Alto</v>
      </c>
    </row>
    <row r="379" spans="1:42" x14ac:dyDescent="0.3">
      <c r="A379">
        <v>8528</v>
      </c>
      <c r="B379" t="s">
        <v>1142</v>
      </c>
      <c r="C379" t="s">
        <v>1143</v>
      </c>
      <c r="D379">
        <v>28</v>
      </c>
      <c r="E379" t="s">
        <v>1144</v>
      </c>
      <c r="F379" t="s">
        <v>76</v>
      </c>
      <c r="G379" t="s">
        <v>1145</v>
      </c>
      <c r="H379">
        <v>22601</v>
      </c>
      <c r="I379">
        <v>20378</v>
      </c>
      <c r="J379" t="s">
        <v>760</v>
      </c>
      <c r="K379">
        <v>80</v>
      </c>
      <c r="L379" t="s">
        <v>1146</v>
      </c>
      <c r="M379">
        <v>1184</v>
      </c>
      <c r="N379">
        <v>31223</v>
      </c>
      <c r="O379" t="s">
        <v>311</v>
      </c>
      <c r="P379" t="s">
        <v>235</v>
      </c>
      <c r="Q379" t="s">
        <v>276</v>
      </c>
      <c r="R379" t="s">
        <v>66</v>
      </c>
      <c r="S379" t="s">
        <v>66</v>
      </c>
      <c r="T379">
        <v>15178</v>
      </c>
      <c r="U379" t="s">
        <v>51</v>
      </c>
      <c r="V379">
        <v>3264</v>
      </c>
      <c r="W379">
        <v>3115</v>
      </c>
      <c r="X379" t="s">
        <v>304</v>
      </c>
      <c r="Y379" t="s">
        <v>449</v>
      </c>
      <c r="Z379" t="s">
        <v>932</v>
      </c>
      <c r="AA379" t="s">
        <v>408</v>
      </c>
      <c r="AB379">
        <v>16045</v>
      </c>
      <c r="AC379">
        <v>9574</v>
      </c>
      <c r="AD379">
        <v>4065</v>
      </c>
      <c r="AE379">
        <v>1279</v>
      </c>
      <c r="AF379">
        <v>240</v>
      </c>
      <c r="AG379">
        <v>20</v>
      </c>
      <c r="AH379">
        <v>16147</v>
      </c>
      <c r="AI379">
        <v>682</v>
      </c>
      <c r="AJ379">
        <v>1674</v>
      </c>
      <c r="AK379">
        <v>3702</v>
      </c>
      <c r="AL379">
        <v>336</v>
      </c>
      <c r="AM379">
        <v>102</v>
      </c>
      <c r="AN379" t="s">
        <v>464</v>
      </c>
      <c r="AO379">
        <f>AVERAGE(Tabla2[[#This Row],[total_kills]:[rating]])</f>
        <v>7544.45</v>
      </c>
      <c r="AP379" t="str">
        <f>VLOOKUP(Tabla2[[#This Row],[KPI]],$AS$2:$AT$5,2,1)</f>
        <v>Superior</v>
      </c>
    </row>
    <row r="380" spans="1:42" x14ac:dyDescent="0.3">
      <c r="A380">
        <v>10504</v>
      </c>
      <c r="B380" t="s">
        <v>1166</v>
      </c>
      <c r="C380" t="s">
        <v>1167</v>
      </c>
      <c r="D380">
        <v>25</v>
      </c>
      <c r="E380" t="s">
        <v>1012</v>
      </c>
      <c r="F380" t="s">
        <v>1168</v>
      </c>
      <c r="G380" t="s">
        <v>1169</v>
      </c>
      <c r="H380">
        <v>9126</v>
      </c>
      <c r="I380">
        <v>8286</v>
      </c>
      <c r="J380" t="s">
        <v>760</v>
      </c>
      <c r="K380" t="s">
        <v>911</v>
      </c>
      <c r="L380" t="s">
        <v>1170</v>
      </c>
      <c r="M380">
        <v>489</v>
      </c>
      <c r="N380">
        <v>12550</v>
      </c>
      <c r="O380" t="s">
        <v>495</v>
      </c>
      <c r="P380" t="s">
        <v>235</v>
      </c>
      <c r="Q380" t="s">
        <v>322</v>
      </c>
      <c r="R380" t="s">
        <v>50</v>
      </c>
      <c r="S380" t="s">
        <v>67</v>
      </c>
      <c r="T380">
        <v>6144</v>
      </c>
      <c r="U380" t="s">
        <v>51</v>
      </c>
      <c r="V380">
        <v>1188</v>
      </c>
      <c r="W380">
        <v>1099</v>
      </c>
      <c r="X380" t="s">
        <v>277</v>
      </c>
      <c r="Y380" t="s">
        <v>285</v>
      </c>
      <c r="Z380" t="s">
        <v>932</v>
      </c>
      <c r="AA380" t="s">
        <v>1171</v>
      </c>
      <c r="AB380">
        <v>6406</v>
      </c>
      <c r="AC380">
        <v>3936</v>
      </c>
      <c r="AD380">
        <v>1562</v>
      </c>
      <c r="AE380">
        <v>529</v>
      </c>
      <c r="AF380">
        <v>106</v>
      </c>
      <c r="AG380">
        <v>11</v>
      </c>
      <c r="AH380">
        <v>6418</v>
      </c>
      <c r="AI380">
        <v>505</v>
      </c>
      <c r="AJ380">
        <v>397</v>
      </c>
      <c r="AK380">
        <v>1680</v>
      </c>
      <c r="AL380">
        <v>139</v>
      </c>
      <c r="AM380">
        <v>19</v>
      </c>
      <c r="AN380" t="s">
        <v>590</v>
      </c>
      <c r="AO380">
        <f>AVERAGE(Tabla2[[#This Row],[total_kills]:[rating]])</f>
        <v>3188.9473684210525</v>
      </c>
      <c r="AP380" t="str">
        <f>VLOOKUP(Tabla2[[#This Row],[KPI]],$AS$2:$AT$5,2,1)</f>
        <v>Bajo</v>
      </c>
    </row>
    <row r="381" spans="1:42" x14ac:dyDescent="0.3">
      <c r="A381">
        <v>885</v>
      </c>
      <c r="B381" t="s">
        <v>1285</v>
      </c>
      <c r="C381" t="s">
        <v>1286</v>
      </c>
      <c r="D381">
        <v>30</v>
      </c>
      <c r="E381" t="s">
        <v>545</v>
      </c>
      <c r="F381" t="s">
        <v>447</v>
      </c>
      <c r="G381" t="s">
        <v>1287</v>
      </c>
      <c r="H381">
        <v>29037</v>
      </c>
      <c r="I381">
        <v>26340</v>
      </c>
      <c r="J381" t="s">
        <v>760</v>
      </c>
      <c r="K381" t="s">
        <v>1288</v>
      </c>
      <c r="L381" t="s">
        <v>224</v>
      </c>
      <c r="M381">
        <v>1559</v>
      </c>
      <c r="N381">
        <v>40766</v>
      </c>
      <c r="O381" t="s">
        <v>646</v>
      </c>
      <c r="P381" t="s">
        <v>202</v>
      </c>
      <c r="Q381" t="s">
        <v>276</v>
      </c>
      <c r="R381" t="s">
        <v>96</v>
      </c>
      <c r="S381" t="s">
        <v>66</v>
      </c>
      <c r="T381">
        <v>19497</v>
      </c>
      <c r="U381" t="s">
        <v>51</v>
      </c>
      <c r="V381">
        <v>4355</v>
      </c>
      <c r="W381">
        <v>4110</v>
      </c>
      <c r="X381" t="s">
        <v>590</v>
      </c>
      <c r="Y381" t="s">
        <v>412</v>
      </c>
      <c r="Z381" t="s">
        <v>1289</v>
      </c>
      <c r="AA381" t="s">
        <v>384</v>
      </c>
      <c r="AB381">
        <v>21269</v>
      </c>
      <c r="AC381">
        <v>12275</v>
      </c>
      <c r="AD381">
        <v>5330</v>
      </c>
      <c r="AE381">
        <v>1559</v>
      </c>
      <c r="AF381">
        <v>302</v>
      </c>
      <c r="AG381">
        <v>31</v>
      </c>
      <c r="AH381">
        <v>17746</v>
      </c>
      <c r="AI381">
        <v>4005</v>
      </c>
      <c r="AJ381">
        <v>1357</v>
      </c>
      <c r="AK381">
        <v>5331</v>
      </c>
      <c r="AL381">
        <v>413</v>
      </c>
      <c r="AM381">
        <v>214</v>
      </c>
      <c r="AN381" t="s">
        <v>590</v>
      </c>
      <c r="AO381">
        <f>AVERAGE(Tabla2[[#This Row],[total_kills]:[rating]])</f>
        <v>10289.263157894737</v>
      </c>
      <c r="AP381" t="str">
        <f>VLOOKUP(Tabla2[[#This Row],[KPI]],$AS$2:$AT$5,2,1)</f>
        <v>Superior</v>
      </c>
    </row>
    <row r="382" spans="1:42" x14ac:dyDescent="0.3">
      <c r="A382">
        <v>9961</v>
      </c>
      <c r="B382" t="s">
        <v>1854</v>
      </c>
      <c r="C382" t="s">
        <v>1855</v>
      </c>
      <c r="D382">
        <v>23</v>
      </c>
      <c r="E382" t="s">
        <v>379</v>
      </c>
      <c r="F382" t="s">
        <v>3514</v>
      </c>
      <c r="G382" t="s">
        <v>1856</v>
      </c>
      <c r="H382">
        <v>9507</v>
      </c>
      <c r="I382">
        <v>9169</v>
      </c>
      <c r="J382" t="s">
        <v>760</v>
      </c>
      <c r="K382" t="s">
        <v>989</v>
      </c>
      <c r="L382" t="s">
        <v>680</v>
      </c>
      <c r="M382">
        <v>522</v>
      </c>
      <c r="N382">
        <v>13451</v>
      </c>
      <c r="O382" t="s">
        <v>646</v>
      </c>
      <c r="P382" t="s">
        <v>235</v>
      </c>
      <c r="Q382" t="s">
        <v>167</v>
      </c>
      <c r="R382" t="s">
        <v>67</v>
      </c>
      <c r="S382" t="s">
        <v>67</v>
      </c>
      <c r="T382">
        <v>6421</v>
      </c>
      <c r="U382" t="s">
        <v>51</v>
      </c>
      <c r="V382">
        <v>1322</v>
      </c>
      <c r="W382">
        <v>1388</v>
      </c>
      <c r="X382" t="s">
        <v>820</v>
      </c>
      <c r="Y382" t="s">
        <v>285</v>
      </c>
      <c r="Z382" t="s">
        <v>821</v>
      </c>
      <c r="AA382" t="s">
        <v>739</v>
      </c>
      <c r="AB382">
        <v>7030</v>
      </c>
      <c r="AC382">
        <v>4088</v>
      </c>
      <c r="AD382">
        <v>1702</v>
      </c>
      <c r="AE382">
        <v>513</v>
      </c>
      <c r="AF382">
        <v>114</v>
      </c>
      <c r="AG382">
        <v>4</v>
      </c>
      <c r="AH382">
        <v>7317</v>
      </c>
      <c r="AI382">
        <v>7</v>
      </c>
      <c r="AJ382">
        <v>544</v>
      </c>
      <c r="AK382">
        <v>1591</v>
      </c>
      <c r="AL382">
        <v>60</v>
      </c>
      <c r="AM382">
        <v>9</v>
      </c>
      <c r="AN382" t="s">
        <v>449</v>
      </c>
      <c r="AO382">
        <f>AVERAGE(Tabla2[[#This Row],[total_kills]:[rating]])</f>
        <v>3408.3684210526317</v>
      </c>
      <c r="AP382" t="str">
        <f>VLOOKUP(Tabla2[[#This Row],[KPI]],$AS$2:$AT$5,2,1)</f>
        <v>Medio</v>
      </c>
    </row>
    <row r="383" spans="1:42" x14ac:dyDescent="0.3">
      <c r="A383">
        <v>8733</v>
      </c>
      <c r="B383" t="s">
        <v>2879</v>
      </c>
      <c r="C383" t="s">
        <v>2880</v>
      </c>
      <c r="D383">
        <v>24</v>
      </c>
      <c r="E383" t="s">
        <v>187</v>
      </c>
      <c r="F383" t="s">
        <v>2881</v>
      </c>
      <c r="G383" t="s">
        <v>2882</v>
      </c>
      <c r="H383">
        <v>8082</v>
      </c>
      <c r="I383">
        <v>8487</v>
      </c>
      <c r="J383" t="s">
        <v>760</v>
      </c>
      <c r="K383" t="s">
        <v>494</v>
      </c>
      <c r="L383" t="s">
        <v>46</v>
      </c>
      <c r="M383">
        <v>446</v>
      </c>
      <c r="N383">
        <v>11985</v>
      </c>
      <c r="O383" t="s">
        <v>225</v>
      </c>
      <c r="P383" t="s">
        <v>235</v>
      </c>
      <c r="Q383" t="s">
        <v>646</v>
      </c>
      <c r="R383" t="s">
        <v>67</v>
      </c>
      <c r="S383" t="s">
        <v>50</v>
      </c>
      <c r="T383">
        <v>5492</v>
      </c>
      <c r="U383" t="s">
        <v>51</v>
      </c>
      <c r="V383">
        <v>1208</v>
      </c>
      <c r="W383">
        <v>1385</v>
      </c>
      <c r="X383" t="s">
        <v>2324</v>
      </c>
      <c r="Y383" t="s">
        <v>245</v>
      </c>
      <c r="Z383" t="s">
        <v>54</v>
      </c>
      <c r="AA383" t="s">
        <v>384</v>
      </c>
      <c r="AB383">
        <v>6493</v>
      </c>
      <c r="AC383">
        <v>3526</v>
      </c>
      <c r="AD383">
        <v>1447</v>
      </c>
      <c r="AE383">
        <v>431</v>
      </c>
      <c r="AF383">
        <v>78</v>
      </c>
      <c r="AG383">
        <v>10</v>
      </c>
      <c r="AH383">
        <v>5544</v>
      </c>
      <c r="AI383">
        <v>561</v>
      </c>
      <c r="AJ383">
        <v>296</v>
      </c>
      <c r="AK383">
        <v>1539</v>
      </c>
      <c r="AL383">
        <v>96</v>
      </c>
      <c r="AM383">
        <v>63</v>
      </c>
      <c r="AN383" t="s">
        <v>472</v>
      </c>
      <c r="AO383">
        <f>AVERAGE(Tabla2[[#This Row],[total_kills]:[rating]])</f>
        <v>3008.8947368421054</v>
      </c>
      <c r="AP383" t="str">
        <f>VLOOKUP(Tabla2[[#This Row],[KPI]],$AS$2:$AT$5,2,1)</f>
        <v>Bajo</v>
      </c>
    </row>
    <row r="384" spans="1:42" x14ac:dyDescent="0.3">
      <c r="A384">
        <v>8320</v>
      </c>
      <c r="B384" t="s">
        <v>3150</v>
      </c>
      <c r="C384" t="s">
        <v>3151</v>
      </c>
      <c r="D384">
        <v>25</v>
      </c>
      <c r="E384" t="s">
        <v>327</v>
      </c>
      <c r="F384" t="s">
        <v>3514</v>
      </c>
      <c r="G384" t="s">
        <v>3152</v>
      </c>
      <c r="H384">
        <v>8647</v>
      </c>
      <c r="I384">
        <v>9304</v>
      </c>
      <c r="J384" t="s">
        <v>760</v>
      </c>
      <c r="K384" t="s">
        <v>2140</v>
      </c>
      <c r="L384" t="s">
        <v>331</v>
      </c>
      <c r="M384">
        <v>505</v>
      </c>
      <c r="N384">
        <v>13254</v>
      </c>
      <c r="O384" t="s">
        <v>276</v>
      </c>
      <c r="P384" t="s">
        <v>202</v>
      </c>
      <c r="Q384" t="s">
        <v>905</v>
      </c>
      <c r="R384" t="s">
        <v>50</v>
      </c>
      <c r="S384" t="s">
        <v>96</v>
      </c>
      <c r="T384">
        <v>5996</v>
      </c>
      <c r="U384" t="s">
        <v>51</v>
      </c>
      <c r="V384">
        <v>1225</v>
      </c>
      <c r="W384">
        <v>1406</v>
      </c>
      <c r="X384" t="s">
        <v>2324</v>
      </c>
      <c r="Y384" t="s">
        <v>820</v>
      </c>
      <c r="Z384" t="s">
        <v>1765</v>
      </c>
      <c r="AA384" t="s">
        <v>1379</v>
      </c>
      <c r="AB384">
        <v>7258</v>
      </c>
      <c r="AC384">
        <v>3960</v>
      </c>
      <c r="AD384">
        <v>1519</v>
      </c>
      <c r="AE384">
        <v>431</v>
      </c>
      <c r="AF384">
        <v>77</v>
      </c>
      <c r="AG384">
        <v>9</v>
      </c>
      <c r="AH384">
        <v>5984</v>
      </c>
      <c r="AI384">
        <v>205</v>
      </c>
      <c r="AJ384">
        <v>513</v>
      </c>
      <c r="AK384">
        <v>1794</v>
      </c>
      <c r="AL384">
        <v>109</v>
      </c>
      <c r="AM384">
        <v>54</v>
      </c>
      <c r="AN384" t="s">
        <v>1570</v>
      </c>
      <c r="AO384">
        <f>AVERAGE(Tabla2[[#This Row],[total_kills]:[rating]])</f>
        <v>3276.3157894736842</v>
      </c>
      <c r="AP384" t="str">
        <f>VLOOKUP(Tabla2[[#This Row],[KPI]],$AS$2:$AT$5,2,1)</f>
        <v>Bajo</v>
      </c>
    </row>
    <row r="385" spans="1:42" x14ac:dyDescent="0.3">
      <c r="A385">
        <v>8944</v>
      </c>
      <c r="B385" t="s">
        <v>288</v>
      </c>
      <c r="C385" t="s">
        <v>289</v>
      </c>
      <c r="D385">
        <v>25</v>
      </c>
      <c r="E385" t="s">
        <v>290</v>
      </c>
      <c r="F385" t="s">
        <v>3514</v>
      </c>
      <c r="G385" t="s">
        <v>291</v>
      </c>
      <c r="H385">
        <v>12164</v>
      </c>
      <c r="I385">
        <v>10118</v>
      </c>
      <c r="J385" t="s">
        <v>292</v>
      </c>
      <c r="K385" t="s">
        <v>293</v>
      </c>
      <c r="L385" t="s">
        <v>294</v>
      </c>
      <c r="M385">
        <v>603</v>
      </c>
      <c r="N385">
        <v>15560</v>
      </c>
      <c r="O385" t="s">
        <v>123</v>
      </c>
      <c r="P385" t="s">
        <v>235</v>
      </c>
      <c r="Q385" t="s">
        <v>276</v>
      </c>
      <c r="R385" t="s">
        <v>135</v>
      </c>
      <c r="S385" t="s">
        <v>50</v>
      </c>
      <c r="T385">
        <v>7983</v>
      </c>
      <c r="U385" t="s">
        <v>51</v>
      </c>
      <c r="V385">
        <v>1838</v>
      </c>
      <c r="W385">
        <v>1550</v>
      </c>
      <c r="X385" t="s">
        <v>127</v>
      </c>
      <c r="Y385" t="s">
        <v>295</v>
      </c>
      <c r="Z385" t="s">
        <v>296</v>
      </c>
      <c r="AA385" t="s">
        <v>126</v>
      </c>
      <c r="AB385">
        <v>7577</v>
      </c>
      <c r="AC385">
        <v>4863</v>
      </c>
      <c r="AD385">
        <v>2231</v>
      </c>
      <c r="AE385">
        <v>732</v>
      </c>
      <c r="AF385">
        <v>142</v>
      </c>
      <c r="AG385">
        <v>15</v>
      </c>
      <c r="AH385">
        <v>8704</v>
      </c>
      <c r="AI385">
        <v>427</v>
      </c>
      <c r="AJ385">
        <v>826</v>
      </c>
      <c r="AK385">
        <v>1973</v>
      </c>
      <c r="AL385">
        <v>157</v>
      </c>
      <c r="AM385">
        <v>101</v>
      </c>
      <c r="AN385" t="s">
        <v>111</v>
      </c>
      <c r="AO385">
        <f>AVERAGE(Tabla2[[#This Row],[total_kills]:[rating]])</f>
        <v>4082.3157894736842</v>
      </c>
      <c r="AP385" t="str">
        <f>VLOOKUP(Tabla2[[#This Row],[KPI]],$AS$2:$AT$5,2,1)</f>
        <v>Medio</v>
      </c>
    </row>
    <row r="386" spans="1:42" x14ac:dyDescent="0.3">
      <c r="A386">
        <v>17011</v>
      </c>
      <c r="B386" t="s">
        <v>1304</v>
      </c>
      <c r="C386" t="s">
        <v>1305</v>
      </c>
      <c r="D386">
        <v>20</v>
      </c>
      <c r="E386" t="s">
        <v>75</v>
      </c>
      <c r="F386" t="s">
        <v>491</v>
      </c>
      <c r="G386" t="s">
        <v>1306</v>
      </c>
      <c r="H386">
        <v>7532</v>
      </c>
      <c r="I386">
        <v>6744</v>
      </c>
      <c r="J386" t="s">
        <v>292</v>
      </c>
      <c r="K386">
        <v>77</v>
      </c>
      <c r="L386" t="s">
        <v>46</v>
      </c>
      <c r="M386">
        <v>396</v>
      </c>
      <c r="N386">
        <v>10659</v>
      </c>
      <c r="O386" t="s">
        <v>646</v>
      </c>
      <c r="P386" t="s">
        <v>48</v>
      </c>
      <c r="Q386" t="s">
        <v>215</v>
      </c>
      <c r="R386" t="s">
        <v>66</v>
      </c>
      <c r="S386" t="s">
        <v>96</v>
      </c>
      <c r="T386">
        <v>5166</v>
      </c>
      <c r="U386" t="s">
        <v>51</v>
      </c>
      <c r="V386">
        <v>1199</v>
      </c>
      <c r="W386">
        <v>983</v>
      </c>
      <c r="X386" t="s">
        <v>114</v>
      </c>
      <c r="Y386" t="s">
        <v>277</v>
      </c>
      <c r="Z386" t="s">
        <v>1165</v>
      </c>
      <c r="AA386" t="s">
        <v>267</v>
      </c>
      <c r="AB386">
        <v>5493</v>
      </c>
      <c r="AC386">
        <v>3359</v>
      </c>
      <c r="AD386">
        <v>1332</v>
      </c>
      <c r="AE386">
        <v>391</v>
      </c>
      <c r="AF386">
        <v>84</v>
      </c>
      <c r="AG386">
        <v>0</v>
      </c>
      <c r="AH386">
        <v>5469</v>
      </c>
      <c r="AI386">
        <v>569</v>
      </c>
      <c r="AJ386">
        <v>327</v>
      </c>
      <c r="AK386">
        <v>1080</v>
      </c>
      <c r="AL386">
        <v>84</v>
      </c>
      <c r="AM386">
        <v>26</v>
      </c>
      <c r="AN386" t="s">
        <v>362</v>
      </c>
      <c r="AO386">
        <f>AVERAGE(Tabla2[[#This Row],[total_kills]:[rating]])</f>
        <v>2548.5</v>
      </c>
      <c r="AP386" t="str">
        <f>VLOOKUP(Tabla2[[#This Row],[KPI]],$AS$2:$AT$5,2,1)</f>
        <v>Bajo</v>
      </c>
    </row>
    <row r="387" spans="1:42" x14ac:dyDescent="0.3">
      <c r="A387">
        <v>8513</v>
      </c>
      <c r="B387" t="s">
        <v>1414</v>
      </c>
      <c r="C387" t="s">
        <v>1415</v>
      </c>
      <c r="D387">
        <v>23</v>
      </c>
      <c r="E387" t="s">
        <v>459</v>
      </c>
      <c r="F387" t="s">
        <v>3514</v>
      </c>
      <c r="G387" t="s">
        <v>1416</v>
      </c>
      <c r="H387">
        <v>12452</v>
      </c>
      <c r="I387">
        <v>11848</v>
      </c>
      <c r="J387" t="s">
        <v>292</v>
      </c>
      <c r="K387" t="s">
        <v>639</v>
      </c>
      <c r="L387" t="s">
        <v>93</v>
      </c>
      <c r="M387">
        <v>653</v>
      </c>
      <c r="N387">
        <v>17182</v>
      </c>
      <c r="O387" t="s">
        <v>311</v>
      </c>
      <c r="P387" t="s">
        <v>202</v>
      </c>
      <c r="Q387" t="s">
        <v>463</v>
      </c>
      <c r="R387" t="s">
        <v>50</v>
      </c>
      <c r="S387" t="s">
        <v>67</v>
      </c>
      <c r="T387">
        <v>8170</v>
      </c>
      <c r="U387" t="s">
        <v>51</v>
      </c>
      <c r="V387">
        <v>2071</v>
      </c>
      <c r="W387">
        <v>2084</v>
      </c>
      <c r="X387" t="s">
        <v>285</v>
      </c>
      <c r="Y387" t="s">
        <v>464</v>
      </c>
      <c r="Z387" t="s">
        <v>237</v>
      </c>
      <c r="AA387" t="s">
        <v>126</v>
      </c>
      <c r="AB387">
        <v>9012</v>
      </c>
      <c r="AC387">
        <v>5001</v>
      </c>
      <c r="AD387">
        <v>2258</v>
      </c>
      <c r="AE387">
        <v>737</v>
      </c>
      <c r="AF387">
        <v>146</v>
      </c>
      <c r="AG387">
        <v>28</v>
      </c>
      <c r="AH387">
        <v>8085</v>
      </c>
      <c r="AI387">
        <v>1511</v>
      </c>
      <c r="AJ387">
        <v>563</v>
      </c>
      <c r="AK387">
        <v>2162</v>
      </c>
      <c r="AL387">
        <v>122</v>
      </c>
      <c r="AM387">
        <v>26</v>
      </c>
      <c r="AN387" t="s">
        <v>304</v>
      </c>
      <c r="AO387">
        <f>AVERAGE(Tabla2[[#This Row],[total_kills]:[rating]])</f>
        <v>4426.894736842105</v>
      </c>
      <c r="AP387" t="str">
        <f>VLOOKUP(Tabla2[[#This Row],[KPI]],$AS$2:$AT$5,2,1)</f>
        <v>Medio</v>
      </c>
    </row>
    <row r="388" spans="1:42" x14ac:dyDescent="0.3">
      <c r="A388">
        <v>8324</v>
      </c>
      <c r="B388" t="s">
        <v>2471</v>
      </c>
      <c r="C388" t="s">
        <v>2472</v>
      </c>
      <c r="D388">
        <v>28</v>
      </c>
      <c r="E388" t="s">
        <v>327</v>
      </c>
      <c r="F388" t="s">
        <v>2473</v>
      </c>
      <c r="G388" t="s">
        <v>2474</v>
      </c>
      <c r="H388">
        <v>20053</v>
      </c>
      <c r="I388">
        <v>20255</v>
      </c>
      <c r="J388" t="s">
        <v>292</v>
      </c>
      <c r="K388">
        <v>77</v>
      </c>
      <c r="L388" t="s">
        <v>541</v>
      </c>
      <c r="M388">
        <v>1087</v>
      </c>
      <c r="N388">
        <v>28887</v>
      </c>
      <c r="O388" t="s">
        <v>463</v>
      </c>
      <c r="P388" t="s">
        <v>202</v>
      </c>
      <c r="Q388" t="s">
        <v>905</v>
      </c>
      <c r="R388" t="s">
        <v>96</v>
      </c>
      <c r="S388" t="s">
        <v>96</v>
      </c>
      <c r="T388">
        <v>13583</v>
      </c>
      <c r="U388" t="s">
        <v>51</v>
      </c>
      <c r="V388">
        <v>3044</v>
      </c>
      <c r="W388">
        <v>3255</v>
      </c>
      <c r="X388" t="s">
        <v>1570</v>
      </c>
      <c r="Y388" t="s">
        <v>255</v>
      </c>
      <c r="Z388" t="s">
        <v>1020</v>
      </c>
      <c r="AA388" t="s">
        <v>602</v>
      </c>
      <c r="AB388">
        <v>15304</v>
      </c>
      <c r="AC388">
        <v>8679</v>
      </c>
      <c r="AD388">
        <v>3586</v>
      </c>
      <c r="AE388">
        <v>1089</v>
      </c>
      <c r="AF388">
        <v>210</v>
      </c>
      <c r="AG388">
        <v>19</v>
      </c>
      <c r="AH388">
        <v>14370</v>
      </c>
      <c r="AI388">
        <v>521</v>
      </c>
      <c r="AJ388">
        <v>1144</v>
      </c>
      <c r="AK388">
        <v>3680</v>
      </c>
      <c r="AL388">
        <v>270</v>
      </c>
      <c r="AM388">
        <v>88</v>
      </c>
      <c r="AN388" t="s">
        <v>285</v>
      </c>
      <c r="AO388">
        <f>AVERAGE(Tabla2[[#This Row],[total_kills]:[rating]])</f>
        <v>6960.05</v>
      </c>
      <c r="AP388" t="str">
        <f>VLOOKUP(Tabla2[[#This Row],[KPI]],$AS$2:$AT$5,2,1)</f>
        <v>Superior</v>
      </c>
    </row>
    <row r="389" spans="1:42" x14ac:dyDescent="0.3">
      <c r="A389">
        <v>9031</v>
      </c>
      <c r="B389" t="s">
        <v>829</v>
      </c>
      <c r="C389" t="s">
        <v>830</v>
      </c>
      <c r="D389">
        <v>27</v>
      </c>
      <c r="E389" t="s">
        <v>196</v>
      </c>
      <c r="F389" t="s">
        <v>130</v>
      </c>
      <c r="G389" t="s">
        <v>831</v>
      </c>
      <c r="H389">
        <v>24018</v>
      </c>
      <c r="I389">
        <v>21192</v>
      </c>
      <c r="J389" t="s">
        <v>832</v>
      </c>
      <c r="K389">
        <v>80</v>
      </c>
      <c r="L389" t="s">
        <v>575</v>
      </c>
      <c r="M389">
        <v>1230</v>
      </c>
      <c r="N389">
        <v>32676</v>
      </c>
      <c r="O389" t="s">
        <v>283</v>
      </c>
      <c r="P389" t="s">
        <v>202</v>
      </c>
      <c r="Q389" t="s">
        <v>276</v>
      </c>
      <c r="R389" t="s">
        <v>50</v>
      </c>
      <c r="S389" t="s">
        <v>50</v>
      </c>
      <c r="T389">
        <v>15988</v>
      </c>
      <c r="U389" t="s">
        <v>51</v>
      </c>
      <c r="V389">
        <v>3085</v>
      </c>
      <c r="W389">
        <v>2467</v>
      </c>
      <c r="X389" t="s">
        <v>72</v>
      </c>
      <c r="Y389" t="s">
        <v>255</v>
      </c>
      <c r="Z389" t="s">
        <v>70</v>
      </c>
      <c r="AA389" t="s">
        <v>413</v>
      </c>
      <c r="AB389">
        <v>16688</v>
      </c>
      <c r="AC389">
        <v>9948</v>
      </c>
      <c r="AD389">
        <v>4373</v>
      </c>
      <c r="AE389">
        <v>1378</v>
      </c>
      <c r="AF389">
        <v>255</v>
      </c>
      <c r="AG389">
        <v>34</v>
      </c>
      <c r="AH389">
        <v>18588</v>
      </c>
      <c r="AI389">
        <v>187</v>
      </c>
      <c r="AJ389">
        <v>1230</v>
      </c>
      <c r="AK389">
        <v>3690</v>
      </c>
      <c r="AL389">
        <v>327</v>
      </c>
      <c r="AM389">
        <v>54</v>
      </c>
      <c r="AN389" t="s">
        <v>295</v>
      </c>
      <c r="AO389">
        <f>AVERAGE(Tabla2[[#This Row],[total_kills]:[rating]])</f>
        <v>7874.4</v>
      </c>
      <c r="AP389" t="str">
        <f>VLOOKUP(Tabla2[[#This Row],[KPI]],$AS$2:$AT$5,2,1)</f>
        <v>Superior</v>
      </c>
    </row>
    <row r="390" spans="1:42" x14ac:dyDescent="0.3">
      <c r="A390">
        <v>12732</v>
      </c>
      <c r="B390" t="s">
        <v>976</v>
      </c>
      <c r="C390" t="s">
        <v>977</v>
      </c>
      <c r="D390">
        <v>21</v>
      </c>
      <c r="E390" t="s">
        <v>75</v>
      </c>
      <c r="F390" t="s">
        <v>308</v>
      </c>
      <c r="G390" t="s">
        <v>491</v>
      </c>
      <c r="H390">
        <v>24608</v>
      </c>
      <c r="I390">
        <v>21806</v>
      </c>
      <c r="J390" t="s">
        <v>832</v>
      </c>
      <c r="K390" t="s">
        <v>200</v>
      </c>
      <c r="L390" t="s">
        <v>201</v>
      </c>
      <c r="M390">
        <v>1249</v>
      </c>
      <c r="N390">
        <v>33673</v>
      </c>
      <c r="O390" t="s">
        <v>495</v>
      </c>
      <c r="P390" t="s">
        <v>202</v>
      </c>
      <c r="Q390" t="s">
        <v>276</v>
      </c>
      <c r="R390" t="s">
        <v>96</v>
      </c>
      <c r="S390" t="s">
        <v>67</v>
      </c>
      <c r="T390">
        <v>16583</v>
      </c>
      <c r="U390" t="s">
        <v>51</v>
      </c>
      <c r="V390">
        <v>2898</v>
      </c>
      <c r="W390">
        <v>2660</v>
      </c>
      <c r="X390" t="s">
        <v>295</v>
      </c>
      <c r="Y390" t="s">
        <v>503</v>
      </c>
      <c r="Z390" t="s">
        <v>383</v>
      </c>
      <c r="AA390" t="s">
        <v>978</v>
      </c>
      <c r="AB390">
        <v>17090</v>
      </c>
      <c r="AC390">
        <v>10492</v>
      </c>
      <c r="AD390">
        <v>4472</v>
      </c>
      <c r="AE390">
        <v>1331</v>
      </c>
      <c r="AF390">
        <v>261</v>
      </c>
      <c r="AG390">
        <v>27</v>
      </c>
      <c r="AH390">
        <v>18437</v>
      </c>
      <c r="AI390">
        <v>940</v>
      </c>
      <c r="AJ390">
        <v>1000</v>
      </c>
      <c r="AK390">
        <v>3836</v>
      </c>
      <c r="AL390">
        <v>395</v>
      </c>
      <c r="AM390">
        <v>93</v>
      </c>
      <c r="AN390" t="s">
        <v>98</v>
      </c>
      <c r="AO390">
        <f>AVERAGE(Tabla2[[#This Row],[total_kills]:[rating]])</f>
        <v>8518.4736842105267</v>
      </c>
      <c r="AP390" t="str">
        <f>VLOOKUP(Tabla2[[#This Row],[KPI]],$AS$2:$AT$5,2,1)</f>
        <v>Superior</v>
      </c>
    </row>
    <row r="391" spans="1:42" x14ac:dyDescent="0.3">
      <c r="A391">
        <v>7808</v>
      </c>
      <c r="B391" t="s">
        <v>2400</v>
      </c>
      <c r="C391" t="s">
        <v>2401</v>
      </c>
      <c r="D391">
        <v>29</v>
      </c>
      <c r="E391" t="s">
        <v>459</v>
      </c>
      <c r="F391" t="s">
        <v>749</v>
      </c>
      <c r="G391" t="s">
        <v>2402</v>
      </c>
      <c r="H391">
        <v>16041</v>
      </c>
      <c r="I391">
        <v>16075</v>
      </c>
      <c r="J391" t="s">
        <v>832</v>
      </c>
      <c r="K391" t="s">
        <v>1195</v>
      </c>
      <c r="L391" t="s">
        <v>1170</v>
      </c>
      <c r="M391">
        <v>901</v>
      </c>
      <c r="N391">
        <v>23127</v>
      </c>
      <c r="O391" t="s">
        <v>463</v>
      </c>
      <c r="P391" t="s">
        <v>166</v>
      </c>
      <c r="Q391" t="s">
        <v>905</v>
      </c>
      <c r="R391" t="s">
        <v>67</v>
      </c>
      <c r="S391" t="s">
        <v>50</v>
      </c>
      <c r="T391">
        <v>10874</v>
      </c>
      <c r="U391" t="s">
        <v>51</v>
      </c>
      <c r="V391">
        <v>2494</v>
      </c>
      <c r="W391">
        <v>2758</v>
      </c>
      <c r="X391" t="s">
        <v>1906</v>
      </c>
      <c r="Y391" t="s">
        <v>255</v>
      </c>
      <c r="Z391" t="s">
        <v>70</v>
      </c>
      <c r="AA391" t="s">
        <v>789</v>
      </c>
      <c r="AB391">
        <v>12253</v>
      </c>
      <c r="AC391">
        <v>6953</v>
      </c>
      <c r="AD391">
        <v>2888</v>
      </c>
      <c r="AE391">
        <v>844</v>
      </c>
      <c r="AF391">
        <v>173</v>
      </c>
      <c r="AG391">
        <v>16</v>
      </c>
      <c r="AH391">
        <v>11682</v>
      </c>
      <c r="AI391">
        <v>87</v>
      </c>
      <c r="AJ391">
        <v>1173</v>
      </c>
      <c r="AK391">
        <v>2859</v>
      </c>
      <c r="AL391">
        <v>212</v>
      </c>
      <c r="AM391">
        <v>61</v>
      </c>
      <c r="AN391" t="s">
        <v>285</v>
      </c>
      <c r="AO391">
        <f>AVERAGE(Tabla2[[#This Row],[total_kills]:[rating]])</f>
        <v>5866.894736842105</v>
      </c>
      <c r="AP391" t="str">
        <f>VLOOKUP(Tabla2[[#This Row],[KPI]],$AS$2:$AT$5,2,1)</f>
        <v>Alto</v>
      </c>
    </row>
    <row r="392" spans="1:42" x14ac:dyDescent="0.3">
      <c r="A392">
        <v>884</v>
      </c>
      <c r="B392" t="s">
        <v>2589</v>
      </c>
      <c r="C392" t="s">
        <v>2590</v>
      </c>
      <c r="D392">
        <v>31</v>
      </c>
      <c r="E392" t="s">
        <v>545</v>
      </c>
      <c r="F392" t="s">
        <v>1396</v>
      </c>
      <c r="G392" t="s">
        <v>2591</v>
      </c>
      <c r="H392">
        <v>28491</v>
      </c>
      <c r="I392">
        <v>27984</v>
      </c>
      <c r="J392" t="s">
        <v>832</v>
      </c>
      <c r="K392" t="s">
        <v>1764</v>
      </c>
      <c r="L392">
        <v>5</v>
      </c>
      <c r="M392">
        <v>1665</v>
      </c>
      <c r="N392">
        <v>42830</v>
      </c>
      <c r="O392" t="s">
        <v>225</v>
      </c>
      <c r="P392" t="s">
        <v>434</v>
      </c>
      <c r="Q392" t="s">
        <v>276</v>
      </c>
      <c r="R392" t="s">
        <v>50</v>
      </c>
      <c r="S392" t="s">
        <v>50</v>
      </c>
      <c r="T392">
        <v>19825</v>
      </c>
      <c r="U392" t="s">
        <v>51</v>
      </c>
      <c r="V392">
        <v>3698</v>
      </c>
      <c r="W392">
        <v>3347</v>
      </c>
      <c r="X392" t="s">
        <v>561</v>
      </c>
      <c r="Y392" t="s">
        <v>503</v>
      </c>
      <c r="Z392" t="s">
        <v>1538</v>
      </c>
      <c r="AA392" t="s">
        <v>828</v>
      </c>
      <c r="AB392">
        <v>23005</v>
      </c>
      <c r="AC392">
        <v>13114</v>
      </c>
      <c r="AD392">
        <v>5095</v>
      </c>
      <c r="AE392">
        <v>1369</v>
      </c>
      <c r="AF392">
        <v>225</v>
      </c>
      <c r="AG392">
        <v>22</v>
      </c>
      <c r="AH392">
        <v>21772</v>
      </c>
      <c r="AI392">
        <v>703</v>
      </c>
      <c r="AJ392">
        <v>920</v>
      </c>
      <c r="AK392">
        <v>4686</v>
      </c>
      <c r="AL392">
        <v>365</v>
      </c>
      <c r="AM392">
        <v>61</v>
      </c>
      <c r="AN392" t="s">
        <v>245</v>
      </c>
      <c r="AO392">
        <f>AVERAGE(Tabla2[[#This Row],[total_kills]:[rating]])</f>
        <v>9959.1</v>
      </c>
      <c r="AP392" t="str">
        <f>VLOOKUP(Tabla2[[#This Row],[KPI]],$AS$2:$AT$5,2,1)</f>
        <v>Superior</v>
      </c>
    </row>
    <row r="393" spans="1:42" x14ac:dyDescent="0.3">
      <c r="A393">
        <v>13250</v>
      </c>
      <c r="B393" t="s">
        <v>3310</v>
      </c>
      <c r="C393" t="s">
        <v>3311</v>
      </c>
      <c r="D393">
        <v>24</v>
      </c>
      <c r="E393" t="s">
        <v>459</v>
      </c>
      <c r="F393" t="s">
        <v>715</v>
      </c>
      <c r="G393" t="s">
        <v>716</v>
      </c>
      <c r="H393">
        <v>15025</v>
      </c>
      <c r="I393">
        <v>16842</v>
      </c>
      <c r="J393" t="s">
        <v>832</v>
      </c>
      <c r="K393" t="s">
        <v>2140</v>
      </c>
      <c r="L393" t="s">
        <v>244</v>
      </c>
      <c r="M393">
        <v>940</v>
      </c>
      <c r="N393">
        <v>24528</v>
      </c>
      <c r="O393" t="s">
        <v>49</v>
      </c>
      <c r="P393" t="s">
        <v>235</v>
      </c>
      <c r="Q393" t="s">
        <v>463</v>
      </c>
      <c r="R393" t="s">
        <v>67</v>
      </c>
      <c r="S393" t="s">
        <v>96</v>
      </c>
      <c r="T393">
        <v>10606</v>
      </c>
      <c r="U393" t="s">
        <v>51</v>
      </c>
      <c r="V393">
        <v>2182</v>
      </c>
      <c r="W393">
        <v>2488</v>
      </c>
      <c r="X393" t="s">
        <v>2315</v>
      </c>
      <c r="Y393" t="s">
        <v>1570</v>
      </c>
      <c r="Z393" t="s">
        <v>1214</v>
      </c>
      <c r="AA393" t="s">
        <v>852</v>
      </c>
      <c r="AB393">
        <v>13922</v>
      </c>
      <c r="AC393">
        <v>7164</v>
      </c>
      <c r="AD393">
        <v>2620</v>
      </c>
      <c r="AE393">
        <v>680</v>
      </c>
      <c r="AF393">
        <v>129</v>
      </c>
      <c r="AG393">
        <v>13</v>
      </c>
      <c r="AH393">
        <v>10449</v>
      </c>
      <c r="AI393">
        <v>654</v>
      </c>
      <c r="AJ393">
        <v>1183</v>
      </c>
      <c r="AK393">
        <v>2483</v>
      </c>
      <c r="AL393">
        <v>235</v>
      </c>
      <c r="AM393">
        <v>68</v>
      </c>
      <c r="AN393" t="s">
        <v>503</v>
      </c>
      <c r="AO393">
        <f>AVERAGE(Tabla2[[#This Row],[total_kills]:[rating]])</f>
        <v>5905.8421052631575</v>
      </c>
      <c r="AP393" t="str">
        <f>VLOOKUP(Tabla2[[#This Row],[KPI]],$AS$2:$AT$5,2,1)</f>
        <v>Alto</v>
      </c>
    </row>
    <row r="394" spans="1:42" x14ac:dyDescent="0.3">
      <c r="A394">
        <v>19044</v>
      </c>
      <c r="B394" t="s">
        <v>1738</v>
      </c>
      <c r="C394" t="s">
        <v>1739</v>
      </c>
      <c r="D394">
        <v>28</v>
      </c>
      <c r="E394" t="s">
        <v>895</v>
      </c>
      <c r="F394" t="s">
        <v>1040</v>
      </c>
      <c r="G394" t="s">
        <v>1740</v>
      </c>
      <c r="H394">
        <v>12061</v>
      </c>
      <c r="I394">
        <v>11567</v>
      </c>
      <c r="J394" t="s">
        <v>1741</v>
      </c>
      <c r="K394" t="s">
        <v>263</v>
      </c>
      <c r="L394" t="s">
        <v>224</v>
      </c>
      <c r="M394">
        <v>649</v>
      </c>
      <c r="N394">
        <v>17082</v>
      </c>
      <c r="O394" t="s">
        <v>646</v>
      </c>
      <c r="P394" t="s">
        <v>166</v>
      </c>
      <c r="Q394" t="s">
        <v>167</v>
      </c>
      <c r="R394" t="s">
        <v>67</v>
      </c>
      <c r="S394" t="s">
        <v>48</v>
      </c>
      <c r="T394">
        <v>8095</v>
      </c>
      <c r="U394" t="s">
        <v>51</v>
      </c>
      <c r="V394">
        <v>1617</v>
      </c>
      <c r="W394">
        <v>1615</v>
      </c>
      <c r="X394">
        <v>1</v>
      </c>
      <c r="Y394" t="s">
        <v>245</v>
      </c>
      <c r="Z394" t="s">
        <v>1165</v>
      </c>
      <c r="AA394" t="s">
        <v>746</v>
      </c>
      <c r="AB394">
        <v>8987</v>
      </c>
      <c r="AC394">
        <v>5107</v>
      </c>
      <c r="AD394">
        <v>2164</v>
      </c>
      <c r="AE394">
        <v>685</v>
      </c>
      <c r="AF394">
        <v>126</v>
      </c>
      <c r="AG394">
        <v>13</v>
      </c>
      <c r="AH394">
        <v>9182</v>
      </c>
      <c r="AI394">
        <v>83</v>
      </c>
      <c r="AJ394">
        <v>645</v>
      </c>
      <c r="AK394">
        <v>1935</v>
      </c>
      <c r="AL394">
        <v>147</v>
      </c>
      <c r="AM394">
        <v>89</v>
      </c>
      <c r="AN394" t="s">
        <v>412</v>
      </c>
      <c r="AO394">
        <f>AVERAGE(Tabla2[[#This Row],[total_kills]:[rating]])</f>
        <v>4092.5</v>
      </c>
      <c r="AP394" t="str">
        <f>VLOOKUP(Tabla2[[#This Row],[KPI]],$AS$2:$AT$5,2,1)</f>
        <v>Medio</v>
      </c>
    </row>
    <row r="395" spans="1:42" x14ac:dyDescent="0.3">
      <c r="A395">
        <v>9911</v>
      </c>
      <c r="B395" t="s">
        <v>2120</v>
      </c>
      <c r="C395" t="s">
        <v>2121</v>
      </c>
      <c r="D395">
        <v>24</v>
      </c>
      <c r="E395" t="s">
        <v>545</v>
      </c>
      <c r="F395" t="s">
        <v>1065</v>
      </c>
      <c r="G395" t="s">
        <v>2122</v>
      </c>
      <c r="H395">
        <v>13418</v>
      </c>
      <c r="I395">
        <v>12838</v>
      </c>
      <c r="J395" t="s">
        <v>1741</v>
      </c>
      <c r="K395" t="s">
        <v>939</v>
      </c>
      <c r="L395" t="s">
        <v>1170</v>
      </c>
      <c r="M395">
        <v>746</v>
      </c>
      <c r="N395">
        <v>19847</v>
      </c>
      <c r="O395" t="s">
        <v>167</v>
      </c>
      <c r="P395" t="s">
        <v>235</v>
      </c>
      <c r="Q395" t="s">
        <v>276</v>
      </c>
      <c r="R395" t="s">
        <v>96</v>
      </c>
      <c r="S395" t="s">
        <v>50</v>
      </c>
      <c r="T395">
        <v>9209</v>
      </c>
      <c r="U395" t="s">
        <v>51</v>
      </c>
      <c r="V395">
        <v>1709</v>
      </c>
      <c r="W395">
        <v>1726</v>
      </c>
      <c r="X395" t="s">
        <v>285</v>
      </c>
      <c r="Y395" t="s">
        <v>820</v>
      </c>
      <c r="Z395" t="s">
        <v>347</v>
      </c>
      <c r="AA395" t="s">
        <v>1083</v>
      </c>
      <c r="AB395">
        <v>10638</v>
      </c>
      <c r="AC395">
        <v>5999</v>
      </c>
      <c r="AD395">
        <v>2372</v>
      </c>
      <c r="AE395">
        <v>689</v>
      </c>
      <c r="AF395">
        <v>137</v>
      </c>
      <c r="AG395">
        <v>12</v>
      </c>
      <c r="AH395">
        <v>9286</v>
      </c>
      <c r="AI395">
        <v>699</v>
      </c>
      <c r="AJ395">
        <v>999</v>
      </c>
      <c r="AK395">
        <v>2238</v>
      </c>
      <c r="AL395">
        <v>198</v>
      </c>
      <c r="AM395">
        <v>54</v>
      </c>
      <c r="AN395" t="s">
        <v>255</v>
      </c>
      <c r="AO395">
        <f>AVERAGE(Tabla2[[#This Row],[total_kills]:[rating]])</f>
        <v>4884.9473684210525</v>
      </c>
      <c r="AP395" t="str">
        <f>VLOOKUP(Tabla2[[#This Row],[KPI]],$AS$2:$AT$5,2,1)</f>
        <v>Alto</v>
      </c>
    </row>
    <row r="396" spans="1:42" x14ac:dyDescent="0.3">
      <c r="A396">
        <v>16816</v>
      </c>
      <c r="B396" t="s">
        <v>385</v>
      </c>
      <c r="C396" t="s">
        <v>386</v>
      </c>
      <c r="D396">
        <v>23</v>
      </c>
      <c r="E396" t="s">
        <v>104</v>
      </c>
      <c r="F396" t="s">
        <v>250</v>
      </c>
      <c r="G396" t="s">
        <v>387</v>
      </c>
      <c r="H396">
        <v>10883</v>
      </c>
      <c r="I396">
        <v>9398</v>
      </c>
      <c r="J396" t="s">
        <v>388</v>
      </c>
      <c r="K396" t="s">
        <v>389</v>
      </c>
      <c r="L396" t="s">
        <v>390</v>
      </c>
      <c r="M396">
        <v>533</v>
      </c>
      <c r="N396">
        <v>14130</v>
      </c>
      <c r="O396" t="s">
        <v>81</v>
      </c>
      <c r="P396" t="s">
        <v>202</v>
      </c>
      <c r="Q396" t="s">
        <v>225</v>
      </c>
      <c r="R396" t="s">
        <v>96</v>
      </c>
      <c r="S396" t="s">
        <v>50</v>
      </c>
      <c r="T396">
        <v>7098</v>
      </c>
      <c r="U396" t="s">
        <v>51</v>
      </c>
      <c r="V396">
        <v>1806</v>
      </c>
      <c r="W396">
        <v>1548</v>
      </c>
      <c r="X396" t="s">
        <v>172</v>
      </c>
      <c r="Y396" t="s">
        <v>370</v>
      </c>
      <c r="Z396" t="s">
        <v>391</v>
      </c>
      <c r="AA396" t="s">
        <v>392</v>
      </c>
      <c r="AB396">
        <v>7032</v>
      </c>
      <c r="AC396">
        <v>4315</v>
      </c>
      <c r="AD396">
        <v>1963</v>
      </c>
      <c r="AE396">
        <v>647</v>
      </c>
      <c r="AF396">
        <v>164</v>
      </c>
      <c r="AG396">
        <v>9</v>
      </c>
      <c r="AH396">
        <v>7544</v>
      </c>
      <c r="AI396">
        <v>1047</v>
      </c>
      <c r="AJ396">
        <v>404</v>
      </c>
      <c r="AK396">
        <v>1800</v>
      </c>
      <c r="AL396">
        <v>99</v>
      </c>
      <c r="AM396">
        <v>32</v>
      </c>
      <c r="AN396" t="s">
        <v>169</v>
      </c>
      <c r="AO396">
        <f>AVERAGE(Tabla2[[#This Row],[total_kills]:[rating]])</f>
        <v>3708</v>
      </c>
      <c r="AP396" t="str">
        <f>VLOOKUP(Tabla2[[#This Row],[KPI]],$AS$2:$AT$5,2,1)</f>
        <v>Medio</v>
      </c>
    </row>
    <row r="397" spans="1:42" x14ac:dyDescent="0.3">
      <c r="A397">
        <v>16817</v>
      </c>
      <c r="B397" t="s">
        <v>1188</v>
      </c>
      <c r="C397" t="s">
        <v>1189</v>
      </c>
      <c r="D397">
        <v>21</v>
      </c>
      <c r="E397" t="s">
        <v>104</v>
      </c>
      <c r="F397" t="s">
        <v>662</v>
      </c>
      <c r="G397" t="s">
        <v>1190</v>
      </c>
      <c r="H397">
        <v>12915</v>
      </c>
      <c r="I397">
        <v>11407</v>
      </c>
      <c r="J397" t="s">
        <v>388</v>
      </c>
      <c r="K397" t="s">
        <v>776</v>
      </c>
      <c r="L397" t="s">
        <v>164</v>
      </c>
      <c r="M397">
        <v>702</v>
      </c>
      <c r="N397">
        <v>18441</v>
      </c>
      <c r="O397" t="s">
        <v>905</v>
      </c>
      <c r="P397" t="s">
        <v>48</v>
      </c>
      <c r="Q397" t="s">
        <v>144</v>
      </c>
      <c r="R397" t="s">
        <v>50</v>
      </c>
      <c r="S397" t="s">
        <v>50</v>
      </c>
      <c r="T397">
        <v>8787</v>
      </c>
      <c r="U397" t="s">
        <v>51</v>
      </c>
      <c r="V397">
        <v>1676</v>
      </c>
      <c r="W397">
        <v>1495</v>
      </c>
      <c r="X397" t="s">
        <v>370</v>
      </c>
      <c r="Y397" t="s">
        <v>285</v>
      </c>
      <c r="Z397" t="s">
        <v>296</v>
      </c>
      <c r="AA397" t="s">
        <v>518</v>
      </c>
      <c r="AB397">
        <v>9654</v>
      </c>
      <c r="AC397">
        <v>5630</v>
      </c>
      <c r="AD397">
        <v>2368</v>
      </c>
      <c r="AE397">
        <v>630</v>
      </c>
      <c r="AF397">
        <v>136</v>
      </c>
      <c r="AG397">
        <v>23</v>
      </c>
      <c r="AH397">
        <v>8438</v>
      </c>
      <c r="AI397">
        <v>1139</v>
      </c>
      <c r="AJ397">
        <v>1047</v>
      </c>
      <c r="AK397">
        <v>2043</v>
      </c>
      <c r="AL397">
        <v>180</v>
      </c>
      <c r="AM397">
        <v>115</v>
      </c>
      <c r="AN397" t="s">
        <v>362</v>
      </c>
      <c r="AO397">
        <f>AVERAGE(Tabla2[[#This Row],[total_kills]:[rating]])</f>
        <v>4569.7894736842109</v>
      </c>
      <c r="AP397" t="str">
        <f>VLOOKUP(Tabla2[[#This Row],[KPI]],$AS$2:$AT$5,2,1)</f>
        <v>Medio</v>
      </c>
    </row>
    <row r="398" spans="1:42" x14ac:dyDescent="0.3">
      <c r="A398">
        <v>8566</v>
      </c>
      <c r="B398" t="s">
        <v>2837</v>
      </c>
      <c r="C398" t="s">
        <v>2838</v>
      </c>
      <c r="D398">
        <v>27</v>
      </c>
      <c r="E398" t="s">
        <v>104</v>
      </c>
      <c r="F398" t="s">
        <v>3514</v>
      </c>
      <c r="G398" t="s">
        <v>2839</v>
      </c>
      <c r="H398">
        <v>16073</v>
      </c>
      <c r="I398">
        <v>16554</v>
      </c>
      <c r="J398" t="s">
        <v>388</v>
      </c>
      <c r="K398" t="s">
        <v>723</v>
      </c>
      <c r="L398" t="s">
        <v>80</v>
      </c>
      <c r="M398">
        <v>943</v>
      </c>
      <c r="N398">
        <v>24480</v>
      </c>
      <c r="O398" t="s">
        <v>322</v>
      </c>
      <c r="P398" t="s">
        <v>553</v>
      </c>
      <c r="Q398" t="s">
        <v>167</v>
      </c>
      <c r="R398" t="s">
        <v>50</v>
      </c>
      <c r="S398" t="s">
        <v>96</v>
      </c>
      <c r="T398">
        <v>11048</v>
      </c>
      <c r="U398" t="s">
        <v>51</v>
      </c>
      <c r="V398">
        <v>2454</v>
      </c>
      <c r="W398">
        <v>2613</v>
      </c>
      <c r="X398" t="s">
        <v>1570</v>
      </c>
      <c r="Y398" t="s">
        <v>285</v>
      </c>
      <c r="Z398" t="s">
        <v>567</v>
      </c>
      <c r="AA398" t="s">
        <v>739</v>
      </c>
      <c r="AB398">
        <v>13432</v>
      </c>
      <c r="AC398">
        <v>7188</v>
      </c>
      <c r="AD398">
        <v>2877</v>
      </c>
      <c r="AE398">
        <v>816</v>
      </c>
      <c r="AF398">
        <v>153</v>
      </c>
      <c r="AG398">
        <v>14</v>
      </c>
      <c r="AH398">
        <v>11720</v>
      </c>
      <c r="AI398">
        <v>259</v>
      </c>
      <c r="AJ398">
        <v>722</v>
      </c>
      <c r="AK398">
        <v>3072</v>
      </c>
      <c r="AL398">
        <v>206</v>
      </c>
      <c r="AM398">
        <v>130</v>
      </c>
      <c r="AN398" t="s">
        <v>472</v>
      </c>
      <c r="AO398">
        <f>AVERAGE(Tabla2[[#This Row],[total_kills]:[rating]])</f>
        <v>6039.6842105263158</v>
      </c>
      <c r="AP398" t="str">
        <f>VLOOKUP(Tabla2[[#This Row],[KPI]],$AS$2:$AT$5,2,1)</f>
        <v>Alto</v>
      </c>
    </row>
    <row r="399" spans="1:42" x14ac:dyDescent="0.3">
      <c r="A399">
        <v>9820</v>
      </c>
      <c r="B399" t="s">
        <v>3256</v>
      </c>
      <c r="C399" t="s">
        <v>3257</v>
      </c>
      <c r="D399">
        <v>24</v>
      </c>
      <c r="E399" t="s">
        <v>452</v>
      </c>
      <c r="F399" t="s">
        <v>3514</v>
      </c>
      <c r="G399" t="s">
        <v>2384</v>
      </c>
      <c r="H399">
        <v>6256</v>
      </c>
      <c r="I399">
        <v>6848</v>
      </c>
      <c r="J399" t="s">
        <v>3258</v>
      </c>
      <c r="K399" t="s">
        <v>2140</v>
      </c>
      <c r="L399">
        <v>5</v>
      </c>
      <c r="M399">
        <v>383</v>
      </c>
      <c r="N399">
        <v>10178</v>
      </c>
      <c r="O399" t="s">
        <v>49</v>
      </c>
      <c r="P399" t="s">
        <v>202</v>
      </c>
      <c r="Q399" t="s">
        <v>225</v>
      </c>
      <c r="R399" t="s">
        <v>96</v>
      </c>
      <c r="S399" t="s">
        <v>50</v>
      </c>
      <c r="T399">
        <v>4388</v>
      </c>
      <c r="U399" t="s">
        <v>51</v>
      </c>
      <c r="V399">
        <v>810</v>
      </c>
      <c r="W399">
        <v>991</v>
      </c>
      <c r="X399" t="s">
        <v>2998</v>
      </c>
      <c r="Y399" t="s">
        <v>1906</v>
      </c>
      <c r="Z399" t="s">
        <v>3259</v>
      </c>
      <c r="AA399" t="s">
        <v>2631</v>
      </c>
      <c r="AB399">
        <v>5790</v>
      </c>
      <c r="AC399">
        <v>2924</v>
      </c>
      <c r="AD399">
        <v>1125</v>
      </c>
      <c r="AE399">
        <v>280</v>
      </c>
      <c r="AF399">
        <v>53</v>
      </c>
      <c r="AG399">
        <v>6</v>
      </c>
      <c r="AH399">
        <v>4549</v>
      </c>
      <c r="AI399">
        <v>25</v>
      </c>
      <c r="AJ399">
        <v>418</v>
      </c>
      <c r="AK399">
        <v>1151</v>
      </c>
      <c r="AL399">
        <v>116</v>
      </c>
      <c r="AM399">
        <v>20</v>
      </c>
      <c r="AN399" t="s">
        <v>1749</v>
      </c>
      <c r="AO399">
        <f>AVERAGE(Tabla2[[#This Row],[total_kills]:[rating]])</f>
        <v>2315.8000000000002</v>
      </c>
      <c r="AP399" t="str">
        <f>VLOOKUP(Tabla2[[#This Row],[KPI]],$AS$2:$AT$5,2,1)</f>
        <v>Bajo</v>
      </c>
    </row>
    <row r="400" spans="1:42" x14ac:dyDescent="0.3">
      <c r="A400">
        <v>15726</v>
      </c>
      <c r="B400" t="s">
        <v>3393</v>
      </c>
      <c r="C400" t="s">
        <v>3394</v>
      </c>
      <c r="D400">
        <v>23</v>
      </c>
      <c r="E400" t="s">
        <v>327</v>
      </c>
      <c r="F400" t="s">
        <v>3514</v>
      </c>
      <c r="G400" t="s">
        <v>3395</v>
      </c>
      <c r="H400">
        <v>9764</v>
      </c>
      <c r="I400">
        <v>11501</v>
      </c>
      <c r="J400" t="s">
        <v>3258</v>
      </c>
      <c r="K400" t="s">
        <v>2856</v>
      </c>
      <c r="L400">
        <v>4</v>
      </c>
      <c r="M400">
        <v>603</v>
      </c>
      <c r="N400">
        <v>16182</v>
      </c>
      <c r="O400" t="s">
        <v>134</v>
      </c>
      <c r="P400" t="s">
        <v>48</v>
      </c>
      <c r="Q400" t="s">
        <v>646</v>
      </c>
      <c r="R400" t="s">
        <v>50</v>
      </c>
      <c r="S400" t="s">
        <v>96</v>
      </c>
      <c r="T400">
        <v>6845</v>
      </c>
      <c r="U400" t="s">
        <v>51</v>
      </c>
      <c r="V400">
        <v>1546</v>
      </c>
      <c r="W400">
        <v>1831</v>
      </c>
      <c r="X400" t="s">
        <v>47</v>
      </c>
      <c r="Y400" t="s">
        <v>472</v>
      </c>
      <c r="Z400" t="s">
        <v>745</v>
      </c>
      <c r="AA400" t="s">
        <v>413</v>
      </c>
      <c r="AB400">
        <v>9337</v>
      </c>
      <c r="AC400">
        <v>4551</v>
      </c>
      <c r="AD400">
        <v>1756</v>
      </c>
      <c r="AE400">
        <v>458</v>
      </c>
      <c r="AF400">
        <v>73</v>
      </c>
      <c r="AG400">
        <v>7</v>
      </c>
      <c r="AH400">
        <v>6126</v>
      </c>
      <c r="AI400">
        <v>1401</v>
      </c>
      <c r="AJ400">
        <v>595</v>
      </c>
      <c r="AK400">
        <v>1537</v>
      </c>
      <c r="AL400">
        <v>103</v>
      </c>
      <c r="AM400">
        <v>28</v>
      </c>
      <c r="AN400" t="s">
        <v>1314</v>
      </c>
      <c r="AO400">
        <f>AVERAGE(Tabla2[[#This Row],[total_kills]:[rating]])</f>
        <v>3712.4</v>
      </c>
      <c r="AP400" t="str">
        <f>VLOOKUP(Tabla2[[#This Row],[KPI]],$AS$2:$AT$5,2,1)</f>
        <v>Medio</v>
      </c>
    </row>
    <row r="401" spans="1:42" x14ac:dyDescent="0.3">
      <c r="A401">
        <v>10705</v>
      </c>
      <c r="B401" t="s">
        <v>1632</v>
      </c>
      <c r="C401" t="s">
        <v>1633</v>
      </c>
      <c r="D401">
        <v>24</v>
      </c>
      <c r="E401" t="s">
        <v>477</v>
      </c>
      <c r="F401" t="s">
        <v>271</v>
      </c>
      <c r="G401" t="s">
        <v>1634</v>
      </c>
      <c r="H401">
        <v>9693</v>
      </c>
      <c r="I401">
        <v>9024</v>
      </c>
      <c r="J401" t="s">
        <v>1635</v>
      </c>
      <c r="K401" t="s">
        <v>1042</v>
      </c>
      <c r="L401" t="s">
        <v>275</v>
      </c>
      <c r="M401">
        <v>531</v>
      </c>
      <c r="N401">
        <v>13727</v>
      </c>
      <c r="O401" t="s">
        <v>646</v>
      </c>
      <c r="P401" t="s">
        <v>48</v>
      </c>
      <c r="Q401" t="s">
        <v>322</v>
      </c>
      <c r="R401" t="s">
        <v>50</v>
      </c>
      <c r="S401" t="s">
        <v>67</v>
      </c>
      <c r="T401">
        <v>6642</v>
      </c>
      <c r="U401" t="s">
        <v>51</v>
      </c>
      <c r="V401">
        <v>1086</v>
      </c>
      <c r="W401">
        <v>990</v>
      </c>
      <c r="X401" t="s">
        <v>561</v>
      </c>
      <c r="Y401" t="s">
        <v>1570</v>
      </c>
      <c r="Z401" t="s">
        <v>1462</v>
      </c>
      <c r="AA401" t="s">
        <v>1636</v>
      </c>
      <c r="AB401">
        <v>7085</v>
      </c>
      <c r="AC401">
        <v>4302</v>
      </c>
      <c r="AD401">
        <v>1733</v>
      </c>
      <c r="AE401">
        <v>516</v>
      </c>
      <c r="AF401">
        <v>78</v>
      </c>
      <c r="AG401">
        <v>13</v>
      </c>
      <c r="AH401">
        <v>7478</v>
      </c>
      <c r="AI401">
        <v>103</v>
      </c>
      <c r="AJ401">
        <v>449</v>
      </c>
      <c r="AK401">
        <v>1558</v>
      </c>
      <c r="AL401">
        <v>71</v>
      </c>
      <c r="AM401">
        <v>66</v>
      </c>
      <c r="AN401" t="s">
        <v>464</v>
      </c>
      <c r="AO401">
        <f>AVERAGE(Tabla2[[#This Row],[total_kills]:[rating]])</f>
        <v>3428.6842105263158</v>
      </c>
      <c r="AP401" t="str">
        <f>VLOOKUP(Tabla2[[#This Row],[KPI]],$AS$2:$AT$5,2,1)</f>
        <v>Medio</v>
      </c>
    </row>
    <row r="402" spans="1:42" x14ac:dyDescent="0.3">
      <c r="A402">
        <v>10818</v>
      </c>
      <c r="B402" t="s">
        <v>2001</v>
      </c>
      <c r="C402" t="s">
        <v>2002</v>
      </c>
      <c r="D402">
        <v>24</v>
      </c>
      <c r="E402" t="s">
        <v>104</v>
      </c>
      <c r="F402" t="s">
        <v>1125</v>
      </c>
      <c r="G402" t="s">
        <v>2003</v>
      </c>
      <c r="H402">
        <v>15793</v>
      </c>
      <c r="I402">
        <v>15282</v>
      </c>
      <c r="J402" t="s">
        <v>1635</v>
      </c>
      <c r="K402" t="s">
        <v>341</v>
      </c>
      <c r="L402" t="s">
        <v>612</v>
      </c>
      <c r="M402">
        <v>872</v>
      </c>
      <c r="N402">
        <v>22741</v>
      </c>
      <c r="O402" t="s">
        <v>463</v>
      </c>
      <c r="P402" t="s">
        <v>166</v>
      </c>
      <c r="Q402" t="s">
        <v>225</v>
      </c>
      <c r="R402" t="s">
        <v>50</v>
      </c>
      <c r="S402" t="s">
        <v>96</v>
      </c>
      <c r="T402">
        <v>10658</v>
      </c>
      <c r="U402" t="s">
        <v>51</v>
      </c>
      <c r="V402">
        <v>2317</v>
      </c>
      <c r="W402">
        <v>2265</v>
      </c>
      <c r="X402" t="s">
        <v>449</v>
      </c>
      <c r="Y402" t="s">
        <v>255</v>
      </c>
      <c r="Z402" t="s">
        <v>347</v>
      </c>
      <c r="AA402" t="s">
        <v>1030</v>
      </c>
      <c r="AB402">
        <v>12083</v>
      </c>
      <c r="AC402">
        <v>6748</v>
      </c>
      <c r="AD402">
        <v>2871</v>
      </c>
      <c r="AE402">
        <v>871</v>
      </c>
      <c r="AF402">
        <v>150</v>
      </c>
      <c r="AG402">
        <v>18</v>
      </c>
      <c r="AH402">
        <v>11294</v>
      </c>
      <c r="AI402">
        <v>734</v>
      </c>
      <c r="AJ402">
        <v>1013</v>
      </c>
      <c r="AK402">
        <v>2554</v>
      </c>
      <c r="AL402">
        <v>186</v>
      </c>
      <c r="AM402">
        <v>50</v>
      </c>
      <c r="AN402" t="s">
        <v>277</v>
      </c>
      <c r="AO402">
        <f>AVERAGE(Tabla2[[#This Row],[total_kills]:[rating]])</f>
        <v>5710.5263157894733</v>
      </c>
      <c r="AP402" t="str">
        <f>VLOOKUP(Tabla2[[#This Row],[KPI]],$AS$2:$AT$5,2,1)</f>
        <v>Alto</v>
      </c>
    </row>
    <row r="403" spans="1:42" x14ac:dyDescent="0.3">
      <c r="A403">
        <v>11995</v>
      </c>
      <c r="B403" t="s">
        <v>2834</v>
      </c>
      <c r="C403" t="s">
        <v>2835</v>
      </c>
      <c r="D403">
        <v>20</v>
      </c>
      <c r="E403" t="s">
        <v>196</v>
      </c>
      <c r="F403" t="s">
        <v>1401</v>
      </c>
      <c r="G403" t="s">
        <v>2836</v>
      </c>
      <c r="H403">
        <v>13000</v>
      </c>
      <c r="I403">
        <v>13494</v>
      </c>
      <c r="J403" t="s">
        <v>1635</v>
      </c>
      <c r="K403" t="s">
        <v>639</v>
      </c>
      <c r="L403" t="s">
        <v>1319</v>
      </c>
      <c r="M403">
        <v>738</v>
      </c>
      <c r="N403">
        <v>19595</v>
      </c>
      <c r="O403" t="s">
        <v>322</v>
      </c>
      <c r="P403" t="s">
        <v>553</v>
      </c>
      <c r="Q403" t="s">
        <v>463</v>
      </c>
      <c r="R403" t="s">
        <v>50</v>
      </c>
      <c r="S403" t="s">
        <v>96</v>
      </c>
      <c r="T403">
        <v>8876</v>
      </c>
      <c r="U403" t="s">
        <v>51</v>
      </c>
      <c r="V403">
        <v>2238</v>
      </c>
      <c r="W403">
        <v>2431</v>
      </c>
      <c r="X403" t="s">
        <v>1314</v>
      </c>
      <c r="Y403" t="s">
        <v>412</v>
      </c>
      <c r="Z403" t="s">
        <v>383</v>
      </c>
      <c r="AA403" t="s">
        <v>86</v>
      </c>
      <c r="AB403">
        <v>10719</v>
      </c>
      <c r="AC403">
        <v>5711</v>
      </c>
      <c r="AD403">
        <v>2373</v>
      </c>
      <c r="AE403">
        <v>640</v>
      </c>
      <c r="AF403">
        <v>137</v>
      </c>
      <c r="AG403">
        <v>15</v>
      </c>
      <c r="AH403">
        <v>8927</v>
      </c>
      <c r="AI403">
        <v>1016</v>
      </c>
      <c r="AJ403">
        <v>705</v>
      </c>
      <c r="AK403">
        <v>2050</v>
      </c>
      <c r="AL403">
        <v>288</v>
      </c>
      <c r="AM403">
        <v>67</v>
      </c>
      <c r="AN403" t="s">
        <v>304</v>
      </c>
      <c r="AO403">
        <f>AVERAGE(Tabla2[[#This Row],[total_kills]:[rating]])</f>
        <v>4895.7894736842109</v>
      </c>
      <c r="AP403" t="str">
        <f>VLOOKUP(Tabla2[[#This Row],[KPI]],$AS$2:$AT$5,2,1)</f>
        <v>Alto</v>
      </c>
    </row>
    <row r="404" spans="1:42" x14ac:dyDescent="0.3">
      <c r="A404">
        <v>3329</v>
      </c>
      <c r="B404" t="s">
        <v>3196</v>
      </c>
      <c r="C404" t="s">
        <v>3197</v>
      </c>
      <c r="D404">
        <v>29</v>
      </c>
      <c r="E404" t="s">
        <v>545</v>
      </c>
      <c r="F404" t="s">
        <v>2638</v>
      </c>
      <c r="G404" t="s">
        <v>3198</v>
      </c>
      <c r="H404">
        <v>16575</v>
      </c>
      <c r="I404">
        <v>18370</v>
      </c>
      <c r="J404" t="s">
        <v>1635</v>
      </c>
      <c r="K404" t="s">
        <v>645</v>
      </c>
      <c r="L404" t="s">
        <v>375</v>
      </c>
      <c r="M404">
        <v>936</v>
      </c>
      <c r="N404">
        <v>24805</v>
      </c>
      <c r="O404" t="s">
        <v>225</v>
      </c>
      <c r="P404" t="s">
        <v>235</v>
      </c>
      <c r="Q404" t="s">
        <v>283</v>
      </c>
      <c r="R404" t="s">
        <v>96</v>
      </c>
      <c r="S404" t="s">
        <v>66</v>
      </c>
      <c r="T404">
        <v>11263</v>
      </c>
      <c r="U404" t="s">
        <v>51</v>
      </c>
      <c r="V404">
        <v>2493</v>
      </c>
      <c r="W404">
        <v>2941</v>
      </c>
      <c r="X404" t="s">
        <v>2667</v>
      </c>
      <c r="Y404" t="s">
        <v>503</v>
      </c>
      <c r="Z404" t="s">
        <v>1467</v>
      </c>
      <c r="AA404" t="s">
        <v>547</v>
      </c>
      <c r="AB404">
        <v>13542</v>
      </c>
      <c r="AC404">
        <v>7236</v>
      </c>
      <c r="AD404">
        <v>2952</v>
      </c>
      <c r="AE404">
        <v>884</v>
      </c>
      <c r="AF404">
        <v>174</v>
      </c>
      <c r="AG404">
        <v>17</v>
      </c>
      <c r="AH404">
        <v>8472</v>
      </c>
      <c r="AI404">
        <v>2105</v>
      </c>
      <c r="AJ404">
        <v>2715</v>
      </c>
      <c r="AK404">
        <v>2975</v>
      </c>
      <c r="AL404">
        <v>257</v>
      </c>
      <c r="AM404">
        <v>76</v>
      </c>
      <c r="AN404" t="s">
        <v>950</v>
      </c>
      <c r="AO404">
        <f>AVERAGE(Tabla2[[#This Row],[total_kills]:[rating]])</f>
        <v>6252</v>
      </c>
      <c r="AP404" t="str">
        <f>VLOOKUP(Tabla2[[#This Row],[KPI]],$AS$2:$AT$5,2,1)</f>
        <v>Alto</v>
      </c>
    </row>
    <row r="405" spans="1:42" x14ac:dyDescent="0.3">
      <c r="A405">
        <v>8184</v>
      </c>
      <c r="B405" t="s">
        <v>1672</v>
      </c>
      <c r="C405" t="s">
        <v>2422</v>
      </c>
      <c r="D405">
        <v>26</v>
      </c>
      <c r="E405" t="s">
        <v>141</v>
      </c>
      <c r="F405" t="s">
        <v>605</v>
      </c>
      <c r="G405" t="s">
        <v>2423</v>
      </c>
      <c r="H405">
        <v>21407</v>
      </c>
      <c r="I405">
        <v>21779</v>
      </c>
      <c r="J405" t="s">
        <v>2424</v>
      </c>
      <c r="K405" t="s">
        <v>588</v>
      </c>
      <c r="L405" t="s">
        <v>462</v>
      </c>
      <c r="M405">
        <v>1162</v>
      </c>
      <c r="N405">
        <v>30750</v>
      </c>
      <c r="O405" t="s">
        <v>905</v>
      </c>
      <c r="P405" t="s">
        <v>202</v>
      </c>
      <c r="Q405" t="s">
        <v>646</v>
      </c>
      <c r="R405" t="s">
        <v>50</v>
      </c>
      <c r="S405" t="s">
        <v>96</v>
      </c>
      <c r="T405">
        <v>14301</v>
      </c>
      <c r="U405" t="s">
        <v>51</v>
      </c>
      <c r="V405">
        <v>3278</v>
      </c>
      <c r="W405">
        <v>3941</v>
      </c>
      <c r="X405" t="s">
        <v>2425</v>
      </c>
      <c r="Y405" t="s">
        <v>285</v>
      </c>
      <c r="Z405" t="s">
        <v>54</v>
      </c>
      <c r="AA405" t="s">
        <v>384</v>
      </c>
      <c r="AB405">
        <v>16449</v>
      </c>
      <c r="AC405">
        <v>8992</v>
      </c>
      <c r="AD405">
        <v>3803</v>
      </c>
      <c r="AE405">
        <v>1234</v>
      </c>
      <c r="AF405">
        <v>254</v>
      </c>
      <c r="AG405">
        <v>18</v>
      </c>
      <c r="AH405">
        <v>15139</v>
      </c>
      <c r="AI405">
        <v>620</v>
      </c>
      <c r="AJ405">
        <v>1637</v>
      </c>
      <c r="AK405">
        <v>3789</v>
      </c>
      <c r="AL405">
        <v>216</v>
      </c>
      <c r="AM405">
        <v>54</v>
      </c>
      <c r="AN405" t="s">
        <v>285</v>
      </c>
      <c r="AO405">
        <f>AVERAGE(Tabla2[[#This Row],[total_kills]:[rating]])</f>
        <v>7832.7894736842109</v>
      </c>
      <c r="AP405" t="str">
        <f>VLOOKUP(Tabla2[[#This Row],[KPI]],$AS$2:$AT$5,2,1)</f>
        <v>Superior</v>
      </c>
    </row>
    <row r="406" spans="1:42" x14ac:dyDescent="0.3">
      <c r="A406">
        <v>7805</v>
      </c>
      <c r="B406" t="s">
        <v>2721</v>
      </c>
      <c r="C406" t="s">
        <v>2722</v>
      </c>
      <c r="D406">
        <v>28</v>
      </c>
      <c r="E406" t="s">
        <v>459</v>
      </c>
      <c r="F406" t="s">
        <v>557</v>
      </c>
      <c r="G406" t="s">
        <v>2723</v>
      </c>
      <c r="H406">
        <v>24435</v>
      </c>
      <c r="I406">
        <v>24806</v>
      </c>
      <c r="J406" t="s">
        <v>2424</v>
      </c>
      <c r="K406" t="s">
        <v>1009</v>
      </c>
      <c r="L406" t="s">
        <v>80</v>
      </c>
      <c r="M406">
        <v>1413</v>
      </c>
      <c r="N406">
        <v>36954</v>
      </c>
      <c r="O406" t="s">
        <v>322</v>
      </c>
      <c r="P406" t="s">
        <v>166</v>
      </c>
      <c r="Q406" t="s">
        <v>225</v>
      </c>
      <c r="R406" t="s">
        <v>67</v>
      </c>
      <c r="S406" t="s">
        <v>50</v>
      </c>
      <c r="T406">
        <v>16746</v>
      </c>
      <c r="U406" t="s">
        <v>51</v>
      </c>
      <c r="V406">
        <v>3264</v>
      </c>
      <c r="W406">
        <v>3574</v>
      </c>
      <c r="X406" t="s">
        <v>1749</v>
      </c>
      <c r="Y406" t="s">
        <v>820</v>
      </c>
      <c r="Z406" t="s">
        <v>1020</v>
      </c>
      <c r="AA406" t="s">
        <v>247</v>
      </c>
      <c r="AB406">
        <v>20208</v>
      </c>
      <c r="AC406">
        <v>10899</v>
      </c>
      <c r="AD406">
        <v>4308</v>
      </c>
      <c r="AE406">
        <v>1266</v>
      </c>
      <c r="AF406">
        <v>256</v>
      </c>
      <c r="AG406">
        <v>17</v>
      </c>
      <c r="AH406">
        <v>18454</v>
      </c>
      <c r="AI406">
        <v>148</v>
      </c>
      <c r="AJ406">
        <v>1128</v>
      </c>
      <c r="AK406">
        <v>4376</v>
      </c>
      <c r="AL406">
        <v>323</v>
      </c>
      <c r="AM406">
        <v>72</v>
      </c>
      <c r="AN406" t="s">
        <v>503</v>
      </c>
      <c r="AO406">
        <f>AVERAGE(Tabla2[[#This Row],[total_kills]:[rating]])</f>
        <v>9086.6842105263149</v>
      </c>
      <c r="AP406" t="str">
        <f>VLOOKUP(Tabla2[[#This Row],[KPI]],$AS$2:$AT$5,2,1)</f>
        <v>Superior</v>
      </c>
    </row>
    <row r="407" spans="1:42" x14ac:dyDescent="0.3">
      <c r="A407">
        <v>7148</v>
      </c>
      <c r="B407" t="s">
        <v>2995</v>
      </c>
      <c r="C407" t="s">
        <v>2996</v>
      </c>
      <c r="D407">
        <v>30</v>
      </c>
      <c r="E407" t="s">
        <v>545</v>
      </c>
      <c r="F407" t="s">
        <v>3514</v>
      </c>
      <c r="G407" t="s">
        <v>2997</v>
      </c>
      <c r="H407">
        <v>33114</v>
      </c>
      <c r="I407">
        <v>34810</v>
      </c>
      <c r="J407" t="s">
        <v>2424</v>
      </c>
      <c r="K407" t="s">
        <v>1764</v>
      </c>
      <c r="L407" t="s">
        <v>244</v>
      </c>
      <c r="M407">
        <v>1957</v>
      </c>
      <c r="N407">
        <v>50987</v>
      </c>
      <c r="O407" t="s">
        <v>276</v>
      </c>
      <c r="P407" t="s">
        <v>553</v>
      </c>
      <c r="Q407" t="s">
        <v>167</v>
      </c>
      <c r="R407" t="s">
        <v>67</v>
      </c>
      <c r="S407" t="s">
        <v>96</v>
      </c>
      <c r="T407">
        <v>22654</v>
      </c>
      <c r="U407" t="s">
        <v>51</v>
      </c>
      <c r="V407">
        <v>4942</v>
      </c>
      <c r="W407">
        <v>6023</v>
      </c>
      <c r="X407" t="s">
        <v>2998</v>
      </c>
      <c r="Y407" t="s">
        <v>820</v>
      </c>
      <c r="Z407" t="s">
        <v>508</v>
      </c>
      <c r="AA407" t="s">
        <v>1379</v>
      </c>
      <c r="AB407">
        <v>28333</v>
      </c>
      <c r="AC407">
        <v>14706</v>
      </c>
      <c r="AD407">
        <v>5899</v>
      </c>
      <c r="AE407">
        <v>1679</v>
      </c>
      <c r="AF407">
        <v>337</v>
      </c>
      <c r="AG407">
        <v>33</v>
      </c>
      <c r="AH407">
        <v>25373</v>
      </c>
      <c r="AI407">
        <v>243</v>
      </c>
      <c r="AJ407">
        <v>1622</v>
      </c>
      <c r="AK407">
        <v>5252</v>
      </c>
      <c r="AL407">
        <v>516</v>
      </c>
      <c r="AM407">
        <v>152</v>
      </c>
      <c r="AN407" t="s">
        <v>820</v>
      </c>
      <c r="AO407">
        <f>AVERAGE(Tabla2[[#This Row],[total_kills]:[rating]])</f>
        <v>12559.578947368422</v>
      </c>
      <c r="AP407" t="str">
        <f>VLOOKUP(Tabla2[[#This Row],[KPI]],$AS$2:$AT$5,2,1)</f>
        <v>Superior</v>
      </c>
    </row>
    <row r="408" spans="1:42" x14ac:dyDescent="0.3">
      <c r="A408">
        <v>12572</v>
      </c>
      <c r="B408" t="s">
        <v>3401</v>
      </c>
      <c r="C408" t="s">
        <v>3402</v>
      </c>
      <c r="D408">
        <v>28</v>
      </c>
      <c r="E408" t="s">
        <v>545</v>
      </c>
      <c r="F408" t="s">
        <v>197</v>
      </c>
      <c r="G408" t="s">
        <v>3403</v>
      </c>
      <c r="H408">
        <v>10263</v>
      </c>
      <c r="I408">
        <v>11998</v>
      </c>
      <c r="J408" t="s">
        <v>2424</v>
      </c>
      <c r="K408">
        <v>63</v>
      </c>
      <c r="L408">
        <v>3</v>
      </c>
      <c r="M408">
        <v>688</v>
      </c>
      <c r="N408">
        <v>18180</v>
      </c>
      <c r="O408" t="s">
        <v>181</v>
      </c>
      <c r="P408" t="s">
        <v>48</v>
      </c>
      <c r="Q408" t="s">
        <v>322</v>
      </c>
      <c r="R408" t="s">
        <v>50</v>
      </c>
      <c r="S408" t="s">
        <v>66</v>
      </c>
      <c r="T408">
        <v>7476</v>
      </c>
      <c r="U408" t="s">
        <v>51</v>
      </c>
      <c r="V408">
        <v>1391</v>
      </c>
      <c r="W408">
        <v>1607</v>
      </c>
      <c r="X408" t="s">
        <v>2324</v>
      </c>
      <c r="Y408" t="s">
        <v>1906</v>
      </c>
      <c r="Z408" t="s">
        <v>1165</v>
      </c>
      <c r="AA408" t="s">
        <v>1636</v>
      </c>
      <c r="AB408">
        <v>10704</v>
      </c>
      <c r="AC408">
        <v>5250</v>
      </c>
      <c r="AD408">
        <v>1728</v>
      </c>
      <c r="AE408">
        <v>440</v>
      </c>
      <c r="AF408">
        <v>53</v>
      </c>
      <c r="AG408">
        <v>5</v>
      </c>
      <c r="AH408">
        <v>7025</v>
      </c>
      <c r="AI408">
        <v>391</v>
      </c>
      <c r="AJ408">
        <v>1059</v>
      </c>
      <c r="AK408">
        <v>1673</v>
      </c>
      <c r="AL408">
        <v>119</v>
      </c>
      <c r="AM408">
        <v>8</v>
      </c>
      <c r="AN408" t="s">
        <v>1749</v>
      </c>
      <c r="AO408">
        <f>AVERAGE(Tabla2[[#This Row],[total_kills]:[rating]])</f>
        <v>3815.4285714285716</v>
      </c>
      <c r="AP408" t="str">
        <f>VLOOKUP(Tabla2[[#This Row],[KPI]],$AS$2:$AT$5,2,1)</f>
        <v>Medio</v>
      </c>
    </row>
    <row r="409" spans="1:42" x14ac:dyDescent="0.3">
      <c r="A409">
        <v>5479</v>
      </c>
      <c r="B409" t="s">
        <v>1290</v>
      </c>
      <c r="C409" t="s">
        <v>1291</v>
      </c>
      <c r="D409">
        <v>27</v>
      </c>
      <c r="E409" t="s">
        <v>452</v>
      </c>
      <c r="F409" t="s">
        <v>338</v>
      </c>
      <c r="G409" t="s">
        <v>1292</v>
      </c>
      <c r="H409">
        <v>25493</v>
      </c>
      <c r="I409">
        <v>23890</v>
      </c>
      <c r="J409" t="s">
        <v>1293</v>
      </c>
      <c r="K409" t="s">
        <v>361</v>
      </c>
      <c r="L409" t="s">
        <v>575</v>
      </c>
      <c r="M409">
        <v>1313</v>
      </c>
      <c r="N409">
        <v>34614</v>
      </c>
      <c r="O409" t="s">
        <v>283</v>
      </c>
      <c r="P409" t="s">
        <v>235</v>
      </c>
      <c r="Q409" t="s">
        <v>463</v>
      </c>
      <c r="R409" t="s">
        <v>96</v>
      </c>
      <c r="S409" t="s">
        <v>96</v>
      </c>
      <c r="T409">
        <v>16897</v>
      </c>
      <c r="U409" t="s">
        <v>51</v>
      </c>
      <c r="V409">
        <v>3831</v>
      </c>
      <c r="W409">
        <v>3737</v>
      </c>
      <c r="X409" t="s">
        <v>412</v>
      </c>
      <c r="Y409" t="s">
        <v>407</v>
      </c>
      <c r="Z409" t="s">
        <v>170</v>
      </c>
      <c r="AA409" t="s">
        <v>267</v>
      </c>
      <c r="AB409">
        <v>17717</v>
      </c>
      <c r="AC409">
        <v>10501</v>
      </c>
      <c r="AD409">
        <v>4587</v>
      </c>
      <c r="AE409">
        <v>1459</v>
      </c>
      <c r="AF409">
        <v>314</v>
      </c>
      <c r="AG409">
        <v>36</v>
      </c>
      <c r="AH409">
        <v>18561</v>
      </c>
      <c r="AI409">
        <v>471</v>
      </c>
      <c r="AJ409">
        <v>1792</v>
      </c>
      <c r="AK409">
        <v>4237</v>
      </c>
      <c r="AL409">
        <v>382</v>
      </c>
      <c r="AM409">
        <v>96</v>
      </c>
      <c r="AN409" t="s">
        <v>590</v>
      </c>
      <c r="AO409">
        <f>AVERAGE(Tabla2[[#This Row],[total_kills]:[rating]])</f>
        <v>8943.5789473684217</v>
      </c>
      <c r="AP409" t="str">
        <f>VLOOKUP(Tabla2[[#This Row],[KPI]],$AS$2:$AT$5,2,1)</f>
        <v>Superior</v>
      </c>
    </row>
    <row r="410" spans="1:42" x14ac:dyDescent="0.3">
      <c r="A410">
        <v>16599</v>
      </c>
      <c r="B410" t="s">
        <v>1810</v>
      </c>
      <c r="C410" t="s">
        <v>1811</v>
      </c>
      <c r="D410">
        <v>23</v>
      </c>
      <c r="E410" t="s">
        <v>459</v>
      </c>
      <c r="F410" t="s">
        <v>1544</v>
      </c>
      <c r="G410" t="s">
        <v>1812</v>
      </c>
      <c r="H410">
        <v>11457</v>
      </c>
      <c r="I410">
        <v>11080</v>
      </c>
      <c r="J410" t="s">
        <v>1293</v>
      </c>
      <c r="K410" t="s">
        <v>79</v>
      </c>
      <c r="L410" t="s">
        <v>282</v>
      </c>
      <c r="M410">
        <v>619</v>
      </c>
      <c r="N410">
        <v>16163</v>
      </c>
      <c r="O410" t="s">
        <v>646</v>
      </c>
      <c r="P410" t="s">
        <v>166</v>
      </c>
      <c r="Q410" t="s">
        <v>463</v>
      </c>
      <c r="R410" t="s">
        <v>50</v>
      </c>
      <c r="S410" t="s">
        <v>67</v>
      </c>
      <c r="T410">
        <v>7682</v>
      </c>
      <c r="U410" t="s">
        <v>51</v>
      </c>
      <c r="V410">
        <v>1668</v>
      </c>
      <c r="W410">
        <v>1777</v>
      </c>
      <c r="X410" t="s">
        <v>1570</v>
      </c>
      <c r="Y410">
        <v>1</v>
      </c>
      <c r="Z410" t="s">
        <v>508</v>
      </c>
      <c r="AA410" t="s">
        <v>577</v>
      </c>
      <c r="AB410">
        <v>8481</v>
      </c>
      <c r="AC410">
        <v>4836</v>
      </c>
      <c r="AD410">
        <v>2068</v>
      </c>
      <c r="AE410">
        <v>643</v>
      </c>
      <c r="AF410">
        <v>119</v>
      </c>
      <c r="AG410">
        <v>16</v>
      </c>
      <c r="AH410">
        <v>8315</v>
      </c>
      <c r="AI410">
        <v>292</v>
      </c>
      <c r="AJ410">
        <v>519</v>
      </c>
      <c r="AK410">
        <v>1982</v>
      </c>
      <c r="AL410">
        <v>214</v>
      </c>
      <c r="AM410">
        <v>180</v>
      </c>
      <c r="AN410" t="s">
        <v>277</v>
      </c>
      <c r="AO410">
        <f>AVERAGE(Tabla2[[#This Row],[total_kills]:[rating]])</f>
        <v>3905.6</v>
      </c>
      <c r="AP410" t="str">
        <f>VLOOKUP(Tabla2[[#This Row],[KPI]],$AS$2:$AT$5,2,1)</f>
        <v>Medio</v>
      </c>
    </row>
    <row r="411" spans="1:42" x14ac:dyDescent="0.3">
      <c r="A411">
        <v>1328</v>
      </c>
      <c r="B411" t="s">
        <v>3379</v>
      </c>
      <c r="C411" t="s">
        <v>3380</v>
      </c>
      <c r="D411">
        <v>31</v>
      </c>
      <c r="E411" t="s">
        <v>459</v>
      </c>
      <c r="F411" t="s">
        <v>3514</v>
      </c>
      <c r="G411" t="s">
        <v>3381</v>
      </c>
      <c r="H411">
        <v>6257</v>
      </c>
      <c r="I411">
        <v>7304</v>
      </c>
      <c r="J411" t="s">
        <v>1293</v>
      </c>
      <c r="K411" t="s">
        <v>920</v>
      </c>
      <c r="L411" t="s">
        <v>589</v>
      </c>
      <c r="M411">
        <v>395</v>
      </c>
      <c r="N411">
        <v>10074</v>
      </c>
      <c r="O411" t="s">
        <v>144</v>
      </c>
      <c r="P411" t="s">
        <v>166</v>
      </c>
      <c r="Q411" t="s">
        <v>495</v>
      </c>
      <c r="R411" t="s">
        <v>67</v>
      </c>
      <c r="S411" t="s">
        <v>66</v>
      </c>
      <c r="T411">
        <v>4425</v>
      </c>
      <c r="U411" t="s">
        <v>51</v>
      </c>
      <c r="V411">
        <v>899</v>
      </c>
      <c r="W411">
        <v>1010</v>
      </c>
      <c r="X411" t="s">
        <v>1551</v>
      </c>
      <c r="Y411" t="s">
        <v>820</v>
      </c>
      <c r="Z411" t="s">
        <v>809</v>
      </c>
      <c r="AA411" t="s">
        <v>1379</v>
      </c>
      <c r="AB411">
        <v>5649</v>
      </c>
      <c r="AC411">
        <v>2995</v>
      </c>
      <c r="AD411">
        <v>1089</v>
      </c>
      <c r="AE411">
        <v>295</v>
      </c>
      <c r="AF411">
        <v>42</v>
      </c>
      <c r="AG411">
        <v>4</v>
      </c>
      <c r="AH411">
        <v>4449</v>
      </c>
      <c r="AI411">
        <v>18</v>
      </c>
      <c r="AJ411">
        <v>490</v>
      </c>
      <c r="AK411">
        <v>1199</v>
      </c>
      <c r="AL411">
        <v>87</v>
      </c>
      <c r="AM411">
        <v>26</v>
      </c>
      <c r="AN411" t="s">
        <v>2324</v>
      </c>
      <c r="AO411">
        <f>AVERAGE(Tabla2[[#This Row],[total_kills]:[rating]])</f>
        <v>2458.2631578947367</v>
      </c>
      <c r="AP411" t="str">
        <f>VLOOKUP(Tabla2[[#This Row],[KPI]],$AS$2:$AT$5,2,1)</f>
        <v>Bajo</v>
      </c>
    </row>
    <row r="412" spans="1:42" x14ac:dyDescent="0.3">
      <c r="A412">
        <v>3997</v>
      </c>
      <c r="B412" t="s">
        <v>1439</v>
      </c>
      <c r="C412" t="s">
        <v>1440</v>
      </c>
      <c r="D412">
        <v>25</v>
      </c>
      <c r="E412" t="s">
        <v>683</v>
      </c>
      <c r="F412" t="s">
        <v>3514</v>
      </c>
      <c r="G412" t="s">
        <v>1441</v>
      </c>
      <c r="H412">
        <v>18549</v>
      </c>
      <c r="I412">
        <v>16810</v>
      </c>
      <c r="J412" t="s">
        <v>1442</v>
      </c>
      <c r="K412" t="s">
        <v>1119</v>
      </c>
      <c r="L412" t="s">
        <v>1170</v>
      </c>
      <c r="M412">
        <v>1008</v>
      </c>
      <c r="N412">
        <v>26413</v>
      </c>
      <c r="O412" t="s">
        <v>905</v>
      </c>
      <c r="P412" t="s">
        <v>202</v>
      </c>
      <c r="Q412" t="s">
        <v>65</v>
      </c>
      <c r="R412" t="s">
        <v>96</v>
      </c>
      <c r="S412" t="s">
        <v>67</v>
      </c>
      <c r="T412">
        <v>12673</v>
      </c>
      <c r="U412" t="s">
        <v>51</v>
      </c>
      <c r="V412">
        <v>1933</v>
      </c>
      <c r="W412">
        <v>1661</v>
      </c>
      <c r="X412" t="s">
        <v>206</v>
      </c>
      <c r="Y412" t="s">
        <v>950</v>
      </c>
      <c r="Z412" t="s">
        <v>473</v>
      </c>
      <c r="AA412" t="s">
        <v>1443</v>
      </c>
      <c r="AB412">
        <v>13740</v>
      </c>
      <c r="AC412">
        <v>8159</v>
      </c>
      <c r="AD412">
        <v>3368</v>
      </c>
      <c r="AE412">
        <v>966</v>
      </c>
      <c r="AF412">
        <v>156</v>
      </c>
      <c r="AG412">
        <v>24</v>
      </c>
      <c r="AH412">
        <v>13621</v>
      </c>
      <c r="AI412">
        <v>302</v>
      </c>
      <c r="AJ412">
        <v>1086</v>
      </c>
      <c r="AK412">
        <v>3346</v>
      </c>
      <c r="AL412">
        <v>204</v>
      </c>
      <c r="AM412">
        <v>33</v>
      </c>
      <c r="AN412" t="s">
        <v>304</v>
      </c>
      <c r="AO412">
        <f>AVERAGE(Tabla2[[#This Row],[total_kills]:[rating]])</f>
        <v>6529.0526315789475</v>
      </c>
      <c r="AP412" t="str">
        <f>VLOOKUP(Tabla2[[#This Row],[KPI]],$AS$2:$AT$5,2,1)</f>
        <v>Alto</v>
      </c>
    </row>
    <row r="413" spans="1:42" x14ac:dyDescent="0.3">
      <c r="A413">
        <v>8507</v>
      </c>
      <c r="B413" t="s">
        <v>2885</v>
      </c>
      <c r="C413" t="s">
        <v>2886</v>
      </c>
      <c r="D413">
        <v>28</v>
      </c>
      <c r="E413" t="s">
        <v>500</v>
      </c>
      <c r="F413" t="s">
        <v>3514</v>
      </c>
      <c r="G413" t="s">
        <v>2887</v>
      </c>
      <c r="H413">
        <v>22263</v>
      </c>
      <c r="I413">
        <v>22790</v>
      </c>
      <c r="J413" t="s">
        <v>1442</v>
      </c>
      <c r="K413" t="s">
        <v>1288</v>
      </c>
      <c r="L413">
        <v>6</v>
      </c>
      <c r="M413">
        <v>1338</v>
      </c>
      <c r="N413">
        <v>34605</v>
      </c>
      <c r="O413" t="s">
        <v>65</v>
      </c>
      <c r="P413" t="s">
        <v>235</v>
      </c>
      <c r="Q413" t="s">
        <v>322</v>
      </c>
      <c r="R413" t="s">
        <v>50</v>
      </c>
      <c r="S413" t="s">
        <v>96</v>
      </c>
      <c r="T413">
        <v>15402</v>
      </c>
      <c r="U413" t="s">
        <v>51</v>
      </c>
      <c r="V413">
        <v>3246</v>
      </c>
      <c r="W413">
        <v>3668</v>
      </c>
      <c r="X413" t="s">
        <v>2315</v>
      </c>
      <c r="Y413" t="s">
        <v>472</v>
      </c>
      <c r="Z413" t="s">
        <v>554</v>
      </c>
      <c r="AA413" t="s">
        <v>1101</v>
      </c>
      <c r="AB413">
        <v>19203</v>
      </c>
      <c r="AC413">
        <v>10067</v>
      </c>
      <c r="AD413">
        <v>4042</v>
      </c>
      <c r="AE413">
        <v>1087</v>
      </c>
      <c r="AF413">
        <v>184</v>
      </c>
      <c r="AG413">
        <v>22</v>
      </c>
      <c r="AH413">
        <v>14991</v>
      </c>
      <c r="AI413">
        <v>755</v>
      </c>
      <c r="AJ413">
        <v>2112</v>
      </c>
      <c r="AK413">
        <v>3954</v>
      </c>
      <c r="AL413">
        <v>397</v>
      </c>
      <c r="AM413">
        <v>100</v>
      </c>
      <c r="AN413" t="s">
        <v>472</v>
      </c>
      <c r="AO413">
        <f>AVERAGE(Tabla2[[#This Row],[total_kills]:[rating]])</f>
        <v>8011.6</v>
      </c>
      <c r="AP413" t="str">
        <f>VLOOKUP(Tabla2[[#This Row],[KPI]],$AS$2:$AT$5,2,1)</f>
        <v>Superior</v>
      </c>
    </row>
    <row r="414" spans="1:42" x14ac:dyDescent="0.3">
      <c r="A414">
        <v>9032</v>
      </c>
      <c r="B414" t="s">
        <v>907</v>
      </c>
      <c r="C414" t="s">
        <v>908</v>
      </c>
      <c r="D414">
        <v>24</v>
      </c>
      <c r="E414" t="s">
        <v>196</v>
      </c>
      <c r="F414" t="s">
        <v>43</v>
      </c>
      <c r="G414" t="s">
        <v>909</v>
      </c>
      <c r="H414">
        <v>26714</v>
      </c>
      <c r="I414">
        <v>23482</v>
      </c>
      <c r="J414" t="s">
        <v>910</v>
      </c>
      <c r="K414" t="s">
        <v>911</v>
      </c>
      <c r="L414" t="s">
        <v>782</v>
      </c>
      <c r="M414">
        <v>1411</v>
      </c>
      <c r="N414">
        <v>37134</v>
      </c>
      <c r="O414" t="s">
        <v>311</v>
      </c>
      <c r="P414" t="s">
        <v>166</v>
      </c>
      <c r="Q414" t="s">
        <v>215</v>
      </c>
      <c r="R414" t="s">
        <v>96</v>
      </c>
      <c r="S414" t="s">
        <v>50</v>
      </c>
      <c r="T414">
        <v>17827</v>
      </c>
      <c r="U414" t="s">
        <v>51</v>
      </c>
      <c r="V414">
        <v>3815</v>
      </c>
      <c r="W414">
        <v>3451</v>
      </c>
      <c r="X414" t="s">
        <v>362</v>
      </c>
      <c r="Y414" t="s">
        <v>412</v>
      </c>
      <c r="Z414" t="s">
        <v>296</v>
      </c>
      <c r="AA414" t="s">
        <v>408</v>
      </c>
      <c r="AB414">
        <v>19307</v>
      </c>
      <c r="AC414">
        <v>11146</v>
      </c>
      <c r="AD414">
        <v>4847</v>
      </c>
      <c r="AE414">
        <v>1496</v>
      </c>
      <c r="AF414">
        <v>305</v>
      </c>
      <c r="AG414">
        <v>33</v>
      </c>
      <c r="AH414">
        <v>20139</v>
      </c>
      <c r="AI414">
        <v>526</v>
      </c>
      <c r="AJ414">
        <v>1133</v>
      </c>
      <c r="AK414">
        <v>4521</v>
      </c>
      <c r="AL414">
        <v>414</v>
      </c>
      <c r="AM414">
        <v>56</v>
      </c>
      <c r="AN414" t="s">
        <v>277</v>
      </c>
      <c r="AO414">
        <f>AVERAGE(Tabla2[[#This Row],[total_kills]:[rating]])</f>
        <v>9355.6315789473683</v>
      </c>
      <c r="AP414" t="str">
        <f>VLOOKUP(Tabla2[[#This Row],[KPI]],$AS$2:$AT$5,2,1)</f>
        <v>Superior</v>
      </c>
    </row>
    <row r="415" spans="1:42" x14ac:dyDescent="0.3">
      <c r="A415">
        <v>7873</v>
      </c>
      <c r="B415" t="s">
        <v>2394</v>
      </c>
      <c r="C415" t="s">
        <v>2395</v>
      </c>
      <c r="D415">
        <v>30</v>
      </c>
      <c r="E415" t="s">
        <v>141</v>
      </c>
      <c r="F415" t="s">
        <v>3514</v>
      </c>
      <c r="G415" t="s">
        <v>812</v>
      </c>
      <c r="H415">
        <v>14252</v>
      </c>
      <c r="I415">
        <v>14484</v>
      </c>
      <c r="J415" t="s">
        <v>910</v>
      </c>
      <c r="K415" t="s">
        <v>738</v>
      </c>
      <c r="L415" t="s">
        <v>575</v>
      </c>
      <c r="M415">
        <v>768</v>
      </c>
      <c r="N415">
        <v>20106</v>
      </c>
      <c r="O415" t="s">
        <v>646</v>
      </c>
      <c r="P415" t="s">
        <v>553</v>
      </c>
      <c r="Q415" t="s">
        <v>311</v>
      </c>
      <c r="R415" t="s">
        <v>67</v>
      </c>
      <c r="S415" t="s">
        <v>50</v>
      </c>
      <c r="T415">
        <v>9565</v>
      </c>
      <c r="U415" t="s">
        <v>51</v>
      </c>
      <c r="V415">
        <v>2501</v>
      </c>
      <c r="W415">
        <v>2493</v>
      </c>
      <c r="X415">
        <v>1</v>
      </c>
      <c r="Y415" t="s">
        <v>277</v>
      </c>
      <c r="Z415" t="s">
        <v>1765</v>
      </c>
      <c r="AA415" t="s">
        <v>392</v>
      </c>
      <c r="AB415">
        <v>10541</v>
      </c>
      <c r="AC415">
        <v>6003</v>
      </c>
      <c r="AD415">
        <v>2633</v>
      </c>
      <c r="AE415">
        <v>753</v>
      </c>
      <c r="AF415">
        <v>156</v>
      </c>
      <c r="AG415">
        <v>20</v>
      </c>
      <c r="AH415">
        <v>8804</v>
      </c>
      <c r="AI415">
        <v>1444</v>
      </c>
      <c r="AJ415">
        <v>1339</v>
      </c>
      <c r="AK415">
        <v>2456</v>
      </c>
      <c r="AL415">
        <v>186</v>
      </c>
      <c r="AM415">
        <v>52</v>
      </c>
      <c r="AN415" t="s">
        <v>285</v>
      </c>
      <c r="AO415">
        <f>AVERAGE(Tabla2[[#This Row],[total_kills]:[rating]])</f>
        <v>4927.8500000000004</v>
      </c>
      <c r="AP415" t="str">
        <f>VLOOKUP(Tabla2[[#This Row],[KPI]],$AS$2:$AT$5,2,1)</f>
        <v>Alto</v>
      </c>
    </row>
    <row r="416" spans="1:42" x14ac:dyDescent="0.3">
      <c r="A416">
        <v>15204</v>
      </c>
      <c r="B416" t="s">
        <v>2435</v>
      </c>
      <c r="C416" t="s">
        <v>2436</v>
      </c>
      <c r="D416">
        <v>22</v>
      </c>
      <c r="E416" t="s">
        <v>327</v>
      </c>
      <c r="F416" t="s">
        <v>2236</v>
      </c>
      <c r="G416" t="s">
        <v>2437</v>
      </c>
      <c r="H416">
        <v>15239</v>
      </c>
      <c r="I416">
        <v>15404</v>
      </c>
      <c r="J416" t="s">
        <v>910</v>
      </c>
      <c r="K416">
        <v>77</v>
      </c>
      <c r="L416" t="s">
        <v>589</v>
      </c>
      <c r="M416">
        <v>801</v>
      </c>
      <c r="N416">
        <v>21935</v>
      </c>
      <c r="O416" t="s">
        <v>463</v>
      </c>
      <c r="P416" t="s">
        <v>202</v>
      </c>
      <c r="Q416" t="s">
        <v>905</v>
      </c>
      <c r="R416" t="s">
        <v>50</v>
      </c>
      <c r="S416" t="s">
        <v>50</v>
      </c>
      <c r="T416">
        <v>10292</v>
      </c>
      <c r="U416" t="s">
        <v>51</v>
      </c>
      <c r="V416">
        <v>2250</v>
      </c>
      <c r="W416">
        <v>2516</v>
      </c>
      <c r="X416" t="s">
        <v>1551</v>
      </c>
      <c r="Y416" t="s">
        <v>285</v>
      </c>
      <c r="Z416" t="s">
        <v>1765</v>
      </c>
      <c r="AA416" t="s">
        <v>547</v>
      </c>
      <c r="AB416">
        <v>11643</v>
      </c>
      <c r="AC416">
        <v>6571</v>
      </c>
      <c r="AD416">
        <v>2707</v>
      </c>
      <c r="AE416">
        <v>824</v>
      </c>
      <c r="AF416">
        <v>168</v>
      </c>
      <c r="AG416">
        <v>22</v>
      </c>
      <c r="AH416">
        <v>11595</v>
      </c>
      <c r="AI416">
        <v>151</v>
      </c>
      <c r="AJ416">
        <v>728</v>
      </c>
      <c r="AK416">
        <v>2612</v>
      </c>
      <c r="AL416">
        <v>154</v>
      </c>
      <c r="AM416">
        <v>37</v>
      </c>
      <c r="AN416" t="s">
        <v>407</v>
      </c>
      <c r="AO416">
        <f>AVERAGE(Tabla2[[#This Row],[total_kills]:[rating]])</f>
        <v>5286.3</v>
      </c>
      <c r="AP416" t="str">
        <f>VLOOKUP(Tabla2[[#This Row],[KPI]],$AS$2:$AT$5,2,1)</f>
        <v>Alto</v>
      </c>
    </row>
    <row r="417" spans="1:42" x14ac:dyDescent="0.3">
      <c r="A417">
        <v>303</v>
      </c>
      <c r="B417" t="s">
        <v>2847</v>
      </c>
      <c r="C417" t="s">
        <v>2848</v>
      </c>
      <c r="D417">
        <v>34</v>
      </c>
      <c r="E417" t="s">
        <v>59</v>
      </c>
      <c r="F417" t="s">
        <v>3514</v>
      </c>
      <c r="G417" t="s">
        <v>2849</v>
      </c>
      <c r="H417">
        <v>10839</v>
      </c>
      <c r="I417">
        <v>11114</v>
      </c>
      <c r="J417" t="s">
        <v>910</v>
      </c>
      <c r="K417" t="s">
        <v>1234</v>
      </c>
      <c r="L417" t="s">
        <v>331</v>
      </c>
      <c r="M417">
        <v>630</v>
      </c>
      <c r="N417">
        <v>16590</v>
      </c>
      <c r="O417" t="s">
        <v>276</v>
      </c>
      <c r="P417" t="s">
        <v>235</v>
      </c>
      <c r="Q417" t="s">
        <v>225</v>
      </c>
      <c r="R417" t="s">
        <v>96</v>
      </c>
      <c r="S417" t="s">
        <v>96</v>
      </c>
      <c r="T417">
        <v>7480</v>
      </c>
      <c r="U417" t="s">
        <v>51</v>
      </c>
      <c r="V417">
        <v>1471</v>
      </c>
      <c r="W417">
        <v>1525</v>
      </c>
      <c r="X417" t="s">
        <v>472</v>
      </c>
      <c r="Y417" t="s">
        <v>472</v>
      </c>
      <c r="Z417" t="s">
        <v>256</v>
      </c>
      <c r="AA417" t="s">
        <v>783</v>
      </c>
      <c r="AB417">
        <v>9110</v>
      </c>
      <c r="AC417">
        <v>4941</v>
      </c>
      <c r="AD417">
        <v>1890</v>
      </c>
      <c r="AE417">
        <v>525</v>
      </c>
      <c r="AF417">
        <v>112</v>
      </c>
      <c r="AG417">
        <v>12</v>
      </c>
      <c r="AH417">
        <v>7735</v>
      </c>
      <c r="AI417">
        <v>726</v>
      </c>
      <c r="AJ417">
        <v>321</v>
      </c>
      <c r="AK417">
        <v>1897</v>
      </c>
      <c r="AL417">
        <v>144</v>
      </c>
      <c r="AM417">
        <v>20</v>
      </c>
      <c r="AN417" t="s">
        <v>472</v>
      </c>
      <c r="AO417">
        <f>AVERAGE(Tabla2[[#This Row],[total_kills]:[rating]])</f>
        <v>4056.9473684210525</v>
      </c>
      <c r="AP417" t="str">
        <f>VLOOKUP(Tabla2[[#This Row],[KPI]],$AS$2:$AT$5,2,1)</f>
        <v>Medio</v>
      </c>
    </row>
    <row r="418" spans="1:42" x14ac:dyDescent="0.3">
      <c r="A418">
        <v>15563</v>
      </c>
      <c r="B418" t="s">
        <v>2867</v>
      </c>
      <c r="C418" t="s">
        <v>2868</v>
      </c>
      <c r="D418">
        <v>21</v>
      </c>
      <c r="E418" t="s">
        <v>452</v>
      </c>
      <c r="F418" t="s">
        <v>690</v>
      </c>
      <c r="G418" t="s">
        <v>2869</v>
      </c>
      <c r="H418">
        <v>11404</v>
      </c>
      <c r="I418">
        <v>11767</v>
      </c>
      <c r="J418" t="s">
        <v>910</v>
      </c>
      <c r="K418" t="s">
        <v>916</v>
      </c>
      <c r="L418">
        <v>6</v>
      </c>
      <c r="M418">
        <v>647</v>
      </c>
      <c r="N418">
        <v>17350</v>
      </c>
      <c r="O418" t="s">
        <v>322</v>
      </c>
      <c r="P418" t="s">
        <v>235</v>
      </c>
      <c r="Q418" t="s">
        <v>167</v>
      </c>
      <c r="R418" t="s">
        <v>50</v>
      </c>
      <c r="S418" t="s">
        <v>50</v>
      </c>
      <c r="T418">
        <v>7881</v>
      </c>
      <c r="U418" t="s">
        <v>51</v>
      </c>
      <c r="V418">
        <v>1698</v>
      </c>
      <c r="W418">
        <v>1660</v>
      </c>
      <c r="X418" t="s">
        <v>449</v>
      </c>
      <c r="Y418">
        <v>1</v>
      </c>
      <c r="Z418" t="s">
        <v>653</v>
      </c>
      <c r="AA418" t="s">
        <v>408</v>
      </c>
      <c r="AB418">
        <v>9469</v>
      </c>
      <c r="AC418">
        <v>5195</v>
      </c>
      <c r="AD418">
        <v>1975</v>
      </c>
      <c r="AE418">
        <v>599</v>
      </c>
      <c r="AF418">
        <v>98</v>
      </c>
      <c r="AG418">
        <v>14</v>
      </c>
      <c r="AH418">
        <v>8042</v>
      </c>
      <c r="AI418">
        <v>457</v>
      </c>
      <c r="AJ418">
        <v>822</v>
      </c>
      <c r="AK418">
        <v>1893</v>
      </c>
      <c r="AL418">
        <v>187</v>
      </c>
      <c r="AM418">
        <v>46</v>
      </c>
      <c r="AN418" t="s">
        <v>412</v>
      </c>
      <c r="AO418">
        <f>AVERAGE(Tabla2[[#This Row],[total_kills]:[rating]])</f>
        <v>3867.1904761904761</v>
      </c>
      <c r="AP418" t="str">
        <f>VLOOKUP(Tabla2[[#This Row],[KPI]],$AS$2:$AT$5,2,1)</f>
        <v>Medio</v>
      </c>
    </row>
    <row r="419" spans="1:42" x14ac:dyDescent="0.3">
      <c r="A419">
        <v>3517</v>
      </c>
      <c r="B419" t="s">
        <v>3092</v>
      </c>
      <c r="C419" t="s">
        <v>3093</v>
      </c>
      <c r="D419">
        <v>32</v>
      </c>
      <c r="E419" t="s">
        <v>708</v>
      </c>
      <c r="F419" t="s">
        <v>3094</v>
      </c>
      <c r="G419" t="s">
        <v>3095</v>
      </c>
      <c r="H419">
        <v>16400</v>
      </c>
      <c r="I419">
        <v>17245</v>
      </c>
      <c r="J419" t="s">
        <v>910</v>
      </c>
      <c r="K419" t="s">
        <v>1089</v>
      </c>
      <c r="L419" t="s">
        <v>949</v>
      </c>
      <c r="M419">
        <v>986</v>
      </c>
      <c r="N419">
        <v>25705</v>
      </c>
      <c r="O419" t="s">
        <v>65</v>
      </c>
      <c r="P419" t="s">
        <v>235</v>
      </c>
      <c r="Q419" t="s">
        <v>225</v>
      </c>
      <c r="R419" t="s">
        <v>96</v>
      </c>
      <c r="S419" t="s">
        <v>96</v>
      </c>
      <c r="T419">
        <v>11441</v>
      </c>
      <c r="U419" t="s">
        <v>51</v>
      </c>
      <c r="V419">
        <v>2226</v>
      </c>
      <c r="W419">
        <v>2255</v>
      </c>
      <c r="X419" t="s">
        <v>285</v>
      </c>
      <c r="Y419" t="s">
        <v>820</v>
      </c>
      <c r="Z419" t="s">
        <v>1268</v>
      </c>
      <c r="AA419" t="s">
        <v>257</v>
      </c>
      <c r="AB419">
        <v>14264</v>
      </c>
      <c r="AC419">
        <v>7613</v>
      </c>
      <c r="AD419">
        <v>2876</v>
      </c>
      <c r="AE419">
        <v>791</v>
      </c>
      <c r="AF419">
        <v>150</v>
      </c>
      <c r="AG419">
        <v>11</v>
      </c>
      <c r="AH419">
        <v>10146</v>
      </c>
      <c r="AI419">
        <v>2237</v>
      </c>
      <c r="AJ419">
        <v>856</v>
      </c>
      <c r="AK419">
        <v>2867</v>
      </c>
      <c r="AL419">
        <v>278</v>
      </c>
      <c r="AM419">
        <v>49</v>
      </c>
      <c r="AN419" t="s">
        <v>1570</v>
      </c>
      <c r="AO419">
        <f>AVERAGE(Tabla2[[#This Row],[total_kills]:[rating]])</f>
        <v>6231.3684210526317</v>
      </c>
      <c r="AP419" t="str">
        <f>VLOOKUP(Tabla2[[#This Row],[KPI]],$AS$2:$AT$5,2,1)</f>
        <v>Alto</v>
      </c>
    </row>
    <row r="420" spans="1:42" x14ac:dyDescent="0.3">
      <c r="A420">
        <v>2131</v>
      </c>
      <c r="B420" t="s">
        <v>1878</v>
      </c>
      <c r="C420" t="s">
        <v>1879</v>
      </c>
      <c r="D420">
        <v>29</v>
      </c>
      <c r="E420" t="s">
        <v>59</v>
      </c>
      <c r="F420" t="s">
        <v>1880</v>
      </c>
      <c r="G420" t="s">
        <v>1881</v>
      </c>
      <c r="H420">
        <v>26411</v>
      </c>
      <c r="I420">
        <v>24962</v>
      </c>
      <c r="J420" t="s">
        <v>1882</v>
      </c>
      <c r="K420" t="s">
        <v>916</v>
      </c>
      <c r="L420" t="s">
        <v>1352</v>
      </c>
      <c r="M420">
        <v>1458</v>
      </c>
      <c r="N420">
        <v>38317</v>
      </c>
      <c r="O420" t="s">
        <v>463</v>
      </c>
      <c r="P420" t="s">
        <v>202</v>
      </c>
      <c r="Q420" t="s">
        <v>276</v>
      </c>
      <c r="R420" t="s">
        <v>96</v>
      </c>
      <c r="S420" t="s">
        <v>50</v>
      </c>
      <c r="T420">
        <v>18062</v>
      </c>
      <c r="U420" t="s">
        <v>51</v>
      </c>
      <c r="V420">
        <v>3102</v>
      </c>
      <c r="W420">
        <v>2907</v>
      </c>
      <c r="X420" t="s">
        <v>464</v>
      </c>
      <c r="Y420" t="s">
        <v>820</v>
      </c>
      <c r="Z420" t="s">
        <v>838</v>
      </c>
      <c r="AA420" t="s">
        <v>1052</v>
      </c>
      <c r="AB420">
        <v>20255</v>
      </c>
      <c r="AC420">
        <v>11700</v>
      </c>
      <c r="AD420">
        <v>4692</v>
      </c>
      <c r="AE420">
        <v>1398</v>
      </c>
      <c r="AF420">
        <v>246</v>
      </c>
      <c r="AG420">
        <v>26</v>
      </c>
      <c r="AH420">
        <v>20357</v>
      </c>
      <c r="AI420">
        <v>152</v>
      </c>
      <c r="AJ420">
        <v>1203</v>
      </c>
      <c r="AK420">
        <v>4242</v>
      </c>
      <c r="AL420">
        <v>424</v>
      </c>
      <c r="AM420">
        <v>63</v>
      </c>
      <c r="AN420" t="s">
        <v>449</v>
      </c>
      <c r="AO420">
        <f>AVERAGE(Tabla2[[#This Row],[total_kills]:[rating]])</f>
        <v>9472.4736842105267</v>
      </c>
      <c r="AP420" t="str">
        <f>VLOOKUP(Tabla2[[#This Row],[KPI]],$AS$2:$AT$5,2,1)</f>
        <v>Superior</v>
      </c>
    </row>
    <row r="421" spans="1:42" x14ac:dyDescent="0.3">
      <c r="A421">
        <v>11574</v>
      </c>
      <c r="B421" t="s">
        <v>2271</v>
      </c>
      <c r="C421" t="s">
        <v>2272</v>
      </c>
      <c r="D421">
        <v>32</v>
      </c>
      <c r="E421" t="s">
        <v>209</v>
      </c>
      <c r="F421" t="s">
        <v>1707</v>
      </c>
      <c r="G421" t="s">
        <v>2273</v>
      </c>
      <c r="H421">
        <v>15686</v>
      </c>
      <c r="I421">
        <v>15651</v>
      </c>
      <c r="J421" t="s">
        <v>1882</v>
      </c>
      <c r="K421">
        <v>80</v>
      </c>
      <c r="L421" t="s">
        <v>658</v>
      </c>
      <c r="M421">
        <v>847</v>
      </c>
      <c r="N421">
        <v>22333</v>
      </c>
      <c r="O421" t="s">
        <v>905</v>
      </c>
      <c r="P421" t="s">
        <v>553</v>
      </c>
      <c r="Q421" t="s">
        <v>905</v>
      </c>
      <c r="R421" t="s">
        <v>67</v>
      </c>
      <c r="S421" t="s">
        <v>50</v>
      </c>
      <c r="T421">
        <v>10605</v>
      </c>
      <c r="U421" t="s">
        <v>51</v>
      </c>
      <c r="V421">
        <v>2494</v>
      </c>
      <c r="W421">
        <v>2351</v>
      </c>
      <c r="X421" t="s">
        <v>590</v>
      </c>
      <c r="Y421" t="s">
        <v>304</v>
      </c>
      <c r="Z421" t="s">
        <v>383</v>
      </c>
      <c r="AA421" t="s">
        <v>436</v>
      </c>
      <c r="AB421">
        <v>11728</v>
      </c>
      <c r="AC421">
        <v>6742</v>
      </c>
      <c r="AD421">
        <v>2844</v>
      </c>
      <c r="AE421">
        <v>837</v>
      </c>
      <c r="AF421">
        <v>165</v>
      </c>
      <c r="AG421">
        <v>17</v>
      </c>
      <c r="AH421">
        <v>10721</v>
      </c>
      <c r="AI421">
        <v>722</v>
      </c>
      <c r="AJ421">
        <v>1182</v>
      </c>
      <c r="AK421">
        <v>2793</v>
      </c>
      <c r="AL421">
        <v>245</v>
      </c>
      <c r="AM421">
        <v>50</v>
      </c>
      <c r="AN421" t="s">
        <v>277</v>
      </c>
      <c r="AO421">
        <f>AVERAGE(Tabla2[[#This Row],[total_kills]:[rating]])</f>
        <v>5404.65</v>
      </c>
      <c r="AP421" t="str">
        <f>VLOOKUP(Tabla2[[#This Row],[KPI]],$AS$2:$AT$5,2,1)</f>
        <v>Alto</v>
      </c>
    </row>
    <row r="422" spans="1:42" x14ac:dyDescent="0.3">
      <c r="A422">
        <v>5045</v>
      </c>
      <c r="B422" t="s">
        <v>2625</v>
      </c>
      <c r="C422" t="s">
        <v>2626</v>
      </c>
      <c r="D422">
        <v>27</v>
      </c>
      <c r="E422" t="s">
        <v>545</v>
      </c>
      <c r="F422" t="s">
        <v>3514</v>
      </c>
      <c r="G422" t="s">
        <v>2627</v>
      </c>
      <c r="H422">
        <v>7064</v>
      </c>
      <c r="I422">
        <v>7065</v>
      </c>
      <c r="J422" t="s">
        <v>1882</v>
      </c>
      <c r="K422" t="s">
        <v>624</v>
      </c>
      <c r="L422" t="s">
        <v>93</v>
      </c>
      <c r="M422">
        <v>397</v>
      </c>
      <c r="N422">
        <v>10444</v>
      </c>
      <c r="O422" t="s">
        <v>167</v>
      </c>
      <c r="P422" t="s">
        <v>202</v>
      </c>
      <c r="Q422" t="s">
        <v>167</v>
      </c>
      <c r="R422" t="s">
        <v>96</v>
      </c>
      <c r="S422" t="s">
        <v>67</v>
      </c>
      <c r="T422">
        <v>4880</v>
      </c>
      <c r="U422" t="s">
        <v>51</v>
      </c>
      <c r="V422">
        <v>914</v>
      </c>
      <c r="W422">
        <v>876</v>
      </c>
      <c r="X422" t="s">
        <v>407</v>
      </c>
      <c r="Y422" t="s">
        <v>472</v>
      </c>
      <c r="Z422" t="s">
        <v>932</v>
      </c>
      <c r="AA422" t="s">
        <v>783</v>
      </c>
      <c r="AB422">
        <v>5564</v>
      </c>
      <c r="AC422">
        <v>3201</v>
      </c>
      <c r="AD422">
        <v>1265</v>
      </c>
      <c r="AE422">
        <v>344</v>
      </c>
      <c r="AF422">
        <v>63</v>
      </c>
      <c r="AG422">
        <v>7</v>
      </c>
      <c r="AH422">
        <v>5497</v>
      </c>
      <c r="AI422">
        <v>74</v>
      </c>
      <c r="AJ422">
        <v>203</v>
      </c>
      <c r="AK422">
        <v>1214</v>
      </c>
      <c r="AL422">
        <v>66</v>
      </c>
      <c r="AM422">
        <v>15</v>
      </c>
      <c r="AN422" t="s">
        <v>245</v>
      </c>
      <c r="AO422">
        <f>AVERAGE(Tabla2[[#This Row],[total_kills]:[rating]])</f>
        <v>2587</v>
      </c>
      <c r="AP422" t="str">
        <f>VLOOKUP(Tabla2[[#This Row],[KPI]],$AS$2:$AT$5,2,1)</f>
        <v>Bajo</v>
      </c>
    </row>
    <row r="423" spans="1:42" x14ac:dyDescent="0.3">
      <c r="A423">
        <v>11942</v>
      </c>
      <c r="B423" t="s">
        <v>1584</v>
      </c>
      <c r="C423" t="s">
        <v>1585</v>
      </c>
      <c r="D423">
        <v>22</v>
      </c>
      <c r="E423" t="s">
        <v>1144</v>
      </c>
      <c r="F423" t="s">
        <v>1034</v>
      </c>
      <c r="G423" t="s">
        <v>309</v>
      </c>
      <c r="H423">
        <v>22503</v>
      </c>
      <c r="I423">
        <v>20537</v>
      </c>
      <c r="J423" t="s">
        <v>1586</v>
      </c>
      <c r="K423" t="s">
        <v>601</v>
      </c>
      <c r="L423" t="s">
        <v>462</v>
      </c>
      <c r="M423">
        <v>1252</v>
      </c>
      <c r="N423">
        <v>33082</v>
      </c>
      <c r="O423" t="s">
        <v>167</v>
      </c>
      <c r="P423" t="s">
        <v>48</v>
      </c>
      <c r="Q423" t="s">
        <v>144</v>
      </c>
      <c r="R423" t="s">
        <v>66</v>
      </c>
      <c r="S423" t="s">
        <v>96</v>
      </c>
      <c r="T423">
        <v>15402</v>
      </c>
      <c r="U423" t="s">
        <v>51</v>
      </c>
      <c r="V423">
        <v>3303</v>
      </c>
      <c r="W423">
        <v>3029</v>
      </c>
      <c r="X423" t="s">
        <v>295</v>
      </c>
      <c r="Y423" t="s">
        <v>255</v>
      </c>
      <c r="Z423" t="s">
        <v>473</v>
      </c>
      <c r="AA423" t="s">
        <v>746</v>
      </c>
      <c r="AB423">
        <v>17680</v>
      </c>
      <c r="AC423">
        <v>9966</v>
      </c>
      <c r="AD423">
        <v>4031</v>
      </c>
      <c r="AE423">
        <v>1169</v>
      </c>
      <c r="AF423">
        <v>212</v>
      </c>
      <c r="AG423">
        <v>24</v>
      </c>
      <c r="AH423">
        <v>15539</v>
      </c>
      <c r="AI423">
        <v>2389</v>
      </c>
      <c r="AJ423">
        <v>636</v>
      </c>
      <c r="AK423">
        <v>3695</v>
      </c>
      <c r="AL423">
        <v>259</v>
      </c>
      <c r="AM423">
        <v>52</v>
      </c>
      <c r="AN423" t="s">
        <v>295</v>
      </c>
      <c r="AO423">
        <f>AVERAGE(Tabla2[[#This Row],[total_kills]:[rating]])</f>
        <v>8145.2631578947367</v>
      </c>
      <c r="AP423" t="str">
        <f>VLOOKUP(Tabla2[[#This Row],[KPI]],$AS$2:$AT$5,2,1)</f>
        <v>Superior</v>
      </c>
    </row>
    <row r="424" spans="1:42" x14ac:dyDescent="0.3">
      <c r="A424">
        <v>3847</v>
      </c>
      <c r="B424" t="s">
        <v>1690</v>
      </c>
      <c r="C424" t="s">
        <v>1691</v>
      </c>
      <c r="D424">
        <v>29</v>
      </c>
      <c r="E424" t="s">
        <v>545</v>
      </c>
      <c r="F424" t="s">
        <v>3514</v>
      </c>
      <c r="G424" t="s">
        <v>1692</v>
      </c>
      <c r="H424">
        <v>19778</v>
      </c>
      <c r="I424">
        <v>18708</v>
      </c>
      <c r="J424" t="s">
        <v>1586</v>
      </c>
      <c r="K424" t="s">
        <v>948</v>
      </c>
      <c r="L424" t="s">
        <v>201</v>
      </c>
      <c r="M424">
        <v>1050</v>
      </c>
      <c r="N424">
        <v>27577</v>
      </c>
      <c r="O424" t="s">
        <v>311</v>
      </c>
      <c r="P424" t="s">
        <v>166</v>
      </c>
      <c r="Q424" t="s">
        <v>167</v>
      </c>
      <c r="R424" t="s">
        <v>50</v>
      </c>
      <c r="S424" t="s">
        <v>50</v>
      </c>
      <c r="T424">
        <v>13463</v>
      </c>
      <c r="U424" t="s">
        <v>51</v>
      </c>
      <c r="V424">
        <v>2724</v>
      </c>
      <c r="W424">
        <v>2477</v>
      </c>
      <c r="X424" t="s">
        <v>561</v>
      </c>
      <c r="Y424" t="s">
        <v>255</v>
      </c>
      <c r="Z424" t="s">
        <v>795</v>
      </c>
      <c r="AA424" t="s">
        <v>408</v>
      </c>
      <c r="AB424">
        <v>14114</v>
      </c>
      <c r="AC424">
        <v>8651</v>
      </c>
      <c r="AD424">
        <v>3568</v>
      </c>
      <c r="AE424">
        <v>1042</v>
      </c>
      <c r="AF424">
        <v>179</v>
      </c>
      <c r="AG424">
        <v>23</v>
      </c>
      <c r="AH424">
        <v>13453</v>
      </c>
      <c r="AI424">
        <v>1722</v>
      </c>
      <c r="AJ424">
        <v>787</v>
      </c>
      <c r="AK424">
        <v>3336</v>
      </c>
      <c r="AL424">
        <v>384</v>
      </c>
      <c r="AM424">
        <v>128</v>
      </c>
      <c r="AN424" t="s">
        <v>412</v>
      </c>
      <c r="AO424">
        <f>AVERAGE(Tabla2[[#This Row],[total_kills]:[rating]])</f>
        <v>7008.6315789473683</v>
      </c>
      <c r="AP424" t="str">
        <f>VLOOKUP(Tabla2[[#This Row],[KPI]],$AS$2:$AT$5,2,1)</f>
        <v>Superior</v>
      </c>
    </row>
    <row r="425" spans="1:42" x14ac:dyDescent="0.3">
      <c r="A425">
        <v>12782</v>
      </c>
      <c r="B425" t="s">
        <v>1723</v>
      </c>
      <c r="C425" t="s">
        <v>1724</v>
      </c>
      <c r="D425">
        <v>26</v>
      </c>
      <c r="E425" t="s">
        <v>708</v>
      </c>
      <c r="F425" t="s">
        <v>3514</v>
      </c>
      <c r="G425" t="s">
        <v>1725</v>
      </c>
      <c r="H425">
        <v>20337</v>
      </c>
      <c r="I425">
        <v>19172</v>
      </c>
      <c r="J425" t="s">
        <v>1586</v>
      </c>
      <c r="K425" t="s">
        <v>1057</v>
      </c>
      <c r="L425" t="s">
        <v>331</v>
      </c>
      <c r="M425">
        <v>1102</v>
      </c>
      <c r="N425">
        <v>29508</v>
      </c>
      <c r="O425" t="s">
        <v>463</v>
      </c>
      <c r="P425" t="s">
        <v>202</v>
      </c>
      <c r="Q425" t="s">
        <v>276</v>
      </c>
      <c r="R425" t="s">
        <v>50</v>
      </c>
      <c r="S425" t="s">
        <v>50</v>
      </c>
      <c r="T425">
        <v>13764</v>
      </c>
      <c r="U425" t="s">
        <v>51</v>
      </c>
      <c r="V425">
        <v>2518</v>
      </c>
      <c r="W425">
        <v>2249</v>
      </c>
      <c r="X425" t="s">
        <v>370</v>
      </c>
      <c r="Y425" t="s">
        <v>503</v>
      </c>
      <c r="Z425" t="s">
        <v>1121</v>
      </c>
      <c r="AA425" t="s">
        <v>978</v>
      </c>
      <c r="AB425">
        <v>15744</v>
      </c>
      <c r="AC425">
        <v>8774</v>
      </c>
      <c r="AD425">
        <v>3660</v>
      </c>
      <c r="AE425">
        <v>1096</v>
      </c>
      <c r="AF425">
        <v>215</v>
      </c>
      <c r="AG425">
        <v>19</v>
      </c>
      <c r="AH425">
        <v>15370</v>
      </c>
      <c r="AI425">
        <v>233</v>
      </c>
      <c r="AJ425">
        <v>1216</v>
      </c>
      <c r="AK425">
        <v>3272</v>
      </c>
      <c r="AL425">
        <v>234</v>
      </c>
      <c r="AM425">
        <v>48</v>
      </c>
      <c r="AN425" t="s">
        <v>464</v>
      </c>
      <c r="AO425">
        <f>AVERAGE(Tabla2[[#This Row],[total_kills]:[rating]])</f>
        <v>7291.105263157895</v>
      </c>
      <c r="AP425" t="str">
        <f>VLOOKUP(Tabla2[[#This Row],[KPI]],$AS$2:$AT$5,2,1)</f>
        <v>Superior</v>
      </c>
    </row>
    <row r="426" spans="1:42" x14ac:dyDescent="0.3">
      <c r="A426">
        <v>12102</v>
      </c>
      <c r="B426" t="s">
        <v>2534</v>
      </c>
      <c r="C426" t="s">
        <v>2535</v>
      </c>
      <c r="D426">
        <v>29</v>
      </c>
      <c r="E426" t="s">
        <v>500</v>
      </c>
      <c r="F426" t="s">
        <v>715</v>
      </c>
      <c r="G426" t="s">
        <v>2536</v>
      </c>
      <c r="H426">
        <v>14838</v>
      </c>
      <c r="I426">
        <v>14900</v>
      </c>
      <c r="J426" t="s">
        <v>1586</v>
      </c>
      <c r="K426" t="s">
        <v>353</v>
      </c>
      <c r="L426">
        <v>4</v>
      </c>
      <c r="M426">
        <v>844</v>
      </c>
      <c r="N426">
        <v>21818</v>
      </c>
      <c r="O426" t="s">
        <v>167</v>
      </c>
      <c r="P426" t="s">
        <v>235</v>
      </c>
      <c r="Q426" t="s">
        <v>167</v>
      </c>
      <c r="R426" t="s">
        <v>67</v>
      </c>
      <c r="S426" t="s">
        <v>67</v>
      </c>
      <c r="T426">
        <v>10153</v>
      </c>
      <c r="U426" t="s">
        <v>51</v>
      </c>
      <c r="V426">
        <v>1916</v>
      </c>
      <c r="W426">
        <v>1934</v>
      </c>
      <c r="X426" t="s">
        <v>285</v>
      </c>
      <c r="Y426" t="s">
        <v>472</v>
      </c>
      <c r="Z426" t="s">
        <v>391</v>
      </c>
      <c r="AA426" t="s">
        <v>518</v>
      </c>
      <c r="AB426">
        <v>11665</v>
      </c>
      <c r="AC426">
        <v>6606</v>
      </c>
      <c r="AD426">
        <v>2593</v>
      </c>
      <c r="AE426">
        <v>788</v>
      </c>
      <c r="AF426">
        <v>148</v>
      </c>
      <c r="AG426">
        <v>18</v>
      </c>
      <c r="AH426">
        <v>10815</v>
      </c>
      <c r="AI426">
        <v>260</v>
      </c>
      <c r="AJ426">
        <v>865</v>
      </c>
      <c r="AK426">
        <v>2643</v>
      </c>
      <c r="AL426">
        <v>177</v>
      </c>
      <c r="AM426">
        <v>139</v>
      </c>
      <c r="AN426" t="s">
        <v>407</v>
      </c>
      <c r="AO426">
        <f>AVERAGE(Tabla2[[#This Row],[total_kills]:[rating]])</f>
        <v>5156.2</v>
      </c>
      <c r="AP426" t="str">
        <f>VLOOKUP(Tabla2[[#This Row],[KPI]],$AS$2:$AT$5,2,1)</f>
        <v>Alto</v>
      </c>
    </row>
    <row r="427" spans="1:42" x14ac:dyDescent="0.3">
      <c r="A427">
        <v>12588</v>
      </c>
      <c r="B427" t="s">
        <v>3135</v>
      </c>
      <c r="C427" t="s">
        <v>3136</v>
      </c>
      <c r="D427">
        <v>22</v>
      </c>
      <c r="E427" t="s">
        <v>299</v>
      </c>
      <c r="F427" t="s">
        <v>936</v>
      </c>
      <c r="G427" t="s">
        <v>936</v>
      </c>
      <c r="H427">
        <v>6780</v>
      </c>
      <c r="I427">
        <v>7256</v>
      </c>
      <c r="J427" t="s">
        <v>1586</v>
      </c>
      <c r="K427" t="s">
        <v>2931</v>
      </c>
      <c r="L427" t="s">
        <v>1146</v>
      </c>
      <c r="M427">
        <v>408</v>
      </c>
      <c r="N427">
        <v>10579</v>
      </c>
      <c r="O427" t="s">
        <v>65</v>
      </c>
      <c r="P427" t="s">
        <v>202</v>
      </c>
      <c r="Q427" t="s">
        <v>463</v>
      </c>
      <c r="R427" t="s">
        <v>67</v>
      </c>
      <c r="S427" t="s">
        <v>96</v>
      </c>
      <c r="T427">
        <v>4668</v>
      </c>
      <c r="U427" t="s">
        <v>51</v>
      </c>
      <c r="V427">
        <v>1004</v>
      </c>
      <c r="W427">
        <v>1104</v>
      </c>
      <c r="X427" t="s">
        <v>1749</v>
      </c>
      <c r="Y427" t="s">
        <v>503</v>
      </c>
      <c r="Z427" t="s">
        <v>217</v>
      </c>
      <c r="AA427" t="s">
        <v>413</v>
      </c>
      <c r="AB427">
        <v>5911</v>
      </c>
      <c r="AC427">
        <v>3025</v>
      </c>
      <c r="AD427">
        <v>1248</v>
      </c>
      <c r="AE427">
        <v>329</v>
      </c>
      <c r="AF427">
        <v>58</v>
      </c>
      <c r="AG427">
        <v>8</v>
      </c>
      <c r="AH427">
        <v>5076</v>
      </c>
      <c r="AI427">
        <v>204</v>
      </c>
      <c r="AJ427">
        <v>502</v>
      </c>
      <c r="AK427">
        <v>884</v>
      </c>
      <c r="AL427">
        <v>122</v>
      </c>
      <c r="AM427">
        <v>17</v>
      </c>
      <c r="AN427" t="s">
        <v>285</v>
      </c>
      <c r="AO427">
        <f>AVERAGE(Tabla2[[#This Row],[total_kills]:[rating]])</f>
        <v>2588.5789473684213</v>
      </c>
      <c r="AP427" t="str">
        <f>VLOOKUP(Tabla2[[#This Row],[KPI]],$AS$2:$AT$5,2,1)</f>
        <v>Bajo</v>
      </c>
    </row>
    <row r="428" spans="1:42" x14ac:dyDescent="0.3">
      <c r="A428">
        <v>7821</v>
      </c>
      <c r="B428" t="s">
        <v>3290</v>
      </c>
      <c r="C428" t="s">
        <v>3291</v>
      </c>
      <c r="D428">
        <v>30</v>
      </c>
      <c r="E428" t="s">
        <v>452</v>
      </c>
      <c r="F428" t="s">
        <v>701</v>
      </c>
      <c r="G428" t="s">
        <v>3292</v>
      </c>
      <c r="H428">
        <v>20522</v>
      </c>
      <c r="I428">
        <v>22630</v>
      </c>
      <c r="J428" t="s">
        <v>1586</v>
      </c>
      <c r="K428" t="s">
        <v>3293</v>
      </c>
      <c r="L428" t="s">
        <v>1943</v>
      </c>
      <c r="M428">
        <v>1267</v>
      </c>
      <c r="N428">
        <v>33681</v>
      </c>
      <c r="O428" t="s">
        <v>49</v>
      </c>
      <c r="P428" t="s">
        <v>553</v>
      </c>
      <c r="Q428" t="s">
        <v>225</v>
      </c>
      <c r="R428" t="s">
        <v>67</v>
      </c>
      <c r="S428" t="s">
        <v>96</v>
      </c>
      <c r="T428">
        <v>14546</v>
      </c>
      <c r="U428" t="s">
        <v>51</v>
      </c>
      <c r="V428">
        <v>2511</v>
      </c>
      <c r="W428">
        <v>2857</v>
      </c>
      <c r="X428" t="s">
        <v>2315</v>
      </c>
      <c r="Y428" t="s">
        <v>1906</v>
      </c>
      <c r="Z428" t="s">
        <v>85</v>
      </c>
      <c r="AA428" t="s">
        <v>822</v>
      </c>
      <c r="AB428">
        <v>19135</v>
      </c>
      <c r="AC428">
        <v>9868</v>
      </c>
      <c r="AD428">
        <v>3530</v>
      </c>
      <c r="AE428">
        <v>1006</v>
      </c>
      <c r="AF428">
        <v>135</v>
      </c>
      <c r="AG428">
        <v>7</v>
      </c>
      <c r="AH428">
        <v>14223</v>
      </c>
      <c r="AI428">
        <v>302</v>
      </c>
      <c r="AJ428">
        <v>1922</v>
      </c>
      <c r="AK428">
        <v>3603</v>
      </c>
      <c r="AL428">
        <v>455</v>
      </c>
      <c r="AM428">
        <v>52</v>
      </c>
      <c r="AN428" t="s">
        <v>1906</v>
      </c>
      <c r="AO428">
        <f>AVERAGE(Tabla2[[#This Row],[total_kills]:[rating]])</f>
        <v>8013.2631578947367</v>
      </c>
      <c r="AP428" t="str">
        <f>VLOOKUP(Tabla2[[#This Row],[KPI]],$AS$2:$AT$5,2,1)</f>
        <v>Superior</v>
      </c>
    </row>
    <row r="429" spans="1:42" x14ac:dyDescent="0.3">
      <c r="A429">
        <v>13156</v>
      </c>
      <c r="B429" t="s">
        <v>3435</v>
      </c>
      <c r="C429" t="s">
        <v>3436</v>
      </c>
      <c r="D429">
        <v>27</v>
      </c>
      <c r="E429" t="s">
        <v>75</v>
      </c>
      <c r="F429" t="s">
        <v>3437</v>
      </c>
      <c r="G429" t="s">
        <v>3438</v>
      </c>
      <c r="H429">
        <v>5654</v>
      </c>
      <c r="I429">
        <v>7613</v>
      </c>
      <c r="J429" t="s">
        <v>1586</v>
      </c>
      <c r="K429" t="s">
        <v>3439</v>
      </c>
      <c r="L429" t="s">
        <v>612</v>
      </c>
      <c r="M429">
        <v>389</v>
      </c>
      <c r="N429">
        <v>10334</v>
      </c>
      <c r="O429" t="s">
        <v>312</v>
      </c>
      <c r="P429" t="s">
        <v>235</v>
      </c>
      <c r="Q429" t="s">
        <v>283</v>
      </c>
      <c r="R429" t="s">
        <v>96</v>
      </c>
      <c r="S429" t="s">
        <v>1228</v>
      </c>
      <c r="T429">
        <v>4093</v>
      </c>
      <c r="U429" t="s">
        <v>51</v>
      </c>
      <c r="V429">
        <v>841</v>
      </c>
      <c r="W429">
        <v>1310</v>
      </c>
      <c r="X429" t="s">
        <v>65</v>
      </c>
      <c r="Y429" t="s">
        <v>64</v>
      </c>
      <c r="Z429" t="s">
        <v>2083</v>
      </c>
      <c r="AA429" t="s">
        <v>287</v>
      </c>
      <c r="AB429">
        <v>6241</v>
      </c>
      <c r="AC429">
        <v>2849</v>
      </c>
      <c r="AD429">
        <v>977</v>
      </c>
      <c r="AE429">
        <v>218</v>
      </c>
      <c r="AF429">
        <v>48</v>
      </c>
      <c r="AG429">
        <v>1</v>
      </c>
      <c r="AH429">
        <v>4051</v>
      </c>
      <c r="AI429">
        <v>151</v>
      </c>
      <c r="AJ429">
        <v>623</v>
      </c>
      <c r="AK429">
        <v>669</v>
      </c>
      <c r="AL429">
        <v>84</v>
      </c>
      <c r="AM429">
        <v>92</v>
      </c>
      <c r="AN429" t="s">
        <v>47</v>
      </c>
      <c r="AO429">
        <f>AVERAGE(Tabla2[[#This Row],[total_kills]:[rating]])</f>
        <v>2433.5789473684213</v>
      </c>
      <c r="AP429" t="str">
        <f>VLOOKUP(Tabla2[[#This Row],[KPI]],$AS$2:$AT$5,2,1)</f>
        <v>Bajo</v>
      </c>
    </row>
    <row r="430" spans="1:42" x14ac:dyDescent="0.3">
      <c r="A430">
        <v>11258</v>
      </c>
      <c r="B430" t="s">
        <v>1948</v>
      </c>
      <c r="C430" t="s">
        <v>1949</v>
      </c>
      <c r="D430">
        <v>25</v>
      </c>
      <c r="E430" t="s">
        <v>196</v>
      </c>
      <c r="F430" t="s">
        <v>3514</v>
      </c>
      <c r="G430" t="s">
        <v>1950</v>
      </c>
      <c r="H430">
        <v>11143</v>
      </c>
      <c r="I430">
        <v>10673</v>
      </c>
      <c r="J430" t="s">
        <v>1951</v>
      </c>
      <c r="K430" t="s">
        <v>154</v>
      </c>
      <c r="L430" t="s">
        <v>612</v>
      </c>
      <c r="M430">
        <v>611</v>
      </c>
      <c r="N430">
        <v>15973</v>
      </c>
      <c r="O430" t="s">
        <v>905</v>
      </c>
      <c r="P430" t="s">
        <v>235</v>
      </c>
      <c r="Q430" t="s">
        <v>225</v>
      </c>
      <c r="R430" t="s">
        <v>50</v>
      </c>
      <c r="S430" t="s">
        <v>48</v>
      </c>
      <c r="T430">
        <v>7597</v>
      </c>
      <c r="U430" t="s">
        <v>51</v>
      </c>
      <c r="V430">
        <v>1402</v>
      </c>
      <c r="W430">
        <v>1304</v>
      </c>
      <c r="X430" t="s">
        <v>277</v>
      </c>
      <c r="Y430" t="s">
        <v>503</v>
      </c>
      <c r="Z430" t="s">
        <v>795</v>
      </c>
      <c r="AA430" t="s">
        <v>783</v>
      </c>
      <c r="AB430">
        <v>8376</v>
      </c>
      <c r="AC430">
        <v>4865</v>
      </c>
      <c r="AD430">
        <v>2047</v>
      </c>
      <c r="AE430">
        <v>565</v>
      </c>
      <c r="AF430">
        <v>111</v>
      </c>
      <c r="AG430">
        <v>9</v>
      </c>
      <c r="AH430">
        <v>8311</v>
      </c>
      <c r="AI430">
        <v>249</v>
      </c>
      <c r="AJ430">
        <v>591</v>
      </c>
      <c r="AK430">
        <v>1875</v>
      </c>
      <c r="AL430">
        <v>137</v>
      </c>
      <c r="AM430">
        <v>32</v>
      </c>
      <c r="AN430" t="s">
        <v>277</v>
      </c>
      <c r="AO430">
        <f>AVERAGE(Tabla2[[#This Row],[total_kills]:[rating]])</f>
        <v>3993.2105263157896</v>
      </c>
      <c r="AP430" t="str">
        <f>VLOOKUP(Tabla2[[#This Row],[KPI]],$AS$2:$AT$5,2,1)</f>
        <v>Medio</v>
      </c>
    </row>
    <row r="431" spans="1:42" x14ac:dyDescent="0.3">
      <c r="A431">
        <v>7700</v>
      </c>
      <c r="B431" t="s">
        <v>2413</v>
      </c>
      <c r="C431" t="s">
        <v>2414</v>
      </c>
      <c r="D431">
        <v>27</v>
      </c>
      <c r="E431" t="s">
        <v>545</v>
      </c>
      <c r="F431" t="s">
        <v>3514</v>
      </c>
      <c r="G431" t="s">
        <v>2415</v>
      </c>
      <c r="H431">
        <v>27595</v>
      </c>
      <c r="I431">
        <v>27649</v>
      </c>
      <c r="J431" t="s">
        <v>1951</v>
      </c>
      <c r="K431" t="s">
        <v>121</v>
      </c>
      <c r="L431" t="s">
        <v>2416</v>
      </c>
      <c r="M431">
        <v>1508</v>
      </c>
      <c r="N431">
        <v>40171</v>
      </c>
      <c r="O431" t="s">
        <v>463</v>
      </c>
      <c r="P431" t="s">
        <v>434</v>
      </c>
      <c r="Q431" t="s">
        <v>463</v>
      </c>
      <c r="R431" t="s">
        <v>67</v>
      </c>
      <c r="S431" t="s">
        <v>50</v>
      </c>
      <c r="T431">
        <v>18738</v>
      </c>
      <c r="U431" t="s">
        <v>51</v>
      </c>
      <c r="V431">
        <v>3904</v>
      </c>
      <c r="W431">
        <v>4242</v>
      </c>
      <c r="X431" t="s">
        <v>1314</v>
      </c>
      <c r="Y431" t="s">
        <v>245</v>
      </c>
      <c r="Z431" t="s">
        <v>576</v>
      </c>
      <c r="AA431" t="s">
        <v>739</v>
      </c>
      <c r="AB431">
        <v>21433</v>
      </c>
      <c r="AC431">
        <v>12079</v>
      </c>
      <c r="AD431">
        <v>4832</v>
      </c>
      <c r="AE431">
        <v>1488</v>
      </c>
      <c r="AF431">
        <v>309</v>
      </c>
      <c r="AG431">
        <v>30</v>
      </c>
      <c r="AH431">
        <v>19884</v>
      </c>
      <c r="AI431">
        <v>522</v>
      </c>
      <c r="AJ431">
        <v>1899</v>
      </c>
      <c r="AK431">
        <v>4617</v>
      </c>
      <c r="AL431">
        <v>664</v>
      </c>
      <c r="AM431">
        <v>102</v>
      </c>
      <c r="AN431" t="s">
        <v>285</v>
      </c>
      <c r="AO431">
        <f>AVERAGE(Tabla2[[#This Row],[total_kills]:[rating]])</f>
        <v>10087.684210526315</v>
      </c>
      <c r="AP431" t="str">
        <f>VLOOKUP(Tabla2[[#This Row],[KPI]],$AS$2:$AT$5,2,1)</f>
        <v>Superior</v>
      </c>
    </row>
    <row r="432" spans="1:42" x14ac:dyDescent="0.3">
      <c r="A432">
        <v>9482</v>
      </c>
      <c r="B432" t="s">
        <v>2568</v>
      </c>
      <c r="C432" t="s">
        <v>2569</v>
      </c>
      <c r="D432">
        <v>26</v>
      </c>
      <c r="E432" t="s">
        <v>104</v>
      </c>
      <c r="F432" t="s">
        <v>662</v>
      </c>
      <c r="G432" t="s">
        <v>2570</v>
      </c>
      <c r="H432">
        <v>17653</v>
      </c>
      <c r="I432">
        <v>17794</v>
      </c>
      <c r="J432" t="s">
        <v>1951</v>
      </c>
      <c r="K432" t="s">
        <v>692</v>
      </c>
      <c r="L432" t="s">
        <v>80</v>
      </c>
      <c r="M432">
        <v>993</v>
      </c>
      <c r="N432">
        <v>26075</v>
      </c>
      <c r="O432" t="s">
        <v>167</v>
      </c>
      <c r="P432" t="s">
        <v>202</v>
      </c>
      <c r="Q432" t="s">
        <v>167</v>
      </c>
      <c r="R432" t="s">
        <v>50</v>
      </c>
      <c r="S432" t="s">
        <v>50</v>
      </c>
      <c r="T432">
        <v>12078</v>
      </c>
      <c r="U432" t="s">
        <v>51</v>
      </c>
      <c r="V432">
        <v>2961</v>
      </c>
      <c r="W432">
        <v>2998</v>
      </c>
      <c r="X432" t="s">
        <v>285</v>
      </c>
      <c r="Y432" t="s">
        <v>407</v>
      </c>
      <c r="Z432" t="s">
        <v>383</v>
      </c>
      <c r="AA432" t="s">
        <v>267</v>
      </c>
      <c r="AB432">
        <v>13997</v>
      </c>
      <c r="AC432">
        <v>7872</v>
      </c>
      <c r="AD432">
        <v>3069</v>
      </c>
      <c r="AE432">
        <v>929</v>
      </c>
      <c r="AF432">
        <v>184</v>
      </c>
      <c r="AG432">
        <v>24</v>
      </c>
      <c r="AH432">
        <v>12889</v>
      </c>
      <c r="AI432">
        <v>353</v>
      </c>
      <c r="AJ432">
        <v>1246</v>
      </c>
      <c r="AK432">
        <v>2956</v>
      </c>
      <c r="AL432">
        <v>217</v>
      </c>
      <c r="AM432">
        <v>49</v>
      </c>
      <c r="AN432" t="s">
        <v>245</v>
      </c>
      <c r="AO432">
        <f>AVERAGE(Tabla2[[#This Row],[total_kills]:[rating]])</f>
        <v>6544.0526315789475</v>
      </c>
      <c r="AP432" t="str">
        <f>VLOOKUP(Tabla2[[#This Row],[KPI]],$AS$2:$AT$5,2,1)</f>
        <v>Alto</v>
      </c>
    </row>
    <row r="433" spans="1:42" x14ac:dyDescent="0.3">
      <c r="A433">
        <v>971</v>
      </c>
      <c r="B433" t="s">
        <v>2808</v>
      </c>
      <c r="C433" t="s">
        <v>2809</v>
      </c>
      <c r="D433">
        <v>32</v>
      </c>
      <c r="E433" t="s">
        <v>452</v>
      </c>
      <c r="F433" t="s">
        <v>3514</v>
      </c>
      <c r="G433" t="s">
        <v>2810</v>
      </c>
      <c r="H433">
        <v>15822</v>
      </c>
      <c r="I433">
        <v>16067</v>
      </c>
      <c r="J433" t="s">
        <v>1951</v>
      </c>
      <c r="K433">
        <v>71</v>
      </c>
      <c r="L433" t="s">
        <v>612</v>
      </c>
      <c r="M433">
        <v>935</v>
      </c>
      <c r="N433">
        <v>24443</v>
      </c>
      <c r="O433" t="s">
        <v>276</v>
      </c>
      <c r="P433" t="s">
        <v>235</v>
      </c>
      <c r="Q433" t="s">
        <v>322</v>
      </c>
      <c r="R433" t="s">
        <v>50</v>
      </c>
      <c r="S433" t="s">
        <v>50</v>
      </c>
      <c r="T433">
        <v>10923</v>
      </c>
      <c r="U433" t="s">
        <v>51</v>
      </c>
      <c r="V433">
        <v>1927</v>
      </c>
      <c r="W433">
        <v>2121</v>
      </c>
      <c r="X433" t="s">
        <v>1749</v>
      </c>
      <c r="Y433" t="s">
        <v>1314</v>
      </c>
      <c r="Z433" t="s">
        <v>1121</v>
      </c>
      <c r="AA433" t="s">
        <v>474</v>
      </c>
      <c r="AB433">
        <v>13520</v>
      </c>
      <c r="AC433">
        <v>7141</v>
      </c>
      <c r="AD433">
        <v>2825</v>
      </c>
      <c r="AE433">
        <v>817</v>
      </c>
      <c r="AF433">
        <v>132</v>
      </c>
      <c r="AG433">
        <v>8</v>
      </c>
      <c r="AH433">
        <v>12016</v>
      </c>
      <c r="AI433">
        <v>111</v>
      </c>
      <c r="AJ433">
        <v>710</v>
      </c>
      <c r="AK433">
        <v>2704</v>
      </c>
      <c r="AL433">
        <v>224</v>
      </c>
      <c r="AM433">
        <v>78</v>
      </c>
      <c r="AN433" t="s">
        <v>503</v>
      </c>
      <c r="AO433">
        <f>AVERAGE(Tabla2[[#This Row],[total_kills]:[rating]])</f>
        <v>5629.75</v>
      </c>
      <c r="AP433" t="str">
        <f>VLOOKUP(Tabla2[[#This Row],[KPI]],$AS$2:$AT$5,2,1)</f>
        <v>Alto</v>
      </c>
    </row>
    <row r="434" spans="1:42" x14ac:dyDescent="0.3">
      <c r="A434">
        <v>11278</v>
      </c>
      <c r="B434" t="s">
        <v>3098</v>
      </c>
      <c r="C434" t="s">
        <v>3099</v>
      </c>
      <c r="D434">
        <v>25</v>
      </c>
      <c r="E434" t="s">
        <v>327</v>
      </c>
      <c r="F434" t="s">
        <v>3514</v>
      </c>
      <c r="G434" t="s">
        <v>3100</v>
      </c>
      <c r="H434">
        <v>18722</v>
      </c>
      <c r="I434">
        <v>19783</v>
      </c>
      <c r="J434" t="s">
        <v>1951</v>
      </c>
      <c r="K434" t="s">
        <v>1623</v>
      </c>
      <c r="L434" t="s">
        <v>612</v>
      </c>
      <c r="M434">
        <v>1106</v>
      </c>
      <c r="N434">
        <v>29520</v>
      </c>
      <c r="O434" t="s">
        <v>215</v>
      </c>
      <c r="P434" t="s">
        <v>48</v>
      </c>
      <c r="Q434" t="s">
        <v>225</v>
      </c>
      <c r="R434" t="s">
        <v>96</v>
      </c>
      <c r="S434" t="s">
        <v>66</v>
      </c>
      <c r="T434">
        <v>12945</v>
      </c>
      <c r="U434" t="s">
        <v>51</v>
      </c>
      <c r="V434">
        <v>2673</v>
      </c>
      <c r="W434">
        <v>3185</v>
      </c>
      <c r="X434" t="s">
        <v>47</v>
      </c>
      <c r="Y434" t="s">
        <v>1570</v>
      </c>
      <c r="Z434" t="s">
        <v>1121</v>
      </c>
      <c r="AA434" t="s">
        <v>783</v>
      </c>
      <c r="AB434">
        <v>16575</v>
      </c>
      <c r="AC434">
        <v>8479</v>
      </c>
      <c r="AD434">
        <v>3350</v>
      </c>
      <c r="AE434">
        <v>935</v>
      </c>
      <c r="AF434">
        <v>167</v>
      </c>
      <c r="AG434">
        <v>14</v>
      </c>
      <c r="AH434">
        <v>12425</v>
      </c>
      <c r="AI434">
        <v>1436</v>
      </c>
      <c r="AJ434">
        <v>1310</v>
      </c>
      <c r="AK434">
        <v>3236</v>
      </c>
      <c r="AL434">
        <v>297</v>
      </c>
      <c r="AM434">
        <v>60</v>
      </c>
      <c r="AN434" t="s">
        <v>285</v>
      </c>
      <c r="AO434">
        <f>AVERAGE(Tabla2[[#This Row],[total_kills]:[rating]])</f>
        <v>7169.3684210526317</v>
      </c>
      <c r="AP434" t="str">
        <f>VLOOKUP(Tabla2[[#This Row],[KPI]],$AS$2:$AT$5,2,1)</f>
        <v>Superior</v>
      </c>
    </row>
    <row r="435" spans="1:42" x14ac:dyDescent="0.3">
      <c r="A435">
        <v>13578</v>
      </c>
      <c r="B435" t="s">
        <v>1452</v>
      </c>
      <c r="C435" t="s">
        <v>1453</v>
      </c>
      <c r="D435">
        <v>21</v>
      </c>
      <c r="E435" t="s">
        <v>459</v>
      </c>
      <c r="F435" t="s">
        <v>812</v>
      </c>
      <c r="G435" t="s">
        <v>1454</v>
      </c>
      <c r="H435">
        <v>16813</v>
      </c>
      <c r="I435">
        <v>16097</v>
      </c>
      <c r="J435" t="s">
        <v>1455</v>
      </c>
      <c r="K435" t="s">
        <v>154</v>
      </c>
      <c r="L435" t="s">
        <v>462</v>
      </c>
      <c r="M435">
        <v>892</v>
      </c>
      <c r="N435">
        <v>23471</v>
      </c>
      <c r="O435" t="s">
        <v>311</v>
      </c>
      <c r="P435" t="s">
        <v>202</v>
      </c>
      <c r="Q435" t="s">
        <v>463</v>
      </c>
      <c r="R435" t="s">
        <v>48</v>
      </c>
      <c r="S435" t="s">
        <v>202</v>
      </c>
      <c r="T435">
        <v>11013</v>
      </c>
      <c r="U435" t="s">
        <v>51</v>
      </c>
      <c r="V435">
        <v>2331</v>
      </c>
      <c r="W435">
        <v>2465</v>
      </c>
      <c r="X435" t="s">
        <v>820</v>
      </c>
      <c r="Y435" t="s">
        <v>285</v>
      </c>
      <c r="Z435" t="s">
        <v>391</v>
      </c>
      <c r="AA435" t="s">
        <v>933</v>
      </c>
      <c r="AB435">
        <v>12458</v>
      </c>
      <c r="AC435">
        <v>6811</v>
      </c>
      <c r="AD435">
        <v>2923</v>
      </c>
      <c r="AE435">
        <v>991</v>
      </c>
      <c r="AF435">
        <v>257</v>
      </c>
      <c r="AG435">
        <v>31</v>
      </c>
      <c r="AH435">
        <v>12834</v>
      </c>
      <c r="AI435">
        <v>130</v>
      </c>
      <c r="AJ435">
        <v>739</v>
      </c>
      <c r="AK435">
        <v>2992</v>
      </c>
      <c r="AL435">
        <v>146</v>
      </c>
      <c r="AM435">
        <v>17</v>
      </c>
      <c r="AN435" t="s">
        <v>561</v>
      </c>
      <c r="AO435">
        <f>AVERAGE(Tabla2[[#This Row],[total_kills]:[rating]])</f>
        <v>5969</v>
      </c>
      <c r="AP435" t="str">
        <f>VLOOKUP(Tabla2[[#This Row],[KPI]],$AS$2:$AT$5,2,1)</f>
        <v>Alto</v>
      </c>
    </row>
    <row r="436" spans="1:42" x14ac:dyDescent="0.3">
      <c r="A436">
        <v>735</v>
      </c>
      <c r="B436" t="s">
        <v>2516</v>
      </c>
      <c r="C436" t="s">
        <v>2517</v>
      </c>
      <c r="D436">
        <v>34</v>
      </c>
      <c r="E436" t="s">
        <v>75</v>
      </c>
      <c r="F436" t="s">
        <v>3514</v>
      </c>
      <c r="G436" t="s">
        <v>2518</v>
      </c>
      <c r="H436">
        <v>25227</v>
      </c>
      <c r="I436">
        <v>24934</v>
      </c>
      <c r="J436" t="s">
        <v>1455</v>
      </c>
      <c r="K436" t="s">
        <v>800</v>
      </c>
      <c r="L436" t="s">
        <v>375</v>
      </c>
      <c r="M436">
        <v>1431</v>
      </c>
      <c r="N436">
        <v>37517</v>
      </c>
      <c r="O436" t="s">
        <v>225</v>
      </c>
      <c r="P436" t="s">
        <v>166</v>
      </c>
      <c r="Q436" t="s">
        <v>322</v>
      </c>
      <c r="R436" t="s">
        <v>66</v>
      </c>
      <c r="S436" t="s">
        <v>66</v>
      </c>
      <c r="T436">
        <v>17280</v>
      </c>
      <c r="U436" t="s">
        <v>51</v>
      </c>
      <c r="V436">
        <v>3038</v>
      </c>
      <c r="W436">
        <v>3334</v>
      </c>
      <c r="X436" t="s">
        <v>1749</v>
      </c>
      <c r="Y436" t="s">
        <v>1314</v>
      </c>
      <c r="Z436" t="s">
        <v>887</v>
      </c>
      <c r="AA436" t="s">
        <v>1985</v>
      </c>
      <c r="AB436">
        <v>20237</v>
      </c>
      <c r="AC436">
        <v>11221</v>
      </c>
      <c r="AD436">
        <v>4513</v>
      </c>
      <c r="AE436">
        <v>1310</v>
      </c>
      <c r="AF436">
        <v>219</v>
      </c>
      <c r="AG436">
        <v>17</v>
      </c>
      <c r="AH436">
        <v>17977</v>
      </c>
      <c r="AI436">
        <v>646</v>
      </c>
      <c r="AJ436">
        <v>1717</v>
      </c>
      <c r="AK436">
        <v>4404</v>
      </c>
      <c r="AL436">
        <v>406</v>
      </c>
      <c r="AM436">
        <v>102</v>
      </c>
      <c r="AN436" t="s">
        <v>285</v>
      </c>
      <c r="AO436">
        <f>AVERAGE(Tabla2[[#This Row],[total_kills]:[rating]])</f>
        <v>9238.4210526315783</v>
      </c>
      <c r="AP436" t="str">
        <f>VLOOKUP(Tabla2[[#This Row],[KPI]],$AS$2:$AT$5,2,1)</f>
        <v>Superior</v>
      </c>
    </row>
    <row r="437" spans="1:42" x14ac:dyDescent="0.3">
      <c r="A437">
        <v>15180</v>
      </c>
      <c r="B437" t="s">
        <v>3107</v>
      </c>
      <c r="C437" t="s">
        <v>3108</v>
      </c>
      <c r="D437">
        <v>20</v>
      </c>
      <c r="E437" t="s">
        <v>452</v>
      </c>
      <c r="F437" t="s">
        <v>2384</v>
      </c>
      <c r="G437" t="s">
        <v>3109</v>
      </c>
      <c r="H437">
        <v>13046</v>
      </c>
      <c r="I437">
        <v>13847</v>
      </c>
      <c r="J437" t="s">
        <v>1455</v>
      </c>
      <c r="K437" t="s">
        <v>1435</v>
      </c>
      <c r="L437" t="s">
        <v>658</v>
      </c>
      <c r="M437">
        <v>760</v>
      </c>
      <c r="N437">
        <v>20630</v>
      </c>
      <c r="O437" t="s">
        <v>215</v>
      </c>
      <c r="P437" t="s">
        <v>202</v>
      </c>
      <c r="Q437" t="s">
        <v>225</v>
      </c>
      <c r="R437" t="s">
        <v>50</v>
      </c>
      <c r="S437" t="s">
        <v>96</v>
      </c>
      <c r="T437">
        <v>9062</v>
      </c>
      <c r="U437" t="s">
        <v>51</v>
      </c>
      <c r="V437">
        <v>1937</v>
      </c>
      <c r="W437">
        <v>2246</v>
      </c>
      <c r="X437" t="s">
        <v>64</v>
      </c>
      <c r="Y437" t="s">
        <v>820</v>
      </c>
      <c r="Z437" t="s">
        <v>1467</v>
      </c>
      <c r="AA437" t="s">
        <v>363</v>
      </c>
      <c r="AB437">
        <v>11568</v>
      </c>
      <c r="AC437">
        <v>6021</v>
      </c>
      <c r="AD437">
        <v>2238</v>
      </c>
      <c r="AE437">
        <v>674</v>
      </c>
      <c r="AF437">
        <v>118</v>
      </c>
      <c r="AG437">
        <v>11</v>
      </c>
      <c r="AH437">
        <v>9445</v>
      </c>
      <c r="AI437">
        <v>157</v>
      </c>
      <c r="AJ437">
        <v>970</v>
      </c>
      <c r="AK437">
        <v>2239</v>
      </c>
      <c r="AL437">
        <v>178</v>
      </c>
      <c r="AM437">
        <v>99</v>
      </c>
      <c r="AN437">
        <v>1</v>
      </c>
      <c r="AO437">
        <f>AVERAGE(Tabla2[[#This Row],[total_kills]:[rating]])</f>
        <v>4762.3500000000004</v>
      </c>
      <c r="AP437" t="str">
        <f>VLOOKUP(Tabla2[[#This Row],[KPI]],$AS$2:$AT$5,2,1)</f>
        <v>Medio</v>
      </c>
    </row>
    <row r="438" spans="1:42" x14ac:dyDescent="0.3">
      <c r="A438">
        <v>11916</v>
      </c>
      <c r="B438" t="s">
        <v>927</v>
      </c>
      <c r="C438" t="s">
        <v>928</v>
      </c>
      <c r="D438">
        <v>20</v>
      </c>
      <c r="E438" t="s">
        <v>452</v>
      </c>
      <c r="F438" t="s">
        <v>929</v>
      </c>
      <c r="G438" t="s">
        <v>930</v>
      </c>
      <c r="H438">
        <v>14855</v>
      </c>
      <c r="I438">
        <v>13039</v>
      </c>
      <c r="J438" t="s">
        <v>931</v>
      </c>
      <c r="K438" t="s">
        <v>133</v>
      </c>
      <c r="L438">
        <v>4</v>
      </c>
      <c r="M438">
        <v>776</v>
      </c>
      <c r="N438">
        <v>20425</v>
      </c>
      <c r="O438" t="s">
        <v>495</v>
      </c>
      <c r="P438" t="s">
        <v>235</v>
      </c>
      <c r="Q438" t="s">
        <v>65</v>
      </c>
      <c r="R438" t="s">
        <v>50</v>
      </c>
      <c r="S438" t="s">
        <v>67</v>
      </c>
      <c r="T438">
        <v>10002</v>
      </c>
      <c r="U438" t="s">
        <v>51</v>
      </c>
      <c r="V438">
        <v>2084</v>
      </c>
      <c r="W438">
        <v>1844</v>
      </c>
      <c r="X438" t="s">
        <v>98</v>
      </c>
      <c r="Y438" t="s">
        <v>412</v>
      </c>
      <c r="Z438" t="s">
        <v>932</v>
      </c>
      <c r="AA438" t="s">
        <v>933</v>
      </c>
      <c r="AB438">
        <v>10423</v>
      </c>
      <c r="AC438">
        <v>6327</v>
      </c>
      <c r="AD438">
        <v>2685</v>
      </c>
      <c r="AE438">
        <v>820</v>
      </c>
      <c r="AF438">
        <v>152</v>
      </c>
      <c r="AG438">
        <v>18</v>
      </c>
      <c r="AH438">
        <v>10236</v>
      </c>
      <c r="AI438">
        <v>1303</v>
      </c>
      <c r="AJ438">
        <v>587</v>
      </c>
      <c r="AK438">
        <v>2558</v>
      </c>
      <c r="AL438">
        <v>192</v>
      </c>
      <c r="AM438">
        <v>25</v>
      </c>
      <c r="AN438" t="s">
        <v>98</v>
      </c>
      <c r="AO438">
        <f>AVERAGE(Tabla2[[#This Row],[total_kills]:[rating]])</f>
        <v>4917.75</v>
      </c>
      <c r="AP438" t="str">
        <f>VLOOKUP(Tabla2[[#This Row],[KPI]],$AS$2:$AT$5,2,1)</f>
        <v>Alto</v>
      </c>
    </row>
    <row r="439" spans="1:42" x14ac:dyDescent="0.3">
      <c r="A439">
        <v>11163</v>
      </c>
      <c r="B439" t="s">
        <v>1123</v>
      </c>
      <c r="C439" t="s">
        <v>1124</v>
      </c>
      <c r="D439">
        <v>27</v>
      </c>
      <c r="E439" t="s">
        <v>104</v>
      </c>
      <c r="F439" t="s">
        <v>1125</v>
      </c>
      <c r="G439" t="s">
        <v>1126</v>
      </c>
      <c r="H439">
        <v>15766</v>
      </c>
      <c r="I439">
        <v>14277</v>
      </c>
      <c r="J439" t="s">
        <v>931</v>
      </c>
      <c r="K439" t="s">
        <v>1029</v>
      </c>
      <c r="L439" t="s">
        <v>575</v>
      </c>
      <c r="M439">
        <v>830</v>
      </c>
      <c r="N439">
        <v>21739</v>
      </c>
      <c r="O439" t="s">
        <v>495</v>
      </c>
      <c r="P439" t="s">
        <v>166</v>
      </c>
      <c r="Q439" t="s">
        <v>322</v>
      </c>
      <c r="R439" t="s">
        <v>48</v>
      </c>
      <c r="S439" t="s">
        <v>202</v>
      </c>
      <c r="T439">
        <v>10542</v>
      </c>
      <c r="U439" t="s">
        <v>51</v>
      </c>
      <c r="V439">
        <v>2105</v>
      </c>
      <c r="W439">
        <v>1867</v>
      </c>
      <c r="X439" t="s">
        <v>98</v>
      </c>
      <c r="Y439" t="s">
        <v>255</v>
      </c>
      <c r="Z439" t="s">
        <v>217</v>
      </c>
      <c r="AA439" t="s">
        <v>640</v>
      </c>
      <c r="AB439">
        <v>11197</v>
      </c>
      <c r="AC439">
        <v>6627</v>
      </c>
      <c r="AD439">
        <v>2822</v>
      </c>
      <c r="AE439">
        <v>896</v>
      </c>
      <c r="AF439">
        <v>178</v>
      </c>
      <c r="AG439">
        <v>19</v>
      </c>
      <c r="AH439">
        <v>11738</v>
      </c>
      <c r="AI439">
        <v>105</v>
      </c>
      <c r="AJ439">
        <v>865</v>
      </c>
      <c r="AK439">
        <v>2797</v>
      </c>
      <c r="AL439">
        <v>246</v>
      </c>
      <c r="AM439">
        <v>52</v>
      </c>
      <c r="AN439" t="s">
        <v>111</v>
      </c>
      <c r="AO439">
        <f>AVERAGE(Tabla2[[#This Row],[total_kills]:[rating]])</f>
        <v>5508.8421052631575</v>
      </c>
      <c r="AP439" t="str">
        <f>VLOOKUP(Tabla2[[#This Row],[KPI]],$AS$2:$AT$5,2,1)</f>
        <v>Alto</v>
      </c>
    </row>
    <row r="440" spans="1:42" x14ac:dyDescent="0.3">
      <c r="A440">
        <v>555</v>
      </c>
      <c r="B440" t="s">
        <v>2700</v>
      </c>
      <c r="C440" t="s">
        <v>2701</v>
      </c>
      <c r="D440">
        <v>32</v>
      </c>
      <c r="E440" t="s">
        <v>104</v>
      </c>
      <c r="F440" t="s">
        <v>866</v>
      </c>
      <c r="G440" t="s">
        <v>2702</v>
      </c>
      <c r="H440">
        <v>12432</v>
      </c>
      <c r="I440">
        <v>12385</v>
      </c>
      <c r="J440" t="s">
        <v>931</v>
      </c>
      <c r="K440" t="s">
        <v>494</v>
      </c>
      <c r="L440" t="s">
        <v>1146</v>
      </c>
      <c r="M440">
        <v>735</v>
      </c>
      <c r="N440">
        <v>19001</v>
      </c>
      <c r="O440" t="s">
        <v>276</v>
      </c>
      <c r="P440" t="s">
        <v>166</v>
      </c>
      <c r="Q440" t="s">
        <v>276</v>
      </c>
      <c r="R440" t="s">
        <v>67</v>
      </c>
      <c r="S440" t="s">
        <v>96</v>
      </c>
      <c r="T440">
        <v>8669</v>
      </c>
      <c r="U440" t="s">
        <v>51</v>
      </c>
      <c r="V440">
        <v>1916</v>
      </c>
      <c r="W440">
        <v>1894</v>
      </c>
      <c r="X440" t="s">
        <v>255</v>
      </c>
      <c r="Y440">
        <v>1</v>
      </c>
      <c r="Z440" t="s">
        <v>583</v>
      </c>
      <c r="AA440" t="s">
        <v>746</v>
      </c>
      <c r="AB440">
        <v>10332</v>
      </c>
      <c r="AC440">
        <v>5783</v>
      </c>
      <c r="AD440">
        <v>2146</v>
      </c>
      <c r="AE440">
        <v>616</v>
      </c>
      <c r="AF440">
        <v>111</v>
      </c>
      <c r="AG440">
        <v>13</v>
      </c>
      <c r="AH440">
        <v>8885</v>
      </c>
      <c r="AI440">
        <v>354</v>
      </c>
      <c r="AJ440">
        <v>1034</v>
      </c>
      <c r="AK440">
        <v>1938</v>
      </c>
      <c r="AL440">
        <v>205</v>
      </c>
      <c r="AM440">
        <v>61</v>
      </c>
      <c r="AN440" t="s">
        <v>245</v>
      </c>
      <c r="AO440">
        <f>AVERAGE(Tabla2[[#This Row],[total_kills]:[rating]])</f>
        <v>4425.55</v>
      </c>
      <c r="AP440" t="str">
        <f>VLOOKUP(Tabla2[[#This Row],[KPI]],$AS$2:$AT$5,2,1)</f>
        <v>Medio</v>
      </c>
    </row>
    <row r="441" spans="1:42" x14ac:dyDescent="0.3">
      <c r="A441">
        <v>8569</v>
      </c>
      <c r="B441" t="s">
        <v>2792</v>
      </c>
      <c r="C441" t="s">
        <v>2793</v>
      </c>
      <c r="D441">
        <v>27</v>
      </c>
      <c r="E441" t="s">
        <v>42</v>
      </c>
      <c r="F441" t="s">
        <v>2794</v>
      </c>
      <c r="G441" t="s">
        <v>2795</v>
      </c>
      <c r="H441">
        <v>11006</v>
      </c>
      <c r="I441">
        <v>11297</v>
      </c>
      <c r="J441" t="s">
        <v>931</v>
      </c>
      <c r="K441" t="s">
        <v>999</v>
      </c>
      <c r="L441" t="s">
        <v>589</v>
      </c>
      <c r="M441">
        <v>636</v>
      </c>
      <c r="N441">
        <v>16582</v>
      </c>
      <c r="O441" t="s">
        <v>322</v>
      </c>
      <c r="P441" t="s">
        <v>202</v>
      </c>
      <c r="Q441" t="s">
        <v>167</v>
      </c>
      <c r="R441" t="s">
        <v>50</v>
      </c>
      <c r="S441" t="s">
        <v>96</v>
      </c>
      <c r="T441">
        <v>7544</v>
      </c>
      <c r="U441" t="s">
        <v>51</v>
      </c>
      <c r="V441">
        <v>1544</v>
      </c>
      <c r="W441">
        <v>1636</v>
      </c>
      <c r="X441" t="s">
        <v>1570</v>
      </c>
      <c r="Y441" t="s">
        <v>503</v>
      </c>
      <c r="Z441" t="s">
        <v>983</v>
      </c>
      <c r="AA441" t="s">
        <v>1101</v>
      </c>
      <c r="AB441">
        <v>9038</v>
      </c>
      <c r="AC441">
        <v>4888</v>
      </c>
      <c r="AD441">
        <v>1978</v>
      </c>
      <c r="AE441">
        <v>566</v>
      </c>
      <c r="AF441">
        <v>104</v>
      </c>
      <c r="AG441">
        <v>8</v>
      </c>
      <c r="AH441">
        <v>7264</v>
      </c>
      <c r="AI441">
        <v>287</v>
      </c>
      <c r="AJ441">
        <v>1065</v>
      </c>
      <c r="AK441">
        <v>2228</v>
      </c>
      <c r="AL441">
        <v>120</v>
      </c>
      <c r="AM441">
        <v>62</v>
      </c>
      <c r="AN441" t="s">
        <v>503</v>
      </c>
      <c r="AO441">
        <f>AVERAGE(Tabla2[[#This Row],[total_kills]:[rating]])</f>
        <v>4097.5263157894733</v>
      </c>
      <c r="AP441" t="str">
        <f>VLOOKUP(Tabla2[[#This Row],[KPI]],$AS$2:$AT$5,2,1)</f>
        <v>Medio</v>
      </c>
    </row>
    <row r="442" spans="1:42" x14ac:dyDescent="0.3">
      <c r="A442">
        <v>5385</v>
      </c>
      <c r="B442" t="s">
        <v>3234</v>
      </c>
      <c r="C442" t="s">
        <v>3235</v>
      </c>
      <c r="D442">
        <v>28</v>
      </c>
      <c r="E442" t="s">
        <v>327</v>
      </c>
      <c r="F442" t="s">
        <v>2040</v>
      </c>
      <c r="G442" t="s">
        <v>3118</v>
      </c>
      <c r="H442">
        <v>10767</v>
      </c>
      <c r="I442">
        <v>11739</v>
      </c>
      <c r="J442" t="s">
        <v>931</v>
      </c>
      <c r="K442" t="s">
        <v>1529</v>
      </c>
      <c r="L442" t="s">
        <v>471</v>
      </c>
      <c r="M442">
        <v>651</v>
      </c>
      <c r="N442">
        <v>17086</v>
      </c>
      <c r="O442" t="s">
        <v>215</v>
      </c>
      <c r="P442" t="s">
        <v>235</v>
      </c>
      <c r="Q442" t="s">
        <v>463</v>
      </c>
      <c r="R442" t="s">
        <v>50</v>
      </c>
      <c r="S442" t="s">
        <v>96</v>
      </c>
      <c r="T442">
        <v>7561</v>
      </c>
      <c r="U442" t="s">
        <v>51</v>
      </c>
      <c r="V442">
        <v>1484</v>
      </c>
      <c r="W442">
        <v>1744</v>
      </c>
      <c r="X442" t="s">
        <v>2667</v>
      </c>
      <c r="Y442" t="s">
        <v>950</v>
      </c>
      <c r="Z442" t="s">
        <v>983</v>
      </c>
      <c r="AA442" t="s">
        <v>2053</v>
      </c>
      <c r="AB442">
        <v>9525</v>
      </c>
      <c r="AC442">
        <v>5063</v>
      </c>
      <c r="AD442">
        <v>1895</v>
      </c>
      <c r="AE442">
        <v>506</v>
      </c>
      <c r="AF442">
        <v>89</v>
      </c>
      <c r="AG442">
        <v>8</v>
      </c>
      <c r="AH442">
        <v>7702</v>
      </c>
      <c r="AI442">
        <v>376</v>
      </c>
      <c r="AJ442">
        <v>722</v>
      </c>
      <c r="AK442">
        <v>1756</v>
      </c>
      <c r="AL442">
        <v>95</v>
      </c>
      <c r="AM442">
        <v>133</v>
      </c>
      <c r="AN442" t="s">
        <v>1314</v>
      </c>
      <c r="AO442">
        <f>AVERAGE(Tabla2[[#This Row],[total_kills]:[rating]])</f>
        <v>4152.7368421052633</v>
      </c>
      <c r="AP442" t="str">
        <f>VLOOKUP(Tabla2[[#This Row],[KPI]],$AS$2:$AT$5,2,1)</f>
        <v>Medio</v>
      </c>
    </row>
    <row r="443" spans="1:42" x14ac:dyDescent="0.3">
      <c r="A443">
        <v>8422</v>
      </c>
      <c r="B443" t="s">
        <v>3426</v>
      </c>
      <c r="C443" t="s">
        <v>3427</v>
      </c>
      <c r="D443">
        <v>27</v>
      </c>
      <c r="E443" t="s">
        <v>196</v>
      </c>
      <c r="F443" t="s">
        <v>3428</v>
      </c>
      <c r="G443" t="s">
        <v>3429</v>
      </c>
      <c r="H443">
        <v>6753</v>
      </c>
      <c r="I443">
        <v>8489</v>
      </c>
      <c r="J443" t="s">
        <v>931</v>
      </c>
      <c r="K443" t="s">
        <v>3378</v>
      </c>
      <c r="L443" t="s">
        <v>1981</v>
      </c>
      <c r="M443">
        <v>455</v>
      </c>
      <c r="N443">
        <v>11976</v>
      </c>
      <c r="O443" t="s">
        <v>181</v>
      </c>
      <c r="P443" t="s">
        <v>235</v>
      </c>
      <c r="Q443" t="s">
        <v>646</v>
      </c>
      <c r="R443" t="s">
        <v>67</v>
      </c>
      <c r="S443" t="s">
        <v>96</v>
      </c>
      <c r="T443">
        <v>4849</v>
      </c>
      <c r="U443" t="s">
        <v>51</v>
      </c>
      <c r="V443">
        <v>996</v>
      </c>
      <c r="W443">
        <v>1396</v>
      </c>
      <c r="X443" t="s">
        <v>646</v>
      </c>
      <c r="Y443" t="s">
        <v>1551</v>
      </c>
      <c r="Z443" t="s">
        <v>3430</v>
      </c>
      <c r="AA443" t="s">
        <v>287</v>
      </c>
      <c r="AB443">
        <v>7127</v>
      </c>
      <c r="AC443">
        <v>3360</v>
      </c>
      <c r="AD443">
        <v>1134</v>
      </c>
      <c r="AE443">
        <v>299</v>
      </c>
      <c r="AF443">
        <v>52</v>
      </c>
      <c r="AG443">
        <v>4</v>
      </c>
      <c r="AH443">
        <v>4770</v>
      </c>
      <c r="AI443">
        <v>120</v>
      </c>
      <c r="AJ443">
        <v>586</v>
      </c>
      <c r="AK443">
        <v>1106</v>
      </c>
      <c r="AL443">
        <v>178</v>
      </c>
      <c r="AM443">
        <v>13</v>
      </c>
      <c r="AN443" t="s">
        <v>2998</v>
      </c>
      <c r="AO443">
        <f>AVERAGE(Tabla2[[#This Row],[total_kills]:[rating]])</f>
        <v>2824.3684210526317</v>
      </c>
      <c r="AP443" t="str">
        <f>VLOOKUP(Tabla2[[#This Row],[KPI]],$AS$2:$AT$5,2,1)</f>
        <v>Bajo</v>
      </c>
    </row>
    <row r="444" spans="1:42" x14ac:dyDescent="0.3">
      <c r="A444">
        <v>11844</v>
      </c>
      <c r="B444" t="s">
        <v>2004</v>
      </c>
      <c r="C444" t="s">
        <v>2005</v>
      </c>
      <c r="D444">
        <v>31</v>
      </c>
      <c r="E444" t="s">
        <v>299</v>
      </c>
      <c r="F444" t="s">
        <v>3514</v>
      </c>
      <c r="G444" t="s">
        <v>300</v>
      </c>
      <c r="H444">
        <v>7976</v>
      </c>
      <c r="I444">
        <v>7619</v>
      </c>
      <c r="J444" t="s">
        <v>2006</v>
      </c>
      <c r="K444">
        <v>79</v>
      </c>
      <c r="L444" t="s">
        <v>1352</v>
      </c>
      <c r="M444">
        <v>461</v>
      </c>
      <c r="N444">
        <v>11606</v>
      </c>
      <c r="O444" t="s">
        <v>463</v>
      </c>
      <c r="P444" t="s">
        <v>553</v>
      </c>
      <c r="Q444" t="s">
        <v>322</v>
      </c>
      <c r="R444" t="s">
        <v>66</v>
      </c>
      <c r="S444" t="s">
        <v>66</v>
      </c>
      <c r="T444">
        <v>5468</v>
      </c>
      <c r="U444" t="s">
        <v>51</v>
      </c>
      <c r="V444">
        <v>1041</v>
      </c>
      <c r="W444">
        <v>943</v>
      </c>
      <c r="X444" t="s">
        <v>561</v>
      </c>
      <c r="Y444" t="s">
        <v>245</v>
      </c>
      <c r="Z444" t="s">
        <v>473</v>
      </c>
      <c r="AA444" t="s">
        <v>518</v>
      </c>
      <c r="AB444">
        <v>6138</v>
      </c>
      <c r="AC444">
        <v>3555</v>
      </c>
      <c r="AD444">
        <v>1420</v>
      </c>
      <c r="AE444">
        <v>399</v>
      </c>
      <c r="AF444">
        <v>86</v>
      </c>
      <c r="AG444">
        <v>8</v>
      </c>
      <c r="AH444">
        <v>5813</v>
      </c>
      <c r="AI444">
        <v>43</v>
      </c>
      <c r="AJ444">
        <v>508</v>
      </c>
      <c r="AK444">
        <v>1455</v>
      </c>
      <c r="AL444">
        <v>146</v>
      </c>
      <c r="AM444">
        <v>23</v>
      </c>
      <c r="AN444" t="s">
        <v>295</v>
      </c>
      <c r="AO444">
        <f>AVERAGE(Tabla2[[#This Row],[total_kills]:[rating]])</f>
        <v>2739.35</v>
      </c>
      <c r="AP444" t="str">
        <f>VLOOKUP(Tabla2[[#This Row],[KPI]],$AS$2:$AT$5,2,1)</f>
        <v>Bajo</v>
      </c>
    </row>
    <row r="445" spans="1:42" x14ac:dyDescent="0.3">
      <c r="A445">
        <v>5373</v>
      </c>
      <c r="B445" t="s">
        <v>2441</v>
      </c>
      <c r="C445" t="s">
        <v>2442</v>
      </c>
      <c r="D445">
        <v>29</v>
      </c>
      <c r="E445" t="s">
        <v>545</v>
      </c>
      <c r="F445" t="s">
        <v>2443</v>
      </c>
      <c r="G445" t="s">
        <v>2444</v>
      </c>
      <c r="H445">
        <v>7960</v>
      </c>
      <c r="I445">
        <v>7968</v>
      </c>
      <c r="J445" t="s">
        <v>2006</v>
      </c>
      <c r="K445" t="s">
        <v>368</v>
      </c>
      <c r="L445" t="s">
        <v>782</v>
      </c>
      <c r="M445">
        <v>438</v>
      </c>
      <c r="N445">
        <v>11568</v>
      </c>
      <c r="O445" t="s">
        <v>463</v>
      </c>
      <c r="P445" t="s">
        <v>166</v>
      </c>
      <c r="Q445" t="s">
        <v>463</v>
      </c>
      <c r="R445" t="s">
        <v>66</v>
      </c>
      <c r="S445" t="s">
        <v>66</v>
      </c>
      <c r="T445">
        <v>5372</v>
      </c>
      <c r="U445" t="s">
        <v>51</v>
      </c>
      <c r="V445">
        <v>1017</v>
      </c>
      <c r="W445">
        <v>1145</v>
      </c>
      <c r="X445" t="s">
        <v>1551</v>
      </c>
      <c r="Y445" t="s">
        <v>1570</v>
      </c>
      <c r="Z445" t="s">
        <v>533</v>
      </c>
      <c r="AA445" t="s">
        <v>1171</v>
      </c>
      <c r="AB445">
        <v>6196</v>
      </c>
      <c r="AC445">
        <v>3398</v>
      </c>
      <c r="AD445">
        <v>1469</v>
      </c>
      <c r="AE445">
        <v>415</v>
      </c>
      <c r="AF445">
        <v>86</v>
      </c>
      <c r="AG445">
        <v>4</v>
      </c>
      <c r="AH445">
        <v>5423</v>
      </c>
      <c r="AI445">
        <v>226</v>
      </c>
      <c r="AJ445">
        <v>538</v>
      </c>
      <c r="AK445">
        <v>1531</v>
      </c>
      <c r="AL445">
        <v>170</v>
      </c>
      <c r="AM445">
        <v>77</v>
      </c>
      <c r="AN445" t="s">
        <v>285</v>
      </c>
      <c r="AO445">
        <f>AVERAGE(Tabla2[[#This Row],[total_kills]:[rating]])</f>
        <v>2894.7894736842104</v>
      </c>
      <c r="AP445" t="str">
        <f>VLOOKUP(Tabla2[[#This Row],[KPI]],$AS$2:$AT$5,2,1)</f>
        <v>Bajo</v>
      </c>
    </row>
    <row r="446" spans="1:42" x14ac:dyDescent="0.3">
      <c r="A446">
        <v>13054</v>
      </c>
      <c r="B446" t="s">
        <v>1386</v>
      </c>
      <c r="C446" t="s">
        <v>1387</v>
      </c>
      <c r="D446">
        <v>20</v>
      </c>
      <c r="E446" t="s">
        <v>299</v>
      </c>
      <c r="F446" t="s">
        <v>1388</v>
      </c>
      <c r="G446" t="s">
        <v>1389</v>
      </c>
      <c r="H446">
        <v>10590</v>
      </c>
      <c r="I446">
        <v>10011</v>
      </c>
      <c r="J446" t="s">
        <v>1390</v>
      </c>
      <c r="K446" t="s">
        <v>108</v>
      </c>
      <c r="L446" t="s">
        <v>80</v>
      </c>
      <c r="M446">
        <v>564</v>
      </c>
      <c r="N446">
        <v>14357</v>
      </c>
      <c r="O446" t="s">
        <v>283</v>
      </c>
      <c r="P446" t="s">
        <v>202</v>
      </c>
      <c r="Q446" t="s">
        <v>905</v>
      </c>
      <c r="R446" t="s">
        <v>50</v>
      </c>
      <c r="S446" t="s">
        <v>50</v>
      </c>
      <c r="T446">
        <v>7020</v>
      </c>
      <c r="U446" t="s">
        <v>51</v>
      </c>
      <c r="V446">
        <v>1931</v>
      </c>
      <c r="W446">
        <v>1927</v>
      </c>
      <c r="X446">
        <v>1</v>
      </c>
      <c r="Y446" t="s">
        <v>370</v>
      </c>
      <c r="Z446" t="s">
        <v>554</v>
      </c>
      <c r="AA446" t="s">
        <v>193</v>
      </c>
      <c r="AB446">
        <v>7337</v>
      </c>
      <c r="AC446">
        <v>4348</v>
      </c>
      <c r="AD446">
        <v>1926</v>
      </c>
      <c r="AE446">
        <v>607</v>
      </c>
      <c r="AF446">
        <v>126</v>
      </c>
      <c r="AG446">
        <v>13</v>
      </c>
      <c r="AH446">
        <v>7208</v>
      </c>
      <c r="AI446">
        <v>1002</v>
      </c>
      <c r="AJ446">
        <v>518</v>
      </c>
      <c r="AK446">
        <v>1726</v>
      </c>
      <c r="AL446">
        <v>128</v>
      </c>
      <c r="AM446">
        <v>44</v>
      </c>
      <c r="AN446" t="s">
        <v>362</v>
      </c>
      <c r="AO446">
        <f>AVERAGE(Tabla2[[#This Row],[total_kills]:[rating]])</f>
        <v>3569.2</v>
      </c>
      <c r="AP446" t="str">
        <f>VLOOKUP(Tabla2[[#This Row],[KPI]],$AS$2:$AT$5,2,1)</f>
        <v>Medio</v>
      </c>
    </row>
    <row r="447" spans="1:42" x14ac:dyDescent="0.3">
      <c r="A447">
        <v>11231</v>
      </c>
      <c r="B447" t="s">
        <v>1657</v>
      </c>
      <c r="C447" t="s">
        <v>1658</v>
      </c>
      <c r="D447">
        <v>25</v>
      </c>
      <c r="E447" t="s">
        <v>500</v>
      </c>
      <c r="F447" t="s">
        <v>3514</v>
      </c>
      <c r="G447" t="s">
        <v>1659</v>
      </c>
      <c r="H447">
        <v>11748</v>
      </c>
      <c r="I447">
        <v>11373</v>
      </c>
      <c r="J447" t="s">
        <v>1390</v>
      </c>
      <c r="K447" t="s">
        <v>361</v>
      </c>
      <c r="L447" t="s">
        <v>658</v>
      </c>
      <c r="M447">
        <v>623</v>
      </c>
      <c r="N447">
        <v>16275</v>
      </c>
      <c r="O447" t="s">
        <v>311</v>
      </c>
      <c r="P447" t="s">
        <v>166</v>
      </c>
      <c r="Q447" t="s">
        <v>905</v>
      </c>
      <c r="R447" t="s">
        <v>96</v>
      </c>
      <c r="S447" t="s">
        <v>96</v>
      </c>
      <c r="T447">
        <v>7817</v>
      </c>
      <c r="U447" t="s">
        <v>51</v>
      </c>
      <c r="V447">
        <v>2050</v>
      </c>
      <c r="W447">
        <v>1937</v>
      </c>
      <c r="X447" t="s">
        <v>590</v>
      </c>
      <c r="Y447" t="s">
        <v>561</v>
      </c>
      <c r="Z447" t="s">
        <v>399</v>
      </c>
      <c r="AA447" t="s">
        <v>542</v>
      </c>
      <c r="AB447">
        <v>8458</v>
      </c>
      <c r="AC447">
        <v>4895</v>
      </c>
      <c r="AD447">
        <v>2098</v>
      </c>
      <c r="AE447">
        <v>658</v>
      </c>
      <c r="AF447">
        <v>147</v>
      </c>
      <c r="AG447">
        <v>19</v>
      </c>
      <c r="AH447">
        <v>8043</v>
      </c>
      <c r="AI447">
        <v>552</v>
      </c>
      <c r="AJ447">
        <v>967</v>
      </c>
      <c r="AK447">
        <v>2026</v>
      </c>
      <c r="AL447">
        <v>167</v>
      </c>
      <c r="AM447">
        <v>18</v>
      </c>
      <c r="AN447" t="s">
        <v>561</v>
      </c>
      <c r="AO447">
        <f>AVERAGE(Tabla2[[#This Row],[total_kills]:[rating]])</f>
        <v>4203.7368421052633</v>
      </c>
      <c r="AP447" t="str">
        <f>VLOOKUP(Tabla2[[#This Row],[KPI]],$AS$2:$AT$5,2,1)</f>
        <v>Medio</v>
      </c>
    </row>
    <row r="448" spans="1:42" x14ac:dyDescent="0.3">
      <c r="A448">
        <v>8726</v>
      </c>
      <c r="B448" t="s">
        <v>2499</v>
      </c>
      <c r="C448" t="s">
        <v>2500</v>
      </c>
      <c r="D448">
        <v>28</v>
      </c>
      <c r="E448" t="s">
        <v>75</v>
      </c>
      <c r="F448" t="s">
        <v>2501</v>
      </c>
      <c r="G448" t="s">
        <v>2502</v>
      </c>
      <c r="H448">
        <v>31491</v>
      </c>
      <c r="I448">
        <v>32214</v>
      </c>
      <c r="J448" t="s">
        <v>1390</v>
      </c>
      <c r="K448" t="s">
        <v>639</v>
      </c>
      <c r="L448" t="s">
        <v>471</v>
      </c>
      <c r="M448">
        <v>1693</v>
      </c>
      <c r="N448">
        <v>45193</v>
      </c>
      <c r="O448" t="s">
        <v>905</v>
      </c>
      <c r="P448" t="s">
        <v>235</v>
      </c>
      <c r="Q448" t="s">
        <v>646</v>
      </c>
      <c r="R448" t="s">
        <v>50</v>
      </c>
      <c r="S448" t="s">
        <v>96</v>
      </c>
      <c r="T448">
        <v>21030</v>
      </c>
      <c r="U448" t="s">
        <v>51</v>
      </c>
      <c r="V448">
        <v>5106</v>
      </c>
      <c r="W448">
        <v>5822</v>
      </c>
      <c r="X448" t="s">
        <v>2315</v>
      </c>
      <c r="Y448" t="s">
        <v>449</v>
      </c>
      <c r="Z448" t="s">
        <v>932</v>
      </c>
      <c r="AA448" t="s">
        <v>734</v>
      </c>
      <c r="AB448">
        <v>24163</v>
      </c>
      <c r="AC448">
        <v>13156</v>
      </c>
      <c r="AD448">
        <v>5718</v>
      </c>
      <c r="AE448">
        <v>1763</v>
      </c>
      <c r="AF448">
        <v>363</v>
      </c>
      <c r="AG448">
        <v>30</v>
      </c>
      <c r="AH448">
        <v>22076</v>
      </c>
      <c r="AI448">
        <v>288</v>
      </c>
      <c r="AJ448">
        <v>3176</v>
      </c>
      <c r="AK448">
        <v>5370</v>
      </c>
      <c r="AL448">
        <v>319</v>
      </c>
      <c r="AM448">
        <v>339</v>
      </c>
      <c r="AN448" t="s">
        <v>285</v>
      </c>
      <c r="AO448">
        <f>AVERAGE(Tabla2[[#This Row],[total_kills]:[rating]])</f>
        <v>11542.631578947368</v>
      </c>
      <c r="AP448" t="str">
        <f>VLOOKUP(Tabla2[[#This Row],[KPI]],$AS$2:$AT$5,2,1)</f>
        <v>Superior</v>
      </c>
    </row>
    <row r="449" spans="1:42" x14ac:dyDescent="0.3">
      <c r="A449">
        <v>7958</v>
      </c>
      <c r="B449" t="s">
        <v>2991</v>
      </c>
      <c r="C449" t="s">
        <v>2992</v>
      </c>
      <c r="D449">
        <v>26</v>
      </c>
      <c r="E449" t="s">
        <v>545</v>
      </c>
      <c r="F449" t="s">
        <v>3514</v>
      </c>
      <c r="G449" t="s">
        <v>2993</v>
      </c>
      <c r="H449">
        <v>7889</v>
      </c>
      <c r="I449">
        <v>8209</v>
      </c>
      <c r="J449" t="s">
        <v>1390</v>
      </c>
      <c r="K449" t="s">
        <v>1640</v>
      </c>
      <c r="L449" t="s">
        <v>390</v>
      </c>
      <c r="M449">
        <v>455</v>
      </c>
      <c r="N449">
        <v>12074</v>
      </c>
      <c r="O449" t="s">
        <v>276</v>
      </c>
      <c r="P449" t="s">
        <v>48</v>
      </c>
      <c r="Q449" t="s">
        <v>167</v>
      </c>
      <c r="R449" t="s">
        <v>50</v>
      </c>
      <c r="S449" t="s">
        <v>96</v>
      </c>
      <c r="T449">
        <v>5494</v>
      </c>
      <c r="U449" t="s">
        <v>51</v>
      </c>
      <c r="V449">
        <v>1222</v>
      </c>
      <c r="W449">
        <v>1361</v>
      </c>
      <c r="X449" t="s">
        <v>1906</v>
      </c>
      <c r="Y449" t="s">
        <v>245</v>
      </c>
      <c r="Z449" t="s">
        <v>2994</v>
      </c>
      <c r="AA449" t="s">
        <v>408</v>
      </c>
      <c r="AB449">
        <v>6580</v>
      </c>
      <c r="AC449">
        <v>3666</v>
      </c>
      <c r="AD449">
        <v>1357</v>
      </c>
      <c r="AE449">
        <v>389</v>
      </c>
      <c r="AF449">
        <v>73</v>
      </c>
      <c r="AG449">
        <v>9</v>
      </c>
      <c r="AH449">
        <v>4881</v>
      </c>
      <c r="AI449">
        <v>876</v>
      </c>
      <c r="AJ449">
        <v>494</v>
      </c>
      <c r="AK449">
        <v>1570</v>
      </c>
      <c r="AL449">
        <v>68</v>
      </c>
      <c r="AM449">
        <v>9</v>
      </c>
      <c r="AN449" t="s">
        <v>820</v>
      </c>
      <c r="AO449">
        <f>AVERAGE(Tabla2[[#This Row],[total_kills]:[rating]])</f>
        <v>2982.9473684210525</v>
      </c>
      <c r="AP449" t="str">
        <f>VLOOKUP(Tabla2[[#This Row],[KPI]],$AS$2:$AT$5,2,1)</f>
        <v>Bajo</v>
      </c>
    </row>
    <row r="450" spans="1:42" x14ac:dyDescent="0.3">
      <c r="A450">
        <v>11630</v>
      </c>
      <c r="B450" t="s">
        <v>3050</v>
      </c>
      <c r="C450" t="s">
        <v>3051</v>
      </c>
      <c r="D450">
        <v>23</v>
      </c>
      <c r="E450" t="s">
        <v>758</v>
      </c>
      <c r="F450" t="s">
        <v>812</v>
      </c>
      <c r="G450" t="s">
        <v>3052</v>
      </c>
      <c r="H450">
        <v>17574</v>
      </c>
      <c r="I450">
        <v>18531</v>
      </c>
      <c r="J450" t="s">
        <v>1390</v>
      </c>
      <c r="K450">
        <v>72</v>
      </c>
      <c r="L450" t="s">
        <v>612</v>
      </c>
      <c r="M450">
        <v>1061</v>
      </c>
      <c r="N450">
        <v>27532</v>
      </c>
      <c r="O450" t="s">
        <v>65</v>
      </c>
      <c r="P450" t="s">
        <v>235</v>
      </c>
      <c r="Q450" t="s">
        <v>225</v>
      </c>
      <c r="R450" t="s">
        <v>48</v>
      </c>
      <c r="S450" t="s">
        <v>67</v>
      </c>
      <c r="T450">
        <v>12084</v>
      </c>
      <c r="U450" t="s">
        <v>51</v>
      </c>
      <c r="V450">
        <v>2641</v>
      </c>
      <c r="W450">
        <v>3061</v>
      </c>
      <c r="X450" t="s">
        <v>64</v>
      </c>
      <c r="Y450" t="s">
        <v>472</v>
      </c>
      <c r="Z450" t="s">
        <v>443</v>
      </c>
      <c r="AA450" t="s">
        <v>363</v>
      </c>
      <c r="AB450">
        <v>15448</v>
      </c>
      <c r="AC450">
        <v>7898</v>
      </c>
      <c r="AD450">
        <v>3081</v>
      </c>
      <c r="AE450">
        <v>918</v>
      </c>
      <c r="AF450">
        <v>175</v>
      </c>
      <c r="AG450">
        <v>12</v>
      </c>
      <c r="AH450">
        <v>13078</v>
      </c>
      <c r="AI450">
        <v>722</v>
      </c>
      <c r="AJ450">
        <v>880</v>
      </c>
      <c r="AK450">
        <v>2680</v>
      </c>
      <c r="AL450">
        <v>227</v>
      </c>
      <c r="AM450">
        <v>60</v>
      </c>
      <c r="AN450" t="s">
        <v>449</v>
      </c>
      <c r="AO450">
        <f>AVERAGE(Tabla2[[#This Row],[total_kills]:[rating]])</f>
        <v>6386.75</v>
      </c>
      <c r="AP450" t="str">
        <f>VLOOKUP(Tabla2[[#This Row],[KPI]],$AS$2:$AT$5,2,1)</f>
        <v>Alto</v>
      </c>
    </row>
    <row r="451" spans="1:42" x14ac:dyDescent="0.3">
      <c r="A451">
        <v>8790</v>
      </c>
      <c r="B451" t="s">
        <v>3174</v>
      </c>
      <c r="C451" t="s">
        <v>3175</v>
      </c>
      <c r="D451">
        <v>26</v>
      </c>
      <c r="E451" t="s">
        <v>75</v>
      </c>
      <c r="F451" t="s">
        <v>3514</v>
      </c>
      <c r="G451" t="s">
        <v>3176</v>
      </c>
      <c r="H451">
        <v>7719</v>
      </c>
      <c r="I451">
        <v>8383</v>
      </c>
      <c r="J451" t="s">
        <v>1390</v>
      </c>
      <c r="K451">
        <v>72</v>
      </c>
      <c r="L451">
        <v>4</v>
      </c>
      <c r="M451">
        <v>453</v>
      </c>
      <c r="N451">
        <v>12010</v>
      </c>
      <c r="O451" t="s">
        <v>65</v>
      </c>
      <c r="P451" t="s">
        <v>235</v>
      </c>
      <c r="Q451" t="s">
        <v>905</v>
      </c>
      <c r="R451" t="s">
        <v>50</v>
      </c>
      <c r="S451" t="s">
        <v>50</v>
      </c>
      <c r="T451">
        <v>5303</v>
      </c>
      <c r="U451" t="s">
        <v>51</v>
      </c>
      <c r="V451">
        <v>1049</v>
      </c>
      <c r="W451">
        <v>1183</v>
      </c>
      <c r="X451" t="s">
        <v>1551</v>
      </c>
      <c r="Y451" t="s">
        <v>1570</v>
      </c>
      <c r="Z451" t="s">
        <v>1165</v>
      </c>
      <c r="AA451" t="s">
        <v>852</v>
      </c>
      <c r="AB451">
        <v>6707</v>
      </c>
      <c r="AC451">
        <v>3465</v>
      </c>
      <c r="AD451">
        <v>1349</v>
      </c>
      <c r="AE451">
        <v>407</v>
      </c>
      <c r="AF451">
        <v>76</v>
      </c>
      <c r="AG451">
        <v>6</v>
      </c>
      <c r="AH451">
        <v>5499</v>
      </c>
      <c r="AI451">
        <v>120</v>
      </c>
      <c r="AJ451">
        <v>641</v>
      </c>
      <c r="AK451">
        <v>1358</v>
      </c>
      <c r="AL451">
        <v>97</v>
      </c>
      <c r="AM451">
        <v>18</v>
      </c>
      <c r="AN451" t="s">
        <v>950</v>
      </c>
      <c r="AO451">
        <f>AVERAGE(Tabla2[[#This Row],[total_kills]:[rating]])</f>
        <v>2662.8095238095239</v>
      </c>
      <c r="AP451" t="str">
        <f>VLOOKUP(Tabla2[[#This Row],[KPI]],$AS$2:$AT$5,2,1)</f>
        <v>Bajo</v>
      </c>
    </row>
    <row r="452" spans="1:42" x14ac:dyDescent="0.3">
      <c r="A452">
        <v>136</v>
      </c>
      <c r="B452" t="s">
        <v>3411</v>
      </c>
      <c r="C452" t="s">
        <v>3412</v>
      </c>
      <c r="D452">
        <v>35</v>
      </c>
      <c r="E452" t="s">
        <v>708</v>
      </c>
      <c r="F452" t="s">
        <v>709</v>
      </c>
      <c r="G452" t="s">
        <v>3279</v>
      </c>
      <c r="H452">
        <v>14445</v>
      </c>
      <c r="I452">
        <v>17256</v>
      </c>
      <c r="J452" t="s">
        <v>3413</v>
      </c>
      <c r="K452" t="s">
        <v>3414</v>
      </c>
      <c r="L452">
        <v>6</v>
      </c>
      <c r="M452">
        <v>975</v>
      </c>
      <c r="N452">
        <v>25707</v>
      </c>
      <c r="O452" t="s">
        <v>181</v>
      </c>
      <c r="P452" t="s">
        <v>202</v>
      </c>
      <c r="Q452" t="s">
        <v>225</v>
      </c>
      <c r="R452" t="s">
        <v>50</v>
      </c>
      <c r="S452" t="s">
        <v>66</v>
      </c>
      <c r="T452">
        <v>10397</v>
      </c>
      <c r="U452" t="s">
        <v>51</v>
      </c>
      <c r="V452">
        <v>1774</v>
      </c>
      <c r="W452">
        <v>2268</v>
      </c>
      <c r="X452" t="s">
        <v>123</v>
      </c>
      <c r="Y452" t="s">
        <v>64</v>
      </c>
      <c r="Z452" t="s">
        <v>1268</v>
      </c>
      <c r="AA452" t="s">
        <v>2068</v>
      </c>
      <c r="AB452">
        <v>15310</v>
      </c>
      <c r="AC452">
        <v>7211</v>
      </c>
      <c r="AD452">
        <v>2466</v>
      </c>
      <c r="AE452">
        <v>606</v>
      </c>
      <c r="AF452">
        <v>108</v>
      </c>
      <c r="AG452">
        <v>6</v>
      </c>
      <c r="AH452">
        <v>9673</v>
      </c>
      <c r="AI452">
        <v>215</v>
      </c>
      <c r="AJ452">
        <v>1498</v>
      </c>
      <c r="AK452">
        <v>2688</v>
      </c>
      <c r="AL452">
        <v>269</v>
      </c>
      <c r="AM452">
        <v>126</v>
      </c>
      <c r="AN452" t="s">
        <v>2667</v>
      </c>
      <c r="AO452">
        <f>AVERAGE(Tabla2[[#This Row],[total_kills]:[rating]])</f>
        <v>5650.2</v>
      </c>
      <c r="AP452" t="str">
        <f>VLOOKUP(Tabla2[[#This Row],[KPI]],$AS$2:$AT$5,2,1)</f>
        <v>Alto</v>
      </c>
    </row>
    <row r="453" spans="1:42" x14ac:dyDescent="0.3">
      <c r="A453">
        <v>16555</v>
      </c>
      <c r="B453" t="s">
        <v>655</v>
      </c>
      <c r="C453" t="s">
        <v>656</v>
      </c>
      <c r="D453">
        <v>20</v>
      </c>
      <c r="E453" t="s">
        <v>75</v>
      </c>
      <c r="F453" t="s">
        <v>76</v>
      </c>
      <c r="G453" t="s">
        <v>77</v>
      </c>
      <c r="H453">
        <v>18478</v>
      </c>
      <c r="I453">
        <v>15914</v>
      </c>
      <c r="J453" t="s">
        <v>657</v>
      </c>
      <c r="K453" t="s">
        <v>92</v>
      </c>
      <c r="L453" t="s">
        <v>658</v>
      </c>
      <c r="M453">
        <v>957</v>
      </c>
      <c r="N453">
        <v>25369</v>
      </c>
      <c r="O453" t="s">
        <v>495</v>
      </c>
      <c r="P453" t="s">
        <v>235</v>
      </c>
      <c r="Q453" t="s">
        <v>215</v>
      </c>
      <c r="R453" t="s">
        <v>96</v>
      </c>
      <c r="S453" t="s">
        <v>96</v>
      </c>
      <c r="T453">
        <v>12233</v>
      </c>
      <c r="U453" t="s">
        <v>51</v>
      </c>
      <c r="V453">
        <v>2763</v>
      </c>
      <c r="W453">
        <v>2265</v>
      </c>
      <c r="X453" t="s">
        <v>114</v>
      </c>
      <c r="Y453" t="s">
        <v>590</v>
      </c>
      <c r="Z453" t="s">
        <v>99</v>
      </c>
      <c r="AA453" t="s">
        <v>659</v>
      </c>
      <c r="AB453">
        <v>13136</v>
      </c>
      <c r="AC453">
        <v>7552</v>
      </c>
      <c r="AD453">
        <v>3377</v>
      </c>
      <c r="AE453">
        <v>1068</v>
      </c>
      <c r="AF453">
        <v>212</v>
      </c>
      <c r="AG453">
        <v>24</v>
      </c>
      <c r="AH453">
        <v>13952</v>
      </c>
      <c r="AI453">
        <v>687</v>
      </c>
      <c r="AJ453">
        <v>766</v>
      </c>
      <c r="AK453">
        <v>2819</v>
      </c>
      <c r="AL453">
        <v>265</v>
      </c>
      <c r="AM453">
        <v>47</v>
      </c>
      <c r="AN453" t="s">
        <v>206</v>
      </c>
      <c r="AO453">
        <f>AVERAGE(Tabla2[[#This Row],[total_kills]:[rating]])</f>
        <v>6414.9473684210525</v>
      </c>
      <c r="AP453" t="str">
        <f>VLOOKUP(Tabla2[[#This Row],[KPI]],$AS$2:$AT$5,2,1)</f>
        <v>Alto</v>
      </c>
    </row>
    <row r="454" spans="1:42" x14ac:dyDescent="0.3">
      <c r="A454">
        <v>12027</v>
      </c>
      <c r="B454" t="s">
        <v>1908</v>
      </c>
      <c r="C454" t="s">
        <v>1909</v>
      </c>
      <c r="D454">
        <v>23</v>
      </c>
      <c r="E454" t="s">
        <v>75</v>
      </c>
      <c r="F454" t="s">
        <v>344</v>
      </c>
      <c r="G454" t="s">
        <v>1783</v>
      </c>
      <c r="H454">
        <v>21753</v>
      </c>
      <c r="I454">
        <v>21142</v>
      </c>
      <c r="J454" t="s">
        <v>657</v>
      </c>
      <c r="K454">
        <v>77</v>
      </c>
      <c r="L454" t="s">
        <v>949</v>
      </c>
      <c r="M454">
        <v>1179</v>
      </c>
      <c r="N454">
        <v>31354</v>
      </c>
      <c r="O454" t="s">
        <v>463</v>
      </c>
      <c r="P454" t="s">
        <v>235</v>
      </c>
      <c r="Q454" t="s">
        <v>225</v>
      </c>
      <c r="R454" t="s">
        <v>96</v>
      </c>
      <c r="S454" t="s">
        <v>50</v>
      </c>
      <c r="T454">
        <v>14534</v>
      </c>
      <c r="U454" t="s">
        <v>51</v>
      </c>
      <c r="V454">
        <v>3357</v>
      </c>
      <c r="W454">
        <v>3649</v>
      </c>
      <c r="X454" t="s">
        <v>1314</v>
      </c>
      <c r="Y454" t="s">
        <v>255</v>
      </c>
      <c r="Z454" t="s">
        <v>324</v>
      </c>
      <c r="AA454" t="s">
        <v>384</v>
      </c>
      <c r="AB454">
        <v>16820</v>
      </c>
      <c r="AC454">
        <v>9119</v>
      </c>
      <c r="AD454">
        <v>3935</v>
      </c>
      <c r="AE454">
        <v>1185</v>
      </c>
      <c r="AF454">
        <v>266</v>
      </c>
      <c r="AG454">
        <v>29</v>
      </c>
      <c r="AH454">
        <v>14463</v>
      </c>
      <c r="AI454">
        <v>1333</v>
      </c>
      <c r="AJ454">
        <v>2124</v>
      </c>
      <c r="AK454">
        <v>3516</v>
      </c>
      <c r="AL454">
        <v>285</v>
      </c>
      <c r="AM454">
        <v>88</v>
      </c>
      <c r="AN454" t="s">
        <v>464</v>
      </c>
      <c r="AO454">
        <f>AVERAGE(Tabla2[[#This Row],[total_kills]:[rating]])</f>
        <v>7510.4</v>
      </c>
      <c r="AP454" t="str">
        <f>VLOOKUP(Tabla2[[#This Row],[KPI]],$AS$2:$AT$5,2,1)</f>
        <v>Superior</v>
      </c>
    </row>
    <row r="455" spans="1:42" x14ac:dyDescent="0.3">
      <c r="A455">
        <v>13464</v>
      </c>
      <c r="B455" t="s">
        <v>1977</v>
      </c>
      <c r="C455" t="s">
        <v>1978</v>
      </c>
      <c r="D455">
        <v>25</v>
      </c>
      <c r="E455" t="s">
        <v>467</v>
      </c>
      <c r="F455" t="s">
        <v>1979</v>
      </c>
      <c r="G455" t="s">
        <v>1980</v>
      </c>
      <c r="H455">
        <v>13540</v>
      </c>
      <c r="I455">
        <v>13128</v>
      </c>
      <c r="J455" t="s">
        <v>657</v>
      </c>
      <c r="K455" t="s">
        <v>1959</v>
      </c>
      <c r="L455" t="s">
        <v>1981</v>
      </c>
      <c r="M455">
        <v>731</v>
      </c>
      <c r="N455">
        <v>19382</v>
      </c>
      <c r="O455" t="s">
        <v>905</v>
      </c>
      <c r="P455" t="s">
        <v>166</v>
      </c>
      <c r="Q455" t="s">
        <v>167</v>
      </c>
      <c r="R455" t="s">
        <v>50</v>
      </c>
      <c r="S455" t="s">
        <v>50</v>
      </c>
      <c r="T455">
        <v>9141</v>
      </c>
      <c r="U455" t="s">
        <v>51</v>
      </c>
      <c r="V455">
        <v>1930</v>
      </c>
      <c r="W455">
        <v>1846</v>
      </c>
      <c r="X455" t="s">
        <v>304</v>
      </c>
      <c r="Y455" t="s">
        <v>255</v>
      </c>
      <c r="Z455" t="s">
        <v>427</v>
      </c>
      <c r="AA455" t="s">
        <v>408</v>
      </c>
      <c r="AB455">
        <v>10241</v>
      </c>
      <c r="AC455">
        <v>5802</v>
      </c>
      <c r="AD455">
        <v>2457</v>
      </c>
      <c r="AE455">
        <v>720</v>
      </c>
      <c r="AF455">
        <v>146</v>
      </c>
      <c r="AG455">
        <v>16</v>
      </c>
      <c r="AH455">
        <v>10318</v>
      </c>
      <c r="AI455">
        <v>104</v>
      </c>
      <c r="AJ455">
        <v>672</v>
      </c>
      <c r="AK455">
        <v>2119</v>
      </c>
      <c r="AL455">
        <v>333</v>
      </c>
      <c r="AM455">
        <v>59</v>
      </c>
      <c r="AN455" t="s">
        <v>277</v>
      </c>
      <c r="AO455">
        <f>AVERAGE(Tabla2[[#This Row],[total_kills]:[rating]])</f>
        <v>4878.1578947368425</v>
      </c>
      <c r="AP455" t="str">
        <f>VLOOKUP(Tabla2[[#This Row],[KPI]],$AS$2:$AT$5,2,1)</f>
        <v>Alto</v>
      </c>
    </row>
    <row r="456" spans="1:42" x14ac:dyDescent="0.3">
      <c r="A456">
        <v>12822</v>
      </c>
      <c r="B456" t="s">
        <v>2466</v>
      </c>
      <c r="C456" t="s">
        <v>2467</v>
      </c>
      <c r="D456">
        <v>23</v>
      </c>
      <c r="E456" t="s">
        <v>104</v>
      </c>
      <c r="F456" t="s">
        <v>855</v>
      </c>
      <c r="G456" t="s">
        <v>105</v>
      </c>
      <c r="H456">
        <v>17335</v>
      </c>
      <c r="I456">
        <v>17355</v>
      </c>
      <c r="J456" t="s">
        <v>657</v>
      </c>
      <c r="K456" t="s">
        <v>920</v>
      </c>
      <c r="L456" t="s">
        <v>294</v>
      </c>
      <c r="M456">
        <v>1000</v>
      </c>
      <c r="N456">
        <v>26088</v>
      </c>
      <c r="O456" t="s">
        <v>322</v>
      </c>
      <c r="P456" t="s">
        <v>202</v>
      </c>
      <c r="Q456" t="s">
        <v>225</v>
      </c>
      <c r="R456" t="s">
        <v>50</v>
      </c>
      <c r="S456" t="s">
        <v>96</v>
      </c>
      <c r="T456">
        <v>11683</v>
      </c>
      <c r="U456" t="s">
        <v>51</v>
      </c>
      <c r="V456">
        <v>2426</v>
      </c>
      <c r="W456">
        <v>2608</v>
      </c>
      <c r="X456" t="s">
        <v>950</v>
      </c>
      <c r="Y456" t="s">
        <v>503</v>
      </c>
      <c r="Z456" t="s">
        <v>347</v>
      </c>
      <c r="AA456" t="s">
        <v>852</v>
      </c>
      <c r="AB456">
        <v>14405</v>
      </c>
      <c r="AC456">
        <v>7448</v>
      </c>
      <c r="AD456">
        <v>3044</v>
      </c>
      <c r="AE456">
        <v>982</v>
      </c>
      <c r="AF456">
        <v>192</v>
      </c>
      <c r="AG456">
        <v>17</v>
      </c>
      <c r="AH456">
        <v>13254</v>
      </c>
      <c r="AI456">
        <v>248</v>
      </c>
      <c r="AJ456">
        <v>810</v>
      </c>
      <c r="AK456">
        <v>2726</v>
      </c>
      <c r="AL456">
        <v>211</v>
      </c>
      <c r="AM456">
        <v>145</v>
      </c>
      <c r="AN456" t="s">
        <v>407</v>
      </c>
      <c r="AO456">
        <f>AVERAGE(Tabla2[[#This Row],[total_kills]:[rating]])</f>
        <v>6419.8421052631575</v>
      </c>
      <c r="AP456" t="str">
        <f>VLOOKUP(Tabla2[[#This Row],[KPI]],$AS$2:$AT$5,2,1)</f>
        <v>Alto</v>
      </c>
    </row>
    <row r="457" spans="1:42" x14ac:dyDescent="0.3">
      <c r="A457">
        <v>19015</v>
      </c>
      <c r="B457" t="s">
        <v>2734</v>
      </c>
      <c r="C457" t="s">
        <v>2735</v>
      </c>
      <c r="D457">
        <v>18</v>
      </c>
      <c r="E457" t="s">
        <v>841</v>
      </c>
      <c r="F457" t="s">
        <v>188</v>
      </c>
      <c r="G457" t="s">
        <v>2736</v>
      </c>
      <c r="H457">
        <v>6546</v>
      </c>
      <c r="I457">
        <v>6488</v>
      </c>
      <c r="J457" t="s">
        <v>657</v>
      </c>
      <c r="K457" t="s">
        <v>1018</v>
      </c>
      <c r="L457" t="s">
        <v>275</v>
      </c>
      <c r="M457">
        <v>385</v>
      </c>
      <c r="N457">
        <v>10318</v>
      </c>
      <c r="O457" t="s">
        <v>215</v>
      </c>
      <c r="P457" t="s">
        <v>48</v>
      </c>
      <c r="Q457" t="s">
        <v>215</v>
      </c>
      <c r="R457" t="s">
        <v>50</v>
      </c>
      <c r="S457" t="s">
        <v>50</v>
      </c>
      <c r="T457">
        <v>4568</v>
      </c>
      <c r="U457" t="s">
        <v>51</v>
      </c>
      <c r="V457">
        <v>805</v>
      </c>
      <c r="W457">
        <v>823</v>
      </c>
      <c r="X457" t="s">
        <v>245</v>
      </c>
      <c r="Y457" t="s">
        <v>1314</v>
      </c>
      <c r="Z457" t="s">
        <v>70</v>
      </c>
      <c r="AA457" t="s">
        <v>1572</v>
      </c>
      <c r="AB457">
        <v>5750</v>
      </c>
      <c r="AC457">
        <v>3050</v>
      </c>
      <c r="AD457">
        <v>1123</v>
      </c>
      <c r="AE457">
        <v>333</v>
      </c>
      <c r="AF457">
        <v>59</v>
      </c>
      <c r="AG457">
        <v>3</v>
      </c>
      <c r="AH457">
        <v>5235</v>
      </c>
      <c r="AI457">
        <v>64</v>
      </c>
      <c r="AJ457">
        <v>158</v>
      </c>
      <c r="AK457">
        <v>1059</v>
      </c>
      <c r="AL457">
        <v>40</v>
      </c>
      <c r="AM457">
        <v>28</v>
      </c>
      <c r="AN457" t="s">
        <v>412</v>
      </c>
      <c r="AO457">
        <f>AVERAGE(Tabla2[[#This Row],[total_kills]:[rating]])</f>
        <v>2465</v>
      </c>
      <c r="AP457" t="str">
        <f>VLOOKUP(Tabla2[[#This Row],[KPI]],$AS$2:$AT$5,2,1)</f>
        <v>Bajo</v>
      </c>
    </row>
    <row r="458" spans="1:42" x14ac:dyDescent="0.3">
      <c r="A458">
        <v>1950</v>
      </c>
      <c r="B458" t="s">
        <v>3104</v>
      </c>
      <c r="C458" t="s">
        <v>3105</v>
      </c>
      <c r="D458">
        <v>29</v>
      </c>
      <c r="E458" t="s">
        <v>75</v>
      </c>
      <c r="F458" t="s">
        <v>3106</v>
      </c>
      <c r="G458" t="s">
        <v>1242</v>
      </c>
      <c r="H458">
        <v>13828</v>
      </c>
      <c r="I458">
        <v>14553</v>
      </c>
      <c r="J458" t="s">
        <v>657</v>
      </c>
      <c r="K458" t="s">
        <v>2773</v>
      </c>
      <c r="L458" t="s">
        <v>331</v>
      </c>
      <c r="M458">
        <v>826</v>
      </c>
      <c r="N458">
        <v>21699</v>
      </c>
      <c r="O458" t="s">
        <v>65</v>
      </c>
      <c r="P458" t="s">
        <v>202</v>
      </c>
      <c r="Q458" t="s">
        <v>225</v>
      </c>
      <c r="R458" t="s">
        <v>66</v>
      </c>
      <c r="S458" t="s">
        <v>66</v>
      </c>
      <c r="T458">
        <v>9695</v>
      </c>
      <c r="U458" t="s">
        <v>51</v>
      </c>
      <c r="V458">
        <v>1925</v>
      </c>
      <c r="W458">
        <v>1943</v>
      </c>
      <c r="X458" t="s">
        <v>285</v>
      </c>
      <c r="Y458" t="s">
        <v>472</v>
      </c>
      <c r="Z458" t="s">
        <v>567</v>
      </c>
      <c r="AA458" t="s">
        <v>257</v>
      </c>
      <c r="AB458">
        <v>12004</v>
      </c>
      <c r="AC458">
        <v>6501</v>
      </c>
      <c r="AD458">
        <v>2423</v>
      </c>
      <c r="AE458">
        <v>628</v>
      </c>
      <c r="AF458">
        <v>130</v>
      </c>
      <c r="AG458">
        <v>13</v>
      </c>
      <c r="AH458">
        <v>9781</v>
      </c>
      <c r="AI458">
        <v>487</v>
      </c>
      <c r="AJ458">
        <v>758</v>
      </c>
      <c r="AK458">
        <v>2570</v>
      </c>
      <c r="AL458">
        <v>192</v>
      </c>
      <c r="AM458">
        <v>55</v>
      </c>
      <c r="AN458" t="s">
        <v>1570</v>
      </c>
      <c r="AO458">
        <f>AVERAGE(Tabla2[[#This Row],[total_kills]:[rating]])</f>
        <v>5263.7368421052633</v>
      </c>
      <c r="AP458" t="str">
        <f>VLOOKUP(Tabla2[[#This Row],[KPI]],$AS$2:$AT$5,2,1)</f>
        <v>Alto</v>
      </c>
    </row>
    <row r="459" spans="1:42" x14ac:dyDescent="0.3">
      <c r="A459">
        <v>14759</v>
      </c>
      <c r="B459" t="s">
        <v>1353</v>
      </c>
      <c r="C459" t="s">
        <v>1354</v>
      </c>
      <c r="D459">
        <v>23</v>
      </c>
      <c r="E459" t="s">
        <v>318</v>
      </c>
      <c r="F459" t="s">
        <v>1355</v>
      </c>
      <c r="G459" t="s">
        <v>1356</v>
      </c>
      <c r="H459">
        <v>15214</v>
      </c>
      <c r="I459">
        <v>14387</v>
      </c>
      <c r="J459" t="s">
        <v>1357</v>
      </c>
      <c r="K459" t="s">
        <v>868</v>
      </c>
      <c r="L459" t="s">
        <v>589</v>
      </c>
      <c r="M459">
        <v>768</v>
      </c>
      <c r="N459">
        <v>20592</v>
      </c>
      <c r="O459" t="s">
        <v>283</v>
      </c>
      <c r="P459" t="s">
        <v>202</v>
      </c>
      <c r="Q459" t="s">
        <v>905</v>
      </c>
      <c r="R459" t="s">
        <v>96</v>
      </c>
      <c r="S459" t="s">
        <v>96</v>
      </c>
      <c r="T459">
        <v>10122</v>
      </c>
      <c r="U459" t="s">
        <v>51</v>
      </c>
      <c r="V459">
        <v>2427</v>
      </c>
      <c r="W459">
        <v>2290</v>
      </c>
      <c r="X459" t="s">
        <v>590</v>
      </c>
      <c r="Y459" t="s">
        <v>464</v>
      </c>
      <c r="Z459" t="s">
        <v>1358</v>
      </c>
      <c r="AA459" t="s">
        <v>994</v>
      </c>
      <c r="AB459">
        <v>10470</v>
      </c>
      <c r="AC459">
        <v>6338</v>
      </c>
      <c r="AD459">
        <v>2725</v>
      </c>
      <c r="AE459">
        <v>843</v>
      </c>
      <c r="AF459">
        <v>183</v>
      </c>
      <c r="AG459">
        <v>33</v>
      </c>
      <c r="AH459">
        <v>11491</v>
      </c>
      <c r="AI459">
        <v>173</v>
      </c>
      <c r="AJ459">
        <v>737</v>
      </c>
      <c r="AK459">
        <v>2617</v>
      </c>
      <c r="AL459">
        <v>135</v>
      </c>
      <c r="AM459">
        <v>98</v>
      </c>
      <c r="AN459" t="s">
        <v>362</v>
      </c>
      <c r="AO459">
        <f>AVERAGE(Tabla2[[#This Row],[total_kills]:[rating]])</f>
        <v>5349.6315789473683</v>
      </c>
      <c r="AP459" t="str">
        <f>VLOOKUP(Tabla2[[#This Row],[KPI]],$AS$2:$AT$5,2,1)</f>
        <v>Alto</v>
      </c>
    </row>
    <row r="460" spans="1:42" x14ac:dyDescent="0.3">
      <c r="A460">
        <v>15369</v>
      </c>
      <c r="B460" t="s">
        <v>1399</v>
      </c>
      <c r="C460" t="s">
        <v>1400</v>
      </c>
      <c r="D460">
        <v>20</v>
      </c>
      <c r="E460" t="s">
        <v>467</v>
      </c>
      <c r="F460" t="s">
        <v>1401</v>
      </c>
      <c r="G460" t="s">
        <v>1402</v>
      </c>
      <c r="H460">
        <v>12310</v>
      </c>
      <c r="I460">
        <v>11124</v>
      </c>
      <c r="J460" t="s">
        <v>1357</v>
      </c>
      <c r="K460" t="s">
        <v>645</v>
      </c>
      <c r="L460" t="s">
        <v>201</v>
      </c>
      <c r="M460">
        <v>657</v>
      </c>
      <c r="N460">
        <v>17461</v>
      </c>
      <c r="O460" t="s">
        <v>905</v>
      </c>
      <c r="P460" t="s">
        <v>48</v>
      </c>
      <c r="Q460" t="s">
        <v>65</v>
      </c>
      <c r="R460" t="s">
        <v>50</v>
      </c>
      <c r="S460" t="s">
        <v>50</v>
      </c>
      <c r="T460">
        <v>8386</v>
      </c>
      <c r="U460" t="s">
        <v>51</v>
      </c>
      <c r="V460">
        <v>1756</v>
      </c>
      <c r="W460">
        <v>1490</v>
      </c>
      <c r="X460" t="s">
        <v>169</v>
      </c>
      <c r="Y460" t="s">
        <v>412</v>
      </c>
      <c r="Z460" t="s">
        <v>1214</v>
      </c>
      <c r="AA460" t="s">
        <v>560</v>
      </c>
      <c r="AB460">
        <v>9075</v>
      </c>
      <c r="AC460">
        <v>5354</v>
      </c>
      <c r="AD460">
        <v>2273</v>
      </c>
      <c r="AE460">
        <v>634</v>
      </c>
      <c r="AF460">
        <v>117</v>
      </c>
      <c r="AG460">
        <v>8</v>
      </c>
      <c r="AH460">
        <v>7726</v>
      </c>
      <c r="AI460">
        <v>2197</v>
      </c>
      <c r="AJ460">
        <v>215</v>
      </c>
      <c r="AK460">
        <v>2006</v>
      </c>
      <c r="AL460">
        <v>148</v>
      </c>
      <c r="AM460">
        <v>41</v>
      </c>
      <c r="AN460" t="s">
        <v>561</v>
      </c>
      <c r="AO460">
        <f>AVERAGE(Tabla2[[#This Row],[total_kills]:[rating]])</f>
        <v>4367.2631578947367</v>
      </c>
      <c r="AP460" t="str">
        <f>VLOOKUP(Tabla2[[#This Row],[KPI]],$AS$2:$AT$5,2,1)</f>
        <v>Medio</v>
      </c>
    </row>
    <row r="461" spans="1:42" x14ac:dyDescent="0.3">
      <c r="A461">
        <v>8599</v>
      </c>
      <c r="B461" t="s">
        <v>3065</v>
      </c>
      <c r="C461" t="s">
        <v>3066</v>
      </c>
      <c r="D461">
        <v>30</v>
      </c>
      <c r="E461" t="s">
        <v>209</v>
      </c>
      <c r="F461" t="s">
        <v>3514</v>
      </c>
      <c r="G461" t="s">
        <v>3067</v>
      </c>
      <c r="H461">
        <v>7360</v>
      </c>
      <c r="I461">
        <v>7650</v>
      </c>
      <c r="J461" t="s">
        <v>1357</v>
      </c>
      <c r="K461" t="s">
        <v>3068</v>
      </c>
      <c r="L461" t="s">
        <v>589</v>
      </c>
      <c r="M461">
        <v>457</v>
      </c>
      <c r="N461">
        <v>11674</v>
      </c>
      <c r="O461" t="s">
        <v>215</v>
      </c>
      <c r="P461" t="s">
        <v>235</v>
      </c>
      <c r="Q461" t="s">
        <v>322</v>
      </c>
      <c r="R461" t="s">
        <v>50</v>
      </c>
      <c r="S461" t="s">
        <v>96</v>
      </c>
      <c r="T461">
        <v>5157</v>
      </c>
      <c r="U461" t="s">
        <v>51</v>
      </c>
      <c r="V461">
        <v>791</v>
      </c>
      <c r="W461">
        <v>929</v>
      </c>
      <c r="X461" t="s">
        <v>2667</v>
      </c>
      <c r="Y461" t="s">
        <v>2324</v>
      </c>
      <c r="Z461" t="s">
        <v>635</v>
      </c>
      <c r="AA461" t="s">
        <v>3069</v>
      </c>
      <c r="AB461">
        <v>6517</v>
      </c>
      <c r="AC461">
        <v>3444</v>
      </c>
      <c r="AD461">
        <v>1297</v>
      </c>
      <c r="AE461">
        <v>349</v>
      </c>
      <c r="AF461">
        <v>60</v>
      </c>
      <c r="AG461">
        <v>7</v>
      </c>
      <c r="AH461">
        <v>5282</v>
      </c>
      <c r="AI461">
        <v>63</v>
      </c>
      <c r="AJ461">
        <v>535</v>
      </c>
      <c r="AK461">
        <v>1403</v>
      </c>
      <c r="AL461">
        <v>87</v>
      </c>
      <c r="AM461">
        <v>3</v>
      </c>
      <c r="AN461" t="s">
        <v>820</v>
      </c>
      <c r="AO461">
        <f>AVERAGE(Tabla2[[#This Row],[total_kills]:[rating]])</f>
        <v>2792.8947368421054</v>
      </c>
      <c r="AP461" t="str">
        <f>VLOOKUP(Tabla2[[#This Row],[KPI]],$AS$2:$AT$5,2,1)</f>
        <v>Bajo</v>
      </c>
    </row>
    <row r="462" spans="1:42" x14ac:dyDescent="0.3">
      <c r="A462">
        <v>7415</v>
      </c>
      <c r="B462" t="s">
        <v>3431</v>
      </c>
      <c r="C462" t="s">
        <v>3432</v>
      </c>
      <c r="D462">
        <v>31</v>
      </c>
      <c r="E462" t="s">
        <v>196</v>
      </c>
      <c r="F462" t="s">
        <v>3514</v>
      </c>
      <c r="G462" t="s">
        <v>3433</v>
      </c>
      <c r="H462">
        <v>22470</v>
      </c>
      <c r="I462">
        <v>28708</v>
      </c>
      <c r="J462" t="s">
        <v>1357</v>
      </c>
      <c r="K462" t="s">
        <v>3434</v>
      </c>
      <c r="L462" t="s">
        <v>1170</v>
      </c>
      <c r="M462">
        <v>1578</v>
      </c>
      <c r="N462">
        <v>41153</v>
      </c>
      <c r="O462" t="s">
        <v>312</v>
      </c>
      <c r="P462" t="s">
        <v>235</v>
      </c>
      <c r="Q462" t="s">
        <v>905</v>
      </c>
      <c r="R462" t="s">
        <v>67</v>
      </c>
      <c r="S462" t="s">
        <v>96</v>
      </c>
      <c r="T462">
        <v>16415</v>
      </c>
      <c r="U462" t="s">
        <v>51</v>
      </c>
      <c r="V462">
        <v>3079</v>
      </c>
      <c r="W462">
        <v>4493</v>
      </c>
      <c r="X462" t="s">
        <v>463</v>
      </c>
      <c r="Y462" t="s">
        <v>64</v>
      </c>
      <c r="Z462" t="s">
        <v>576</v>
      </c>
      <c r="AA462" t="s">
        <v>2131</v>
      </c>
      <c r="AB462">
        <v>24738</v>
      </c>
      <c r="AC462">
        <v>11579</v>
      </c>
      <c r="AD462">
        <v>3779</v>
      </c>
      <c r="AE462">
        <v>923</v>
      </c>
      <c r="AF462">
        <v>121</v>
      </c>
      <c r="AG462">
        <v>13</v>
      </c>
      <c r="AH462">
        <v>16737</v>
      </c>
      <c r="AI462">
        <v>220</v>
      </c>
      <c r="AJ462">
        <v>1514</v>
      </c>
      <c r="AK462">
        <v>3589</v>
      </c>
      <c r="AL462">
        <v>402</v>
      </c>
      <c r="AM462">
        <v>50</v>
      </c>
      <c r="AN462" t="s">
        <v>165</v>
      </c>
      <c r="AO462">
        <f>AVERAGE(Tabla2[[#This Row],[total_kills]:[rating]])</f>
        <v>9555.8421052631584</v>
      </c>
      <c r="AP462" t="str">
        <f>VLOOKUP(Tabla2[[#This Row],[KPI]],$AS$2:$AT$5,2,1)</f>
        <v>Superior</v>
      </c>
    </row>
    <row r="463" spans="1:42" x14ac:dyDescent="0.3">
      <c r="A463">
        <v>8738</v>
      </c>
      <c r="B463" t="s">
        <v>806</v>
      </c>
      <c r="C463" t="s">
        <v>807</v>
      </c>
      <c r="D463">
        <v>25</v>
      </c>
      <c r="E463" t="s">
        <v>459</v>
      </c>
      <c r="F463" t="s">
        <v>528</v>
      </c>
      <c r="G463" t="s">
        <v>528</v>
      </c>
      <c r="H463">
        <v>31980</v>
      </c>
      <c r="I463">
        <v>28924</v>
      </c>
      <c r="J463" t="s">
        <v>808</v>
      </c>
      <c r="K463" t="s">
        <v>770</v>
      </c>
      <c r="L463" t="s">
        <v>398</v>
      </c>
      <c r="M463">
        <v>1614</v>
      </c>
      <c r="N463">
        <v>42316</v>
      </c>
      <c r="O463" t="s">
        <v>234</v>
      </c>
      <c r="P463" t="s">
        <v>553</v>
      </c>
      <c r="Q463" t="s">
        <v>167</v>
      </c>
      <c r="R463" t="s">
        <v>50</v>
      </c>
      <c r="S463" t="s">
        <v>48</v>
      </c>
      <c r="T463">
        <v>21008</v>
      </c>
      <c r="U463" t="s">
        <v>51</v>
      </c>
      <c r="V463">
        <v>5509</v>
      </c>
      <c r="W463">
        <v>5148</v>
      </c>
      <c r="X463" t="s">
        <v>464</v>
      </c>
      <c r="Y463" t="s">
        <v>362</v>
      </c>
      <c r="Z463" t="s">
        <v>809</v>
      </c>
      <c r="AA463" t="s">
        <v>542</v>
      </c>
      <c r="AB463">
        <v>21308</v>
      </c>
      <c r="AC463">
        <v>12890</v>
      </c>
      <c r="AD463">
        <v>5804</v>
      </c>
      <c r="AE463">
        <v>1841</v>
      </c>
      <c r="AF463">
        <v>418</v>
      </c>
      <c r="AG463">
        <v>55</v>
      </c>
      <c r="AH463">
        <v>24503</v>
      </c>
      <c r="AI463">
        <v>230</v>
      </c>
      <c r="AJ463">
        <v>1776</v>
      </c>
      <c r="AK463">
        <v>5140</v>
      </c>
      <c r="AL463">
        <v>306</v>
      </c>
      <c r="AM463">
        <v>86</v>
      </c>
      <c r="AN463" t="s">
        <v>295</v>
      </c>
      <c r="AO463">
        <f>AVERAGE(Tabla2[[#This Row],[total_kills]:[rating]])</f>
        <v>11097.684210526315</v>
      </c>
      <c r="AP463" t="str">
        <f>VLOOKUP(Tabla2[[#This Row],[KPI]],$AS$2:$AT$5,2,1)</f>
        <v>Superior</v>
      </c>
    </row>
    <row r="464" spans="1:42" x14ac:dyDescent="0.3">
      <c r="A464">
        <v>9115</v>
      </c>
      <c r="B464" t="s">
        <v>889</v>
      </c>
      <c r="C464" t="s">
        <v>890</v>
      </c>
      <c r="D464">
        <v>27</v>
      </c>
      <c r="E464" t="s">
        <v>299</v>
      </c>
      <c r="F464" t="s">
        <v>188</v>
      </c>
      <c r="G464" t="s">
        <v>891</v>
      </c>
      <c r="H464">
        <v>19140</v>
      </c>
      <c r="I464">
        <v>17212</v>
      </c>
      <c r="J464" t="s">
        <v>808</v>
      </c>
      <c r="K464" t="s">
        <v>892</v>
      </c>
      <c r="L464" t="s">
        <v>658</v>
      </c>
      <c r="M464">
        <v>1006</v>
      </c>
      <c r="N464">
        <v>25904</v>
      </c>
      <c r="O464" t="s">
        <v>283</v>
      </c>
      <c r="P464" t="s">
        <v>235</v>
      </c>
      <c r="Q464" t="s">
        <v>322</v>
      </c>
      <c r="R464" t="s">
        <v>96</v>
      </c>
      <c r="S464" t="s">
        <v>50</v>
      </c>
      <c r="T464">
        <v>12631</v>
      </c>
      <c r="U464" t="s">
        <v>51</v>
      </c>
      <c r="V464">
        <v>3112</v>
      </c>
      <c r="W464">
        <v>2633</v>
      </c>
      <c r="X464" t="s">
        <v>169</v>
      </c>
      <c r="Y464" t="s">
        <v>561</v>
      </c>
      <c r="Z464" t="s">
        <v>887</v>
      </c>
      <c r="AA464" t="s">
        <v>882</v>
      </c>
      <c r="AB464">
        <v>13273</v>
      </c>
      <c r="AC464">
        <v>7807</v>
      </c>
      <c r="AD464">
        <v>3424</v>
      </c>
      <c r="AE464">
        <v>1139</v>
      </c>
      <c r="AF464">
        <v>237</v>
      </c>
      <c r="AG464">
        <v>24</v>
      </c>
      <c r="AH464">
        <v>13533</v>
      </c>
      <c r="AI464">
        <v>867</v>
      </c>
      <c r="AJ464">
        <v>1145</v>
      </c>
      <c r="AK464">
        <v>3241</v>
      </c>
      <c r="AL464">
        <v>321</v>
      </c>
      <c r="AM464">
        <v>69</v>
      </c>
      <c r="AN464" t="s">
        <v>277</v>
      </c>
      <c r="AO464">
        <f>AVERAGE(Tabla2[[#This Row],[total_kills]:[rating]])</f>
        <v>6669.3684210526317</v>
      </c>
      <c r="AP464" t="str">
        <f>VLOOKUP(Tabla2[[#This Row],[KPI]],$AS$2:$AT$5,2,1)</f>
        <v>Alto</v>
      </c>
    </row>
    <row r="465" spans="1:42" x14ac:dyDescent="0.3">
      <c r="A465">
        <v>1225</v>
      </c>
      <c r="B465" t="s">
        <v>1059</v>
      </c>
      <c r="C465" t="s">
        <v>1060</v>
      </c>
      <c r="D465">
        <v>30</v>
      </c>
      <c r="E465" t="s">
        <v>42</v>
      </c>
      <c r="F465" t="s">
        <v>528</v>
      </c>
      <c r="G465" t="s">
        <v>1061</v>
      </c>
      <c r="H465">
        <v>38675</v>
      </c>
      <c r="I465">
        <v>34914</v>
      </c>
      <c r="J465" t="s">
        <v>808</v>
      </c>
      <c r="K465" t="s">
        <v>1062</v>
      </c>
      <c r="L465">
        <v>3</v>
      </c>
      <c r="M465">
        <v>2018</v>
      </c>
      <c r="N465">
        <v>52913</v>
      </c>
      <c r="O465" t="s">
        <v>495</v>
      </c>
      <c r="P465" t="s">
        <v>48</v>
      </c>
      <c r="Q465" t="s">
        <v>322</v>
      </c>
      <c r="R465" t="s">
        <v>66</v>
      </c>
      <c r="S465" t="s">
        <v>66</v>
      </c>
      <c r="T465">
        <v>25759</v>
      </c>
      <c r="U465" t="s">
        <v>51</v>
      </c>
      <c r="V465">
        <v>6026</v>
      </c>
      <c r="W465">
        <v>5468</v>
      </c>
      <c r="X465" t="s">
        <v>561</v>
      </c>
      <c r="Y465" t="s">
        <v>590</v>
      </c>
      <c r="Z465" t="s">
        <v>183</v>
      </c>
      <c r="AA465" t="s">
        <v>734</v>
      </c>
      <c r="AB465">
        <v>27154</v>
      </c>
      <c r="AC465">
        <v>16098</v>
      </c>
      <c r="AD465">
        <v>7008</v>
      </c>
      <c r="AE465">
        <v>2166</v>
      </c>
      <c r="AF465">
        <v>437</v>
      </c>
      <c r="AG465">
        <v>50</v>
      </c>
      <c r="AH465">
        <v>24448</v>
      </c>
      <c r="AI465">
        <v>4160</v>
      </c>
      <c r="AJ465">
        <v>2720</v>
      </c>
      <c r="AK465">
        <v>6910</v>
      </c>
      <c r="AL465">
        <v>304</v>
      </c>
      <c r="AM465">
        <v>174</v>
      </c>
      <c r="AN465" t="s">
        <v>464</v>
      </c>
      <c r="AO465">
        <f>AVERAGE(Tabla2[[#This Row],[total_kills]:[rating]])</f>
        <v>12870.25</v>
      </c>
      <c r="AP465" t="str">
        <f>VLOOKUP(Tabla2[[#This Row],[KPI]],$AS$2:$AT$5,2,1)</f>
        <v>Superior</v>
      </c>
    </row>
    <row r="466" spans="1:42" x14ac:dyDescent="0.3">
      <c r="A466">
        <v>11954</v>
      </c>
      <c r="B466" t="s">
        <v>1417</v>
      </c>
      <c r="C466" t="s">
        <v>1418</v>
      </c>
      <c r="D466">
        <v>26</v>
      </c>
      <c r="E466" t="s">
        <v>1092</v>
      </c>
      <c r="F466" t="s">
        <v>319</v>
      </c>
      <c r="G466" t="s">
        <v>1419</v>
      </c>
      <c r="H466">
        <v>13998</v>
      </c>
      <c r="I466">
        <v>13241</v>
      </c>
      <c r="J466" t="s">
        <v>808</v>
      </c>
      <c r="K466" t="s">
        <v>1029</v>
      </c>
      <c r="L466" t="s">
        <v>282</v>
      </c>
      <c r="M466">
        <v>731</v>
      </c>
      <c r="N466">
        <v>19399</v>
      </c>
      <c r="O466" t="s">
        <v>311</v>
      </c>
      <c r="P466" t="s">
        <v>166</v>
      </c>
      <c r="Q466" t="s">
        <v>167</v>
      </c>
      <c r="R466" t="s">
        <v>67</v>
      </c>
      <c r="S466" t="s">
        <v>202</v>
      </c>
      <c r="T466">
        <v>9218</v>
      </c>
      <c r="U466" t="s">
        <v>51</v>
      </c>
      <c r="V466">
        <v>2156</v>
      </c>
      <c r="W466">
        <v>2189</v>
      </c>
      <c r="X466" t="s">
        <v>245</v>
      </c>
      <c r="Y466" t="s">
        <v>412</v>
      </c>
      <c r="Z466" t="s">
        <v>324</v>
      </c>
      <c r="AA466" t="s">
        <v>969</v>
      </c>
      <c r="AB466">
        <v>10181</v>
      </c>
      <c r="AC466">
        <v>5673</v>
      </c>
      <c r="AD466">
        <v>2509</v>
      </c>
      <c r="AE466">
        <v>855</v>
      </c>
      <c r="AF466">
        <v>163</v>
      </c>
      <c r="AG466">
        <v>18</v>
      </c>
      <c r="AH466">
        <v>10972</v>
      </c>
      <c r="AI466">
        <v>88</v>
      </c>
      <c r="AJ466">
        <v>607</v>
      </c>
      <c r="AK466">
        <v>2144</v>
      </c>
      <c r="AL466">
        <v>208</v>
      </c>
      <c r="AM466">
        <v>20</v>
      </c>
      <c r="AN466" t="s">
        <v>362</v>
      </c>
      <c r="AO466">
        <f>AVERAGE(Tabla2[[#This Row],[total_kills]:[rating]])</f>
        <v>4966.8421052631575</v>
      </c>
      <c r="AP466" t="str">
        <f>VLOOKUP(Tabla2[[#This Row],[KPI]],$AS$2:$AT$5,2,1)</f>
        <v>Alto</v>
      </c>
    </row>
    <row r="467" spans="1:42" x14ac:dyDescent="0.3">
      <c r="A467">
        <v>8517</v>
      </c>
      <c r="B467" t="s">
        <v>2238</v>
      </c>
      <c r="C467" t="s">
        <v>2239</v>
      </c>
      <c r="D467">
        <v>27</v>
      </c>
      <c r="E467" t="s">
        <v>459</v>
      </c>
      <c r="F467" t="s">
        <v>3514</v>
      </c>
      <c r="G467" t="s">
        <v>2240</v>
      </c>
      <c r="H467">
        <v>14589</v>
      </c>
      <c r="I467">
        <v>14428</v>
      </c>
      <c r="J467" t="s">
        <v>808</v>
      </c>
      <c r="K467" t="s">
        <v>800</v>
      </c>
      <c r="L467" t="s">
        <v>1146</v>
      </c>
      <c r="M467">
        <v>832</v>
      </c>
      <c r="N467">
        <v>21258</v>
      </c>
      <c r="O467" t="s">
        <v>463</v>
      </c>
      <c r="P467" t="s">
        <v>48</v>
      </c>
      <c r="Q467" t="s">
        <v>167</v>
      </c>
      <c r="R467" t="s">
        <v>50</v>
      </c>
      <c r="S467" t="s">
        <v>50</v>
      </c>
      <c r="T467">
        <v>9884</v>
      </c>
      <c r="U467" t="s">
        <v>51</v>
      </c>
      <c r="V467">
        <v>1840</v>
      </c>
      <c r="W467">
        <v>1853</v>
      </c>
      <c r="X467" t="s">
        <v>285</v>
      </c>
      <c r="Y467" t="s">
        <v>820</v>
      </c>
      <c r="Z467" t="s">
        <v>383</v>
      </c>
      <c r="AA467" t="s">
        <v>518</v>
      </c>
      <c r="AB467">
        <v>11374</v>
      </c>
      <c r="AC467">
        <v>6355</v>
      </c>
      <c r="AD467">
        <v>2567</v>
      </c>
      <c r="AE467">
        <v>774</v>
      </c>
      <c r="AF467">
        <v>164</v>
      </c>
      <c r="AG467">
        <v>24</v>
      </c>
      <c r="AH467">
        <v>7762</v>
      </c>
      <c r="AI467">
        <v>2250</v>
      </c>
      <c r="AJ467">
        <v>1396</v>
      </c>
      <c r="AK467">
        <v>2945</v>
      </c>
      <c r="AL467">
        <v>206</v>
      </c>
      <c r="AM467">
        <v>51</v>
      </c>
      <c r="AN467">
        <v>1</v>
      </c>
      <c r="AO467">
        <f>AVERAGE(Tabla2[[#This Row],[total_kills]:[rating]])</f>
        <v>5027.6499999999996</v>
      </c>
      <c r="AP467" t="str">
        <f>VLOOKUP(Tabla2[[#This Row],[KPI]],$AS$2:$AT$5,2,1)</f>
        <v>Alto</v>
      </c>
    </row>
    <row r="468" spans="1:42" x14ac:dyDescent="0.3">
      <c r="A468">
        <v>9818</v>
      </c>
      <c r="B468" t="s">
        <v>2382</v>
      </c>
      <c r="C468" t="s">
        <v>2383</v>
      </c>
      <c r="D468">
        <v>24</v>
      </c>
      <c r="E468" t="s">
        <v>452</v>
      </c>
      <c r="F468" t="s">
        <v>2384</v>
      </c>
      <c r="G468" t="s">
        <v>2384</v>
      </c>
      <c r="H468">
        <v>10468</v>
      </c>
      <c r="I468">
        <v>10254</v>
      </c>
      <c r="J468" t="s">
        <v>808</v>
      </c>
      <c r="K468" t="s">
        <v>531</v>
      </c>
      <c r="L468" t="s">
        <v>949</v>
      </c>
      <c r="M468">
        <v>575</v>
      </c>
      <c r="N468">
        <v>15393</v>
      </c>
      <c r="O468" t="s">
        <v>167</v>
      </c>
      <c r="P468" t="s">
        <v>202</v>
      </c>
      <c r="Q468" t="s">
        <v>225</v>
      </c>
      <c r="R468" t="s">
        <v>96</v>
      </c>
      <c r="S468" t="s">
        <v>50</v>
      </c>
      <c r="T468">
        <v>7242</v>
      </c>
      <c r="U468" t="s">
        <v>51</v>
      </c>
      <c r="V468">
        <v>1540</v>
      </c>
      <c r="W468">
        <v>1458</v>
      </c>
      <c r="X468" t="s">
        <v>590</v>
      </c>
      <c r="Y468" t="s">
        <v>255</v>
      </c>
      <c r="Z468" t="s">
        <v>554</v>
      </c>
      <c r="AA468" t="s">
        <v>648</v>
      </c>
      <c r="AB468">
        <v>8151</v>
      </c>
      <c r="AC468">
        <v>4782</v>
      </c>
      <c r="AD468">
        <v>1814</v>
      </c>
      <c r="AE468">
        <v>534</v>
      </c>
      <c r="AF468">
        <v>104</v>
      </c>
      <c r="AG468">
        <v>8</v>
      </c>
      <c r="AH468">
        <v>8072</v>
      </c>
      <c r="AI468">
        <v>165</v>
      </c>
      <c r="AJ468">
        <v>456</v>
      </c>
      <c r="AK468">
        <v>1673</v>
      </c>
      <c r="AL468">
        <v>103</v>
      </c>
      <c r="AM468">
        <v>24</v>
      </c>
      <c r="AN468">
        <v>1</v>
      </c>
      <c r="AO468">
        <f>AVERAGE(Tabla2[[#This Row],[total_kills]:[rating]])</f>
        <v>3640.85</v>
      </c>
      <c r="AP468" t="str">
        <f>VLOOKUP(Tabla2[[#This Row],[KPI]],$AS$2:$AT$5,2,1)</f>
        <v>Medio</v>
      </c>
    </row>
    <row r="469" spans="1:42" x14ac:dyDescent="0.3">
      <c r="A469">
        <v>334</v>
      </c>
      <c r="B469" t="s">
        <v>2334</v>
      </c>
      <c r="C469" t="s">
        <v>2600</v>
      </c>
      <c r="D469">
        <v>32</v>
      </c>
      <c r="E469" t="s">
        <v>1144</v>
      </c>
      <c r="F469" t="s">
        <v>3514</v>
      </c>
      <c r="G469" t="s">
        <v>2601</v>
      </c>
      <c r="H469">
        <v>31357</v>
      </c>
      <c r="I469">
        <v>31574</v>
      </c>
      <c r="J469" t="s">
        <v>808</v>
      </c>
      <c r="K469" t="s">
        <v>1363</v>
      </c>
      <c r="L469" t="s">
        <v>1352</v>
      </c>
      <c r="M469">
        <v>1767</v>
      </c>
      <c r="N469">
        <v>46454</v>
      </c>
      <c r="O469" t="s">
        <v>167</v>
      </c>
      <c r="P469" t="s">
        <v>166</v>
      </c>
      <c r="Q469" t="s">
        <v>167</v>
      </c>
      <c r="R469" t="s">
        <v>66</v>
      </c>
      <c r="S469" t="s">
        <v>135</v>
      </c>
      <c r="T469">
        <v>21379</v>
      </c>
      <c r="U469" t="s">
        <v>51</v>
      </c>
      <c r="V469">
        <v>4756</v>
      </c>
      <c r="W469">
        <v>5119</v>
      </c>
      <c r="X469" t="s">
        <v>950</v>
      </c>
      <c r="Y469" t="s">
        <v>285</v>
      </c>
      <c r="Z469" t="s">
        <v>635</v>
      </c>
      <c r="AA469" t="s">
        <v>844</v>
      </c>
      <c r="AB469">
        <v>25075</v>
      </c>
      <c r="AC469">
        <v>13782</v>
      </c>
      <c r="AD469">
        <v>5611</v>
      </c>
      <c r="AE469">
        <v>1657</v>
      </c>
      <c r="AF469">
        <v>303</v>
      </c>
      <c r="AG469">
        <v>26</v>
      </c>
      <c r="AH469">
        <v>22645</v>
      </c>
      <c r="AI469">
        <v>731</v>
      </c>
      <c r="AJ469">
        <v>1822</v>
      </c>
      <c r="AK469">
        <v>5434</v>
      </c>
      <c r="AL469">
        <v>526</v>
      </c>
      <c r="AM469">
        <v>251</v>
      </c>
      <c r="AN469" t="s">
        <v>245</v>
      </c>
      <c r="AO469">
        <f>AVERAGE(Tabla2[[#This Row],[total_kills]:[rating]])</f>
        <v>11593.105263157895</v>
      </c>
      <c r="AP469" t="str">
        <f>VLOOKUP(Tabla2[[#This Row],[KPI]],$AS$2:$AT$5,2,1)</f>
        <v>Superior</v>
      </c>
    </row>
    <row r="470" spans="1:42" x14ac:dyDescent="0.3">
      <c r="A470">
        <v>8917</v>
      </c>
      <c r="B470" t="s">
        <v>2690</v>
      </c>
      <c r="C470" t="s">
        <v>2691</v>
      </c>
      <c r="D470">
        <v>31</v>
      </c>
      <c r="E470" t="s">
        <v>467</v>
      </c>
      <c r="F470" t="s">
        <v>2692</v>
      </c>
      <c r="G470" t="s">
        <v>2693</v>
      </c>
      <c r="H470">
        <v>17850</v>
      </c>
      <c r="I470">
        <v>18170</v>
      </c>
      <c r="J470" t="s">
        <v>808</v>
      </c>
      <c r="K470" t="s">
        <v>948</v>
      </c>
      <c r="L470" t="s">
        <v>2595</v>
      </c>
      <c r="M470">
        <v>1020</v>
      </c>
      <c r="N470">
        <v>26614</v>
      </c>
      <c r="O470" t="s">
        <v>225</v>
      </c>
      <c r="P470" t="s">
        <v>553</v>
      </c>
      <c r="Q470" t="s">
        <v>167</v>
      </c>
      <c r="R470" t="s">
        <v>50</v>
      </c>
      <c r="S470" t="s">
        <v>96</v>
      </c>
      <c r="T470">
        <v>12204</v>
      </c>
      <c r="U470" t="s">
        <v>51</v>
      </c>
      <c r="V470">
        <v>2818</v>
      </c>
      <c r="W470">
        <v>3102</v>
      </c>
      <c r="X470" t="s">
        <v>1749</v>
      </c>
      <c r="Y470">
        <v>1</v>
      </c>
      <c r="Z470" t="s">
        <v>554</v>
      </c>
      <c r="AA470" t="s">
        <v>676</v>
      </c>
      <c r="AB470">
        <v>14410</v>
      </c>
      <c r="AC470">
        <v>7932</v>
      </c>
      <c r="AD470">
        <v>3114</v>
      </c>
      <c r="AE470">
        <v>961</v>
      </c>
      <c r="AF470">
        <v>180</v>
      </c>
      <c r="AG470">
        <v>17</v>
      </c>
      <c r="AH470">
        <v>12104</v>
      </c>
      <c r="AI470">
        <v>654</v>
      </c>
      <c r="AJ470">
        <v>1440</v>
      </c>
      <c r="AK470">
        <v>3206</v>
      </c>
      <c r="AL470">
        <v>415</v>
      </c>
      <c r="AM470">
        <v>86</v>
      </c>
      <c r="AN470" t="s">
        <v>245</v>
      </c>
      <c r="AO470">
        <f>AVERAGE(Tabla2[[#This Row],[total_kills]:[rating]])</f>
        <v>6314.9</v>
      </c>
      <c r="AP470" t="str">
        <f>VLOOKUP(Tabla2[[#This Row],[KPI]],$AS$2:$AT$5,2,1)</f>
        <v>Alto</v>
      </c>
    </row>
    <row r="471" spans="1:42" x14ac:dyDescent="0.3">
      <c r="A471">
        <v>150</v>
      </c>
      <c r="B471" t="s">
        <v>2922</v>
      </c>
      <c r="C471" t="s">
        <v>2923</v>
      </c>
      <c r="D471">
        <v>31</v>
      </c>
      <c r="E471" t="s">
        <v>159</v>
      </c>
      <c r="F471" t="s">
        <v>160</v>
      </c>
      <c r="G471" t="s">
        <v>1082</v>
      </c>
      <c r="H471">
        <v>17858</v>
      </c>
      <c r="I471">
        <v>18382</v>
      </c>
      <c r="J471" t="s">
        <v>808</v>
      </c>
      <c r="K471" t="s">
        <v>800</v>
      </c>
      <c r="L471" t="s">
        <v>575</v>
      </c>
      <c r="M471">
        <v>1050</v>
      </c>
      <c r="N471">
        <v>27515</v>
      </c>
      <c r="O471" t="s">
        <v>276</v>
      </c>
      <c r="P471" t="s">
        <v>235</v>
      </c>
      <c r="Q471" t="s">
        <v>225</v>
      </c>
      <c r="R471" t="s">
        <v>66</v>
      </c>
      <c r="S471" t="s">
        <v>66</v>
      </c>
      <c r="T471">
        <v>12448</v>
      </c>
      <c r="U471" t="s">
        <v>51</v>
      </c>
      <c r="V471">
        <v>2711</v>
      </c>
      <c r="W471">
        <v>2782</v>
      </c>
      <c r="X471" t="s">
        <v>503</v>
      </c>
      <c r="Y471" t="s">
        <v>285</v>
      </c>
      <c r="Z471" t="s">
        <v>809</v>
      </c>
      <c r="AA471" t="s">
        <v>724</v>
      </c>
      <c r="AB471">
        <v>15067</v>
      </c>
      <c r="AC471">
        <v>8275</v>
      </c>
      <c r="AD471">
        <v>3116</v>
      </c>
      <c r="AE471">
        <v>897</v>
      </c>
      <c r="AF471">
        <v>142</v>
      </c>
      <c r="AG471">
        <v>18</v>
      </c>
      <c r="AH471">
        <v>11944</v>
      </c>
      <c r="AI471">
        <v>1315</v>
      </c>
      <c r="AJ471">
        <v>1177</v>
      </c>
      <c r="AK471">
        <v>3110</v>
      </c>
      <c r="AL471">
        <v>280</v>
      </c>
      <c r="AM471">
        <v>69</v>
      </c>
      <c r="AN471" t="s">
        <v>472</v>
      </c>
      <c r="AO471">
        <f>AVERAGE(Tabla2[[#This Row],[total_kills]:[rating]])</f>
        <v>6745.0526315789475</v>
      </c>
      <c r="AP471" t="str">
        <f>VLOOKUP(Tabla2[[#This Row],[KPI]],$AS$2:$AT$5,2,1)</f>
        <v>Alto</v>
      </c>
    </row>
    <row r="472" spans="1:42" x14ac:dyDescent="0.3">
      <c r="A472">
        <v>7028</v>
      </c>
      <c r="B472" t="s">
        <v>952</v>
      </c>
      <c r="C472" t="s">
        <v>953</v>
      </c>
      <c r="D472">
        <v>25</v>
      </c>
      <c r="E472" t="s">
        <v>209</v>
      </c>
      <c r="F472" t="s">
        <v>210</v>
      </c>
      <c r="G472" t="s">
        <v>885</v>
      </c>
      <c r="H472">
        <v>23807</v>
      </c>
      <c r="I472">
        <v>21025</v>
      </c>
      <c r="J472" t="s">
        <v>954</v>
      </c>
      <c r="K472" t="s">
        <v>213</v>
      </c>
      <c r="L472" t="s">
        <v>375</v>
      </c>
      <c r="M472">
        <v>1268</v>
      </c>
      <c r="N472">
        <v>32666</v>
      </c>
      <c r="O472" t="s">
        <v>495</v>
      </c>
      <c r="P472" t="s">
        <v>235</v>
      </c>
      <c r="Q472" t="s">
        <v>65</v>
      </c>
      <c r="R472" t="s">
        <v>96</v>
      </c>
      <c r="S472" t="s">
        <v>96</v>
      </c>
      <c r="T472">
        <v>16047</v>
      </c>
      <c r="U472" t="s">
        <v>51</v>
      </c>
      <c r="V472">
        <v>3282</v>
      </c>
      <c r="W472">
        <v>2728</v>
      </c>
      <c r="X472" t="s">
        <v>147</v>
      </c>
      <c r="Y472" t="s">
        <v>412</v>
      </c>
      <c r="Z472" t="s">
        <v>955</v>
      </c>
      <c r="AA472" t="s">
        <v>724</v>
      </c>
      <c r="AB472">
        <v>16619</v>
      </c>
      <c r="AC472">
        <v>10208</v>
      </c>
      <c r="AD472">
        <v>4242</v>
      </c>
      <c r="AE472">
        <v>1304</v>
      </c>
      <c r="AF472">
        <v>264</v>
      </c>
      <c r="AG472">
        <v>29</v>
      </c>
      <c r="AH472">
        <v>15077</v>
      </c>
      <c r="AI472">
        <v>2663</v>
      </c>
      <c r="AJ472">
        <v>1577</v>
      </c>
      <c r="AK472">
        <v>4113</v>
      </c>
      <c r="AL472">
        <v>342</v>
      </c>
      <c r="AM472">
        <v>82</v>
      </c>
      <c r="AN472" t="s">
        <v>277</v>
      </c>
      <c r="AO472">
        <f>AVERAGE(Tabla2[[#This Row],[total_kills]:[rating]])</f>
        <v>8281.21052631579</v>
      </c>
      <c r="AP472" t="str">
        <f>VLOOKUP(Tabla2[[#This Row],[KPI]],$AS$2:$AT$5,2,1)</f>
        <v>Superior</v>
      </c>
    </row>
    <row r="473" spans="1:42" x14ac:dyDescent="0.3">
      <c r="A473">
        <v>8767</v>
      </c>
      <c r="B473" t="s">
        <v>1196</v>
      </c>
      <c r="C473" t="s">
        <v>1197</v>
      </c>
      <c r="D473">
        <v>29</v>
      </c>
      <c r="E473" t="s">
        <v>150</v>
      </c>
      <c r="F473" t="s">
        <v>3514</v>
      </c>
      <c r="G473" t="s">
        <v>1198</v>
      </c>
      <c r="H473">
        <v>15793</v>
      </c>
      <c r="I473">
        <v>14413</v>
      </c>
      <c r="J473" t="s">
        <v>954</v>
      </c>
      <c r="K473" t="s">
        <v>911</v>
      </c>
      <c r="L473" t="s">
        <v>658</v>
      </c>
      <c r="M473">
        <v>852</v>
      </c>
      <c r="N473">
        <v>21778</v>
      </c>
      <c r="O473" t="s">
        <v>495</v>
      </c>
      <c r="P473" t="s">
        <v>166</v>
      </c>
      <c r="Q473" t="s">
        <v>322</v>
      </c>
      <c r="R473" t="s">
        <v>50</v>
      </c>
      <c r="S473" t="s">
        <v>50</v>
      </c>
      <c r="T473">
        <v>10534</v>
      </c>
      <c r="U473" t="s">
        <v>51</v>
      </c>
      <c r="V473">
        <v>2149</v>
      </c>
      <c r="W473">
        <v>1929</v>
      </c>
      <c r="X473" t="s">
        <v>362</v>
      </c>
      <c r="Y473" t="s">
        <v>255</v>
      </c>
      <c r="Z473" t="s">
        <v>246</v>
      </c>
      <c r="AA473" t="s">
        <v>746</v>
      </c>
      <c r="AB473">
        <v>11244</v>
      </c>
      <c r="AC473">
        <v>6585</v>
      </c>
      <c r="AD473">
        <v>2857</v>
      </c>
      <c r="AE473">
        <v>890</v>
      </c>
      <c r="AF473">
        <v>187</v>
      </c>
      <c r="AG473">
        <v>15</v>
      </c>
      <c r="AH473">
        <v>11852</v>
      </c>
      <c r="AI473">
        <v>85</v>
      </c>
      <c r="AJ473">
        <v>1040</v>
      </c>
      <c r="AK473">
        <v>2564</v>
      </c>
      <c r="AL473">
        <v>255</v>
      </c>
      <c r="AM473">
        <v>8</v>
      </c>
      <c r="AN473" t="s">
        <v>590</v>
      </c>
      <c r="AO473">
        <f>AVERAGE(Tabla2[[#This Row],[total_kills]:[rating]])</f>
        <v>5527.894736842105</v>
      </c>
      <c r="AP473" t="str">
        <f>VLOOKUP(Tabla2[[#This Row],[KPI]],$AS$2:$AT$5,2,1)</f>
        <v>Alto</v>
      </c>
    </row>
    <row r="474" spans="1:42" x14ac:dyDescent="0.3">
      <c r="A474">
        <v>12876</v>
      </c>
      <c r="B474" t="s">
        <v>2178</v>
      </c>
      <c r="C474" t="s">
        <v>2179</v>
      </c>
      <c r="D474">
        <v>25</v>
      </c>
      <c r="E474" t="s">
        <v>299</v>
      </c>
      <c r="F474" t="s">
        <v>3514</v>
      </c>
      <c r="G474" t="s">
        <v>2180</v>
      </c>
      <c r="H474">
        <v>10534</v>
      </c>
      <c r="I474">
        <v>10188</v>
      </c>
      <c r="J474" t="s">
        <v>954</v>
      </c>
      <c r="K474" t="s">
        <v>601</v>
      </c>
      <c r="L474" t="s">
        <v>1170</v>
      </c>
      <c r="M474">
        <v>624</v>
      </c>
      <c r="N474">
        <v>15708</v>
      </c>
      <c r="O474" t="s">
        <v>225</v>
      </c>
      <c r="P474" t="s">
        <v>166</v>
      </c>
      <c r="Q474" t="s">
        <v>276</v>
      </c>
      <c r="R474" t="s">
        <v>67</v>
      </c>
      <c r="S474" t="s">
        <v>96</v>
      </c>
      <c r="T474">
        <v>7147</v>
      </c>
      <c r="U474" t="s">
        <v>51</v>
      </c>
      <c r="V474">
        <v>1567</v>
      </c>
      <c r="W474">
        <v>1606</v>
      </c>
      <c r="X474" t="s">
        <v>245</v>
      </c>
      <c r="Y474">
        <v>1</v>
      </c>
      <c r="Z474" t="s">
        <v>777</v>
      </c>
      <c r="AA474" t="s">
        <v>1379</v>
      </c>
      <c r="AB474">
        <v>8561</v>
      </c>
      <c r="AC474">
        <v>4551</v>
      </c>
      <c r="AD474">
        <v>1932</v>
      </c>
      <c r="AE474">
        <v>546</v>
      </c>
      <c r="AF474">
        <v>109</v>
      </c>
      <c r="AG474">
        <v>9</v>
      </c>
      <c r="AH474">
        <v>7484</v>
      </c>
      <c r="AI474">
        <v>49</v>
      </c>
      <c r="AJ474">
        <v>931</v>
      </c>
      <c r="AK474">
        <v>1899</v>
      </c>
      <c r="AL474">
        <v>164</v>
      </c>
      <c r="AM474">
        <v>16</v>
      </c>
      <c r="AN474" t="s">
        <v>277</v>
      </c>
      <c r="AO474">
        <f>AVERAGE(Tabla2[[#This Row],[total_kills]:[rating]])</f>
        <v>3681.3</v>
      </c>
      <c r="AP474" t="str">
        <f>VLOOKUP(Tabla2[[#This Row],[KPI]],$AS$2:$AT$5,2,1)</f>
        <v>Medio</v>
      </c>
    </row>
    <row r="475" spans="1:42" x14ac:dyDescent="0.3">
      <c r="A475">
        <v>9339</v>
      </c>
      <c r="B475" t="s">
        <v>2295</v>
      </c>
      <c r="C475" t="s">
        <v>2296</v>
      </c>
      <c r="D475">
        <v>26</v>
      </c>
      <c r="E475" t="s">
        <v>290</v>
      </c>
      <c r="F475" t="s">
        <v>3514</v>
      </c>
      <c r="G475" t="s">
        <v>2297</v>
      </c>
      <c r="H475">
        <v>12159</v>
      </c>
      <c r="I475">
        <v>12028</v>
      </c>
      <c r="J475" t="s">
        <v>954</v>
      </c>
      <c r="K475" t="s">
        <v>948</v>
      </c>
      <c r="L475" t="s">
        <v>294</v>
      </c>
      <c r="M475">
        <v>684</v>
      </c>
      <c r="N475">
        <v>17721</v>
      </c>
      <c r="O475" t="s">
        <v>463</v>
      </c>
      <c r="P475" t="s">
        <v>166</v>
      </c>
      <c r="Q475" t="s">
        <v>167</v>
      </c>
      <c r="R475" t="s">
        <v>50</v>
      </c>
      <c r="S475" t="s">
        <v>67</v>
      </c>
      <c r="T475">
        <v>8269</v>
      </c>
      <c r="U475" t="s">
        <v>51</v>
      </c>
      <c r="V475">
        <v>1764</v>
      </c>
      <c r="W475">
        <v>1736</v>
      </c>
      <c r="X475" t="s">
        <v>449</v>
      </c>
      <c r="Y475">
        <v>1</v>
      </c>
      <c r="Z475" t="s">
        <v>217</v>
      </c>
      <c r="AA475" t="s">
        <v>724</v>
      </c>
      <c r="AB475">
        <v>9452</v>
      </c>
      <c r="AC475">
        <v>5338</v>
      </c>
      <c r="AD475">
        <v>2123</v>
      </c>
      <c r="AE475">
        <v>667</v>
      </c>
      <c r="AF475">
        <v>131</v>
      </c>
      <c r="AG475">
        <v>10</v>
      </c>
      <c r="AH475">
        <v>8835</v>
      </c>
      <c r="AI475">
        <v>299</v>
      </c>
      <c r="AJ475">
        <v>640</v>
      </c>
      <c r="AK475">
        <v>2226</v>
      </c>
      <c r="AL475">
        <v>146</v>
      </c>
      <c r="AM475">
        <v>50</v>
      </c>
      <c r="AN475">
        <v>1</v>
      </c>
      <c r="AO475">
        <f>AVERAGE(Tabla2[[#This Row],[total_kills]:[rating]])</f>
        <v>4013.3333333333335</v>
      </c>
      <c r="AP475" t="str">
        <f>VLOOKUP(Tabla2[[#This Row],[KPI]],$AS$2:$AT$5,2,1)</f>
        <v>Medio</v>
      </c>
    </row>
    <row r="476" spans="1:42" x14ac:dyDescent="0.3">
      <c r="A476">
        <v>9103</v>
      </c>
      <c r="B476" t="s">
        <v>2445</v>
      </c>
      <c r="C476" t="s">
        <v>2446</v>
      </c>
      <c r="D476">
        <v>28</v>
      </c>
      <c r="E476" t="s">
        <v>299</v>
      </c>
      <c r="F476" t="s">
        <v>3514</v>
      </c>
      <c r="G476" t="s">
        <v>2447</v>
      </c>
      <c r="H476">
        <v>11278</v>
      </c>
      <c r="I476">
        <v>11140</v>
      </c>
      <c r="J476" t="s">
        <v>954</v>
      </c>
      <c r="K476" t="s">
        <v>999</v>
      </c>
      <c r="L476" t="s">
        <v>201</v>
      </c>
      <c r="M476">
        <v>647</v>
      </c>
      <c r="N476">
        <v>16903</v>
      </c>
      <c r="O476" t="s">
        <v>225</v>
      </c>
      <c r="P476" t="s">
        <v>202</v>
      </c>
      <c r="Q476" t="s">
        <v>322</v>
      </c>
      <c r="R476" t="s">
        <v>96</v>
      </c>
      <c r="S476" t="s">
        <v>50</v>
      </c>
      <c r="T476">
        <v>7721</v>
      </c>
      <c r="U476" t="s">
        <v>51</v>
      </c>
      <c r="V476">
        <v>1242</v>
      </c>
      <c r="W476">
        <v>1270</v>
      </c>
      <c r="X476" t="s">
        <v>245</v>
      </c>
      <c r="Y476" t="s">
        <v>1749</v>
      </c>
      <c r="Z476" t="s">
        <v>2448</v>
      </c>
      <c r="AA476" t="s">
        <v>2364</v>
      </c>
      <c r="AB476">
        <v>9182</v>
      </c>
      <c r="AC476">
        <v>5016</v>
      </c>
      <c r="AD476">
        <v>1999</v>
      </c>
      <c r="AE476">
        <v>571</v>
      </c>
      <c r="AF476">
        <v>124</v>
      </c>
      <c r="AG476">
        <v>11</v>
      </c>
      <c r="AH476">
        <v>8085</v>
      </c>
      <c r="AI476">
        <v>166</v>
      </c>
      <c r="AJ476">
        <v>895</v>
      </c>
      <c r="AK476">
        <v>1966</v>
      </c>
      <c r="AL476">
        <v>170</v>
      </c>
      <c r="AM476">
        <v>24</v>
      </c>
      <c r="AN476" t="s">
        <v>285</v>
      </c>
      <c r="AO476">
        <f>AVERAGE(Tabla2[[#This Row],[total_kills]:[rating]])</f>
        <v>4126.8421052631575</v>
      </c>
      <c r="AP476" t="str">
        <f>VLOOKUP(Tabla2[[#This Row],[KPI]],$AS$2:$AT$5,2,1)</f>
        <v>Medio</v>
      </c>
    </row>
    <row r="477" spans="1:42" x14ac:dyDescent="0.3">
      <c r="A477">
        <v>16870</v>
      </c>
      <c r="B477" t="s">
        <v>2916</v>
      </c>
      <c r="C477" t="s">
        <v>2917</v>
      </c>
      <c r="D477">
        <v>23</v>
      </c>
      <c r="E477" t="s">
        <v>75</v>
      </c>
      <c r="F477" t="s">
        <v>3514</v>
      </c>
      <c r="G477" t="s">
        <v>2492</v>
      </c>
      <c r="H477">
        <v>10188</v>
      </c>
      <c r="I477">
        <v>10533</v>
      </c>
      <c r="J477" t="s">
        <v>954</v>
      </c>
      <c r="K477" t="s">
        <v>788</v>
      </c>
      <c r="L477" t="s">
        <v>612</v>
      </c>
      <c r="M477">
        <v>575</v>
      </c>
      <c r="N477">
        <v>15597</v>
      </c>
      <c r="O477" t="s">
        <v>276</v>
      </c>
      <c r="P477" t="s">
        <v>202</v>
      </c>
      <c r="Q477" t="s">
        <v>167</v>
      </c>
      <c r="R477" t="s">
        <v>50</v>
      </c>
      <c r="S477" t="s">
        <v>50</v>
      </c>
      <c r="T477">
        <v>7044</v>
      </c>
      <c r="U477" t="s">
        <v>51</v>
      </c>
      <c r="V477">
        <v>1346</v>
      </c>
      <c r="W477">
        <v>1423</v>
      </c>
      <c r="X477" t="s">
        <v>820</v>
      </c>
      <c r="Y477" t="s">
        <v>820</v>
      </c>
      <c r="Z477" t="s">
        <v>705</v>
      </c>
      <c r="AA477" t="s">
        <v>518</v>
      </c>
      <c r="AB477">
        <v>8553</v>
      </c>
      <c r="AC477">
        <v>4615</v>
      </c>
      <c r="AD477">
        <v>1813</v>
      </c>
      <c r="AE477">
        <v>525</v>
      </c>
      <c r="AF477">
        <v>83</v>
      </c>
      <c r="AG477">
        <v>8</v>
      </c>
      <c r="AH477">
        <v>7243</v>
      </c>
      <c r="AI477">
        <v>207</v>
      </c>
      <c r="AJ477">
        <v>955</v>
      </c>
      <c r="AK477">
        <v>1628</v>
      </c>
      <c r="AL477">
        <v>148</v>
      </c>
      <c r="AM477">
        <v>46</v>
      </c>
      <c r="AN477" t="s">
        <v>449</v>
      </c>
      <c r="AO477">
        <f>AVERAGE(Tabla2[[#This Row],[total_kills]:[rating]])</f>
        <v>3817.3684210526317</v>
      </c>
      <c r="AP477" t="str">
        <f>VLOOKUP(Tabla2[[#This Row],[KPI]],$AS$2:$AT$5,2,1)</f>
        <v>Medio</v>
      </c>
    </row>
    <row r="478" spans="1:42" x14ac:dyDescent="0.3">
      <c r="A478">
        <v>15821</v>
      </c>
      <c r="B478" t="s">
        <v>548</v>
      </c>
      <c r="C478" t="s">
        <v>549</v>
      </c>
      <c r="D478">
        <v>21</v>
      </c>
      <c r="E478" t="s">
        <v>337</v>
      </c>
      <c r="F478" t="s">
        <v>130</v>
      </c>
      <c r="G478" t="s">
        <v>550</v>
      </c>
      <c r="H478">
        <v>13707</v>
      </c>
      <c r="I478">
        <v>12172</v>
      </c>
      <c r="J478" t="s">
        <v>551</v>
      </c>
      <c r="K478" t="s">
        <v>552</v>
      </c>
      <c r="L478" t="s">
        <v>433</v>
      </c>
      <c r="M478">
        <v>676</v>
      </c>
      <c r="N478">
        <v>18080</v>
      </c>
      <c r="O478" t="s">
        <v>234</v>
      </c>
      <c r="P478" t="s">
        <v>553</v>
      </c>
      <c r="Q478" t="s">
        <v>225</v>
      </c>
      <c r="R478" t="s">
        <v>96</v>
      </c>
      <c r="S478" t="s">
        <v>48</v>
      </c>
      <c r="T478">
        <v>8891</v>
      </c>
      <c r="U478" t="s">
        <v>51</v>
      </c>
      <c r="V478">
        <v>2282</v>
      </c>
      <c r="W478">
        <v>1926</v>
      </c>
      <c r="X478" t="s">
        <v>169</v>
      </c>
      <c r="Y478" t="s">
        <v>370</v>
      </c>
      <c r="Z478" t="s">
        <v>554</v>
      </c>
      <c r="AA478" t="s">
        <v>238</v>
      </c>
      <c r="AB478">
        <v>9189</v>
      </c>
      <c r="AC478">
        <v>5369</v>
      </c>
      <c r="AD478">
        <v>2488</v>
      </c>
      <c r="AE478">
        <v>817</v>
      </c>
      <c r="AF478">
        <v>174</v>
      </c>
      <c r="AG478">
        <v>43</v>
      </c>
      <c r="AH478">
        <v>10748</v>
      </c>
      <c r="AI478">
        <v>406</v>
      </c>
      <c r="AJ478">
        <v>289</v>
      </c>
      <c r="AK478">
        <v>2068</v>
      </c>
      <c r="AL478">
        <v>201</v>
      </c>
      <c r="AM478">
        <v>31</v>
      </c>
      <c r="AN478" t="s">
        <v>169</v>
      </c>
      <c r="AO478">
        <f>AVERAGE(Tabla2[[#This Row],[total_kills]:[rating]])</f>
        <v>4713.5263157894733</v>
      </c>
      <c r="AP478" t="str">
        <f>VLOOKUP(Tabla2[[#This Row],[KPI]],$AS$2:$AT$5,2,1)</f>
        <v>Medio</v>
      </c>
    </row>
    <row r="479" spans="1:42" x14ac:dyDescent="0.3">
      <c r="A479">
        <v>9656</v>
      </c>
      <c r="B479" t="s">
        <v>979</v>
      </c>
      <c r="C479" t="s">
        <v>980</v>
      </c>
      <c r="D479">
        <v>26</v>
      </c>
      <c r="E479" t="s">
        <v>42</v>
      </c>
      <c r="F479" t="s">
        <v>981</v>
      </c>
      <c r="G479" t="s">
        <v>982</v>
      </c>
      <c r="H479">
        <v>22302</v>
      </c>
      <c r="I479">
        <v>19994</v>
      </c>
      <c r="J479" t="s">
        <v>551</v>
      </c>
      <c r="K479">
        <v>80</v>
      </c>
      <c r="L479" t="s">
        <v>398</v>
      </c>
      <c r="M479">
        <v>1152</v>
      </c>
      <c r="N479">
        <v>30382</v>
      </c>
      <c r="O479" t="s">
        <v>495</v>
      </c>
      <c r="P479" t="s">
        <v>202</v>
      </c>
      <c r="Q479" t="s">
        <v>322</v>
      </c>
      <c r="R479" t="s">
        <v>50</v>
      </c>
      <c r="S479" t="s">
        <v>48</v>
      </c>
      <c r="T479">
        <v>14935</v>
      </c>
      <c r="U479" t="s">
        <v>51</v>
      </c>
      <c r="V479">
        <v>2954</v>
      </c>
      <c r="W479">
        <v>2760</v>
      </c>
      <c r="X479" t="s">
        <v>464</v>
      </c>
      <c r="Y479">
        <v>1</v>
      </c>
      <c r="Z479" t="s">
        <v>983</v>
      </c>
      <c r="AA479" t="s">
        <v>363</v>
      </c>
      <c r="AB479">
        <v>15447</v>
      </c>
      <c r="AC479">
        <v>9424</v>
      </c>
      <c r="AD479">
        <v>3972</v>
      </c>
      <c r="AE479">
        <v>1257</v>
      </c>
      <c r="AF479">
        <v>247</v>
      </c>
      <c r="AG479">
        <v>35</v>
      </c>
      <c r="AH479">
        <v>16597</v>
      </c>
      <c r="AI479">
        <v>541</v>
      </c>
      <c r="AJ479">
        <v>1273</v>
      </c>
      <c r="AK479">
        <v>3573</v>
      </c>
      <c r="AL479">
        <v>276</v>
      </c>
      <c r="AM479">
        <v>145</v>
      </c>
      <c r="AN479" t="s">
        <v>277</v>
      </c>
      <c r="AO479">
        <f>AVERAGE(Tabla2[[#This Row],[total_kills]:[rating]])</f>
        <v>7016.5238095238092</v>
      </c>
      <c r="AP479" t="str">
        <f>VLOOKUP(Tabla2[[#This Row],[KPI]],$AS$2:$AT$5,2,1)</f>
        <v>Superior</v>
      </c>
    </row>
    <row r="480" spans="1:42" x14ac:dyDescent="0.3">
      <c r="A480">
        <v>5794</v>
      </c>
      <c r="B480" t="s">
        <v>1380</v>
      </c>
      <c r="C480" t="s">
        <v>1381</v>
      </c>
      <c r="D480">
        <v>27</v>
      </c>
      <c r="E480" t="s">
        <v>708</v>
      </c>
      <c r="F480" t="s">
        <v>709</v>
      </c>
      <c r="G480" t="s">
        <v>1382</v>
      </c>
      <c r="H480">
        <v>37751</v>
      </c>
      <c r="I480">
        <v>36211</v>
      </c>
      <c r="J480" t="s">
        <v>551</v>
      </c>
      <c r="K480" t="s">
        <v>1383</v>
      </c>
      <c r="L480" t="s">
        <v>1384</v>
      </c>
      <c r="M480">
        <v>1953</v>
      </c>
      <c r="N480">
        <v>51605</v>
      </c>
      <c r="O480" t="s">
        <v>495</v>
      </c>
      <c r="P480" t="s">
        <v>553</v>
      </c>
      <c r="Q480" t="s">
        <v>905</v>
      </c>
      <c r="R480" t="s">
        <v>96</v>
      </c>
      <c r="S480" t="s">
        <v>96</v>
      </c>
      <c r="T480">
        <v>24485</v>
      </c>
      <c r="U480" t="s">
        <v>51</v>
      </c>
      <c r="V480">
        <v>6162</v>
      </c>
      <c r="W480">
        <v>6265</v>
      </c>
      <c r="X480" t="s">
        <v>245</v>
      </c>
      <c r="Y480" t="s">
        <v>590</v>
      </c>
      <c r="Z480" t="s">
        <v>795</v>
      </c>
      <c r="AA480" t="s">
        <v>1385</v>
      </c>
      <c r="AB480">
        <v>27120</v>
      </c>
      <c r="AC480">
        <v>14806</v>
      </c>
      <c r="AD480">
        <v>6775</v>
      </c>
      <c r="AE480">
        <v>2338</v>
      </c>
      <c r="AF480">
        <v>497</v>
      </c>
      <c r="AG480">
        <v>69</v>
      </c>
      <c r="AH480">
        <v>26945</v>
      </c>
      <c r="AI480">
        <v>2296</v>
      </c>
      <c r="AJ480">
        <v>1304</v>
      </c>
      <c r="AK480">
        <v>6539</v>
      </c>
      <c r="AL480">
        <v>644</v>
      </c>
      <c r="AM480">
        <v>95</v>
      </c>
      <c r="AN480" t="s">
        <v>304</v>
      </c>
      <c r="AO480">
        <f>AVERAGE(Tabla2[[#This Row],[total_kills]:[rating]])</f>
        <v>13361.052631578947</v>
      </c>
      <c r="AP480" t="str">
        <f>VLOOKUP(Tabla2[[#This Row],[KPI]],$AS$2:$AT$5,2,1)</f>
        <v>Superior</v>
      </c>
    </row>
    <row r="481" spans="1:42" x14ac:dyDescent="0.3">
      <c r="A481">
        <v>19882</v>
      </c>
      <c r="B481" t="s">
        <v>2659</v>
      </c>
      <c r="C481" t="s">
        <v>2660</v>
      </c>
      <c r="D481">
        <v>21</v>
      </c>
      <c r="E481" t="s">
        <v>75</v>
      </c>
      <c r="F481" t="s">
        <v>491</v>
      </c>
      <c r="G481" t="s">
        <v>2661</v>
      </c>
      <c r="H481">
        <v>7141</v>
      </c>
      <c r="I481">
        <v>7176</v>
      </c>
      <c r="J481" t="s">
        <v>551</v>
      </c>
      <c r="K481" t="s">
        <v>2662</v>
      </c>
      <c r="L481" t="s">
        <v>224</v>
      </c>
      <c r="M481">
        <v>411</v>
      </c>
      <c r="N481">
        <v>10991</v>
      </c>
      <c r="O481" t="s">
        <v>276</v>
      </c>
      <c r="P481" t="s">
        <v>67</v>
      </c>
      <c r="Q481" t="s">
        <v>276</v>
      </c>
      <c r="R481" t="s">
        <v>50</v>
      </c>
      <c r="S481" t="s">
        <v>50</v>
      </c>
      <c r="T481">
        <v>4912</v>
      </c>
      <c r="U481" t="s">
        <v>51</v>
      </c>
      <c r="V481">
        <v>957</v>
      </c>
      <c r="W481">
        <v>1104</v>
      </c>
      <c r="X481" t="s">
        <v>2324</v>
      </c>
      <c r="Y481" t="s">
        <v>950</v>
      </c>
      <c r="Z481" t="s">
        <v>2167</v>
      </c>
      <c r="AA481" t="s">
        <v>1985</v>
      </c>
      <c r="AB481">
        <v>6079</v>
      </c>
      <c r="AC481">
        <v>3242</v>
      </c>
      <c r="AD481">
        <v>1212</v>
      </c>
      <c r="AE481">
        <v>367</v>
      </c>
      <c r="AF481">
        <v>81</v>
      </c>
      <c r="AG481">
        <v>10</v>
      </c>
      <c r="AH481">
        <v>5492</v>
      </c>
      <c r="AI481">
        <v>89</v>
      </c>
      <c r="AJ481">
        <v>302</v>
      </c>
      <c r="AK481">
        <v>1139</v>
      </c>
      <c r="AL481">
        <v>117</v>
      </c>
      <c r="AM481">
        <v>42</v>
      </c>
      <c r="AN481" t="s">
        <v>449</v>
      </c>
      <c r="AO481">
        <f>AVERAGE(Tabla2[[#This Row],[total_kills]:[rating]])</f>
        <v>2677.0526315789475</v>
      </c>
      <c r="AP481" t="str">
        <f>VLOOKUP(Tabla2[[#This Row],[KPI]],$AS$2:$AT$5,2,1)</f>
        <v>Bajo</v>
      </c>
    </row>
    <row r="482" spans="1:42" x14ac:dyDescent="0.3">
      <c r="A482">
        <v>8410</v>
      </c>
      <c r="B482" t="s">
        <v>3110</v>
      </c>
      <c r="C482" t="s">
        <v>3111</v>
      </c>
      <c r="D482">
        <v>26</v>
      </c>
      <c r="E482" t="s">
        <v>59</v>
      </c>
      <c r="F482" t="s">
        <v>3514</v>
      </c>
      <c r="G482" t="s">
        <v>3112</v>
      </c>
      <c r="H482">
        <v>10295</v>
      </c>
      <c r="I482">
        <v>10953</v>
      </c>
      <c r="J482" t="s">
        <v>551</v>
      </c>
      <c r="K482" t="s">
        <v>2686</v>
      </c>
      <c r="L482" t="s">
        <v>487</v>
      </c>
      <c r="M482">
        <v>593</v>
      </c>
      <c r="N482">
        <v>15530</v>
      </c>
      <c r="O482" t="s">
        <v>322</v>
      </c>
      <c r="P482" t="s">
        <v>202</v>
      </c>
      <c r="Q482" t="s">
        <v>646</v>
      </c>
      <c r="R482" t="s">
        <v>50</v>
      </c>
      <c r="S482" t="s">
        <v>50</v>
      </c>
      <c r="T482">
        <v>7195</v>
      </c>
      <c r="U482" t="s">
        <v>51</v>
      </c>
      <c r="V482">
        <v>1194</v>
      </c>
      <c r="W482">
        <v>1175</v>
      </c>
      <c r="X482" t="s">
        <v>449</v>
      </c>
      <c r="Y482" t="s">
        <v>1314</v>
      </c>
      <c r="Z482" t="s">
        <v>54</v>
      </c>
      <c r="AA482" t="s">
        <v>2429</v>
      </c>
      <c r="AB482">
        <v>8335</v>
      </c>
      <c r="AC482">
        <v>4776</v>
      </c>
      <c r="AD482">
        <v>1832</v>
      </c>
      <c r="AE482">
        <v>501</v>
      </c>
      <c r="AF482">
        <v>78</v>
      </c>
      <c r="AG482">
        <v>8</v>
      </c>
      <c r="AH482">
        <v>6995</v>
      </c>
      <c r="AI482">
        <v>486</v>
      </c>
      <c r="AJ482">
        <v>865</v>
      </c>
      <c r="AK482">
        <v>1849</v>
      </c>
      <c r="AL482">
        <v>108</v>
      </c>
      <c r="AM482">
        <v>12</v>
      </c>
      <c r="AN482" t="s">
        <v>1570</v>
      </c>
      <c r="AO482">
        <f>AVERAGE(Tabla2[[#This Row],[total_kills]:[rating]])</f>
        <v>3830.5263157894738</v>
      </c>
      <c r="AP482" t="str">
        <f>VLOOKUP(Tabla2[[#This Row],[KPI]],$AS$2:$AT$5,2,1)</f>
        <v>Medio</v>
      </c>
    </row>
    <row r="483" spans="1:42" x14ac:dyDescent="0.3">
      <c r="A483">
        <v>1200</v>
      </c>
      <c r="B483" t="s">
        <v>3210</v>
      </c>
      <c r="C483" t="s">
        <v>3211</v>
      </c>
      <c r="D483">
        <v>32</v>
      </c>
      <c r="E483" t="s">
        <v>742</v>
      </c>
      <c r="F483" t="s">
        <v>3212</v>
      </c>
      <c r="G483" t="s">
        <v>3213</v>
      </c>
      <c r="H483">
        <v>8785</v>
      </c>
      <c r="I483">
        <v>9410</v>
      </c>
      <c r="J483" t="s">
        <v>551</v>
      </c>
      <c r="K483" t="s">
        <v>1640</v>
      </c>
      <c r="L483" t="s">
        <v>1170</v>
      </c>
      <c r="M483">
        <v>538</v>
      </c>
      <c r="N483">
        <v>14028</v>
      </c>
      <c r="O483" t="s">
        <v>215</v>
      </c>
      <c r="P483" t="s">
        <v>202</v>
      </c>
      <c r="Q483" t="s">
        <v>225</v>
      </c>
      <c r="R483" t="s">
        <v>96</v>
      </c>
      <c r="S483" t="s">
        <v>96</v>
      </c>
      <c r="T483">
        <v>6213</v>
      </c>
      <c r="U483" t="s">
        <v>51</v>
      </c>
      <c r="V483">
        <v>1136</v>
      </c>
      <c r="W483">
        <v>1131</v>
      </c>
      <c r="X483">
        <v>1</v>
      </c>
      <c r="Y483" t="s">
        <v>1570</v>
      </c>
      <c r="Z483" t="s">
        <v>932</v>
      </c>
      <c r="AA483" t="s">
        <v>1985</v>
      </c>
      <c r="AB483">
        <v>7815</v>
      </c>
      <c r="AC483">
        <v>4174</v>
      </c>
      <c r="AD483">
        <v>1578</v>
      </c>
      <c r="AE483">
        <v>398</v>
      </c>
      <c r="AF483">
        <v>55</v>
      </c>
      <c r="AG483">
        <v>8</v>
      </c>
      <c r="AH483">
        <v>5182</v>
      </c>
      <c r="AI483">
        <v>1103</v>
      </c>
      <c r="AJ483">
        <v>686</v>
      </c>
      <c r="AK483">
        <v>1705</v>
      </c>
      <c r="AL483">
        <v>107</v>
      </c>
      <c r="AM483">
        <v>12</v>
      </c>
      <c r="AN483" t="s">
        <v>1314</v>
      </c>
      <c r="AO483">
        <f>AVERAGE(Tabla2[[#This Row],[total_kills]:[rating]])</f>
        <v>3203.25</v>
      </c>
      <c r="AP483" t="str">
        <f>VLOOKUP(Tabla2[[#This Row],[KPI]],$AS$2:$AT$5,2,1)</f>
        <v>Bajo</v>
      </c>
    </row>
    <row r="484" spans="1:42" x14ac:dyDescent="0.3">
      <c r="A484">
        <v>10774</v>
      </c>
      <c r="B484" t="s">
        <v>355</v>
      </c>
      <c r="C484" t="s">
        <v>356</v>
      </c>
      <c r="D484">
        <v>23</v>
      </c>
      <c r="E484" t="s">
        <v>357</v>
      </c>
      <c r="F484" t="s">
        <v>358</v>
      </c>
      <c r="G484" t="s">
        <v>359</v>
      </c>
      <c r="H484">
        <v>15040</v>
      </c>
      <c r="I484">
        <v>12743</v>
      </c>
      <c r="J484" t="s">
        <v>360</v>
      </c>
      <c r="K484" t="s">
        <v>361</v>
      </c>
      <c r="L484" t="s">
        <v>122</v>
      </c>
      <c r="M484">
        <v>773</v>
      </c>
      <c r="N484">
        <v>19766</v>
      </c>
      <c r="O484" t="s">
        <v>234</v>
      </c>
      <c r="P484" t="s">
        <v>202</v>
      </c>
      <c r="Q484" t="s">
        <v>65</v>
      </c>
      <c r="R484" t="s">
        <v>96</v>
      </c>
      <c r="S484" t="s">
        <v>67</v>
      </c>
      <c r="T484">
        <v>9837</v>
      </c>
      <c r="U484" t="s">
        <v>51</v>
      </c>
      <c r="V484">
        <v>1902</v>
      </c>
      <c r="W484">
        <v>1717</v>
      </c>
      <c r="X484" t="s">
        <v>362</v>
      </c>
      <c r="Y484">
        <v>1</v>
      </c>
      <c r="Z484" t="s">
        <v>246</v>
      </c>
      <c r="AA484" t="s">
        <v>363</v>
      </c>
      <c r="AB484">
        <v>9929</v>
      </c>
      <c r="AC484">
        <v>5988</v>
      </c>
      <c r="AD484">
        <v>2725</v>
      </c>
      <c r="AE484">
        <v>918</v>
      </c>
      <c r="AF484">
        <v>182</v>
      </c>
      <c r="AG484">
        <v>24</v>
      </c>
      <c r="AH484">
        <v>10686</v>
      </c>
      <c r="AI484">
        <v>690</v>
      </c>
      <c r="AJ484">
        <v>766</v>
      </c>
      <c r="AK484">
        <v>2735</v>
      </c>
      <c r="AL484">
        <v>158</v>
      </c>
      <c r="AM484">
        <v>32</v>
      </c>
      <c r="AN484" t="s">
        <v>206</v>
      </c>
      <c r="AO484">
        <f>AVERAGE(Tabla2[[#This Row],[total_kills]:[rating]])</f>
        <v>4830.6000000000004</v>
      </c>
      <c r="AP484" t="str">
        <f>VLOOKUP(Tabla2[[#This Row],[KPI]],$AS$2:$AT$5,2,1)</f>
        <v>Alto</v>
      </c>
    </row>
    <row r="485" spans="1:42" x14ac:dyDescent="0.3">
      <c r="A485">
        <v>13780</v>
      </c>
      <c r="B485" t="s">
        <v>1921</v>
      </c>
      <c r="C485" t="s">
        <v>1922</v>
      </c>
      <c r="D485">
        <v>26</v>
      </c>
      <c r="E485" t="s">
        <v>1144</v>
      </c>
      <c r="F485" t="s">
        <v>3514</v>
      </c>
      <c r="G485" t="s">
        <v>1923</v>
      </c>
      <c r="H485">
        <v>10747</v>
      </c>
      <c r="I485">
        <v>10300</v>
      </c>
      <c r="J485" t="s">
        <v>360</v>
      </c>
      <c r="K485" t="s">
        <v>1363</v>
      </c>
      <c r="L485" t="s">
        <v>462</v>
      </c>
      <c r="M485">
        <v>585</v>
      </c>
      <c r="N485">
        <v>15322</v>
      </c>
      <c r="O485" t="s">
        <v>905</v>
      </c>
      <c r="P485" t="s">
        <v>48</v>
      </c>
      <c r="Q485" t="s">
        <v>225</v>
      </c>
      <c r="R485" t="s">
        <v>66</v>
      </c>
      <c r="S485" t="s">
        <v>96</v>
      </c>
      <c r="T485">
        <v>7352</v>
      </c>
      <c r="U485" t="s">
        <v>51</v>
      </c>
      <c r="V485">
        <v>1432</v>
      </c>
      <c r="W485">
        <v>1379</v>
      </c>
      <c r="X485" t="s">
        <v>407</v>
      </c>
      <c r="Y485" t="s">
        <v>245</v>
      </c>
      <c r="Z485" t="s">
        <v>533</v>
      </c>
      <c r="AA485" t="s">
        <v>363</v>
      </c>
      <c r="AB485">
        <v>7970</v>
      </c>
      <c r="AC485">
        <v>4774</v>
      </c>
      <c r="AD485">
        <v>1875</v>
      </c>
      <c r="AE485">
        <v>600</v>
      </c>
      <c r="AF485">
        <v>92</v>
      </c>
      <c r="AG485">
        <v>11</v>
      </c>
      <c r="AH485">
        <v>8188</v>
      </c>
      <c r="AI485">
        <v>102</v>
      </c>
      <c r="AJ485">
        <v>616</v>
      </c>
      <c r="AK485">
        <v>1733</v>
      </c>
      <c r="AL485">
        <v>110</v>
      </c>
      <c r="AM485">
        <v>23</v>
      </c>
      <c r="AN485" t="s">
        <v>590</v>
      </c>
      <c r="AO485">
        <f>AVERAGE(Tabla2[[#This Row],[total_kills]:[rating]])</f>
        <v>3853.2105263157896</v>
      </c>
      <c r="AP485" t="str">
        <f>VLOOKUP(Tabla2[[#This Row],[KPI]],$AS$2:$AT$5,2,1)</f>
        <v>Medio</v>
      </c>
    </row>
    <row r="486" spans="1:42" x14ac:dyDescent="0.3">
      <c r="A486">
        <v>16946</v>
      </c>
      <c r="B486" t="s">
        <v>2206</v>
      </c>
      <c r="C486" t="s">
        <v>2207</v>
      </c>
      <c r="D486">
        <v>28</v>
      </c>
      <c r="E486" t="s">
        <v>75</v>
      </c>
      <c r="F486" t="s">
        <v>2208</v>
      </c>
      <c r="G486" t="s">
        <v>2209</v>
      </c>
      <c r="H486">
        <v>9422</v>
      </c>
      <c r="I486">
        <v>9008</v>
      </c>
      <c r="J486" t="s">
        <v>360</v>
      </c>
      <c r="K486" t="s">
        <v>1047</v>
      </c>
      <c r="L486" t="s">
        <v>462</v>
      </c>
      <c r="M486">
        <v>519</v>
      </c>
      <c r="N486">
        <v>13706</v>
      </c>
      <c r="O486" t="s">
        <v>463</v>
      </c>
      <c r="P486" t="s">
        <v>235</v>
      </c>
      <c r="Q486" t="s">
        <v>322</v>
      </c>
      <c r="R486" t="s">
        <v>66</v>
      </c>
      <c r="S486" t="s">
        <v>96</v>
      </c>
      <c r="T486">
        <v>6584</v>
      </c>
      <c r="U486" t="s">
        <v>51</v>
      </c>
      <c r="V486">
        <v>1215</v>
      </c>
      <c r="W486">
        <v>1055</v>
      </c>
      <c r="X486" t="s">
        <v>84</v>
      </c>
      <c r="Y486" t="s">
        <v>245</v>
      </c>
      <c r="Z486" t="s">
        <v>745</v>
      </c>
      <c r="AA486" t="s">
        <v>2053</v>
      </c>
      <c r="AB486">
        <v>7122</v>
      </c>
      <c r="AC486">
        <v>4369</v>
      </c>
      <c r="AD486">
        <v>1695</v>
      </c>
      <c r="AE486">
        <v>426</v>
      </c>
      <c r="AF486">
        <v>85</v>
      </c>
      <c r="AG486">
        <v>9</v>
      </c>
      <c r="AH486">
        <v>7151</v>
      </c>
      <c r="AI486">
        <v>196</v>
      </c>
      <c r="AJ486">
        <v>611</v>
      </c>
      <c r="AK486">
        <v>1360</v>
      </c>
      <c r="AL486">
        <v>107</v>
      </c>
      <c r="AM486">
        <v>14</v>
      </c>
      <c r="AN486" t="s">
        <v>464</v>
      </c>
      <c r="AO486">
        <f>AVERAGE(Tabla2[[#This Row],[total_kills]:[rating]])</f>
        <v>3402.8421052631579</v>
      </c>
      <c r="AP486" t="str">
        <f>VLOOKUP(Tabla2[[#This Row],[KPI]],$AS$2:$AT$5,2,1)</f>
        <v>Medio</v>
      </c>
    </row>
    <row r="487" spans="1:42" x14ac:dyDescent="0.3">
      <c r="A487">
        <v>8413</v>
      </c>
      <c r="B487" t="s">
        <v>2227</v>
      </c>
      <c r="C487" t="s">
        <v>2228</v>
      </c>
      <c r="D487">
        <v>23</v>
      </c>
      <c r="E487" t="s">
        <v>379</v>
      </c>
      <c r="F487" t="s">
        <v>550</v>
      </c>
      <c r="G487" t="s">
        <v>2229</v>
      </c>
      <c r="H487">
        <v>19118</v>
      </c>
      <c r="I487">
        <v>18363</v>
      </c>
      <c r="J487" t="s">
        <v>360</v>
      </c>
      <c r="K487">
        <v>72</v>
      </c>
      <c r="L487" t="s">
        <v>143</v>
      </c>
      <c r="M487">
        <v>1072</v>
      </c>
      <c r="N487">
        <v>28513</v>
      </c>
      <c r="O487" t="s">
        <v>225</v>
      </c>
      <c r="P487" t="s">
        <v>48</v>
      </c>
      <c r="Q487" t="s">
        <v>65</v>
      </c>
      <c r="R487" t="s">
        <v>96</v>
      </c>
      <c r="S487" t="s">
        <v>67</v>
      </c>
      <c r="T487">
        <v>13202</v>
      </c>
      <c r="U487" t="s">
        <v>51</v>
      </c>
      <c r="V487">
        <v>2448</v>
      </c>
      <c r="W487">
        <v>2283</v>
      </c>
      <c r="X487" t="s">
        <v>464</v>
      </c>
      <c r="Y487" t="s">
        <v>472</v>
      </c>
      <c r="Z487" t="s">
        <v>1268</v>
      </c>
      <c r="AA487" t="s">
        <v>978</v>
      </c>
      <c r="AB487">
        <v>15311</v>
      </c>
      <c r="AC487">
        <v>8655</v>
      </c>
      <c r="AD487">
        <v>3386</v>
      </c>
      <c r="AE487">
        <v>982</v>
      </c>
      <c r="AF487">
        <v>160</v>
      </c>
      <c r="AG487">
        <v>19</v>
      </c>
      <c r="AH487">
        <v>15157</v>
      </c>
      <c r="AI487">
        <v>102</v>
      </c>
      <c r="AJ487">
        <v>566</v>
      </c>
      <c r="AK487">
        <v>3129</v>
      </c>
      <c r="AL487">
        <v>166</v>
      </c>
      <c r="AM487">
        <v>49</v>
      </c>
      <c r="AN487">
        <v>1</v>
      </c>
      <c r="AO487">
        <f>AVERAGE(Tabla2[[#This Row],[total_kills]:[rating]])</f>
        <v>6321.6190476190477</v>
      </c>
      <c r="AP487" t="str">
        <f>VLOOKUP(Tabla2[[#This Row],[KPI]],$AS$2:$AT$5,2,1)</f>
        <v>Alto</v>
      </c>
    </row>
    <row r="488" spans="1:42" x14ac:dyDescent="0.3">
      <c r="A488">
        <v>9903</v>
      </c>
      <c r="B488" t="s">
        <v>2478</v>
      </c>
      <c r="C488" t="s">
        <v>2479</v>
      </c>
      <c r="D488">
        <v>22</v>
      </c>
      <c r="E488" t="s">
        <v>196</v>
      </c>
      <c r="F488" t="s">
        <v>2221</v>
      </c>
      <c r="G488" t="s">
        <v>2480</v>
      </c>
      <c r="H488">
        <v>8207</v>
      </c>
      <c r="I488">
        <v>8167</v>
      </c>
      <c r="J488" t="s">
        <v>360</v>
      </c>
      <c r="K488">
        <v>74</v>
      </c>
      <c r="L488">
        <v>5</v>
      </c>
      <c r="M488">
        <v>462</v>
      </c>
      <c r="N488">
        <v>12321</v>
      </c>
      <c r="O488" t="s">
        <v>225</v>
      </c>
      <c r="P488" t="s">
        <v>235</v>
      </c>
      <c r="Q488" t="s">
        <v>322</v>
      </c>
      <c r="R488" t="s">
        <v>67</v>
      </c>
      <c r="S488" t="s">
        <v>67</v>
      </c>
      <c r="T488">
        <v>5585</v>
      </c>
      <c r="U488" t="s">
        <v>51</v>
      </c>
      <c r="V488">
        <v>1037</v>
      </c>
      <c r="W488">
        <v>1152</v>
      </c>
      <c r="X488" t="s">
        <v>1906</v>
      </c>
      <c r="Y488" t="s">
        <v>950</v>
      </c>
      <c r="Z488" t="s">
        <v>2481</v>
      </c>
      <c r="AA488" t="s">
        <v>1985</v>
      </c>
      <c r="AB488">
        <v>6736</v>
      </c>
      <c r="AC488">
        <v>3605</v>
      </c>
      <c r="AD488">
        <v>1439</v>
      </c>
      <c r="AE488">
        <v>446</v>
      </c>
      <c r="AF488">
        <v>89</v>
      </c>
      <c r="AG488">
        <v>6</v>
      </c>
      <c r="AH488">
        <v>5683</v>
      </c>
      <c r="AI488">
        <v>136</v>
      </c>
      <c r="AJ488">
        <v>795</v>
      </c>
      <c r="AK488">
        <v>1484</v>
      </c>
      <c r="AL488">
        <v>96</v>
      </c>
      <c r="AM488">
        <v>33</v>
      </c>
      <c r="AN488" t="s">
        <v>285</v>
      </c>
      <c r="AO488">
        <f>AVERAGE(Tabla2[[#This Row],[total_kills]:[rating]])</f>
        <v>2740.8571428571427</v>
      </c>
      <c r="AP488" t="str">
        <f>VLOOKUP(Tabla2[[#This Row],[KPI]],$AS$2:$AT$5,2,1)</f>
        <v>Bajo</v>
      </c>
    </row>
    <row r="489" spans="1:42" x14ac:dyDescent="0.3">
      <c r="A489">
        <v>9291</v>
      </c>
      <c r="B489" t="s">
        <v>2522</v>
      </c>
      <c r="C489" t="s">
        <v>2523</v>
      </c>
      <c r="D489">
        <v>24</v>
      </c>
      <c r="E489" t="s">
        <v>1033</v>
      </c>
      <c r="F489" t="s">
        <v>2524</v>
      </c>
      <c r="G489" t="s">
        <v>2525</v>
      </c>
      <c r="H489">
        <v>7065</v>
      </c>
      <c r="I489">
        <v>7067</v>
      </c>
      <c r="J489" t="s">
        <v>360</v>
      </c>
      <c r="K489" t="s">
        <v>624</v>
      </c>
      <c r="L489" t="s">
        <v>471</v>
      </c>
      <c r="M489">
        <v>399</v>
      </c>
      <c r="N489">
        <v>10544</v>
      </c>
      <c r="O489" t="s">
        <v>225</v>
      </c>
      <c r="P489" t="s">
        <v>235</v>
      </c>
      <c r="Q489" t="s">
        <v>225</v>
      </c>
      <c r="R489" t="s">
        <v>50</v>
      </c>
      <c r="S489" t="s">
        <v>48</v>
      </c>
      <c r="T489">
        <v>4819</v>
      </c>
      <c r="U489" t="s">
        <v>51</v>
      </c>
      <c r="V489">
        <v>799</v>
      </c>
      <c r="W489">
        <v>811</v>
      </c>
      <c r="X489" t="s">
        <v>285</v>
      </c>
      <c r="Y489" t="s">
        <v>1314</v>
      </c>
      <c r="Z489" t="s">
        <v>583</v>
      </c>
      <c r="AA489" t="s">
        <v>1572</v>
      </c>
      <c r="AB489">
        <v>5725</v>
      </c>
      <c r="AC489">
        <v>3131</v>
      </c>
      <c r="AD489">
        <v>1214</v>
      </c>
      <c r="AE489">
        <v>396</v>
      </c>
      <c r="AF489">
        <v>72</v>
      </c>
      <c r="AG489">
        <v>6</v>
      </c>
      <c r="AH489">
        <v>5342</v>
      </c>
      <c r="AI489">
        <v>80</v>
      </c>
      <c r="AJ489">
        <v>314</v>
      </c>
      <c r="AK489">
        <v>1274</v>
      </c>
      <c r="AL489">
        <v>61</v>
      </c>
      <c r="AM489">
        <v>13</v>
      </c>
      <c r="AN489" t="s">
        <v>285</v>
      </c>
      <c r="AO489">
        <f>AVERAGE(Tabla2[[#This Row],[total_kills]:[rating]])</f>
        <v>2585.8947368421054</v>
      </c>
      <c r="AP489" t="str">
        <f>VLOOKUP(Tabla2[[#This Row],[KPI]],$AS$2:$AT$5,2,1)</f>
        <v>Bajo</v>
      </c>
    </row>
    <row r="490" spans="1:42" x14ac:dyDescent="0.3">
      <c r="A490">
        <v>14055</v>
      </c>
      <c r="B490" t="s">
        <v>2762</v>
      </c>
      <c r="C490" t="s">
        <v>2763</v>
      </c>
      <c r="D490">
        <v>25</v>
      </c>
      <c r="E490" t="s">
        <v>75</v>
      </c>
      <c r="F490" t="s">
        <v>2300</v>
      </c>
      <c r="G490" t="s">
        <v>2764</v>
      </c>
      <c r="H490">
        <v>6962</v>
      </c>
      <c r="I490">
        <v>7069</v>
      </c>
      <c r="J490" t="s">
        <v>360</v>
      </c>
      <c r="K490">
        <v>74</v>
      </c>
      <c r="L490" t="s">
        <v>294</v>
      </c>
      <c r="M490">
        <v>395</v>
      </c>
      <c r="N490">
        <v>10494</v>
      </c>
      <c r="O490" t="s">
        <v>322</v>
      </c>
      <c r="P490" t="s">
        <v>235</v>
      </c>
      <c r="Q490" t="s">
        <v>225</v>
      </c>
      <c r="R490" t="s">
        <v>50</v>
      </c>
      <c r="S490" t="s">
        <v>67</v>
      </c>
      <c r="T490">
        <v>4820</v>
      </c>
      <c r="U490" t="s">
        <v>51</v>
      </c>
      <c r="V490">
        <v>933</v>
      </c>
      <c r="W490">
        <v>1024</v>
      </c>
      <c r="X490" t="s">
        <v>1749</v>
      </c>
      <c r="Y490" t="s">
        <v>820</v>
      </c>
      <c r="Z490" t="s">
        <v>237</v>
      </c>
      <c r="AA490" t="s">
        <v>1171</v>
      </c>
      <c r="AB490">
        <v>5674</v>
      </c>
      <c r="AC490">
        <v>3172</v>
      </c>
      <c r="AD490">
        <v>1242</v>
      </c>
      <c r="AE490">
        <v>323</v>
      </c>
      <c r="AF490">
        <v>78</v>
      </c>
      <c r="AG490">
        <v>5</v>
      </c>
      <c r="AH490">
        <v>4951</v>
      </c>
      <c r="AI490">
        <v>189</v>
      </c>
      <c r="AJ490">
        <v>496</v>
      </c>
      <c r="AK490">
        <v>1241</v>
      </c>
      <c r="AL490">
        <v>89</v>
      </c>
      <c r="AM490">
        <v>10</v>
      </c>
      <c r="AN490" t="s">
        <v>412</v>
      </c>
      <c r="AO490">
        <f>AVERAGE(Tabla2[[#This Row],[total_kills]:[rating]])</f>
        <v>2462.0500000000002</v>
      </c>
      <c r="AP490" t="str">
        <f>VLOOKUP(Tabla2[[#This Row],[KPI]],$AS$2:$AT$5,2,1)</f>
        <v>Bajo</v>
      </c>
    </row>
    <row r="491" spans="1:42" x14ac:dyDescent="0.3">
      <c r="A491">
        <v>10666</v>
      </c>
      <c r="B491" t="s">
        <v>2799</v>
      </c>
      <c r="C491" t="s">
        <v>2800</v>
      </c>
      <c r="D491">
        <v>24</v>
      </c>
      <c r="E491" t="s">
        <v>477</v>
      </c>
      <c r="F491" t="s">
        <v>593</v>
      </c>
      <c r="G491" t="s">
        <v>2801</v>
      </c>
      <c r="H491">
        <v>8516</v>
      </c>
      <c r="I491">
        <v>8729</v>
      </c>
      <c r="J491" t="s">
        <v>360</v>
      </c>
      <c r="K491" t="s">
        <v>1234</v>
      </c>
      <c r="L491" t="s">
        <v>462</v>
      </c>
      <c r="M491">
        <v>495</v>
      </c>
      <c r="N491">
        <v>12791</v>
      </c>
      <c r="O491" t="s">
        <v>225</v>
      </c>
      <c r="P491" t="s">
        <v>202</v>
      </c>
      <c r="Q491" t="s">
        <v>167</v>
      </c>
      <c r="R491" t="s">
        <v>50</v>
      </c>
      <c r="S491" t="s">
        <v>50</v>
      </c>
      <c r="T491">
        <v>5886</v>
      </c>
      <c r="U491" t="s">
        <v>51</v>
      </c>
      <c r="V491">
        <v>1143</v>
      </c>
      <c r="W491">
        <v>1262</v>
      </c>
      <c r="X491" t="s">
        <v>1749</v>
      </c>
      <c r="Y491" t="s">
        <v>820</v>
      </c>
      <c r="Z491" t="s">
        <v>809</v>
      </c>
      <c r="AA491" t="s">
        <v>1244</v>
      </c>
      <c r="AB491">
        <v>6905</v>
      </c>
      <c r="AC491">
        <v>3884</v>
      </c>
      <c r="AD491">
        <v>1466</v>
      </c>
      <c r="AE491">
        <v>450</v>
      </c>
      <c r="AF491">
        <v>80</v>
      </c>
      <c r="AG491">
        <v>6</v>
      </c>
      <c r="AH491">
        <v>6228</v>
      </c>
      <c r="AI491">
        <v>254</v>
      </c>
      <c r="AJ491">
        <v>512</v>
      </c>
      <c r="AK491">
        <v>1409</v>
      </c>
      <c r="AL491">
        <v>100</v>
      </c>
      <c r="AM491">
        <v>44</v>
      </c>
      <c r="AN491" t="s">
        <v>449</v>
      </c>
      <c r="AO491">
        <f>AVERAGE(Tabla2[[#This Row],[total_kills]:[rating]])</f>
        <v>3166.3157894736842</v>
      </c>
      <c r="AP491" t="str">
        <f>VLOOKUP(Tabla2[[#This Row],[KPI]],$AS$2:$AT$5,2,1)</f>
        <v>Bajo</v>
      </c>
    </row>
    <row r="492" spans="1:42" x14ac:dyDescent="0.3">
      <c r="A492">
        <v>14957</v>
      </c>
      <c r="B492" t="s">
        <v>2805</v>
      </c>
      <c r="C492" t="s">
        <v>2806</v>
      </c>
      <c r="D492">
        <v>23</v>
      </c>
      <c r="E492" t="s">
        <v>299</v>
      </c>
      <c r="F492" t="s">
        <v>3514</v>
      </c>
      <c r="G492" t="s">
        <v>2807</v>
      </c>
      <c r="H492">
        <v>7380</v>
      </c>
      <c r="I492">
        <v>7600</v>
      </c>
      <c r="J492" t="s">
        <v>360</v>
      </c>
      <c r="K492" t="s">
        <v>2052</v>
      </c>
      <c r="L492" t="s">
        <v>164</v>
      </c>
      <c r="M492">
        <v>433</v>
      </c>
      <c r="N492">
        <v>11216</v>
      </c>
      <c r="O492" t="s">
        <v>322</v>
      </c>
      <c r="P492" t="s">
        <v>202</v>
      </c>
      <c r="Q492" t="s">
        <v>167</v>
      </c>
      <c r="R492" t="s">
        <v>50</v>
      </c>
      <c r="S492" t="s">
        <v>50</v>
      </c>
      <c r="T492">
        <v>5083</v>
      </c>
      <c r="U492" t="s">
        <v>51</v>
      </c>
      <c r="V492">
        <v>867</v>
      </c>
      <c r="W492">
        <v>968</v>
      </c>
      <c r="X492" t="s">
        <v>1906</v>
      </c>
      <c r="Y492" t="s">
        <v>1749</v>
      </c>
      <c r="Z492" t="s">
        <v>183</v>
      </c>
      <c r="AA492" t="s">
        <v>2429</v>
      </c>
      <c r="AB492">
        <v>6133</v>
      </c>
      <c r="AC492">
        <v>3351</v>
      </c>
      <c r="AD492">
        <v>1268</v>
      </c>
      <c r="AE492">
        <v>373</v>
      </c>
      <c r="AF492">
        <v>81</v>
      </c>
      <c r="AG492">
        <v>10</v>
      </c>
      <c r="AH492">
        <v>5233</v>
      </c>
      <c r="AI492">
        <v>395</v>
      </c>
      <c r="AJ492">
        <v>346</v>
      </c>
      <c r="AK492">
        <v>1320</v>
      </c>
      <c r="AL492">
        <v>99</v>
      </c>
      <c r="AM492">
        <v>13</v>
      </c>
      <c r="AN492" t="s">
        <v>255</v>
      </c>
      <c r="AO492">
        <f>AVERAGE(Tabla2[[#This Row],[total_kills]:[rating]])</f>
        <v>2745.7368421052633</v>
      </c>
      <c r="AP492" t="str">
        <f>VLOOKUP(Tabla2[[#This Row],[KPI]],$AS$2:$AT$5,2,1)</f>
        <v>Bajo</v>
      </c>
    </row>
    <row r="493" spans="1:42" x14ac:dyDescent="0.3">
      <c r="A493">
        <v>13980</v>
      </c>
      <c r="B493" t="s">
        <v>740</v>
      </c>
      <c r="C493" t="s">
        <v>741</v>
      </c>
      <c r="D493">
        <v>26</v>
      </c>
      <c r="E493" t="s">
        <v>742</v>
      </c>
      <c r="F493" t="s">
        <v>90</v>
      </c>
      <c r="G493" t="s">
        <v>743</v>
      </c>
      <c r="H493">
        <v>23585</v>
      </c>
      <c r="I493">
        <v>21089</v>
      </c>
      <c r="J493" t="s">
        <v>744</v>
      </c>
      <c r="K493">
        <v>82</v>
      </c>
      <c r="L493" t="s">
        <v>589</v>
      </c>
      <c r="M493">
        <v>1172</v>
      </c>
      <c r="N493">
        <v>31354</v>
      </c>
      <c r="O493" t="s">
        <v>180</v>
      </c>
      <c r="P493" t="s">
        <v>202</v>
      </c>
      <c r="Q493" t="s">
        <v>225</v>
      </c>
      <c r="R493" t="s">
        <v>96</v>
      </c>
      <c r="S493" t="s">
        <v>50</v>
      </c>
      <c r="T493">
        <v>15620</v>
      </c>
      <c r="U493" t="s">
        <v>51</v>
      </c>
      <c r="V493">
        <v>3106</v>
      </c>
      <c r="W493">
        <v>2483</v>
      </c>
      <c r="X493" t="s">
        <v>72</v>
      </c>
      <c r="Y493" t="s">
        <v>412</v>
      </c>
      <c r="Z493" t="s">
        <v>745</v>
      </c>
      <c r="AA493" t="s">
        <v>746</v>
      </c>
      <c r="AB493">
        <v>15734</v>
      </c>
      <c r="AC493">
        <v>9784</v>
      </c>
      <c r="AD493">
        <v>4105</v>
      </c>
      <c r="AE493">
        <v>1376</v>
      </c>
      <c r="AF493">
        <v>312</v>
      </c>
      <c r="AG493">
        <v>43</v>
      </c>
      <c r="AH493">
        <v>17821</v>
      </c>
      <c r="AI493">
        <v>260</v>
      </c>
      <c r="AJ493">
        <v>1602</v>
      </c>
      <c r="AK493">
        <v>3691</v>
      </c>
      <c r="AL493">
        <v>233</v>
      </c>
      <c r="AM493">
        <v>28</v>
      </c>
      <c r="AN493" t="s">
        <v>111</v>
      </c>
      <c r="AO493">
        <f>AVERAGE(Tabla2[[#This Row],[total_kills]:[rating]])</f>
        <v>7674</v>
      </c>
      <c r="AP493" t="str">
        <f>VLOOKUP(Tabla2[[#This Row],[KPI]],$AS$2:$AT$5,2,1)</f>
        <v>Superior</v>
      </c>
    </row>
    <row r="494" spans="1:42" x14ac:dyDescent="0.3">
      <c r="A494">
        <v>10610</v>
      </c>
      <c r="B494" t="s">
        <v>1491</v>
      </c>
      <c r="C494" t="s">
        <v>1492</v>
      </c>
      <c r="D494">
        <v>24</v>
      </c>
      <c r="E494" t="s">
        <v>196</v>
      </c>
      <c r="F494" t="s">
        <v>1396</v>
      </c>
      <c r="G494" t="s">
        <v>1493</v>
      </c>
      <c r="H494">
        <v>18323</v>
      </c>
      <c r="I494">
        <v>16980</v>
      </c>
      <c r="J494" t="s">
        <v>744</v>
      </c>
      <c r="K494" t="s">
        <v>1494</v>
      </c>
      <c r="L494" t="s">
        <v>93</v>
      </c>
      <c r="M494">
        <v>978</v>
      </c>
      <c r="N494">
        <v>26051</v>
      </c>
      <c r="O494" t="s">
        <v>905</v>
      </c>
      <c r="P494" t="s">
        <v>67</v>
      </c>
      <c r="Q494" t="s">
        <v>276</v>
      </c>
      <c r="R494" t="s">
        <v>50</v>
      </c>
      <c r="S494" t="s">
        <v>50</v>
      </c>
      <c r="T494">
        <v>12351</v>
      </c>
      <c r="U494" t="s">
        <v>51</v>
      </c>
      <c r="V494">
        <v>2432</v>
      </c>
      <c r="W494">
        <v>2263</v>
      </c>
      <c r="X494" t="s">
        <v>464</v>
      </c>
      <c r="Y494" t="s">
        <v>285</v>
      </c>
      <c r="Z494" t="s">
        <v>427</v>
      </c>
      <c r="AA494" t="s">
        <v>1244</v>
      </c>
      <c r="AB494">
        <v>13700</v>
      </c>
      <c r="AC494">
        <v>7858</v>
      </c>
      <c r="AD494">
        <v>3274</v>
      </c>
      <c r="AE494">
        <v>987</v>
      </c>
      <c r="AF494">
        <v>204</v>
      </c>
      <c r="AG494">
        <v>28</v>
      </c>
      <c r="AH494">
        <v>13187</v>
      </c>
      <c r="AI494">
        <v>814</v>
      </c>
      <c r="AJ494">
        <v>988</v>
      </c>
      <c r="AK494">
        <v>3113</v>
      </c>
      <c r="AL494">
        <v>215</v>
      </c>
      <c r="AM494">
        <v>54</v>
      </c>
      <c r="AN494" t="s">
        <v>277</v>
      </c>
      <c r="AO494">
        <f>AVERAGE(Tabla2[[#This Row],[total_kills]:[rating]])</f>
        <v>6515.7894736842109</v>
      </c>
      <c r="AP494" t="str">
        <f>VLOOKUP(Tabla2[[#This Row],[KPI]],$AS$2:$AT$5,2,1)</f>
        <v>Alto</v>
      </c>
    </row>
    <row r="495" spans="1:42" x14ac:dyDescent="0.3">
      <c r="A495">
        <v>8994</v>
      </c>
      <c r="B495" t="s">
        <v>1835</v>
      </c>
      <c r="C495" t="s">
        <v>1836</v>
      </c>
      <c r="D495">
        <v>25</v>
      </c>
      <c r="E495" t="s">
        <v>446</v>
      </c>
      <c r="F495" t="s">
        <v>1744</v>
      </c>
      <c r="G495" t="s">
        <v>1837</v>
      </c>
      <c r="H495">
        <v>20297</v>
      </c>
      <c r="I495">
        <v>19875</v>
      </c>
      <c r="J495" t="s">
        <v>744</v>
      </c>
      <c r="K495" t="s">
        <v>424</v>
      </c>
      <c r="L495" t="s">
        <v>575</v>
      </c>
      <c r="M495">
        <v>1068</v>
      </c>
      <c r="N495">
        <v>28553</v>
      </c>
      <c r="O495" t="s">
        <v>646</v>
      </c>
      <c r="P495" t="s">
        <v>166</v>
      </c>
      <c r="Q495" t="s">
        <v>905</v>
      </c>
      <c r="R495" t="s">
        <v>50</v>
      </c>
      <c r="S495" t="s">
        <v>67</v>
      </c>
      <c r="T495">
        <v>13462</v>
      </c>
      <c r="U495" t="s">
        <v>51</v>
      </c>
      <c r="V495">
        <v>2800</v>
      </c>
      <c r="W495">
        <v>3048</v>
      </c>
      <c r="X495" t="s">
        <v>1314</v>
      </c>
      <c r="Y495" t="s">
        <v>245</v>
      </c>
      <c r="Z495" t="s">
        <v>170</v>
      </c>
      <c r="AA495" t="s">
        <v>560</v>
      </c>
      <c r="AB495">
        <v>15091</v>
      </c>
      <c r="AC495">
        <v>8348</v>
      </c>
      <c r="AD495">
        <v>3682</v>
      </c>
      <c r="AE495">
        <v>1166</v>
      </c>
      <c r="AF495">
        <v>243</v>
      </c>
      <c r="AG495">
        <v>23</v>
      </c>
      <c r="AH495">
        <v>14653</v>
      </c>
      <c r="AI495">
        <v>491</v>
      </c>
      <c r="AJ495">
        <v>1671</v>
      </c>
      <c r="AK495">
        <v>3163</v>
      </c>
      <c r="AL495">
        <v>295</v>
      </c>
      <c r="AM495">
        <v>71</v>
      </c>
      <c r="AN495" t="s">
        <v>449</v>
      </c>
      <c r="AO495">
        <f>AVERAGE(Tabla2[[#This Row],[total_kills]:[rating]])</f>
        <v>7263.1578947368425</v>
      </c>
      <c r="AP495" t="str">
        <f>VLOOKUP(Tabla2[[#This Row],[KPI]],$AS$2:$AT$5,2,1)</f>
        <v>Superior</v>
      </c>
    </row>
    <row r="496" spans="1:42" x14ac:dyDescent="0.3">
      <c r="A496">
        <v>9081</v>
      </c>
      <c r="B496" t="s">
        <v>3203</v>
      </c>
      <c r="C496" t="s">
        <v>3204</v>
      </c>
      <c r="D496">
        <v>27</v>
      </c>
      <c r="E496" t="s">
        <v>75</v>
      </c>
      <c r="F496" t="s">
        <v>3205</v>
      </c>
      <c r="G496" t="s">
        <v>2505</v>
      </c>
      <c r="H496">
        <v>21364</v>
      </c>
      <c r="I496">
        <v>23267</v>
      </c>
      <c r="J496" t="s">
        <v>744</v>
      </c>
      <c r="K496" t="s">
        <v>1435</v>
      </c>
      <c r="L496" t="s">
        <v>282</v>
      </c>
      <c r="M496">
        <v>1289</v>
      </c>
      <c r="N496">
        <v>33952</v>
      </c>
      <c r="O496" t="s">
        <v>215</v>
      </c>
      <c r="P496" t="s">
        <v>235</v>
      </c>
      <c r="Q496" t="s">
        <v>463</v>
      </c>
      <c r="R496" t="s">
        <v>50</v>
      </c>
      <c r="S496" t="s">
        <v>96</v>
      </c>
      <c r="T496">
        <v>14823</v>
      </c>
      <c r="U496" t="s">
        <v>51</v>
      </c>
      <c r="V496">
        <v>3195</v>
      </c>
      <c r="W496">
        <v>3682</v>
      </c>
      <c r="X496" t="s">
        <v>2324</v>
      </c>
      <c r="Y496" t="s">
        <v>472</v>
      </c>
      <c r="Z496" t="s">
        <v>473</v>
      </c>
      <c r="AA496" t="s">
        <v>640</v>
      </c>
      <c r="AB496">
        <v>19129</v>
      </c>
      <c r="AC496">
        <v>9774</v>
      </c>
      <c r="AD496">
        <v>3787</v>
      </c>
      <c r="AE496">
        <v>1053</v>
      </c>
      <c r="AF496">
        <v>188</v>
      </c>
      <c r="AG496">
        <v>21</v>
      </c>
      <c r="AH496">
        <v>14688</v>
      </c>
      <c r="AI496">
        <v>1260</v>
      </c>
      <c r="AJ496">
        <v>1781</v>
      </c>
      <c r="AK496">
        <v>3195</v>
      </c>
      <c r="AL496">
        <v>338</v>
      </c>
      <c r="AM496">
        <v>149</v>
      </c>
      <c r="AN496" t="s">
        <v>1314</v>
      </c>
      <c r="AO496">
        <f>AVERAGE(Tabla2[[#This Row],[total_kills]:[rating]])</f>
        <v>8259.7368421052633</v>
      </c>
      <c r="AP496" t="str">
        <f>VLOOKUP(Tabla2[[#This Row],[KPI]],$AS$2:$AT$5,2,1)</f>
        <v>Superior</v>
      </c>
    </row>
    <row r="497" spans="1:42" x14ac:dyDescent="0.3">
      <c r="A497">
        <v>9736</v>
      </c>
      <c r="B497" t="s">
        <v>3251</v>
      </c>
      <c r="C497" t="s">
        <v>3252</v>
      </c>
      <c r="D497">
        <v>27</v>
      </c>
      <c r="E497" t="s">
        <v>403</v>
      </c>
      <c r="F497" t="s">
        <v>2267</v>
      </c>
      <c r="G497" t="s">
        <v>3253</v>
      </c>
      <c r="H497">
        <v>8444</v>
      </c>
      <c r="I497">
        <v>9152</v>
      </c>
      <c r="J497" t="s">
        <v>744</v>
      </c>
      <c r="K497" t="s">
        <v>3254</v>
      </c>
      <c r="L497" t="s">
        <v>331</v>
      </c>
      <c r="M497">
        <v>532</v>
      </c>
      <c r="N497">
        <v>13663</v>
      </c>
      <c r="O497" t="s">
        <v>144</v>
      </c>
      <c r="P497" t="s">
        <v>235</v>
      </c>
      <c r="Q497" t="s">
        <v>225</v>
      </c>
      <c r="R497" t="s">
        <v>67</v>
      </c>
      <c r="S497" t="s">
        <v>96</v>
      </c>
      <c r="T497">
        <v>5984</v>
      </c>
      <c r="U497" t="s">
        <v>51</v>
      </c>
      <c r="V497">
        <v>1014</v>
      </c>
      <c r="W497">
        <v>1032</v>
      </c>
      <c r="X497" t="s">
        <v>245</v>
      </c>
      <c r="Y497" t="s">
        <v>1749</v>
      </c>
      <c r="Z497" t="s">
        <v>3255</v>
      </c>
      <c r="AA497" t="s">
        <v>951</v>
      </c>
      <c r="AB497">
        <v>7679</v>
      </c>
      <c r="AC497">
        <v>4010</v>
      </c>
      <c r="AD497">
        <v>1561</v>
      </c>
      <c r="AE497">
        <v>343</v>
      </c>
      <c r="AF497">
        <v>67</v>
      </c>
      <c r="AG497">
        <v>3</v>
      </c>
      <c r="AH497">
        <v>5629</v>
      </c>
      <c r="AI497">
        <v>298</v>
      </c>
      <c r="AJ497">
        <v>920</v>
      </c>
      <c r="AK497">
        <v>1495</v>
      </c>
      <c r="AL497">
        <v>107</v>
      </c>
      <c r="AM497">
        <v>23</v>
      </c>
      <c r="AN497" t="s">
        <v>1749</v>
      </c>
      <c r="AO497">
        <f>AVERAGE(Tabla2[[#This Row],[total_kills]:[rating]])</f>
        <v>3260.8421052631579</v>
      </c>
      <c r="AP497" t="str">
        <f>VLOOKUP(Tabla2[[#This Row],[KPI]],$AS$2:$AT$5,2,1)</f>
        <v>Bajo</v>
      </c>
    </row>
    <row r="498" spans="1:42" x14ac:dyDescent="0.3">
      <c r="A498">
        <v>8983</v>
      </c>
      <c r="B498" t="s">
        <v>3301</v>
      </c>
      <c r="C498" t="s">
        <v>3302</v>
      </c>
      <c r="D498">
        <v>25</v>
      </c>
      <c r="E498" t="s">
        <v>141</v>
      </c>
      <c r="F498" t="s">
        <v>1093</v>
      </c>
      <c r="G498" t="s">
        <v>1093</v>
      </c>
      <c r="H498">
        <v>18352</v>
      </c>
      <c r="I498">
        <v>20377</v>
      </c>
      <c r="J498" t="s">
        <v>744</v>
      </c>
      <c r="K498" t="s">
        <v>3303</v>
      </c>
      <c r="L498" t="s">
        <v>1352</v>
      </c>
      <c r="M498">
        <v>1174</v>
      </c>
      <c r="N498">
        <v>31108</v>
      </c>
      <c r="O498" t="s">
        <v>95</v>
      </c>
      <c r="P498" t="s">
        <v>202</v>
      </c>
      <c r="Q498" t="s">
        <v>322</v>
      </c>
      <c r="R498" t="s">
        <v>50</v>
      </c>
      <c r="S498" t="s">
        <v>96</v>
      </c>
      <c r="T498">
        <v>12919</v>
      </c>
      <c r="U498" t="s">
        <v>51</v>
      </c>
      <c r="V498">
        <v>2447</v>
      </c>
      <c r="W498">
        <v>3219</v>
      </c>
      <c r="X498" t="s">
        <v>234</v>
      </c>
      <c r="Y498" t="s">
        <v>1551</v>
      </c>
      <c r="Z498" t="s">
        <v>1020</v>
      </c>
      <c r="AA498" t="s">
        <v>1572</v>
      </c>
      <c r="AB498">
        <v>18189</v>
      </c>
      <c r="AC498">
        <v>8720</v>
      </c>
      <c r="AD498">
        <v>3137</v>
      </c>
      <c r="AE498">
        <v>901</v>
      </c>
      <c r="AF498">
        <v>151</v>
      </c>
      <c r="AG498">
        <v>10</v>
      </c>
      <c r="AH498">
        <v>12602</v>
      </c>
      <c r="AI498">
        <v>599</v>
      </c>
      <c r="AJ498">
        <v>1530</v>
      </c>
      <c r="AK498">
        <v>3245</v>
      </c>
      <c r="AL498">
        <v>374</v>
      </c>
      <c r="AM498">
        <v>68</v>
      </c>
      <c r="AN498" t="s">
        <v>1906</v>
      </c>
      <c r="AO498">
        <f>AVERAGE(Tabla2[[#This Row],[total_kills]:[rating]])</f>
        <v>7322.2105263157891</v>
      </c>
      <c r="AP498" t="str">
        <f>VLOOKUP(Tabla2[[#This Row],[KPI]],$AS$2:$AT$5,2,1)</f>
        <v>Superior</v>
      </c>
    </row>
    <row r="499" spans="1:42" x14ac:dyDescent="0.3">
      <c r="A499">
        <v>39</v>
      </c>
      <c r="B499" t="s">
        <v>720</v>
      </c>
      <c r="C499" t="s">
        <v>721</v>
      </c>
      <c r="D499">
        <v>32</v>
      </c>
      <c r="E499" t="s">
        <v>545</v>
      </c>
      <c r="F499" t="s">
        <v>3514</v>
      </c>
      <c r="G499" t="s">
        <v>197</v>
      </c>
      <c r="H499">
        <v>33271</v>
      </c>
      <c r="I499">
        <v>28973</v>
      </c>
      <c r="J499" t="s">
        <v>722</v>
      </c>
      <c r="K499" t="s">
        <v>723</v>
      </c>
      <c r="L499" t="s">
        <v>224</v>
      </c>
      <c r="M499">
        <v>1745</v>
      </c>
      <c r="N499">
        <v>45030</v>
      </c>
      <c r="O499" t="s">
        <v>283</v>
      </c>
      <c r="P499" t="s">
        <v>166</v>
      </c>
      <c r="Q499" t="s">
        <v>65</v>
      </c>
      <c r="R499" t="s">
        <v>96</v>
      </c>
      <c r="S499" t="s">
        <v>66</v>
      </c>
      <c r="T499">
        <v>22118</v>
      </c>
      <c r="U499" t="s">
        <v>51</v>
      </c>
      <c r="V499">
        <v>4471</v>
      </c>
      <c r="W499">
        <v>4183</v>
      </c>
      <c r="X499" t="s">
        <v>464</v>
      </c>
      <c r="Y499" t="s">
        <v>255</v>
      </c>
      <c r="Z499" t="s">
        <v>112</v>
      </c>
      <c r="AA499" t="s">
        <v>724</v>
      </c>
      <c r="AB499">
        <v>22912</v>
      </c>
      <c r="AC499">
        <v>13750</v>
      </c>
      <c r="AD499">
        <v>6125</v>
      </c>
      <c r="AE499">
        <v>1838</v>
      </c>
      <c r="AF499">
        <v>359</v>
      </c>
      <c r="AG499">
        <v>46</v>
      </c>
      <c r="AH499">
        <v>24114</v>
      </c>
      <c r="AI499">
        <v>947</v>
      </c>
      <c r="AJ499">
        <v>2224</v>
      </c>
      <c r="AK499">
        <v>4999</v>
      </c>
      <c r="AL499">
        <v>464</v>
      </c>
      <c r="AM499">
        <v>548</v>
      </c>
      <c r="AN499" t="s">
        <v>295</v>
      </c>
      <c r="AO499">
        <f>AVERAGE(Tabla2[[#This Row],[total_kills]:[rating]])</f>
        <v>11479.842105263158</v>
      </c>
      <c r="AP499" t="str">
        <f>VLOOKUP(Tabla2[[#This Row],[KPI]],$AS$2:$AT$5,2,1)</f>
        <v>Superior</v>
      </c>
    </row>
    <row r="500" spans="1:42" x14ac:dyDescent="0.3">
      <c r="A500">
        <v>17510</v>
      </c>
      <c r="B500" t="s">
        <v>2132</v>
      </c>
      <c r="C500" t="s">
        <v>2133</v>
      </c>
      <c r="D500">
        <v>22</v>
      </c>
      <c r="E500" t="s">
        <v>500</v>
      </c>
      <c r="F500" t="s">
        <v>1098</v>
      </c>
      <c r="G500" t="s">
        <v>2134</v>
      </c>
      <c r="H500">
        <v>7287</v>
      </c>
      <c r="I500">
        <v>7168</v>
      </c>
      <c r="J500" t="s">
        <v>722</v>
      </c>
      <c r="K500" t="s">
        <v>843</v>
      </c>
      <c r="L500" t="s">
        <v>294</v>
      </c>
      <c r="M500">
        <v>394</v>
      </c>
      <c r="N500">
        <v>10297</v>
      </c>
      <c r="O500" t="s">
        <v>646</v>
      </c>
      <c r="P500" t="s">
        <v>202</v>
      </c>
      <c r="Q500" t="s">
        <v>905</v>
      </c>
      <c r="R500" t="s">
        <v>96</v>
      </c>
      <c r="S500" t="s">
        <v>96</v>
      </c>
      <c r="T500">
        <v>4913</v>
      </c>
      <c r="U500" t="s">
        <v>51</v>
      </c>
      <c r="V500">
        <v>1143</v>
      </c>
      <c r="W500">
        <v>1112</v>
      </c>
      <c r="X500" t="s">
        <v>412</v>
      </c>
      <c r="Y500" t="s">
        <v>407</v>
      </c>
      <c r="Z500" t="s">
        <v>2135</v>
      </c>
      <c r="AA500" t="s">
        <v>568</v>
      </c>
      <c r="AB500">
        <v>5384</v>
      </c>
      <c r="AC500">
        <v>3095</v>
      </c>
      <c r="AD500">
        <v>1341</v>
      </c>
      <c r="AE500">
        <v>403</v>
      </c>
      <c r="AF500">
        <v>69</v>
      </c>
      <c r="AG500">
        <v>5</v>
      </c>
      <c r="AH500">
        <v>5234</v>
      </c>
      <c r="AI500">
        <v>160</v>
      </c>
      <c r="AJ500">
        <v>527</v>
      </c>
      <c r="AK500">
        <v>1185</v>
      </c>
      <c r="AL500">
        <v>63</v>
      </c>
      <c r="AM500">
        <v>146</v>
      </c>
      <c r="AN500" t="s">
        <v>464</v>
      </c>
      <c r="AO500">
        <f>AVERAGE(Tabla2[[#This Row],[total_kills]:[rating]])</f>
        <v>2627.6842105263158</v>
      </c>
      <c r="AP500" t="str">
        <f>VLOOKUP(Tabla2[[#This Row],[KPI]],$AS$2:$AT$5,2,1)</f>
        <v>Bajo</v>
      </c>
    </row>
    <row r="501" spans="1:42" x14ac:dyDescent="0.3">
      <c r="A501">
        <v>13093</v>
      </c>
      <c r="B501" t="s">
        <v>2529</v>
      </c>
      <c r="C501" t="s">
        <v>2530</v>
      </c>
      <c r="D501">
        <v>26</v>
      </c>
      <c r="E501" t="s">
        <v>683</v>
      </c>
      <c r="F501" t="s">
        <v>1674</v>
      </c>
      <c r="G501" t="s">
        <v>1674</v>
      </c>
      <c r="H501">
        <v>9366</v>
      </c>
      <c r="I501">
        <v>9282</v>
      </c>
      <c r="J501" t="s">
        <v>722</v>
      </c>
      <c r="K501" t="s">
        <v>800</v>
      </c>
      <c r="L501" t="s">
        <v>46</v>
      </c>
      <c r="M501">
        <v>533</v>
      </c>
      <c r="N501">
        <v>14222</v>
      </c>
      <c r="O501" t="s">
        <v>322</v>
      </c>
      <c r="P501" t="s">
        <v>202</v>
      </c>
      <c r="Q501" t="s">
        <v>276</v>
      </c>
      <c r="R501" t="s">
        <v>96</v>
      </c>
      <c r="S501" t="s">
        <v>50</v>
      </c>
      <c r="T501">
        <v>6423</v>
      </c>
      <c r="U501" t="s">
        <v>51</v>
      </c>
      <c r="V501">
        <v>1027</v>
      </c>
      <c r="W501">
        <v>1068</v>
      </c>
      <c r="X501" t="s">
        <v>472</v>
      </c>
      <c r="Y501" t="s">
        <v>1906</v>
      </c>
      <c r="Z501" t="s">
        <v>2167</v>
      </c>
      <c r="AA501" t="s">
        <v>951</v>
      </c>
      <c r="AB501">
        <v>7799</v>
      </c>
      <c r="AC501">
        <v>4181</v>
      </c>
      <c r="AD501">
        <v>1659</v>
      </c>
      <c r="AE501">
        <v>477</v>
      </c>
      <c r="AF501">
        <v>94</v>
      </c>
      <c r="AG501">
        <v>12</v>
      </c>
      <c r="AH501">
        <v>6986</v>
      </c>
      <c r="AI501">
        <v>127</v>
      </c>
      <c r="AJ501">
        <v>557</v>
      </c>
      <c r="AK501">
        <v>1605</v>
      </c>
      <c r="AL501">
        <v>92</v>
      </c>
      <c r="AM501">
        <v>32</v>
      </c>
      <c r="AN501" t="s">
        <v>412</v>
      </c>
      <c r="AO501">
        <f>AVERAGE(Tabla2[[#This Row],[total_kills]:[rating]])</f>
        <v>3449.5789473684213</v>
      </c>
      <c r="AP501" t="str">
        <f>VLOOKUP(Tabla2[[#This Row],[KPI]],$AS$2:$AT$5,2,1)</f>
        <v>Medio</v>
      </c>
    </row>
    <row r="502" spans="1:42" x14ac:dyDescent="0.3">
      <c r="A502">
        <v>16529</v>
      </c>
      <c r="B502" t="s">
        <v>2663</v>
      </c>
      <c r="C502" t="s">
        <v>2664</v>
      </c>
      <c r="D502">
        <v>22</v>
      </c>
      <c r="E502" t="s">
        <v>299</v>
      </c>
      <c r="F502" t="s">
        <v>2665</v>
      </c>
      <c r="G502" t="s">
        <v>2666</v>
      </c>
      <c r="H502">
        <v>7735</v>
      </c>
      <c r="I502">
        <v>7770</v>
      </c>
      <c r="J502" t="s">
        <v>722</v>
      </c>
      <c r="K502" t="s">
        <v>1018</v>
      </c>
      <c r="L502" t="s">
        <v>541</v>
      </c>
      <c r="M502">
        <v>459</v>
      </c>
      <c r="N502">
        <v>11767</v>
      </c>
      <c r="O502" t="s">
        <v>322</v>
      </c>
      <c r="P502" t="s">
        <v>48</v>
      </c>
      <c r="Q502" t="s">
        <v>322</v>
      </c>
      <c r="R502" t="s">
        <v>50</v>
      </c>
      <c r="S502" t="s">
        <v>67</v>
      </c>
      <c r="T502">
        <v>5318</v>
      </c>
      <c r="U502" t="s">
        <v>51</v>
      </c>
      <c r="V502">
        <v>747</v>
      </c>
      <c r="W502">
        <v>874</v>
      </c>
      <c r="X502" t="s">
        <v>2667</v>
      </c>
      <c r="Y502" t="s">
        <v>64</v>
      </c>
      <c r="Z502" t="s">
        <v>1268</v>
      </c>
      <c r="AA502" t="s">
        <v>2668</v>
      </c>
      <c r="AB502">
        <v>6449</v>
      </c>
      <c r="AC502">
        <v>3449</v>
      </c>
      <c r="AD502">
        <v>1419</v>
      </c>
      <c r="AE502">
        <v>368</v>
      </c>
      <c r="AF502">
        <v>66</v>
      </c>
      <c r="AG502">
        <v>16</v>
      </c>
      <c r="AH502">
        <v>5916</v>
      </c>
      <c r="AI502">
        <v>85</v>
      </c>
      <c r="AJ502">
        <v>342</v>
      </c>
      <c r="AK502">
        <v>1310</v>
      </c>
      <c r="AL502">
        <v>94</v>
      </c>
      <c r="AM502">
        <v>12</v>
      </c>
      <c r="AN502" t="s">
        <v>255</v>
      </c>
      <c r="AO502">
        <f>AVERAGE(Tabla2[[#This Row],[total_kills]:[rating]])</f>
        <v>2852.4210526315787</v>
      </c>
      <c r="AP502" t="str">
        <f>VLOOKUP(Tabla2[[#This Row],[KPI]],$AS$2:$AT$5,2,1)</f>
        <v>Bajo</v>
      </c>
    </row>
    <row r="503" spans="1:42" x14ac:dyDescent="0.3">
      <c r="A503">
        <v>10697</v>
      </c>
      <c r="B503" t="s">
        <v>2714</v>
      </c>
      <c r="C503" t="s">
        <v>2715</v>
      </c>
      <c r="D503">
        <v>25</v>
      </c>
      <c r="E503" t="s">
        <v>467</v>
      </c>
      <c r="F503" t="s">
        <v>2692</v>
      </c>
      <c r="G503" t="s">
        <v>2716</v>
      </c>
      <c r="H503">
        <v>15729</v>
      </c>
      <c r="I503">
        <v>16240</v>
      </c>
      <c r="J503" t="s">
        <v>722</v>
      </c>
      <c r="K503">
        <v>77</v>
      </c>
      <c r="L503" t="s">
        <v>575</v>
      </c>
      <c r="M503">
        <v>864</v>
      </c>
      <c r="N503">
        <v>22973</v>
      </c>
      <c r="O503" t="s">
        <v>167</v>
      </c>
      <c r="P503" t="s">
        <v>166</v>
      </c>
      <c r="Q503" t="s">
        <v>646</v>
      </c>
      <c r="R503" t="s">
        <v>67</v>
      </c>
      <c r="S503" t="s">
        <v>48</v>
      </c>
      <c r="T503">
        <v>10675</v>
      </c>
      <c r="U503" t="s">
        <v>51</v>
      </c>
      <c r="V503">
        <v>2295</v>
      </c>
      <c r="W503">
        <v>2509</v>
      </c>
      <c r="X503" t="s">
        <v>1749</v>
      </c>
      <c r="Y503" t="s">
        <v>245</v>
      </c>
      <c r="Z503" t="s">
        <v>508</v>
      </c>
      <c r="AA503" t="s">
        <v>408</v>
      </c>
      <c r="AB503">
        <v>12298</v>
      </c>
      <c r="AC503">
        <v>6838</v>
      </c>
      <c r="AD503">
        <v>2819</v>
      </c>
      <c r="AE503">
        <v>835</v>
      </c>
      <c r="AF503">
        <v>167</v>
      </c>
      <c r="AG503">
        <v>16</v>
      </c>
      <c r="AH503">
        <v>12157</v>
      </c>
      <c r="AI503">
        <v>247</v>
      </c>
      <c r="AJ503">
        <v>911</v>
      </c>
      <c r="AK503">
        <v>2168</v>
      </c>
      <c r="AL503">
        <v>257</v>
      </c>
      <c r="AM503">
        <v>34</v>
      </c>
      <c r="AN503" t="s">
        <v>304</v>
      </c>
      <c r="AO503">
        <f>AVERAGE(Tabla2[[#This Row],[total_kills]:[rating]])</f>
        <v>5505.45</v>
      </c>
      <c r="AP503" t="str">
        <f>VLOOKUP(Tabla2[[#This Row],[KPI]],$AS$2:$AT$5,2,1)</f>
        <v>Alto</v>
      </c>
    </row>
    <row r="504" spans="1:42" x14ac:dyDescent="0.3">
      <c r="A504">
        <v>8453</v>
      </c>
      <c r="B504" t="s">
        <v>2888</v>
      </c>
      <c r="C504" t="s">
        <v>2889</v>
      </c>
      <c r="D504">
        <v>25</v>
      </c>
      <c r="E504" t="s">
        <v>318</v>
      </c>
      <c r="F504" t="s">
        <v>320</v>
      </c>
      <c r="G504" t="s">
        <v>2573</v>
      </c>
      <c r="H504">
        <v>11705</v>
      </c>
      <c r="I504">
        <v>12182</v>
      </c>
      <c r="J504" t="s">
        <v>722</v>
      </c>
      <c r="K504" t="s">
        <v>524</v>
      </c>
      <c r="L504">
        <v>3</v>
      </c>
      <c r="M504">
        <v>679</v>
      </c>
      <c r="N504">
        <v>17833</v>
      </c>
      <c r="O504" t="s">
        <v>322</v>
      </c>
      <c r="P504" t="s">
        <v>48</v>
      </c>
      <c r="Q504" t="s">
        <v>167</v>
      </c>
      <c r="R504" t="s">
        <v>96</v>
      </c>
      <c r="S504" t="s">
        <v>96</v>
      </c>
      <c r="T504">
        <v>7983</v>
      </c>
      <c r="U504" t="s">
        <v>51</v>
      </c>
      <c r="V504">
        <v>1492</v>
      </c>
      <c r="W504">
        <v>1596</v>
      </c>
      <c r="X504" t="s">
        <v>950</v>
      </c>
      <c r="Y504" t="s">
        <v>1570</v>
      </c>
      <c r="Z504" t="s">
        <v>383</v>
      </c>
      <c r="AA504" t="s">
        <v>2053</v>
      </c>
      <c r="AB504">
        <v>9850</v>
      </c>
      <c r="AC504">
        <v>5128</v>
      </c>
      <c r="AD504">
        <v>2125</v>
      </c>
      <c r="AE504">
        <v>609</v>
      </c>
      <c r="AF504">
        <v>110</v>
      </c>
      <c r="AG504">
        <v>11</v>
      </c>
      <c r="AH504">
        <v>8670</v>
      </c>
      <c r="AI504">
        <v>247</v>
      </c>
      <c r="AJ504">
        <v>717</v>
      </c>
      <c r="AK504">
        <v>1960</v>
      </c>
      <c r="AL504">
        <v>109</v>
      </c>
      <c r="AM504">
        <v>19</v>
      </c>
      <c r="AN504" t="s">
        <v>472</v>
      </c>
      <c r="AO504">
        <f>AVERAGE(Tabla2[[#This Row],[total_kills]:[rating]])</f>
        <v>4151.3999999999996</v>
      </c>
      <c r="AP504" t="str">
        <f>VLOOKUP(Tabla2[[#This Row],[KPI]],$AS$2:$AT$5,2,1)</f>
        <v>Medio</v>
      </c>
    </row>
    <row r="505" spans="1:42" x14ac:dyDescent="0.3">
      <c r="A505">
        <v>9216</v>
      </c>
      <c r="B505" t="s">
        <v>248</v>
      </c>
      <c r="C505" t="s">
        <v>249</v>
      </c>
      <c r="D505">
        <v>27</v>
      </c>
      <c r="E505" t="s">
        <v>104</v>
      </c>
      <c r="F505" t="s">
        <v>250</v>
      </c>
      <c r="G505" t="s">
        <v>251</v>
      </c>
      <c r="H505">
        <v>28576</v>
      </c>
      <c r="I505">
        <v>22946</v>
      </c>
      <c r="J505" t="s">
        <v>252</v>
      </c>
      <c r="K505" t="s">
        <v>253</v>
      </c>
      <c r="L505" t="s">
        <v>63</v>
      </c>
      <c r="M505">
        <v>1426</v>
      </c>
      <c r="N505">
        <v>37264</v>
      </c>
      <c r="O505" t="s">
        <v>81</v>
      </c>
      <c r="P505" t="s">
        <v>67</v>
      </c>
      <c r="Q505" t="s">
        <v>144</v>
      </c>
      <c r="R505" t="s">
        <v>66</v>
      </c>
      <c r="S505" t="s">
        <v>50</v>
      </c>
      <c r="T505">
        <v>19016</v>
      </c>
      <c r="U505" t="s">
        <v>51</v>
      </c>
      <c r="V505">
        <v>3355</v>
      </c>
      <c r="W505">
        <v>2453</v>
      </c>
      <c r="X505" t="s">
        <v>254</v>
      </c>
      <c r="Y505" t="s">
        <v>255</v>
      </c>
      <c r="Z505" t="s">
        <v>256</v>
      </c>
      <c r="AA505" t="s">
        <v>257</v>
      </c>
      <c r="AB505">
        <v>18248</v>
      </c>
      <c r="AC505">
        <v>11854</v>
      </c>
      <c r="AD505">
        <v>5167</v>
      </c>
      <c r="AE505">
        <v>1623</v>
      </c>
      <c r="AF505">
        <v>341</v>
      </c>
      <c r="AG505">
        <v>31</v>
      </c>
      <c r="AH505">
        <v>17732</v>
      </c>
      <c r="AI505">
        <v>3229</v>
      </c>
      <c r="AJ505">
        <v>2161</v>
      </c>
      <c r="AK505">
        <v>5249</v>
      </c>
      <c r="AL505">
        <v>205</v>
      </c>
      <c r="AM505">
        <v>60</v>
      </c>
      <c r="AN505" t="s">
        <v>84</v>
      </c>
      <c r="AO505">
        <f>AVERAGE(Tabla2[[#This Row],[total_kills]:[rating]])</f>
        <v>9522.9473684210534</v>
      </c>
      <c r="AP505" t="str">
        <f>VLOOKUP(Tabla2[[#This Row],[KPI]],$AS$2:$AT$5,2,1)</f>
        <v>Superior</v>
      </c>
    </row>
    <row r="506" spans="1:42" x14ac:dyDescent="0.3">
      <c r="A506">
        <v>15631</v>
      </c>
      <c r="B506" t="s">
        <v>280</v>
      </c>
      <c r="C506" t="s">
        <v>281</v>
      </c>
      <c r="D506">
        <v>22</v>
      </c>
      <c r="E506" t="s">
        <v>104</v>
      </c>
      <c r="F506" t="s">
        <v>105</v>
      </c>
      <c r="G506" t="s">
        <v>105</v>
      </c>
      <c r="H506">
        <v>17821</v>
      </c>
      <c r="I506">
        <v>14059</v>
      </c>
      <c r="J506" t="s">
        <v>252</v>
      </c>
      <c r="K506" t="s">
        <v>253</v>
      </c>
      <c r="L506" t="s">
        <v>282</v>
      </c>
      <c r="M506">
        <v>930</v>
      </c>
      <c r="N506">
        <v>24208</v>
      </c>
      <c r="O506" t="s">
        <v>283</v>
      </c>
      <c r="P506" t="s">
        <v>202</v>
      </c>
      <c r="Q506" t="s">
        <v>284</v>
      </c>
      <c r="R506" t="s">
        <v>66</v>
      </c>
      <c r="S506" t="s">
        <v>50</v>
      </c>
      <c r="T506">
        <v>11907</v>
      </c>
      <c r="U506" t="s">
        <v>51</v>
      </c>
      <c r="V506">
        <v>2047</v>
      </c>
      <c r="W506">
        <v>1497</v>
      </c>
      <c r="X506" t="s">
        <v>254</v>
      </c>
      <c r="Y506" t="s">
        <v>285</v>
      </c>
      <c r="Z506" t="s">
        <v>286</v>
      </c>
      <c r="AA506" t="s">
        <v>287</v>
      </c>
      <c r="AB506">
        <v>12301</v>
      </c>
      <c r="AC506">
        <v>7473</v>
      </c>
      <c r="AD506">
        <v>3205</v>
      </c>
      <c r="AE506">
        <v>1006</v>
      </c>
      <c r="AF506">
        <v>195</v>
      </c>
      <c r="AG506">
        <v>28</v>
      </c>
      <c r="AH506">
        <v>12854</v>
      </c>
      <c r="AI506">
        <v>551</v>
      </c>
      <c r="AJ506">
        <v>1355</v>
      </c>
      <c r="AK506">
        <v>2739</v>
      </c>
      <c r="AL506">
        <v>326</v>
      </c>
      <c r="AM506">
        <v>101</v>
      </c>
      <c r="AN506" t="s">
        <v>169</v>
      </c>
      <c r="AO506">
        <f>AVERAGE(Tabla2[[#This Row],[total_kills]:[rating]])</f>
        <v>6031.7368421052633</v>
      </c>
      <c r="AP506" t="str">
        <f>VLOOKUP(Tabla2[[#This Row],[KPI]],$AS$2:$AT$5,2,1)</f>
        <v>Alto</v>
      </c>
    </row>
    <row r="507" spans="1:42" x14ac:dyDescent="0.3">
      <c r="A507">
        <v>3972</v>
      </c>
      <c r="B507" t="s">
        <v>371</v>
      </c>
      <c r="C507" t="s">
        <v>372</v>
      </c>
      <c r="D507">
        <v>26</v>
      </c>
      <c r="E507" t="s">
        <v>220</v>
      </c>
      <c r="F507" t="s">
        <v>221</v>
      </c>
      <c r="G507" t="s">
        <v>373</v>
      </c>
      <c r="H507">
        <v>30144</v>
      </c>
      <c r="I507">
        <v>25923</v>
      </c>
      <c r="J507" t="s">
        <v>252</v>
      </c>
      <c r="K507" t="s">
        <v>374</v>
      </c>
      <c r="L507" t="s">
        <v>375</v>
      </c>
      <c r="M507">
        <v>1474</v>
      </c>
      <c r="N507">
        <v>38947</v>
      </c>
      <c r="O507" t="s">
        <v>81</v>
      </c>
      <c r="P507" t="s">
        <v>235</v>
      </c>
      <c r="Q507" t="s">
        <v>225</v>
      </c>
      <c r="R507" t="s">
        <v>50</v>
      </c>
      <c r="S507" t="s">
        <v>67</v>
      </c>
      <c r="T507">
        <v>19652</v>
      </c>
      <c r="U507" t="s">
        <v>51</v>
      </c>
      <c r="V507">
        <v>4536</v>
      </c>
      <c r="W507">
        <v>3818</v>
      </c>
      <c r="X507" t="s">
        <v>127</v>
      </c>
      <c r="Y507" t="s">
        <v>295</v>
      </c>
      <c r="Z507" t="s">
        <v>112</v>
      </c>
      <c r="AA507" t="s">
        <v>376</v>
      </c>
      <c r="AB507">
        <v>19295</v>
      </c>
      <c r="AC507">
        <v>11861</v>
      </c>
      <c r="AD507">
        <v>5534</v>
      </c>
      <c r="AE507">
        <v>1846</v>
      </c>
      <c r="AF507">
        <v>378</v>
      </c>
      <c r="AG507">
        <v>33</v>
      </c>
      <c r="AH507">
        <v>21272</v>
      </c>
      <c r="AI507">
        <v>344</v>
      </c>
      <c r="AJ507">
        <v>3190</v>
      </c>
      <c r="AK507">
        <v>4826</v>
      </c>
      <c r="AL507">
        <v>422</v>
      </c>
      <c r="AM507">
        <v>156</v>
      </c>
      <c r="AN507" t="s">
        <v>370</v>
      </c>
      <c r="AO507">
        <f>AVERAGE(Tabla2[[#This Row],[total_kills]:[rating]])</f>
        <v>10192.157894736842</v>
      </c>
      <c r="AP507" t="str">
        <f>VLOOKUP(Tabla2[[#This Row],[KPI]],$AS$2:$AT$5,2,1)</f>
        <v>Superior</v>
      </c>
    </row>
    <row r="508" spans="1:42" x14ac:dyDescent="0.3">
      <c r="A508">
        <v>12713</v>
      </c>
      <c r="B508" t="s">
        <v>810</v>
      </c>
      <c r="C508" t="s">
        <v>811</v>
      </c>
      <c r="D508">
        <v>22</v>
      </c>
      <c r="E508" t="s">
        <v>459</v>
      </c>
      <c r="F508" t="s">
        <v>812</v>
      </c>
      <c r="G508" t="s">
        <v>813</v>
      </c>
      <c r="H508">
        <v>15806</v>
      </c>
      <c r="I508">
        <v>14141</v>
      </c>
      <c r="J508" t="s">
        <v>252</v>
      </c>
      <c r="K508" t="s">
        <v>814</v>
      </c>
      <c r="L508" t="s">
        <v>471</v>
      </c>
      <c r="M508">
        <v>813</v>
      </c>
      <c r="N508">
        <v>21349</v>
      </c>
      <c r="O508" t="s">
        <v>283</v>
      </c>
      <c r="P508" t="s">
        <v>235</v>
      </c>
      <c r="Q508" t="s">
        <v>322</v>
      </c>
      <c r="R508" t="s">
        <v>67</v>
      </c>
      <c r="S508" t="s">
        <v>235</v>
      </c>
      <c r="T508">
        <v>10426</v>
      </c>
      <c r="U508" t="s">
        <v>51</v>
      </c>
      <c r="V508">
        <v>2159</v>
      </c>
      <c r="W508">
        <v>1909</v>
      </c>
      <c r="X508" t="s">
        <v>98</v>
      </c>
      <c r="Y508" t="s">
        <v>449</v>
      </c>
      <c r="Z508" t="s">
        <v>137</v>
      </c>
      <c r="AA508" t="s">
        <v>408</v>
      </c>
      <c r="AB508">
        <v>10923</v>
      </c>
      <c r="AC508">
        <v>6457</v>
      </c>
      <c r="AD508">
        <v>2811</v>
      </c>
      <c r="AE508">
        <v>927</v>
      </c>
      <c r="AF508">
        <v>209</v>
      </c>
      <c r="AG508">
        <v>22</v>
      </c>
      <c r="AH508">
        <v>12179</v>
      </c>
      <c r="AI508">
        <v>343</v>
      </c>
      <c r="AJ508">
        <v>627</v>
      </c>
      <c r="AK508">
        <v>2551</v>
      </c>
      <c r="AL508">
        <v>104</v>
      </c>
      <c r="AM508">
        <v>25</v>
      </c>
      <c r="AN508" t="s">
        <v>84</v>
      </c>
      <c r="AO508">
        <f>AVERAGE(Tabla2[[#This Row],[total_kills]:[rating]])</f>
        <v>5462.1578947368425</v>
      </c>
      <c r="AP508" t="str">
        <f>VLOOKUP(Tabla2[[#This Row],[KPI]],$AS$2:$AT$5,2,1)</f>
        <v>Alto</v>
      </c>
    </row>
    <row r="509" spans="1:42" x14ac:dyDescent="0.3">
      <c r="A509">
        <v>10671</v>
      </c>
      <c r="B509" t="s">
        <v>1202</v>
      </c>
      <c r="C509" t="s">
        <v>1203</v>
      </c>
      <c r="D509">
        <v>22</v>
      </c>
      <c r="E509" t="s">
        <v>459</v>
      </c>
      <c r="F509" t="s">
        <v>3514</v>
      </c>
      <c r="G509" t="s">
        <v>1204</v>
      </c>
      <c r="H509">
        <v>18853</v>
      </c>
      <c r="I509">
        <v>17365</v>
      </c>
      <c r="J509" t="s">
        <v>252</v>
      </c>
      <c r="K509" t="s">
        <v>634</v>
      </c>
      <c r="L509" t="s">
        <v>201</v>
      </c>
      <c r="M509">
        <v>986</v>
      </c>
      <c r="N509">
        <v>25998</v>
      </c>
      <c r="O509" t="s">
        <v>495</v>
      </c>
      <c r="P509" t="s">
        <v>166</v>
      </c>
      <c r="Q509" t="s">
        <v>225</v>
      </c>
      <c r="R509" t="s">
        <v>67</v>
      </c>
      <c r="S509" t="s">
        <v>67</v>
      </c>
      <c r="T509">
        <v>12529</v>
      </c>
      <c r="U509" t="s">
        <v>51</v>
      </c>
      <c r="V509">
        <v>3084</v>
      </c>
      <c r="W509">
        <v>2859</v>
      </c>
      <c r="X509" t="s">
        <v>277</v>
      </c>
      <c r="Y509" t="s">
        <v>277</v>
      </c>
      <c r="Z509" t="s">
        <v>1165</v>
      </c>
      <c r="AA509" t="s">
        <v>697</v>
      </c>
      <c r="AB509">
        <v>13469</v>
      </c>
      <c r="AC509">
        <v>7867</v>
      </c>
      <c r="AD509">
        <v>3299</v>
      </c>
      <c r="AE509">
        <v>1094</v>
      </c>
      <c r="AF509">
        <v>239</v>
      </c>
      <c r="AG509">
        <v>30</v>
      </c>
      <c r="AH509">
        <v>14005</v>
      </c>
      <c r="AI509">
        <v>345</v>
      </c>
      <c r="AJ509">
        <v>1115</v>
      </c>
      <c r="AK509">
        <v>3216</v>
      </c>
      <c r="AL509">
        <v>183</v>
      </c>
      <c r="AM509">
        <v>38</v>
      </c>
      <c r="AN509" t="s">
        <v>111</v>
      </c>
      <c r="AO509">
        <f>AVERAGE(Tabla2[[#This Row],[total_kills]:[rating]])</f>
        <v>6661.7894736842109</v>
      </c>
      <c r="AP509" t="str">
        <f>VLOOKUP(Tabla2[[#This Row],[KPI]],$AS$2:$AT$5,2,1)</f>
        <v>Alto</v>
      </c>
    </row>
    <row r="510" spans="1:42" x14ac:dyDescent="0.3">
      <c r="A510">
        <v>7016</v>
      </c>
      <c r="B510" t="s">
        <v>1365</v>
      </c>
      <c r="C510" t="s">
        <v>1366</v>
      </c>
      <c r="D510">
        <v>32</v>
      </c>
      <c r="E510" t="s">
        <v>209</v>
      </c>
      <c r="F510" t="s">
        <v>1367</v>
      </c>
      <c r="G510" t="s">
        <v>1368</v>
      </c>
      <c r="H510">
        <v>9305</v>
      </c>
      <c r="I510">
        <v>8614</v>
      </c>
      <c r="J510" t="s">
        <v>252</v>
      </c>
      <c r="K510" t="s">
        <v>1369</v>
      </c>
      <c r="L510" t="s">
        <v>331</v>
      </c>
      <c r="M510">
        <v>500</v>
      </c>
      <c r="N510">
        <v>12856</v>
      </c>
      <c r="O510" t="s">
        <v>311</v>
      </c>
      <c r="P510" t="s">
        <v>434</v>
      </c>
      <c r="Q510" t="s">
        <v>225</v>
      </c>
      <c r="R510" t="s">
        <v>202</v>
      </c>
      <c r="S510" t="s">
        <v>48</v>
      </c>
      <c r="T510">
        <v>6250</v>
      </c>
      <c r="U510" t="s">
        <v>51</v>
      </c>
      <c r="V510">
        <v>1306</v>
      </c>
      <c r="W510">
        <v>1254</v>
      </c>
      <c r="X510" t="s">
        <v>407</v>
      </c>
      <c r="Y510" t="s">
        <v>255</v>
      </c>
      <c r="Z510" t="s">
        <v>728</v>
      </c>
      <c r="AA510" t="s">
        <v>933</v>
      </c>
      <c r="AB510">
        <v>6606</v>
      </c>
      <c r="AC510">
        <v>3935</v>
      </c>
      <c r="AD510">
        <v>1695</v>
      </c>
      <c r="AE510">
        <v>509</v>
      </c>
      <c r="AF510">
        <v>102</v>
      </c>
      <c r="AG510">
        <v>9</v>
      </c>
      <c r="AH510">
        <v>6800</v>
      </c>
      <c r="AI510">
        <v>46</v>
      </c>
      <c r="AJ510">
        <v>659</v>
      </c>
      <c r="AK510">
        <v>1724</v>
      </c>
      <c r="AL510">
        <v>88</v>
      </c>
      <c r="AM510">
        <v>15</v>
      </c>
      <c r="AN510" t="s">
        <v>304</v>
      </c>
      <c r="AO510">
        <f>AVERAGE(Tabla2[[#This Row],[total_kills]:[rating]])</f>
        <v>3277.5263157894738</v>
      </c>
      <c r="AP510" t="str">
        <f>VLOOKUP(Tabla2[[#This Row],[KPI]],$AS$2:$AT$5,2,1)</f>
        <v>Bajo</v>
      </c>
    </row>
    <row r="511" spans="1:42" x14ac:dyDescent="0.3">
      <c r="A511">
        <v>10264</v>
      </c>
      <c r="B511" t="s">
        <v>218</v>
      </c>
      <c r="C511" t="s">
        <v>1822</v>
      </c>
      <c r="D511">
        <v>24</v>
      </c>
      <c r="E511" t="s">
        <v>196</v>
      </c>
      <c r="F511" t="s">
        <v>130</v>
      </c>
      <c r="G511" t="s">
        <v>1823</v>
      </c>
      <c r="H511">
        <v>22111</v>
      </c>
      <c r="I511">
        <v>21033</v>
      </c>
      <c r="J511" t="s">
        <v>252</v>
      </c>
      <c r="K511" t="s">
        <v>1494</v>
      </c>
      <c r="L511" t="s">
        <v>201</v>
      </c>
      <c r="M511">
        <v>1211</v>
      </c>
      <c r="N511">
        <v>32024</v>
      </c>
      <c r="O511" t="s">
        <v>463</v>
      </c>
      <c r="P511" t="s">
        <v>202</v>
      </c>
      <c r="Q511" t="s">
        <v>322</v>
      </c>
      <c r="R511" t="s">
        <v>50</v>
      </c>
      <c r="S511" t="s">
        <v>67</v>
      </c>
      <c r="T511">
        <v>15019</v>
      </c>
      <c r="U511" t="s">
        <v>51</v>
      </c>
      <c r="V511">
        <v>3058</v>
      </c>
      <c r="W511">
        <v>3136</v>
      </c>
      <c r="X511" t="s">
        <v>245</v>
      </c>
      <c r="Y511" t="s">
        <v>245</v>
      </c>
      <c r="Z511" t="s">
        <v>399</v>
      </c>
      <c r="AA511" t="s">
        <v>1379</v>
      </c>
      <c r="AB511">
        <v>17005</v>
      </c>
      <c r="AC511">
        <v>9672</v>
      </c>
      <c r="AD511">
        <v>3889</v>
      </c>
      <c r="AE511">
        <v>1195</v>
      </c>
      <c r="AF511">
        <v>239</v>
      </c>
      <c r="AG511">
        <v>24</v>
      </c>
      <c r="AH511">
        <v>16462</v>
      </c>
      <c r="AI511">
        <v>329</v>
      </c>
      <c r="AJ511">
        <v>1178</v>
      </c>
      <c r="AK511">
        <v>3798</v>
      </c>
      <c r="AL511">
        <v>277</v>
      </c>
      <c r="AM511">
        <v>113</v>
      </c>
      <c r="AN511" t="s">
        <v>449</v>
      </c>
      <c r="AO511">
        <f>AVERAGE(Tabla2[[#This Row],[total_kills]:[rating]])</f>
        <v>7988.0526315789475</v>
      </c>
      <c r="AP511" t="str">
        <f>VLOOKUP(Tabla2[[#This Row],[KPI]],$AS$2:$AT$5,2,1)</f>
        <v>Superior</v>
      </c>
    </row>
    <row r="512" spans="1:42" x14ac:dyDescent="0.3">
      <c r="A512">
        <v>8797</v>
      </c>
      <c r="B512" t="s">
        <v>2160</v>
      </c>
      <c r="C512" t="s">
        <v>2161</v>
      </c>
      <c r="D512">
        <v>24</v>
      </c>
      <c r="E512" t="s">
        <v>459</v>
      </c>
      <c r="F512" t="s">
        <v>3514</v>
      </c>
      <c r="G512" t="s">
        <v>2162</v>
      </c>
      <c r="H512">
        <v>27664</v>
      </c>
      <c r="I512">
        <v>27288</v>
      </c>
      <c r="J512" t="s">
        <v>252</v>
      </c>
      <c r="K512" t="s">
        <v>639</v>
      </c>
      <c r="L512" t="s">
        <v>244</v>
      </c>
      <c r="M512">
        <v>1525</v>
      </c>
      <c r="N512">
        <v>39802</v>
      </c>
      <c r="O512" t="s">
        <v>905</v>
      </c>
      <c r="P512" t="s">
        <v>235</v>
      </c>
      <c r="Q512" t="s">
        <v>463</v>
      </c>
      <c r="R512" t="s">
        <v>50</v>
      </c>
      <c r="S512" t="s">
        <v>66</v>
      </c>
      <c r="T512">
        <v>18614</v>
      </c>
      <c r="U512" t="s">
        <v>51</v>
      </c>
      <c r="V512">
        <v>5206</v>
      </c>
      <c r="W512">
        <v>5272</v>
      </c>
      <c r="X512" t="s">
        <v>285</v>
      </c>
      <c r="Y512" t="s">
        <v>561</v>
      </c>
      <c r="Z512" t="s">
        <v>286</v>
      </c>
      <c r="AA512" t="s">
        <v>863</v>
      </c>
      <c r="AB512">
        <v>21188</v>
      </c>
      <c r="AC512">
        <v>11785</v>
      </c>
      <c r="AD512">
        <v>5005</v>
      </c>
      <c r="AE512">
        <v>1451</v>
      </c>
      <c r="AF512">
        <v>349</v>
      </c>
      <c r="AG512">
        <v>24</v>
      </c>
      <c r="AH512">
        <v>16840</v>
      </c>
      <c r="AI512">
        <v>3643</v>
      </c>
      <c r="AJ512">
        <v>1891</v>
      </c>
      <c r="AK512">
        <v>4802</v>
      </c>
      <c r="AL512">
        <v>345</v>
      </c>
      <c r="AM512">
        <v>196</v>
      </c>
      <c r="AN512" t="s">
        <v>255</v>
      </c>
      <c r="AO512">
        <f>AVERAGE(Tabla2[[#This Row],[total_kills]:[rating]])</f>
        <v>10152.105263157895</v>
      </c>
      <c r="AP512" t="str">
        <f>VLOOKUP(Tabla2[[#This Row],[KPI]],$AS$2:$AT$5,2,1)</f>
        <v>Superior</v>
      </c>
    </row>
    <row r="513" spans="1:42" x14ac:dyDescent="0.3">
      <c r="A513">
        <v>9260</v>
      </c>
      <c r="B513" t="s">
        <v>2375</v>
      </c>
      <c r="C513" t="s">
        <v>2376</v>
      </c>
      <c r="D513">
        <v>26</v>
      </c>
      <c r="E513" t="s">
        <v>459</v>
      </c>
      <c r="F513" t="s">
        <v>3514</v>
      </c>
      <c r="G513" t="s">
        <v>2377</v>
      </c>
      <c r="H513">
        <v>8668</v>
      </c>
      <c r="I513">
        <v>8540</v>
      </c>
      <c r="J513" t="s">
        <v>252</v>
      </c>
      <c r="K513" t="s">
        <v>1363</v>
      </c>
      <c r="L513" t="s">
        <v>390</v>
      </c>
      <c r="M513">
        <v>493</v>
      </c>
      <c r="N513">
        <v>12707</v>
      </c>
      <c r="O513" t="s">
        <v>167</v>
      </c>
      <c r="P513" t="s">
        <v>235</v>
      </c>
      <c r="Q513" t="s">
        <v>225</v>
      </c>
      <c r="R513" t="s">
        <v>48</v>
      </c>
      <c r="S513" t="s">
        <v>67</v>
      </c>
      <c r="T513">
        <v>5944</v>
      </c>
      <c r="U513" t="s">
        <v>51</v>
      </c>
      <c r="V513">
        <v>1155</v>
      </c>
      <c r="W513">
        <v>1173</v>
      </c>
      <c r="X513" t="s">
        <v>245</v>
      </c>
      <c r="Y513" t="s">
        <v>503</v>
      </c>
      <c r="Z513" t="s">
        <v>391</v>
      </c>
      <c r="AA513" t="s">
        <v>888</v>
      </c>
      <c r="AB513">
        <v>6763</v>
      </c>
      <c r="AC513">
        <v>3861</v>
      </c>
      <c r="AD513">
        <v>1549</v>
      </c>
      <c r="AE513">
        <v>437</v>
      </c>
      <c r="AF513">
        <v>89</v>
      </c>
      <c r="AG513">
        <v>8</v>
      </c>
      <c r="AH513">
        <v>6387</v>
      </c>
      <c r="AI513">
        <v>88</v>
      </c>
      <c r="AJ513">
        <v>583</v>
      </c>
      <c r="AK513">
        <v>1509</v>
      </c>
      <c r="AL513">
        <v>96</v>
      </c>
      <c r="AM513">
        <v>19</v>
      </c>
      <c r="AN513">
        <v>1</v>
      </c>
      <c r="AO513">
        <f>AVERAGE(Tabla2[[#This Row],[total_kills]:[rating]])</f>
        <v>3003.5</v>
      </c>
      <c r="AP513" t="str">
        <f>VLOOKUP(Tabla2[[#This Row],[KPI]],$AS$2:$AT$5,2,1)</f>
        <v>Bajo</v>
      </c>
    </row>
    <row r="514" spans="1:42" x14ac:dyDescent="0.3">
      <c r="A514">
        <v>16769</v>
      </c>
      <c r="B514" t="s">
        <v>2396</v>
      </c>
      <c r="C514" t="s">
        <v>2397</v>
      </c>
      <c r="D514">
        <v>27</v>
      </c>
      <c r="E514" t="s">
        <v>104</v>
      </c>
      <c r="F514" t="s">
        <v>2398</v>
      </c>
      <c r="G514" t="s">
        <v>2399</v>
      </c>
      <c r="H514">
        <v>10196</v>
      </c>
      <c r="I514">
        <v>10040</v>
      </c>
      <c r="J514" t="s">
        <v>252</v>
      </c>
      <c r="K514" t="s">
        <v>788</v>
      </c>
      <c r="L514" t="s">
        <v>687</v>
      </c>
      <c r="M514">
        <v>581</v>
      </c>
      <c r="N514">
        <v>15398</v>
      </c>
      <c r="O514" t="s">
        <v>322</v>
      </c>
      <c r="P514" t="s">
        <v>235</v>
      </c>
      <c r="Q514" t="s">
        <v>276</v>
      </c>
      <c r="R514" t="s">
        <v>67</v>
      </c>
      <c r="S514" t="s">
        <v>96</v>
      </c>
      <c r="T514">
        <v>6980</v>
      </c>
      <c r="U514" t="s">
        <v>51</v>
      </c>
      <c r="V514">
        <v>1521</v>
      </c>
      <c r="W514">
        <v>1635</v>
      </c>
      <c r="X514" t="s">
        <v>950</v>
      </c>
      <c r="Y514" t="s">
        <v>245</v>
      </c>
      <c r="Z514" t="s">
        <v>1765</v>
      </c>
      <c r="AA514" t="s">
        <v>888</v>
      </c>
      <c r="AB514">
        <v>8418</v>
      </c>
      <c r="AC514">
        <v>4578</v>
      </c>
      <c r="AD514">
        <v>1717</v>
      </c>
      <c r="AE514">
        <v>565</v>
      </c>
      <c r="AF514">
        <v>111</v>
      </c>
      <c r="AG514">
        <v>9</v>
      </c>
      <c r="AH514">
        <v>7243</v>
      </c>
      <c r="AI514">
        <v>153</v>
      </c>
      <c r="AJ514">
        <v>820</v>
      </c>
      <c r="AK514">
        <v>1802</v>
      </c>
      <c r="AL514">
        <v>166</v>
      </c>
      <c r="AM514">
        <v>43</v>
      </c>
      <c r="AN514" t="s">
        <v>464</v>
      </c>
      <c r="AO514">
        <f>AVERAGE(Tabla2[[#This Row],[total_kills]:[rating]])</f>
        <v>3788.2105263157896</v>
      </c>
      <c r="AP514" t="str">
        <f>VLOOKUP(Tabla2[[#This Row],[KPI]],$AS$2:$AT$5,2,1)</f>
        <v>Medio</v>
      </c>
    </row>
    <row r="515" spans="1:42" x14ac:dyDescent="0.3">
      <c r="A515">
        <v>14736</v>
      </c>
      <c r="B515" t="s">
        <v>510</v>
      </c>
      <c r="C515" t="s">
        <v>511</v>
      </c>
      <c r="D515">
        <v>21</v>
      </c>
      <c r="E515" t="s">
        <v>512</v>
      </c>
      <c r="F515" t="s">
        <v>513</v>
      </c>
      <c r="G515" t="s">
        <v>513</v>
      </c>
      <c r="H515">
        <v>8304</v>
      </c>
      <c r="I515">
        <v>6898</v>
      </c>
      <c r="J515" t="s">
        <v>514</v>
      </c>
      <c r="K515" t="s">
        <v>515</v>
      </c>
      <c r="L515" t="s">
        <v>462</v>
      </c>
      <c r="M515">
        <v>426</v>
      </c>
      <c r="N515">
        <v>11279</v>
      </c>
      <c r="O515" t="s">
        <v>283</v>
      </c>
      <c r="P515" t="s">
        <v>48</v>
      </c>
      <c r="Q515" t="s">
        <v>49</v>
      </c>
      <c r="R515" t="s">
        <v>96</v>
      </c>
      <c r="S515" t="s">
        <v>48</v>
      </c>
      <c r="T515">
        <v>5602</v>
      </c>
      <c r="U515" t="s">
        <v>51</v>
      </c>
      <c r="V515">
        <v>1008</v>
      </c>
      <c r="W515">
        <v>777</v>
      </c>
      <c r="X515" t="s">
        <v>516</v>
      </c>
      <c r="Y515">
        <v>1</v>
      </c>
      <c r="Z515" t="s">
        <v>517</v>
      </c>
      <c r="AA515" t="s">
        <v>518</v>
      </c>
      <c r="AB515">
        <v>5677</v>
      </c>
      <c r="AC515">
        <v>3557</v>
      </c>
      <c r="AD515">
        <v>1494</v>
      </c>
      <c r="AE515">
        <v>452</v>
      </c>
      <c r="AF515">
        <v>92</v>
      </c>
      <c r="AG515">
        <v>7</v>
      </c>
      <c r="AH515">
        <v>6750</v>
      </c>
      <c r="AI515">
        <v>50</v>
      </c>
      <c r="AJ515">
        <v>201</v>
      </c>
      <c r="AK515">
        <v>1217</v>
      </c>
      <c r="AL515">
        <v>97</v>
      </c>
      <c r="AM515">
        <v>29</v>
      </c>
      <c r="AN515" t="s">
        <v>84</v>
      </c>
      <c r="AO515">
        <f>AVERAGE(Tabla2[[#This Row],[total_kills]:[rating]])</f>
        <v>2695.9</v>
      </c>
      <c r="AP515" t="str">
        <f>VLOOKUP(Tabla2[[#This Row],[KPI]],$AS$2:$AT$5,2,1)</f>
        <v>Bajo</v>
      </c>
    </row>
    <row r="516" spans="1:42" x14ac:dyDescent="0.3">
      <c r="A516">
        <v>5021</v>
      </c>
      <c r="B516" t="s">
        <v>636</v>
      </c>
      <c r="C516" t="s">
        <v>637</v>
      </c>
      <c r="D516">
        <v>25</v>
      </c>
      <c r="E516" t="s">
        <v>459</v>
      </c>
      <c r="F516" t="s">
        <v>3514</v>
      </c>
      <c r="G516" t="s">
        <v>638</v>
      </c>
      <c r="H516">
        <v>10527</v>
      </c>
      <c r="I516">
        <v>8898</v>
      </c>
      <c r="J516" t="s">
        <v>514</v>
      </c>
      <c r="K516" t="s">
        <v>639</v>
      </c>
      <c r="L516" t="s">
        <v>612</v>
      </c>
      <c r="M516">
        <v>556</v>
      </c>
      <c r="N516">
        <v>14447</v>
      </c>
      <c r="O516" t="s">
        <v>495</v>
      </c>
      <c r="P516" t="s">
        <v>235</v>
      </c>
      <c r="Q516" t="s">
        <v>144</v>
      </c>
      <c r="R516" t="s">
        <v>66</v>
      </c>
      <c r="S516" t="s">
        <v>96</v>
      </c>
      <c r="T516">
        <v>7071</v>
      </c>
      <c r="U516" t="s">
        <v>51</v>
      </c>
      <c r="V516">
        <v>1395</v>
      </c>
      <c r="W516">
        <v>1165</v>
      </c>
      <c r="X516" t="s">
        <v>147</v>
      </c>
      <c r="Y516" t="s">
        <v>449</v>
      </c>
      <c r="Z516" t="s">
        <v>246</v>
      </c>
      <c r="AA516" t="s">
        <v>640</v>
      </c>
      <c r="AB516">
        <v>7376</v>
      </c>
      <c r="AC516">
        <v>4462</v>
      </c>
      <c r="AD516">
        <v>1915</v>
      </c>
      <c r="AE516">
        <v>564</v>
      </c>
      <c r="AF516">
        <v>122</v>
      </c>
      <c r="AG516">
        <v>8</v>
      </c>
      <c r="AH516">
        <v>6649</v>
      </c>
      <c r="AI516">
        <v>1365</v>
      </c>
      <c r="AJ516">
        <v>460</v>
      </c>
      <c r="AK516">
        <v>1847</v>
      </c>
      <c r="AL516">
        <v>172</v>
      </c>
      <c r="AM516">
        <v>55</v>
      </c>
      <c r="AN516" t="s">
        <v>561</v>
      </c>
      <c r="AO516">
        <f>AVERAGE(Tabla2[[#This Row],[total_kills]:[rating]])</f>
        <v>3634.4210526315787</v>
      </c>
      <c r="AP516" t="str">
        <f>VLOOKUP(Tabla2[[#This Row],[KPI]],$AS$2:$AT$5,2,1)</f>
        <v>Medio</v>
      </c>
    </row>
    <row r="517" spans="1:42" x14ac:dyDescent="0.3">
      <c r="A517">
        <v>11307</v>
      </c>
      <c r="B517" t="s">
        <v>2224</v>
      </c>
      <c r="C517" t="s">
        <v>2225</v>
      </c>
      <c r="D517">
        <v>25</v>
      </c>
      <c r="E517" t="s">
        <v>841</v>
      </c>
      <c r="F517" t="s">
        <v>3514</v>
      </c>
      <c r="G517" t="s">
        <v>2226</v>
      </c>
      <c r="H517">
        <v>7289</v>
      </c>
      <c r="I517">
        <v>7198</v>
      </c>
      <c r="J517" t="s">
        <v>514</v>
      </c>
      <c r="K517" t="s">
        <v>1363</v>
      </c>
      <c r="L517" t="s">
        <v>441</v>
      </c>
      <c r="M517">
        <v>401</v>
      </c>
      <c r="N517">
        <v>10552</v>
      </c>
      <c r="O517" t="s">
        <v>463</v>
      </c>
      <c r="P517" t="s">
        <v>202</v>
      </c>
      <c r="Q517" t="s">
        <v>167</v>
      </c>
      <c r="R517" t="s">
        <v>96</v>
      </c>
      <c r="S517" t="s">
        <v>96</v>
      </c>
      <c r="T517">
        <v>4915</v>
      </c>
      <c r="U517" t="s">
        <v>51</v>
      </c>
      <c r="V517">
        <v>957</v>
      </c>
      <c r="W517">
        <v>962</v>
      </c>
      <c r="X517" t="s">
        <v>285</v>
      </c>
      <c r="Y517" t="s">
        <v>503</v>
      </c>
      <c r="Z517" t="s">
        <v>583</v>
      </c>
      <c r="AA517" t="s">
        <v>888</v>
      </c>
      <c r="AB517">
        <v>5637</v>
      </c>
      <c r="AC517">
        <v>3120</v>
      </c>
      <c r="AD517">
        <v>1307</v>
      </c>
      <c r="AE517">
        <v>403</v>
      </c>
      <c r="AF517">
        <v>79</v>
      </c>
      <c r="AG517">
        <v>6</v>
      </c>
      <c r="AH517">
        <v>5280</v>
      </c>
      <c r="AI517">
        <v>163</v>
      </c>
      <c r="AJ517">
        <v>562</v>
      </c>
      <c r="AK517">
        <v>1227</v>
      </c>
      <c r="AL517">
        <v>56</v>
      </c>
      <c r="AM517">
        <v>11</v>
      </c>
      <c r="AN517" t="s">
        <v>407</v>
      </c>
      <c r="AO517">
        <f>AVERAGE(Tabla2[[#This Row],[total_kills]:[rating]])</f>
        <v>2638.1578947368421</v>
      </c>
      <c r="AP517" t="str">
        <f>VLOOKUP(Tabla2[[#This Row],[KPI]],$AS$2:$AT$5,2,1)</f>
        <v>Bajo</v>
      </c>
    </row>
    <row r="518" spans="1:42" x14ac:dyDescent="0.3">
      <c r="A518">
        <v>14359</v>
      </c>
      <c r="B518" t="s">
        <v>2902</v>
      </c>
      <c r="C518" t="s">
        <v>2903</v>
      </c>
      <c r="D518">
        <v>24</v>
      </c>
      <c r="E518" t="s">
        <v>1144</v>
      </c>
      <c r="F518" t="s">
        <v>2784</v>
      </c>
      <c r="G518" t="s">
        <v>2904</v>
      </c>
      <c r="H518">
        <v>9556</v>
      </c>
      <c r="I518">
        <v>9752</v>
      </c>
      <c r="J518" t="s">
        <v>514</v>
      </c>
      <c r="K518">
        <v>72</v>
      </c>
      <c r="L518" t="s">
        <v>80</v>
      </c>
      <c r="M518">
        <v>558</v>
      </c>
      <c r="N518">
        <v>14906</v>
      </c>
      <c r="O518" t="s">
        <v>65</v>
      </c>
      <c r="P518" t="s">
        <v>48</v>
      </c>
      <c r="Q518" t="s">
        <v>276</v>
      </c>
      <c r="R518" t="s">
        <v>96</v>
      </c>
      <c r="S518" t="s">
        <v>50</v>
      </c>
      <c r="T518">
        <v>6653</v>
      </c>
      <c r="U518" t="s">
        <v>51</v>
      </c>
      <c r="V518">
        <v>938</v>
      </c>
      <c r="W518">
        <v>1016</v>
      </c>
      <c r="X518" t="s">
        <v>1314</v>
      </c>
      <c r="Y518" t="s">
        <v>2324</v>
      </c>
      <c r="Z518" t="s">
        <v>455</v>
      </c>
      <c r="AA518" t="s">
        <v>2172</v>
      </c>
      <c r="AB518">
        <v>8253</v>
      </c>
      <c r="AC518">
        <v>4387</v>
      </c>
      <c r="AD518">
        <v>1716</v>
      </c>
      <c r="AE518">
        <v>470</v>
      </c>
      <c r="AF518">
        <v>73</v>
      </c>
      <c r="AG518">
        <v>7</v>
      </c>
      <c r="AH518">
        <v>6980</v>
      </c>
      <c r="AI518">
        <v>245</v>
      </c>
      <c r="AJ518">
        <v>398</v>
      </c>
      <c r="AK518">
        <v>1811</v>
      </c>
      <c r="AL518">
        <v>108</v>
      </c>
      <c r="AM518">
        <v>43</v>
      </c>
      <c r="AN518">
        <v>1</v>
      </c>
      <c r="AO518">
        <f>AVERAGE(Tabla2[[#This Row],[total_kills]:[rating]])</f>
        <v>3235.3809523809523</v>
      </c>
      <c r="AP518" t="str">
        <f>VLOOKUP(Tabla2[[#This Row],[KPI]],$AS$2:$AT$5,2,1)</f>
        <v>Bajo</v>
      </c>
    </row>
    <row r="519" spans="1:42" x14ac:dyDescent="0.3">
      <c r="A519">
        <v>10993</v>
      </c>
      <c r="B519" t="s">
        <v>3366</v>
      </c>
      <c r="C519" t="s">
        <v>3367</v>
      </c>
      <c r="D519">
        <v>27</v>
      </c>
      <c r="E519" t="s">
        <v>196</v>
      </c>
      <c r="F519" t="s">
        <v>3514</v>
      </c>
      <c r="G519" t="s">
        <v>1832</v>
      </c>
      <c r="H519">
        <v>8176</v>
      </c>
      <c r="I519">
        <v>9372</v>
      </c>
      <c r="J519" t="s">
        <v>514</v>
      </c>
      <c r="K519" t="s">
        <v>3368</v>
      </c>
      <c r="L519" t="s">
        <v>589</v>
      </c>
      <c r="M519">
        <v>532</v>
      </c>
      <c r="N519">
        <v>13939</v>
      </c>
      <c r="O519" t="s">
        <v>95</v>
      </c>
      <c r="P519" t="s">
        <v>48</v>
      </c>
      <c r="Q519" t="s">
        <v>225</v>
      </c>
      <c r="R519" t="s">
        <v>50</v>
      </c>
      <c r="S519" t="s">
        <v>96</v>
      </c>
      <c r="T519">
        <v>5835</v>
      </c>
      <c r="U519" t="s">
        <v>51</v>
      </c>
      <c r="V519">
        <v>1050</v>
      </c>
      <c r="W519">
        <v>1325</v>
      </c>
      <c r="X519" t="s">
        <v>109</v>
      </c>
      <c r="Y519" t="s">
        <v>2315</v>
      </c>
      <c r="Z519" t="s">
        <v>3369</v>
      </c>
      <c r="AA519" t="s">
        <v>1944</v>
      </c>
      <c r="AB519">
        <v>8104</v>
      </c>
      <c r="AC519">
        <v>3997</v>
      </c>
      <c r="AD519">
        <v>1408</v>
      </c>
      <c r="AE519">
        <v>366</v>
      </c>
      <c r="AF519">
        <v>55</v>
      </c>
      <c r="AG519">
        <v>9</v>
      </c>
      <c r="AH519">
        <v>6014</v>
      </c>
      <c r="AI519">
        <v>50</v>
      </c>
      <c r="AJ519">
        <v>512</v>
      </c>
      <c r="AK519">
        <v>1511</v>
      </c>
      <c r="AL519">
        <v>103</v>
      </c>
      <c r="AM519">
        <v>4</v>
      </c>
      <c r="AN519" t="s">
        <v>950</v>
      </c>
      <c r="AO519">
        <f>AVERAGE(Tabla2[[#This Row],[total_kills]:[rating]])</f>
        <v>3282.2105263157896</v>
      </c>
      <c r="AP519" t="str">
        <f>VLOOKUP(Tabla2[[#This Row],[KPI]],$AS$2:$AT$5,2,1)</f>
        <v>Bajo</v>
      </c>
    </row>
    <row r="520" spans="1:42" x14ac:dyDescent="0.3">
      <c r="A520">
        <v>9278</v>
      </c>
      <c r="B520" t="s">
        <v>1628</v>
      </c>
      <c r="C520" t="s">
        <v>1629</v>
      </c>
      <c r="D520">
        <v>24</v>
      </c>
      <c r="E520" t="s">
        <v>545</v>
      </c>
      <c r="F520" t="s">
        <v>197</v>
      </c>
      <c r="G520" t="s">
        <v>1630</v>
      </c>
      <c r="H520">
        <v>25076</v>
      </c>
      <c r="I520">
        <v>23752</v>
      </c>
      <c r="J520" t="s">
        <v>1631</v>
      </c>
      <c r="K520" t="s">
        <v>843</v>
      </c>
      <c r="L520" t="s">
        <v>80</v>
      </c>
      <c r="M520">
        <v>1355</v>
      </c>
      <c r="N520">
        <v>35650</v>
      </c>
      <c r="O520" t="s">
        <v>905</v>
      </c>
      <c r="P520" t="s">
        <v>235</v>
      </c>
      <c r="Q520" t="s">
        <v>225</v>
      </c>
      <c r="R520" t="s">
        <v>50</v>
      </c>
      <c r="S520" t="s">
        <v>50</v>
      </c>
      <c r="T520">
        <v>16867</v>
      </c>
      <c r="U520" t="s">
        <v>51</v>
      </c>
      <c r="V520">
        <v>3898</v>
      </c>
      <c r="W520">
        <v>3763</v>
      </c>
      <c r="X520" t="s">
        <v>407</v>
      </c>
      <c r="Y520" t="s">
        <v>407</v>
      </c>
      <c r="Z520" t="s">
        <v>795</v>
      </c>
      <c r="AA520" t="s">
        <v>789</v>
      </c>
      <c r="AB520">
        <v>18783</v>
      </c>
      <c r="AC520">
        <v>10715</v>
      </c>
      <c r="AD520">
        <v>4466</v>
      </c>
      <c r="AE520">
        <v>1344</v>
      </c>
      <c r="AF520">
        <v>313</v>
      </c>
      <c r="AG520">
        <v>29</v>
      </c>
      <c r="AH520">
        <v>18513</v>
      </c>
      <c r="AI520">
        <v>979</v>
      </c>
      <c r="AJ520">
        <v>1004</v>
      </c>
      <c r="AK520">
        <v>4320</v>
      </c>
      <c r="AL520">
        <v>239</v>
      </c>
      <c r="AM520">
        <v>73</v>
      </c>
      <c r="AN520" t="s">
        <v>412</v>
      </c>
      <c r="AO520">
        <f>AVERAGE(Tabla2[[#This Row],[total_kills]:[rating]])</f>
        <v>9007.3157894736851</v>
      </c>
      <c r="AP520" t="str">
        <f>VLOOKUP(Tabla2[[#This Row],[KPI]],$AS$2:$AT$5,2,1)</f>
        <v>Superior</v>
      </c>
    </row>
    <row r="521" spans="1:42" x14ac:dyDescent="0.3">
      <c r="A521">
        <v>13396</v>
      </c>
      <c r="B521" t="s">
        <v>1795</v>
      </c>
      <c r="C521" t="s">
        <v>1796</v>
      </c>
      <c r="D521">
        <v>23</v>
      </c>
      <c r="E521" t="s">
        <v>452</v>
      </c>
      <c r="F521" t="s">
        <v>3514</v>
      </c>
      <c r="G521" t="s">
        <v>537</v>
      </c>
      <c r="H521">
        <v>10871</v>
      </c>
      <c r="I521">
        <v>10469</v>
      </c>
      <c r="J521" t="s">
        <v>1631</v>
      </c>
      <c r="K521" t="s">
        <v>877</v>
      </c>
      <c r="L521" t="s">
        <v>589</v>
      </c>
      <c r="M521">
        <v>575</v>
      </c>
      <c r="N521">
        <v>15453</v>
      </c>
      <c r="O521" t="s">
        <v>905</v>
      </c>
      <c r="P521" t="s">
        <v>202</v>
      </c>
      <c r="Q521" t="s">
        <v>167</v>
      </c>
      <c r="R521" t="s">
        <v>96</v>
      </c>
      <c r="S521" t="s">
        <v>50</v>
      </c>
      <c r="T521">
        <v>7287</v>
      </c>
      <c r="U521" t="s">
        <v>51</v>
      </c>
      <c r="V521">
        <v>1600</v>
      </c>
      <c r="W521">
        <v>1621</v>
      </c>
      <c r="X521" t="s">
        <v>285</v>
      </c>
      <c r="Y521" t="s">
        <v>255</v>
      </c>
      <c r="Z521" t="s">
        <v>324</v>
      </c>
      <c r="AA521" t="s">
        <v>844</v>
      </c>
      <c r="AB521">
        <v>8166</v>
      </c>
      <c r="AC521">
        <v>4578</v>
      </c>
      <c r="AD521">
        <v>1991</v>
      </c>
      <c r="AE521">
        <v>571</v>
      </c>
      <c r="AF521">
        <v>137</v>
      </c>
      <c r="AG521">
        <v>10</v>
      </c>
      <c r="AH521">
        <v>7592</v>
      </c>
      <c r="AI521">
        <v>556</v>
      </c>
      <c r="AJ521">
        <v>642</v>
      </c>
      <c r="AK521">
        <v>1937</v>
      </c>
      <c r="AL521">
        <v>110</v>
      </c>
      <c r="AM521">
        <v>55</v>
      </c>
      <c r="AN521" t="s">
        <v>464</v>
      </c>
      <c r="AO521">
        <f>AVERAGE(Tabla2[[#This Row],[total_kills]:[rating]])</f>
        <v>3906.3684210526317</v>
      </c>
      <c r="AP521" t="str">
        <f>VLOOKUP(Tabla2[[#This Row],[KPI]],$AS$2:$AT$5,2,1)</f>
        <v>Medio</v>
      </c>
    </row>
    <row r="522" spans="1:42" x14ac:dyDescent="0.3">
      <c r="A522">
        <v>557</v>
      </c>
      <c r="B522" t="s">
        <v>1843</v>
      </c>
      <c r="C522" t="s">
        <v>1844</v>
      </c>
      <c r="D522">
        <v>32</v>
      </c>
      <c r="E522" t="s">
        <v>104</v>
      </c>
      <c r="F522" t="s">
        <v>855</v>
      </c>
      <c r="G522" t="s">
        <v>1845</v>
      </c>
      <c r="H522">
        <v>12310</v>
      </c>
      <c r="I522">
        <v>11644</v>
      </c>
      <c r="J522" t="s">
        <v>1631</v>
      </c>
      <c r="K522" t="s">
        <v>1510</v>
      </c>
      <c r="L522" t="s">
        <v>1846</v>
      </c>
      <c r="M522">
        <v>689</v>
      </c>
      <c r="N522">
        <v>17735</v>
      </c>
      <c r="O522" t="s">
        <v>463</v>
      </c>
      <c r="P522" t="s">
        <v>553</v>
      </c>
      <c r="Q522" t="s">
        <v>322</v>
      </c>
      <c r="R522" t="s">
        <v>66</v>
      </c>
      <c r="S522" t="s">
        <v>66</v>
      </c>
      <c r="T522">
        <v>8445</v>
      </c>
      <c r="U522" t="s">
        <v>51</v>
      </c>
      <c r="V522">
        <v>1722</v>
      </c>
      <c r="W522">
        <v>1652</v>
      </c>
      <c r="X522" t="s">
        <v>407</v>
      </c>
      <c r="Y522">
        <v>1</v>
      </c>
      <c r="Z522" t="s">
        <v>256</v>
      </c>
      <c r="AA522" t="s">
        <v>888</v>
      </c>
      <c r="AB522">
        <v>9290</v>
      </c>
      <c r="AC522">
        <v>5496</v>
      </c>
      <c r="AD522">
        <v>2179</v>
      </c>
      <c r="AE522">
        <v>638</v>
      </c>
      <c r="AF522">
        <v>118</v>
      </c>
      <c r="AG522">
        <v>14</v>
      </c>
      <c r="AH522">
        <v>8855</v>
      </c>
      <c r="AI522">
        <v>302</v>
      </c>
      <c r="AJ522">
        <v>730</v>
      </c>
      <c r="AK522">
        <v>2121</v>
      </c>
      <c r="AL522">
        <v>239</v>
      </c>
      <c r="AM522">
        <v>84</v>
      </c>
      <c r="AN522" t="s">
        <v>449</v>
      </c>
      <c r="AO522">
        <f>AVERAGE(Tabla2[[#This Row],[total_kills]:[rating]])</f>
        <v>4213.2</v>
      </c>
      <c r="AP522" t="str">
        <f>VLOOKUP(Tabla2[[#This Row],[KPI]],$AS$2:$AT$5,2,1)</f>
        <v>Medio</v>
      </c>
    </row>
    <row r="523" spans="1:42" x14ac:dyDescent="0.3">
      <c r="A523">
        <v>4216</v>
      </c>
      <c r="B523" t="s">
        <v>1952</v>
      </c>
      <c r="C523" t="s">
        <v>1953</v>
      </c>
      <c r="D523">
        <v>29</v>
      </c>
      <c r="E523" t="s">
        <v>895</v>
      </c>
      <c r="F523" t="s">
        <v>210</v>
      </c>
      <c r="G523" t="s">
        <v>1954</v>
      </c>
      <c r="H523">
        <v>19347</v>
      </c>
      <c r="I523">
        <v>18183</v>
      </c>
      <c r="J523" t="s">
        <v>1631</v>
      </c>
      <c r="K523" t="s">
        <v>1288</v>
      </c>
      <c r="L523" t="s">
        <v>46</v>
      </c>
      <c r="M523">
        <v>1111</v>
      </c>
      <c r="N523">
        <v>28880</v>
      </c>
      <c r="O523" t="s">
        <v>225</v>
      </c>
      <c r="P523" t="s">
        <v>202</v>
      </c>
      <c r="Q523" t="s">
        <v>215</v>
      </c>
      <c r="R523" t="s">
        <v>50</v>
      </c>
      <c r="S523" t="s">
        <v>50</v>
      </c>
      <c r="T523">
        <v>13310</v>
      </c>
      <c r="U523" t="s">
        <v>51</v>
      </c>
      <c r="V523">
        <v>2815</v>
      </c>
      <c r="W523">
        <v>2777</v>
      </c>
      <c r="X523" t="s">
        <v>255</v>
      </c>
      <c r="Y523" t="s">
        <v>285</v>
      </c>
      <c r="Z523" t="s">
        <v>533</v>
      </c>
      <c r="AA523" t="s">
        <v>640</v>
      </c>
      <c r="AB523">
        <v>15570</v>
      </c>
      <c r="AC523">
        <v>8719</v>
      </c>
      <c r="AD523">
        <v>3395</v>
      </c>
      <c r="AE523">
        <v>974</v>
      </c>
      <c r="AF523">
        <v>206</v>
      </c>
      <c r="AG523">
        <v>16</v>
      </c>
      <c r="AH523">
        <v>13391</v>
      </c>
      <c r="AI523">
        <v>1539</v>
      </c>
      <c r="AJ523">
        <v>852</v>
      </c>
      <c r="AK523">
        <v>3304</v>
      </c>
      <c r="AL523">
        <v>225</v>
      </c>
      <c r="AM523">
        <v>69</v>
      </c>
      <c r="AN523" t="s">
        <v>449</v>
      </c>
      <c r="AO523">
        <f>AVERAGE(Tabla2[[#This Row],[total_kills]:[rating]])</f>
        <v>7088.5789473684208</v>
      </c>
      <c r="AP523" t="str">
        <f>VLOOKUP(Tabla2[[#This Row],[KPI]],$AS$2:$AT$5,2,1)</f>
        <v>Superior</v>
      </c>
    </row>
    <row r="524" spans="1:42" x14ac:dyDescent="0.3">
      <c r="A524">
        <v>17918</v>
      </c>
      <c r="B524" t="s">
        <v>2850</v>
      </c>
      <c r="C524" t="s">
        <v>2851</v>
      </c>
      <c r="D524">
        <v>22</v>
      </c>
      <c r="E524" t="s">
        <v>459</v>
      </c>
      <c r="F524" t="s">
        <v>825</v>
      </c>
      <c r="G524" t="s">
        <v>2852</v>
      </c>
      <c r="H524">
        <v>8880</v>
      </c>
      <c r="I524">
        <v>9253</v>
      </c>
      <c r="J524" t="s">
        <v>1631</v>
      </c>
      <c r="K524" t="s">
        <v>1057</v>
      </c>
      <c r="L524" t="s">
        <v>1943</v>
      </c>
      <c r="M524">
        <v>503</v>
      </c>
      <c r="N524">
        <v>13296</v>
      </c>
      <c r="O524" t="s">
        <v>225</v>
      </c>
      <c r="P524" t="s">
        <v>235</v>
      </c>
      <c r="Q524" t="s">
        <v>905</v>
      </c>
      <c r="R524" t="s">
        <v>96</v>
      </c>
      <c r="S524" t="s">
        <v>66</v>
      </c>
      <c r="T524">
        <v>6059</v>
      </c>
      <c r="U524" t="s">
        <v>51</v>
      </c>
      <c r="V524">
        <v>1446</v>
      </c>
      <c r="W524">
        <v>1607</v>
      </c>
      <c r="X524" t="s">
        <v>1906</v>
      </c>
      <c r="Y524" t="s">
        <v>255</v>
      </c>
      <c r="Z524" t="s">
        <v>455</v>
      </c>
      <c r="AA524" t="s">
        <v>789</v>
      </c>
      <c r="AB524">
        <v>7237</v>
      </c>
      <c r="AC524">
        <v>3894</v>
      </c>
      <c r="AD524">
        <v>1626</v>
      </c>
      <c r="AE524">
        <v>434</v>
      </c>
      <c r="AF524">
        <v>93</v>
      </c>
      <c r="AG524">
        <v>12</v>
      </c>
      <c r="AH524">
        <v>6461</v>
      </c>
      <c r="AI524">
        <v>221</v>
      </c>
      <c r="AJ524">
        <v>557</v>
      </c>
      <c r="AK524">
        <v>1441</v>
      </c>
      <c r="AL524">
        <v>151</v>
      </c>
      <c r="AM524">
        <v>89</v>
      </c>
      <c r="AN524" t="s">
        <v>412</v>
      </c>
      <c r="AO524">
        <f>AVERAGE(Tabla2[[#This Row],[total_kills]:[rating]])</f>
        <v>3329.4736842105262</v>
      </c>
      <c r="AP524" t="str">
        <f>VLOOKUP(Tabla2[[#This Row],[KPI]],$AS$2:$AT$5,2,1)</f>
        <v>Medio</v>
      </c>
    </row>
    <row r="525" spans="1:42" x14ac:dyDescent="0.3">
      <c r="A525">
        <v>10569</v>
      </c>
      <c r="B525" t="s">
        <v>3012</v>
      </c>
      <c r="C525" t="s">
        <v>3013</v>
      </c>
      <c r="D525">
        <v>27</v>
      </c>
      <c r="E525" t="s">
        <v>42</v>
      </c>
      <c r="F525" t="s">
        <v>2276</v>
      </c>
      <c r="G525" t="s">
        <v>3014</v>
      </c>
      <c r="H525">
        <v>11155</v>
      </c>
      <c r="I525">
        <v>11756</v>
      </c>
      <c r="J525" t="s">
        <v>1631</v>
      </c>
      <c r="K525" t="s">
        <v>1057</v>
      </c>
      <c r="L525" t="s">
        <v>462</v>
      </c>
      <c r="M525">
        <v>644</v>
      </c>
      <c r="N525">
        <v>17079</v>
      </c>
      <c r="O525" t="s">
        <v>276</v>
      </c>
      <c r="P525" t="s">
        <v>166</v>
      </c>
      <c r="Q525" t="s">
        <v>463</v>
      </c>
      <c r="R525" t="s">
        <v>50</v>
      </c>
      <c r="S525" t="s">
        <v>96</v>
      </c>
      <c r="T525">
        <v>7655</v>
      </c>
      <c r="U525" t="s">
        <v>51</v>
      </c>
      <c r="V525">
        <v>1636</v>
      </c>
      <c r="W525">
        <v>1737</v>
      </c>
      <c r="X525" t="s">
        <v>1570</v>
      </c>
      <c r="Y525" t="s">
        <v>245</v>
      </c>
      <c r="Z525" t="s">
        <v>554</v>
      </c>
      <c r="AA525" t="s">
        <v>724</v>
      </c>
      <c r="AB525">
        <v>9424</v>
      </c>
      <c r="AC525">
        <v>4967</v>
      </c>
      <c r="AD525">
        <v>1996</v>
      </c>
      <c r="AE525">
        <v>580</v>
      </c>
      <c r="AF525">
        <v>104</v>
      </c>
      <c r="AG525">
        <v>8</v>
      </c>
      <c r="AH525">
        <v>8435</v>
      </c>
      <c r="AI525">
        <v>138</v>
      </c>
      <c r="AJ525">
        <v>594</v>
      </c>
      <c r="AK525">
        <v>1881</v>
      </c>
      <c r="AL525">
        <v>128</v>
      </c>
      <c r="AM525">
        <v>11</v>
      </c>
      <c r="AN525" t="s">
        <v>820</v>
      </c>
      <c r="AO525">
        <f>AVERAGE(Tabla2[[#This Row],[total_kills]:[rating]])</f>
        <v>4206.7368421052633</v>
      </c>
      <c r="AP525" t="str">
        <f>VLOOKUP(Tabla2[[#This Row],[KPI]],$AS$2:$AT$5,2,1)</f>
        <v>Medio</v>
      </c>
    </row>
    <row r="526" spans="1:42" x14ac:dyDescent="0.3">
      <c r="A526">
        <v>8708</v>
      </c>
      <c r="B526" t="s">
        <v>3415</v>
      </c>
      <c r="C526" t="s">
        <v>3416</v>
      </c>
      <c r="D526">
        <v>31</v>
      </c>
      <c r="E526" t="s">
        <v>459</v>
      </c>
      <c r="F526" t="s">
        <v>3514</v>
      </c>
      <c r="G526" t="s">
        <v>3417</v>
      </c>
      <c r="H526">
        <v>6638</v>
      </c>
      <c r="I526">
        <v>7951</v>
      </c>
      <c r="J526" t="s">
        <v>1631</v>
      </c>
      <c r="K526" t="s">
        <v>3418</v>
      </c>
      <c r="L526" t="s">
        <v>471</v>
      </c>
      <c r="M526">
        <v>445</v>
      </c>
      <c r="N526">
        <v>11663</v>
      </c>
      <c r="O526" t="s">
        <v>3419</v>
      </c>
      <c r="P526" t="s">
        <v>48</v>
      </c>
      <c r="Q526" t="s">
        <v>167</v>
      </c>
      <c r="R526" t="s">
        <v>67</v>
      </c>
      <c r="S526" t="s">
        <v>96</v>
      </c>
      <c r="T526">
        <v>4779</v>
      </c>
      <c r="U526" t="s">
        <v>51</v>
      </c>
      <c r="V526">
        <v>803</v>
      </c>
      <c r="W526">
        <v>1066</v>
      </c>
      <c r="X526" t="s">
        <v>180</v>
      </c>
      <c r="Y526" t="s">
        <v>64</v>
      </c>
      <c r="Z526" t="s">
        <v>838</v>
      </c>
      <c r="AA526" t="s">
        <v>2951</v>
      </c>
      <c r="AB526">
        <v>6884</v>
      </c>
      <c r="AC526">
        <v>3302</v>
      </c>
      <c r="AD526">
        <v>1147</v>
      </c>
      <c r="AE526">
        <v>280</v>
      </c>
      <c r="AF526">
        <v>48</v>
      </c>
      <c r="AG526">
        <v>2</v>
      </c>
      <c r="AH526">
        <v>4437</v>
      </c>
      <c r="AI526">
        <v>220</v>
      </c>
      <c r="AJ526">
        <v>592</v>
      </c>
      <c r="AK526">
        <v>1298</v>
      </c>
      <c r="AL526">
        <v>99</v>
      </c>
      <c r="AM526">
        <v>6</v>
      </c>
      <c r="AN526" t="s">
        <v>2667</v>
      </c>
      <c r="AO526">
        <f>AVERAGE(Tabla2[[#This Row],[total_kills]:[rating]])</f>
        <v>2718.9473684210525</v>
      </c>
      <c r="AP526" t="str">
        <f>VLOOKUP(Tabla2[[#This Row],[KPI]],$AS$2:$AT$5,2,1)</f>
        <v>Bajo</v>
      </c>
    </row>
    <row r="527" spans="1:42" x14ac:dyDescent="0.3">
      <c r="A527">
        <v>8412</v>
      </c>
      <c r="B527" t="s">
        <v>465</v>
      </c>
      <c r="C527" t="s">
        <v>466</v>
      </c>
      <c r="D527">
        <v>25</v>
      </c>
      <c r="E527" t="s">
        <v>467</v>
      </c>
      <c r="F527" t="s">
        <v>468</v>
      </c>
      <c r="G527" t="s">
        <v>469</v>
      </c>
      <c r="H527">
        <v>24903</v>
      </c>
      <c r="I527">
        <v>20679</v>
      </c>
      <c r="J527" t="s">
        <v>470</v>
      </c>
      <c r="K527">
        <v>77</v>
      </c>
      <c r="L527" t="s">
        <v>471</v>
      </c>
      <c r="M527">
        <v>1283</v>
      </c>
      <c r="N527">
        <v>33620</v>
      </c>
      <c r="O527" t="s">
        <v>283</v>
      </c>
      <c r="P527" t="s">
        <v>48</v>
      </c>
      <c r="Q527" t="s">
        <v>144</v>
      </c>
      <c r="R527" t="s">
        <v>66</v>
      </c>
      <c r="S527" t="s">
        <v>67</v>
      </c>
      <c r="T527">
        <v>16695</v>
      </c>
      <c r="U527" t="s">
        <v>51</v>
      </c>
      <c r="V527">
        <v>2721</v>
      </c>
      <c r="W527">
        <v>2236</v>
      </c>
      <c r="X527" t="s">
        <v>114</v>
      </c>
      <c r="Y527" t="s">
        <v>472</v>
      </c>
      <c r="Z527" t="s">
        <v>473</v>
      </c>
      <c r="AA527" t="s">
        <v>474</v>
      </c>
      <c r="AB527">
        <v>16925</v>
      </c>
      <c r="AC527">
        <v>10474</v>
      </c>
      <c r="AD527">
        <v>4539</v>
      </c>
      <c r="AE527">
        <v>1418</v>
      </c>
      <c r="AF527">
        <v>237</v>
      </c>
      <c r="AG527">
        <v>27</v>
      </c>
      <c r="AH527">
        <v>19438</v>
      </c>
      <c r="AI527">
        <v>349</v>
      </c>
      <c r="AJ527">
        <v>272</v>
      </c>
      <c r="AK527">
        <v>4561</v>
      </c>
      <c r="AL527">
        <v>296</v>
      </c>
      <c r="AM527">
        <v>45</v>
      </c>
      <c r="AN527" t="s">
        <v>362</v>
      </c>
      <c r="AO527">
        <f>AVERAGE(Tabla2[[#This Row],[total_kills]:[rating]])</f>
        <v>8039.75</v>
      </c>
      <c r="AP527" t="str">
        <f>VLOOKUP(Tabla2[[#This Row],[KPI]],$AS$2:$AT$5,2,1)</f>
        <v>Superior</v>
      </c>
    </row>
    <row r="528" spans="1:42" x14ac:dyDescent="0.3">
      <c r="A528">
        <v>18462</v>
      </c>
      <c r="B528" t="s">
        <v>849</v>
      </c>
      <c r="C528" t="s">
        <v>850</v>
      </c>
      <c r="D528">
        <v>23</v>
      </c>
      <c r="E528" t="s">
        <v>141</v>
      </c>
      <c r="F528" t="s">
        <v>605</v>
      </c>
      <c r="G528" t="s">
        <v>851</v>
      </c>
      <c r="H528">
        <v>10146</v>
      </c>
      <c r="I528">
        <v>8912</v>
      </c>
      <c r="J528" t="s">
        <v>470</v>
      </c>
      <c r="K528" t="s">
        <v>200</v>
      </c>
      <c r="L528" t="s">
        <v>282</v>
      </c>
      <c r="M528">
        <v>519</v>
      </c>
      <c r="N528">
        <v>14054</v>
      </c>
      <c r="O528" t="s">
        <v>311</v>
      </c>
      <c r="P528" t="s">
        <v>235</v>
      </c>
      <c r="Q528" t="s">
        <v>215</v>
      </c>
      <c r="R528" t="s">
        <v>96</v>
      </c>
      <c r="S528" t="s">
        <v>48</v>
      </c>
      <c r="T528">
        <v>6771</v>
      </c>
      <c r="U528" t="s">
        <v>51</v>
      </c>
      <c r="V528">
        <v>1231</v>
      </c>
      <c r="W528">
        <v>1043</v>
      </c>
      <c r="X528" t="s">
        <v>169</v>
      </c>
      <c r="Y528" t="s">
        <v>245</v>
      </c>
      <c r="Z528" t="s">
        <v>809</v>
      </c>
      <c r="AA528" t="s">
        <v>852</v>
      </c>
      <c r="AB528">
        <v>7283</v>
      </c>
      <c r="AC528">
        <v>4272</v>
      </c>
      <c r="AD528">
        <v>1772</v>
      </c>
      <c r="AE528">
        <v>593</v>
      </c>
      <c r="AF528">
        <v>119</v>
      </c>
      <c r="AG528">
        <v>15</v>
      </c>
      <c r="AH528">
        <v>7234</v>
      </c>
      <c r="AI528">
        <v>619</v>
      </c>
      <c r="AJ528">
        <v>495</v>
      </c>
      <c r="AK528">
        <v>1686</v>
      </c>
      <c r="AL528">
        <v>120</v>
      </c>
      <c r="AM528">
        <v>14</v>
      </c>
      <c r="AN528" t="s">
        <v>111</v>
      </c>
      <c r="AO528">
        <f>AVERAGE(Tabla2[[#This Row],[total_kills]:[rating]])</f>
        <v>3520.9473684210525</v>
      </c>
      <c r="AP528" t="str">
        <f>VLOOKUP(Tabla2[[#This Row],[KPI]],$AS$2:$AT$5,2,1)</f>
        <v>Medio</v>
      </c>
    </row>
    <row r="529" spans="1:42" x14ac:dyDescent="0.3">
      <c r="A529">
        <v>11922</v>
      </c>
      <c r="B529" t="s">
        <v>2319</v>
      </c>
      <c r="C529" t="s">
        <v>2320</v>
      </c>
      <c r="D529">
        <v>25</v>
      </c>
      <c r="E529" t="s">
        <v>104</v>
      </c>
      <c r="F529" t="s">
        <v>3514</v>
      </c>
      <c r="G529" t="s">
        <v>2321</v>
      </c>
      <c r="H529">
        <v>7659</v>
      </c>
      <c r="I529">
        <v>7550</v>
      </c>
      <c r="J529" t="s">
        <v>470</v>
      </c>
      <c r="K529" t="s">
        <v>989</v>
      </c>
      <c r="L529" t="s">
        <v>375</v>
      </c>
      <c r="M529">
        <v>423</v>
      </c>
      <c r="N529">
        <v>11227</v>
      </c>
      <c r="O529" t="s">
        <v>167</v>
      </c>
      <c r="P529" t="s">
        <v>235</v>
      </c>
      <c r="Q529" t="s">
        <v>225</v>
      </c>
      <c r="R529" t="s">
        <v>67</v>
      </c>
      <c r="S529" t="s">
        <v>50</v>
      </c>
      <c r="T529">
        <v>5212</v>
      </c>
      <c r="U529" t="s">
        <v>51</v>
      </c>
      <c r="V529">
        <v>1127</v>
      </c>
      <c r="W529">
        <v>1063</v>
      </c>
      <c r="X529" t="s">
        <v>590</v>
      </c>
      <c r="Y529" t="s">
        <v>255</v>
      </c>
      <c r="Z529" t="s">
        <v>112</v>
      </c>
      <c r="AA529" t="s">
        <v>648</v>
      </c>
      <c r="AB529">
        <v>6015</v>
      </c>
      <c r="AC529">
        <v>3346</v>
      </c>
      <c r="AD529">
        <v>1378</v>
      </c>
      <c r="AE529">
        <v>401</v>
      </c>
      <c r="AF529">
        <v>81</v>
      </c>
      <c r="AG529">
        <v>6</v>
      </c>
      <c r="AH529">
        <v>5504</v>
      </c>
      <c r="AI529">
        <v>354</v>
      </c>
      <c r="AJ529">
        <v>418</v>
      </c>
      <c r="AK529">
        <v>1257</v>
      </c>
      <c r="AL529">
        <v>133</v>
      </c>
      <c r="AM529">
        <v>20</v>
      </c>
      <c r="AN529" t="s">
        <v>464</v>
      </c>
      <c r="AO529">
        <f>AVERAGE(Tabla2[[#This Row],[total_kills]:[rating]])</f>
        <v>2798.6315789473683</v>
      </c>
      <c r="AP529" t="str">
        <f>VLOOKUP(Tabla2[[#This Row],[KPI]],$AS$2:$AT$5,2,1)</f>
        <v>Bajo</v>
      </c>
    </row>
    <row r="530" spans="1:42" x14ac:dyDescent="0.3">
      <c r="A530">
        <v>10096</v>
      </c>
      <c r="B530" t="s">
        <v>3396</v>
      </c>
      <c r="C530" t="s">
        <v>3397</v>
      </c>
      <c r="D530">
        <v>27</v>
      </c>
      <c r="E530" t="s">
        <v>196</v>
      </c>
      <c r="F530" t="s">
        <v>992</v>
      </c>
      <c r="G530" t="s">
        <v>992</v>
      </c>
      <c r="H530">
        <v>12343</v>
      </c>
      <c r="I530">
        <v>14549</v>
      </c>
      <c r="J530" t="s">
        <v>470</v>
      </c>
      <c r="K530">
        <v>68</v>
      </c>
      <c r="L530" t="s">
        <v>1846</v>
      </c>
      <c r="M530">
        <v>798</v>
      </c>
      <c r="N530">
        <v>21225</v>
      </c>
      <c r="O530" t="s">
        <v>284</v>
      </c>
      <c r="P530" t="s">
        <v>202</v>
      </c>
      <c r="Q530" t="s">
        <v>463</v>
      </c>
      <c r="R530" t="s">
        <v>96</v>
      </c>
      <c r="S530" t="s">
        <v>66</v>
      </c>
      <c r="T530">
        <v>8746</v>
      </c>
      <c r="U530" t="s">
        <v>51</v>
      </c>
      <c r="V530">
        <v>1771</v>
      </c>
      <c r="W530">
        <v>2312</v>
      </c>
      <c r="X530" t="s">
        <v>81</v>
      </c>
      <c r="Y530" t="s">
        <v>1906</v>
      </c>
      <c r="Z530" t="s">
        <v>653</v>
      </c>
      <c r="AA530" t="s">
        <v>1276</v>
      </c>
      <c r="AB530">
        <v>12479</v>
      </c>
      <c r="AC530">
        <v>5928</v>
      </c>
      <c r="AD530">
        <v>2152</v>
      </c>
      <c r="AE530">
        <v>561</v>
      </c>
      <c r="AF530">
        <v>97</v>
      </c>
      <c r="AG530">
        <v>8</v>
      </c>
      <c r="AH530">
        <v>8478</v>
      </c>
      <c r="AI530">
        <v>446</v>
      </c>
      <c r="AJ530">
        <v>1184</v>
      </c>
      <c r="AK530">
        <v>1997</v>
      </c>
      <c r="AL530">
        <v>230</v>
      </c>
      <c r="AM530">
        <v>43</v>
      </c>
      <c r="AN530" t="s">
        <v>2324</v>
      </c>
      <c r="AO530">
        <f>AVERAGE(Tabla2[[#This Row],[total_kills]:[rating]])</f>
        <v>4770.75</v>
      </c>
      <c r="AP530" t="str">
        <f>VLOOKUP(Tabla2[[#This Row],[KPI]],$AS$2:$AT$5,2,1)</f>
        <v>Medio</v>
      </c>
    </row>
    <row r="531" spans="1:42" x14ac:dyDescent="0.3">
      <c r="A531">
        <v>9258</v>
      </c>
      <c r="B531" t="s">
        <v>1428</v>
      </c>
      <c r="C531" t="s">
        <v>1429</v>
      </c>
      <c r="D531">
        <v>23</v>
      </c>
      <c r="E531" t="s">
        <v>459</v>
      </c>
      <c r="F531" t="s">
        <v>3514</v>
      </c>
      <c r="G531" t="s">
        <v>1430</v>
      </c>
      <c r="H531">
        <v>15002</v>
      </c>
      <c r="I531">
        <v>13962</v>
      </c>
      <c r="J531" t="s">
        <v>1431</v>
      </c>
      <c r="K531" t="s">
        <v>1047</v>
      </c>
      <c r="L531" t="s">
        <v>425</v>
      </c>
      <c r="M531">
        <v>795</v>
      </c>
      <c r="N531">
        <v>20701</v>
      </c>
      <c r="O531" t="s">
        <v>311</v>
      </c>
      <c r="P531" t="s">
        <v>202</v>
      </c>
      <c r="Q531" t="s">
        <v>225</v>
      </c>
      <c r="R531" t="s">
        <v>50</v>
      </c>
      <c r="S531" t="s">
        <v>48</v>
      </c>
      <c r="T531">
        <v>10078</v>
      </c>
      <c r="U531" t="s">
        <v>51</v>
      </c>
      <c r="V531">
        <v>2213</v>
      </c>
      <c r="W531">
        <v>2140</v>
      </c>
      <c r="X531" t="s">
        <v>412</v>
      </c>
      <c r="Y531" t="s">
        <v>412</v>
      </c>
      <c r="Z531" t="s">
        <v>567</v>
      </c>
      <c r="AA531" t="s">
        <v>384</v>
      </c>
      <c r="AB531">
        <v>10623</v>
      </c>
      <c r="AC531">
        <v>6335</v>
      </c>
      <c r="AD531">
        <v>2739</v>
      </c>
      <c r="AE531">
        <v>843</v>
      </c>
      <c r="AF531">
        <v>145</v>
      </c>
      <c r="AG531">
        <v>16</v>
      </c>
      <c r="AH531">
        <v>10613</v>
      </c>
      <c r="AI531">
        <v>801</v>
      </c>
      <c r="AJ531">
        <v>741</v>
      </c>
      <c r="AK531">
        <v>2714</v>
      </c>
      <c r="AL531">
        <v>134</v>
      </c>
      <c r="AM531">
        <v>33</v>
      </c>
      <c r="AN531" t="s">
        <v>304</v>
      </c>
      <c r="AO531">
        <f>AVERAGE(Tabla2[[#This Row],[total_kills]:[rating]])</f>
        <v>5296.2105263157891</v>
      </c>
      <c r="AP531" t="str">
        <f>VLOOKUP(Tabla2[[#This Row],[KPI]],$AS$2:$AT$5,2,1)</f>
        <v>Alto</v>
      </c>
    </row>
    <row r="532" spans="1:42" x14ac:dyDescent="0.3">
      <c r="A532">
        <v>8347</v>
      </c>
      <c r="B532" t="s">
        <v>2268</v>
      </c>
      <c r="C532" t="s">
        <v>2269</v>
      </c>
      <c r="D532">
        <v>33</v>
      </c>
      <c r="E532" t="s">
        <v>459</v>
      </c>
      <c r="F532" t="s">
        <v>3514</v>
      </c>
      <c r="G532" t="s">
        <v>2270</v>
      </c>
      <c r="H532">
        <v>13273</v>
      </c>
      <c r="I532">
        <v>13354</v>
      </c>
      <c r="J532" t="s">
        <v>1431</v>
      </c>
      <c r="K532" t="s">
        <v>843</v>
      </c>
      <c r="L532" t="s">
        <v>398</v>
      </c>
      <c r="M532">
        <v>736</v>
      </c>
      <c r="N532">
        <v>19138</v>
      </c>
      <c r="O532" t="s">
        <v>463</v>
      </c>
      <c r="P532" t="s">
        <v>166</v>
      </c>
      <c r="Q532" t="s">
        <v>905</v>
      </c>
      <c r="R532" t="s">
        <v>96</v>
      </c>
      <c r="S532" t="s">
        <v>66</v>
      </c>
      <c r="T532">
        <v>8849</v>
      </c>
      <c r="U532" t="s">
        <v>51</v>
      </c>
      <c r="V532">
        <v>2127</v>
      </c>
      <c r="W532">
        <v>2285</v>
      </c>
      <c r="X532" t="s">
        <v>950</v>
      </c>
      <c r="Y532" t="s">
        <v>449</v>
      </c>
      <c r="Z532" t="s">
        <v>705</v>
      </c>
      <c r="AA532" t="s">
        <v>436</v>
      </c>
      <c r="AB532">
        <v>10289</v>
      </c>
      <c r="AC532">
        <v>5567</v>
      </c>
      <c r="AD532">
        <v>2354</v>
      </c>
      <c r="AE532">
        <v>752</v>
      </c>
      <c r="AF532">
        <v>154</v>
      </c>
      <c r="AG532">
        <v>22</v>
      </c>
      <c r="AH532">
        <v>9603</v>
      </c>
      <c r="AI532">
        <v>434</v>
      </c>
      <c r="AJ532">
        <v>522</v>
      </c>
      <c r="AK532">
        <v>2405</v>
      </c>
      <c r="AL532">
        <v>200</v>
      </c>
      <c r="AM532">
        <v>123</v>
      </c>
      <c r="AN532">
        <v>1</v>
      </c>
      <c r="AO532">
        <f>AVERAGE(Tabla2[[#This Row],[total_kills]:[rating]])</f>
        <v>4609.3999999999996</v>
      </c>
      <c r="AP532" t="str">
        <f>VLOOKUP(Tabla2[[#This Row],[KPI]],$AS$2:$AT$5,2,1)</f>
        <v>Medio</v>
      </c>
    </row>
    <row r="533" spans="1:42" x14ac:dyDescent="0.3">
      <c r="A533">
        <v>14205</v>
      </c>
      <c r="B533" t="s">
        <v>2282</v>
      </c>
      <c r="C533" t="s">
        <v>2283</v>
      </c>
      <c r="D533">
        <v>20</v>
      </c>
      <c r="E533" t="s">
        <v>1033</v>
      </c>
      <c r="F533" t="s">
        <v>2284</v>
      </c>
      <c r="G533" t="s">
        <v>2285</v>
      </c>
      <c r="H533">
        <v>9436</v>
      </c>
      <c r="I533">
        <v>9215</v>
      </c>
      <c r="J533" t="s">
        <v>1431</v>
      </c>
      <c r="K533" t="s">
        <v>2250</v>
      </c>
      <c r="L533">
        <v>3</v>
      </c>
      <c r="M533">
        <v>527</v>
      </c>
      <c r="N533">
        <v>13874</v>
      </c>
      <c r="O533" t="s">
        <v>167</v>
      </c>
      <c r="P533" t="s">
        <v>48</v>
      </c>
      <c r="Q533" t="s">
        <v>322</v>
      </c>
      <c r="R533" t="s">
        <v>96</v>
      </c>
      <c r="S533" t="s">
        <v>50</v>
      </c>
      <c r="T533">
        <v>6474</v>
      </c>
      <c r="U533" t="s">
        <v>51</v>
      </c>
      <c r="V533">
        <v>1102</v>
      </c>
      <c r="W533">
        <v>1235</v>
      </c>
      <c r="X533" t="s">
        <v>1551</v>
      </c>
      <c r="Y533" t="s">
        <v>1314</v>
      </c>
      <c r="Z533" t="s">
        <v>1020</v>
      </c>
      <c r="AA533" t="s">
        <v>287</v>
      </c>
      <c r="AB533">
        <v>7400</v>
      </c>
      <c r="AC533">
        <v>4208</v>
      </c>
      <c r="AD533">
        <v>1674</v>
      </c>
      <c r="AE533">
        <v>494</v>
      </c>
      <c r="AF533">
        <v>92</v>
      </c>
      <c r="AG533">
        <v>6</v>
      </c>
      <c r="AH533">
        <v>6743</v>
      </c>
      <c r="AI533">
        <v>325</v>
      </c>
      <c r="AJ533">
        <v>602</v>
      </c>
      <c r="AK533">
        <v>1624</v>
      </c>
      <c r="AL533">
        <v>91</v>
      </c>
      <c r="AM533">
        <v>74</v>
      </c>
      <c r="AN533" t="s">
        <v>407</v>
      </c>
      <c r="AO533">
        <f>AVERAGE(Tabla2[[#This Row],[total_kills]:[rating]])</f>
        <v>3259.95</v>
      </c>
      <c r="AP533" t="str">
        <f>VLOOKUP(Tabla2[[#This Row],[KPI]],$AS$2:$AT$5,2,1)</f>
        <v>Bajo</v>
      </c>
    </row>
    <row r="534" spans="1:42" x14ac:dyDescent="0.3">
      <c r="A534">
        <v>3252</v>
      </c>
      <c r="B534" t="s">
        <v>3277</v>
      </c>
      <c r="C534" t="s">
        <v>3278</v>
      </c>
      <c r="D534">
        <v>31</v>
      </c>
      <c r="E534" t="s">
        <v>708</v>
      </c>
      <c r="F534" t="s">
        <v>3514</v>
      </c>
      <c r="G534" t="s">
        <v>3279</v>
      </c>
      <c r="H534">
        <v>14245</v>
      </c>
      <c r="I534">
        <v>15916</v>
      </c>
      <c r="J534" t="s">
        <v>1431</v>
      </c>
      <c r="K534" t="s">
        <v>2233</v>
      </c>
      <c r="L534" t="s">
        <v>164</v>
      </c>
      <c r="M534">
        <v>869</v>
      </c>
      <c r="N534">
        <v>22614</v>
      </c>
      <c r="O534" t="s">
        <v>215</v>
      </c>
      <c r="P534" t="s">
        <v>235</v>
      </c>
      <c r="Q534" t="s">
        <v>905</v>
      </c>
      <c r="R534" t="s">
        <v>96</v>
      </c>
      <c r="S534" t="s">
        <v>66</v>
      </c>
      <c r="T534">
        <v>9809</v>
      </c>
      <c r="U534" t="s">
        <v>51</v>
      </c>
      <c r="V534">
        <v>2089</v>
      </c>
      <c r="W534">
        <v>2569</v>
      </c>
      <c r="X534" t="s">
        <v>165</v>
      </c>
      <c r="Y534" t="s">
        <v>1570</v>
      </c>
      <c r="Z534" t="s">
        <v>795</v>
      </c>
      <c r="AA534" t="s">
        <v>888</v>
      </c>
      <c r="AB534">
        <v>12805</v>
      </c>
      <c r="AC534">
        <v>6423</v>
      </c>
      <c r="AD534">
        <v>2516</v>
      </c>
      <c r="AE534">
        <v>740</v>
      </c>
      <c r="AF534">
        <v>117</v>
      </c>
      <c r="AG534">
        <v>13</v>
      </c>
      <c r="AH534">
        <v>9438</v>
      </c>
      <c r="AI534">
        <v>1183</v>
      </c>
      <c r="AJ534">
        <v>864</v>
      </c>
      <c r="AK534">
        <v>2519</v>
      </c>
      <c r="AL534">
        <v>206</v>
      </c>
      <c r="AM534">
        <v>53</v>
      </c>
      <c r="AN534" t="s">
        <v>1749</v>
      </c>
      <c r="AO534">
        <f>AVERAGE(Tabla2[[#This Row],[total_kills]:[rating]])</f>
        <v>5525.6842105263158</v>
      </c>
      <c r="AP534" t="str">
        <f>VLOOKUP(Tabla2[[#This Row],[KPI]],$AS$2:$AT$5,2,1)</f>
        <v>Alto</v>
      </c>
    </row>
    <row r="535" spans="1:42" x14ac:dyDescent="0.3">
      <c r="A535">
        <v>8294</v>
      </c>
      <c r="B535" t="s">
        <v>3308</v>
      </c>
      <c r="C535" t="s">
        <v>3309</v>
      </c>
      <c r="D535">
        <v>26</v>
      </c>
      <c r="E535" t="s">
        <v>75</v>
      </c>
      <c r="F535" t="s">
        <v>3514</v>
      </c>
      <c r="G535" t="s">
        <v>2915</v>
      </c>
      <c r="H535">
        <v>9791</v>
      </c>
      <c r="I535">
        <v>11024</v>
      </c>
      <c r="J535" t="s">
        <v>1431</v>
      </c>
      <c r="K535" t="s">
        <v>1764</v>
      </c>
      <c r="L535" t="s">
        <v>244</v>
      </c>
      <c r="M535">
        <v>611</v>
      </c>
      <c r="N535">
        <v>16017</v>
      </c>
      <c r="O535" t="s">
        <v>49</v>
      </c>
      <c r="P535" t="s">
        <v>166</v>
      </c>
      <c r="Q535" t="s">
        <v>463</v>
      </c>
      <c r="R535" t="s">
        <v>67</v>
      </c>
      <c r="S535" t="s">
        <v>50</v>
      </c>
      <c r="T535">
        <v>6863</v>
      </c>
      <c r="U535" t="s">
        <v>51</v>
      </c>
      <c r="V535">
        <v>1166</v>
      </c>
      <c r="W535">
        <v>1306</v>
      </c>
      <c r="X535" t="s">
        <v>1551</v>
      </c>
      <c r="Y535" t="s">
        <v>1551</v>
      </c>
      <c r="Z535" t="s">
        <v>745</v>
      </c>
      <c r="AA535" t="s">
        <v>1468</v>
      </c>
      <c r="AB535">
        <v>9154</v>
      </c>
      <c r="AC535">
        <v>4594</v>
      </c>
      <c r="AD535">
        <v>1712</v>
      </c>
      <c r="AE535">
        <v>467</v>
      </c>
      <c r="AF535">
        <v>78</v>
      </c>
      <c r="AG535">
        <v>12</v>
      </c>
      <c r="AH535">
        <v>5919</v>
      </c>
      <c r="AI535">
        <v>346</v>
      </c>
      <c r="AJ535">
        <v>1296</v>
      </c>
      <c r="AK535">
        <v>1943</v>
      </c>
      <c r="AL535">
        <v>179</v>
      </c>
      <c r="AM535">
        <v>122</v>
      </c>
      <c r="AN535" t="s">
        <v>1906</v>
      </c>
      <c r="AO535">
        <f>AVERAGE(Tabla2[[#This Row],[total_kills]:[rating]])</f>
        <v>3821.0526315789475</v>
      </c>
      <c r="AP535" t="str">
        <f>VLOOKUP(Tabla2[[#This Row],[KPI]],$AS$2:$AT$5,2,1)</f>
        <v>Medio</v>
      </c>
    </row>
    <row r="536" spans="1:42" x14ac:dyDescent="0.3">
      <c r="A536">
        <v>839</v>
      </c>
      <c r="B536" t="s">
        <v>1610</v>
      </c>
      <c r="C536" t="s">
        <v>1611</v>
      </c>
      <c r="D536">
        <v>31</v>
      </c>
      <c r="E536" t="s">
        <v>209</v>
      </c>
      <c r="F536" t="s">
        <v>1117</v>
      </c>
      <c r="G536" t="s">
        <v>1612</v>
      </c>
      <c r="H536">
        <v>11088</v>
      </c>
      <c r="I536">
        <v>10380</v>
      </c>
      <c r="J536" t="s">
        <v>1613</v>
      </c>
      <c r="K536" t="s">
        <v>368</v>
      </c>
      <c r="L536" t="s">
        <v>462</v>
      </c>
      <c r="M536">
        <v>619</v>
      </c>
      <c r="N536">
        <v>15737</v>
      </c>
      <c r="O536" t="s">
        <v>905</v>
      </c>
      <c r="P536" t="s">
        <v>166</v>
      </c>
      <c r="Q536" t="s">
        <v>322</v>
      </c>
      <c r="R536" t="s">
        <v>67</v>
      </c>
      <c r="S536" t="s">
        <v>67</v>
      </c>
      <c r="T536">
        <v>7522</v>
      </c>
      <c r="U536" t="s">
        <v>51</v>
      </c>
      <c r="V536">
        <v>1359</v>
      </c>
      <c r="W536">
        <v>1332</v>
      </c>
      <c r="X536" t="s">
        <v>449</v>
      </c>
      <c r="Y536" t="s">
        <v>472</v>
      </c>
      <c r="Z536" t="s">
        <v>1614</v>
      </c>
      <c r="AA536" t="s">
        <v>978</v>
      </c>
      <c r="AB536">
        <v>8215</v>
      </c>
      <c r="AC536">
        <v>4803</v>
      </c>
      <c r="AD536">
        <v>2013</v>
      </c>
      <c r="AE536">
        <v>578</v>
      </c>
      <c r="AF536">
        <v>115</v>
      </c>
      <c r="AG536">
        <v>13</v>
      </c>
      <c r="AH536">
        <v>7448</v>
      </c>
      <c r="AI536">
        <v>313</v>
      </c>
      <c r="AJ536">
        <v>1102</v>
      </c>
      <c r="AK536">
        <v>2090</v>
      </c>
      <c r="AL536">
        <v>115</v>
      </c>
      <c r="AM536">
        <v>45</v>
      </c>
      <c r="AN536" t="s">
        <v>412</v>
      </c>
      <c r="AO536">
        <f>AVERAGE(Tabla2[[#This Row],[total_kills]:[rating]])</f>
        <v>3941.4210526315787</v>
      </c>
      <c r="AP536" t="str">
        <f>VLOOKUP(Tabla2[[#This Row],[KPI]],$AS$2:$AT$5,2,1)</f>
        <v>Medio</v>
      </c>
    </row>
    <row r="537" spans="1:42" x14ac:dyDescent="0.3">
      <c r="A537">
        <v>18838</v>
      </c>
      <c r="B537" t="s">
        <v>1890</v>
      </c>
      <c r="C537" t="s">
        <v>1891</v>
      </c>
      <c r="D537">
        <v>20</v>
      </c>
      <c r="E537" t="s">
        <v>500</v>
      </c>
      <c r="F537" t="s">
        <v>1892</v>
      </c>
      <c r="G537" t="s">
        <v>1893</v>
      </c>
      <c r="H537">
        <v>9441</v>
      </c>
      <c r="I537">
        <v>9135</v>
      </c>
      <c r="J537" t="s">
        <v>1613</v>
      </c>
      <c r="K537" t="s">
        <v>617</v>
      </c>
      <c r="L537" t="s">
        <v>949</v>
      </c>
      <c r="M537">
        <v>503</v>
      </c>
      <c r="N537">
        <v>13330</v>
      </c>
      <c r="O537" t="s">
        <v>646</v>
      </c>
      <c r="P537" t="s">
        <v>235</v>
      </c>
      <c r="Q537" t="s">
        <v>463</v>
      </c>
      <c r="R537" t="s">
        <v>202</v>
      </c>
      <c r="S537" t="s">
        <v>202</v>
      </c>
      <c r="T537">
        <v>6400</v>
      </c>
      <c r="U537" t="s">
        <v>51</v>
      </c>
      <c r="V537">
        <v>1513</v>
      </c>
      <c r="W537">
        <v>1460</v>
      </c>
      <c r="X537" t="s">
        <v>407</v>
      </c>
      <c r="Y537" t="s">
        <v>304</v>
      </c>
      <c r="Z537" t="s">
        <v>427</v>
      </c>
      <c r="AA537" t="s">
        <v>86</v>
      </c>
      <c r="AB537">
        <v>6930</v>
      </c>
      <c r="AC537">
        <v>4122</v>
      </c>
      <c r="AD537">
        <v>1641</v>
      </c>
      <c r="AE537">
        <v>523</v>
      </c>
      <c r="AF537">
        <v>102</v>
      </c>
      <c r="AG537">
        <v>12</v>
      </c>
      <c r="AH537">
        <v>7217</v>
      </c>
      <c r="AI537">
        <v>81</v>
      </c>
      <c r="AJ537">
        <v>588</v>
      </c>
      <c r="AK537">
        <v>1439</v>
      </c>
      <c r="AL537">
        <v>113</v>
      </c>
      <c r="AM537">
        <v>37</v>
      </c>
      <c r="AN537" t="s">
        <v>295</v>
      </c>
      <c r="AO537">
        <f>AVERAGE(Tabla2[[#This Row],[total_kills]:[rating]])</f>
        <v>3399.3157894736842</v>
      </c>
      <c r="AP537" t="str">
        <f>VLOOKUP(Tabla2[[#This Row],[KPI]],$AS$2:$AT$5,2,1)</f>
        <v>Medio</v>
      </c>
    </row>
    <row r="538" spans="1:42" x14ac:dyDescent="0.3">
      <c r="A538">
        <v>13148</v>
      </c>
      <c r="B538" t="s">
        <v>2697</v>
      </c>
      <c r="C538" t="s">
        <v>2698</v>
      </c>
      <c r="D538">
        <v>23</v>
      </c>
      <c r="E538" t="s">
        <v>1070</v>
      </c>
      <c r="F538" t="s">
        <v>1372</v>
      </c>
      <c r="G538" t="s">
        <v>2699</v>
      </c>
      <c r="H538">
        <v>9177</v>
      </c>
      <c r="I538">
        <v>9339</v>
      </c>
      <c r="J538" t="s">
        <v>1613</v>
      </c>
      <c r="K538" t="s">
        <v>2354</v>
      </c>
      <c r="L538" t="s">
        <v>93</v>
      </c>
      <c r="M538">
        <v>509</v>
      </c>
      <c r="N538">
        <v>13632</v>
      </c>
      <c r="O538" t="s">
        <v>225</v>
      </c>
      <c r="P538" t="s">
        <v>202</v>
      </c>
      <c r="Q538" t="s">
        <v>463</v>
      </c>
      <c r="R538" t="s">
        <v>96</v>
      </c>
      <c r="S538" t="s">
        <v>96</v>
      </c>
      <c r="T538">
        <v>6245</v>
      </c>
      <c r="U538" t="s">
        <v>51</v>
      </c>
      <c r="V538">
        <v>1370</v>
      </c>
      <c r="W538">
        <v>1445</v>
      </c>
      <c r="X538" t="s">
        <v>820</v>
      </c>
      <c r="Y538" t="s">
        <v>285</v>
      </c>
      <c r="Z538" t="s">
        <v>838</v>
      </c>
      <c r="AA538" t="s">
        <v>577</v>
      </c>
      <c r="AB538">
        <v>7387</v>
      </c>
      <c r="AC538">
        <v>3983</v>
      </c>
      <c r="AD538">
        <v>1688</v>
      </c>
      <c r="AE538">
        <v>486</v>
      </c>
      <c r="AF538">
        <v>80</v>
      </c>
      <c r="AG538">
        <v>8</v>
      </c>
      <c r="AH538">
        <v>6730</v>
      </c>
      <c r="AI538">
        <v>251</v>
      </c>
      <c r="AJ538">
        <v>496</v>
      </c>
      <c r="AK538">
        <v>1611</v>
      </c>
      <c r="AL538">
        <v>83</v>
      </c>
      <c r="AM538">
        <v>25</v>
      </c>
      <c r="AN538" t="s">
        <v>412</v>
      </c>
      <c r="AO538">
        <f>AVERAGE(Tabla2[[#This Row],[total_kills]:[rating]])</f>
        <v>3397.1052631578946</v>
      </c>
      <c r="AP538" t="str">
        <f>VLOOKUP(Tabla2[[#This Row],[KPI]],$AS$2:$AT$5,2,1)</f>
        <v>Medio</v>
      </c>
    </row>
    <row r="539" spans="1:42" x14ac:dyDescent="0.3">
      <c r="A539">
        <v>8600</v>
      </c>
      <c r="B539" t="s">
        <v>3389</v>
      </c>
      <c r="C539" t="s">
        <v>3390</v>
      </c>
      <c r="D539">
        <v>30</v>
      </c>
      <c r="E539" t="s">
        <v>209</v>
      </c>
      <c r="F539" t="s">
        <v>118</v>
      </c>
      <c r="G539" t="s">
        <v>1217</v>
      </c>
      <c r="H539">
        <v>15800</v>
      </c>
      <c r="I539">
        <v>17998</v>
      </c>
      <c r="J539" t="s">
        <v>1613</v>
      </c>
      <c r="K539" t="s">
        <v>3391</v>
      </c>
      <c r="L539" t="s">
        <v>224</v>
      </c>
      <c r="M539">
        <v>1101</v>
      </c>
      <c r="N539">
        <v>28312</v>
      </c>
      <c r="O539" t="s">
        <v>181</v>
      </c>
      <c r="P539" t="s">
        <v>202</v>
      </c>
      <c r="Q539" t="s">
        <v>65</v>
      </c>
      <c r="R539" t="s">
        <v>67</v>
      </c>
      <c r="S539" t="s">
        <v>50</v>
      </c>
      <c r="T539">
        <v>11530</v>
      </c>
      <c r="U539" t="s">
        <v>51</v>
      </c>
      <c r="V539">
        <v>1749</v>
      </c>
      <c r="W539">
        <v>2044</v>
      </c>
      <c r="X539" t="s">
        <v>64</v>
      </c>
      <c r="Y539" t="s">
        <v>64</v>
      </c>
      <c r="Z539" t="s">
        <v>443</v>
      </c>
      <c r="AA539" t="s">
        <v>3392</v>
      </c>
      <c r="AB539">
        <v>16782</v>
      </c>
      <c r="AC539">
        <v>8115</v>
      </c>
      <c r="AD539">
        <v>2679</v>
      </c>
      <c r="AE539">
        <v>625</v>
      </c>
      <c r="AF539">
        <v>105</v>
      </c>
      <c r="AG539">
        <v>6</v>
      </c>
      <c r="AH539">
        <v>11000</v>
      </c>
      <c r="AI539">
        <v>86</v>
      </c>
      <c r="AJ539">
        <v>1988</v>
      </c>
      <c r="AK539">
        <v>2484</v>
      </c>
      <c r="AL539">
        <v>244</v>
      </c>
      <c r="AM539">
        <v>36</v>
      </c>
      <c r="AN539" t="s">
        <v>2324</v>
      </c>
      <c r="AO539">
        <f>AVERAGE(Tabla2[[#This Row],[total_kills]:[rating]])</f>
        <v>6457.0526315789475</v>
      </c>
      <c r="AP539" t="str">
        <f>VLOOKUP(Tabla2[[#This Row],[KPI]],$AS$2:$AT$5,2,1)</f>
        <v>Alto</v>
      </c>
    </row>
    <row r="540" spans="1:42" x14ac:dyDescent="0.3">
      <c r="A540">
        <v>11343</v>
      </c>
      <c r="B540" t="s">
        <v>1221</v>
      </c>
      <c r="C540" t="s">
        <v>1222</v>
      </c>
      <c r="D540">
        <v>21</v>
      </c>
      <c r="E540" t="s">
        <v>467</v>
      </c>
      <c r="F540" t="s">
        <v>468</v>
      </c>
      <c r="G540" t="s">
        <v>1223</v>
      </c>
      <c r="H540">
        <v>33417</v>
      </c>
      <c r="I540">
        <v>31190</v>
      </c>
      <c r="J540" t="s">
        <v>1224</v>
      </c>
      <c r="K540" t="s">
        <v>686</v>
      </c>
      <c r="L540" t="s">
        <v>589</v>
      </c>
      <c r="M540">
        <v>1695</v>
      </c>
      <c r="N540">
        <v>45194</v>
      </c>
      <c r="O540" t="s">
        <v>283</v>
      </c>
      <c r="P540" t="s">
        <v>202</v>
      </c>
      <c r="Q540" t="s">
        <v>463</v>
      </c>
      <c r="R540" t="s">
        <v>50</v>
      </c>
      <c r="S540" t="s">
        <v>50</v>
      </c>
      <c r="T540">
        <v>22125</v>
      </c>
      <c r="U540" t="s">
        <v>51</v>
      </c>
      <c r="V540">
        <v>5117</v>
      </c>
      <c r="W540">
        <v>4703</v>
      </c>
      <c r="X540" t="s">
        <v>295</v>
      </c>
      <c r="Y540" t="s">
        <v>590</v>
      </c>
      <c r="Z540" t="s">
        <v>237</v>
      </c>
      <c r="AA540" t="s">
        <v>267</v>
      </c>
      <c r="AB540">
        <v>23069</v>
      </c>
      <c r="AC540">
        <v>13777</v>
      </c>
      <c r="AD540">
        <v>5965</v>
      </c>
      <c r="AE540">
        <v>1873</v>
      </c>
      <c r="AF540">
        <v>459</v>
      </c>
      <c r="AG540">
        <v>51</v>
      </c>
      <c r="AH540">
        <v>22023</v>
      </c>
      <c r="AI540">
        <v>3034</v>
      </c>
      <c r="AJ540">
        <v>1960</v>
      </c>
      <c r="AK540">
        <v>5613</v>
      </c>
      <c r="AL540">
        <v>332</v>
      </c>
      <c r="AM540">
        <v>531</v>
      </c>
      <c r="AN540" t="s">
        <v>362</v>
      </c>
      <c r="AO540">
        <f>AVERAGE(Tabla2[[#This Row],[total_kills]:[rating]])</f>
        <v>11690.947368421053</v>
      </c>
      <c r="AP540" t="str">
        <f>VLOOKUP(Tabla2[[#This Row],[KPI]],$AS$2:$AT$5,2,1)</f>
        <v>Superior</v>
      </c>
    </row>
    <row r="541" spans="1:42" x14ac:dyDescent="0.3">
      <c r="A541">
        <v>15071</v>
      </c>
      <c r="B541" t="s">
        <v>3126</v>
      </c>
      <c r="C541" t="s">
        <v>3127</v>
      </c>
      <c r="D541">
        <v>21</v>
      </c>
      <c r="E541" t="s">
        <v>75</v>
      </c>
      <c r="F541" t="s">
        <v>76</v>
      </c>
      <c r="G541" t="s">
        <v>77</v>
      </c>
      <c r="H541">
        <v>13256</v>
      </c>
      <c r="I541">
        <v>13437</v>
      </c>
      <c r="J541" t="s">
        <v>1224</v>
      </c>
      <c r="K541">
        <v>63</v>
      </c>
      <c r="L541" t="s">
        <v>244</v>
      </c>
      <c r="M541">
        <v>867</v>
      </c>
      <c r="N541">
        <v>23039</v>
      </c>
      <c r="O541" t="s">
        <v>284</v>
      </c>
      <c r="P541" t="s">
        <v>48</v>
      </c>
      <c r="Q541" t="s">
        <v>284</v>
      </c>
      <c r="R541" t="s">
        <v>50</v>
      </c>
      <c r="S541" t="s">
        <v>50</v>
      </c>
      <c r="T541">
        <v>9514</v>
      </c>
      <c r="U541" t="s">
        <v>51</v>
      </c>
      <c r="V541">
        <v>1446</v>
      </c>
      <c r="W541">
        <v>1509</v>
      </c>
      <c r="X541" t="s">
        <v>472</v>
      </c>
      <c r="Y541" t="s">
        <v>2324</v>
      </c>
      <c r="Z541" t="s">
        <v>473</v>
      </c>
      <c r="AA541" t="s">
        <v>3128</v>
      </c>
      <c r="AB541">
        <v>13525</v>
      </c>
      <c r="AC541">
        <v>6579</v>
      </c>
      <c r="AD541">
        <v>2240</v>
      </c>
      <c r="AE541">
        <v>591</v>
      </c>
      <c r="AF541">
        <v>96</v>
      </c>
      <c r="AG541">
        <v>8</v>
      </c>
      <c r="AH541">
        <v>10018</v>
      </c>
      <c r="AI541">
        <v>304</v>
      </c>
      <c r="AJ541">
        <v>436</v>
      </c>
      <c r="AK541">
        <v>2273</v>
      </c>
      <c r="AL541">
        <v>239</v>
      </c>
      <c r="AM541">
        <v>45</v>
      </c>
      <c r="AN541" t="s">
        <v>285</v>
      </c>
      <c r="AO541">
        <f>AVERAGE(Tabla2[[#This Row],[total_kills]:[rating]])</f>
        <v>4974.25</v>
      </c>
      <c r="AP541" t="str">
        <f>VLOOKUP(Tabla2[[#This Row],[KPI]],$AS$2:$AT$5,2,1)</f>
        <v>Alto</v>
      </c>
    </row>
    <row r="542" spans="1:42" x14ac:dyDescent="0.3">
      <c r="A542">
        <v>11141</v>
      </c>
      <c r="B542" t="s">
        <v>401</v>
      </c>
      <c r="C542" t="s">
        <v>402</v>
      </c>
      <c r="D542">
        <v>27</v>
      </c>
      <c r="E542" t="s">
        <v>403</v>
      </c>
      <c r="F542" t="s">
        <v>271</v>
      </c>
      <c r="G542" t="s">
        <v>404</v>
      </c>
      <c r="H542">
        <v>17397</v>
      </c>
      <c r="I542">
        <v>14889</v>
      </c>
      <c r="J542" t="s">
        <v>405</v>
      </c>
      <c r="K542" t="s">
        <v>406</v>
      </c>
      <c r="L542" t="s">
        <v>244</v>
      </c>
      <c r="M542">
        <v>869</v>
      </c>
      <c r="N542">
        <v>22571</v>
      </c>
      <c r="O542" t="s">
        <v>81</v>
      </c>
      <c r="P542" t="s">
        <v>166</v>
      </c>
      <c r="Q542" t="s">
        <v>322</v>
      </c>
      <c r="R542" t="s">
        <v>96</v>
      </c>
      <c r="S542" t="s">
        <v>96</v>
      </c>
      <c r="T542">
        <v>11431</v>
      </c>
      <c r="U542" t="s">
        <v>51</v>
      </c>
      <c r="V542">
        <v>2385</v>
      </c>
      <c r="W542">
        <v>2041</v>
      </c>
      <c r="X542" t="s">
        <v>172</v>
      </c>
      <c r="Y542" t="s">
        <v>407</v>
      </c>
      <c r="Z542" t="s">
        <v>70</v>
      </c>
      <c r="AA542" t="s">
        <v>408</v>
      </c>
      <c r="AB542">
        <v>11140</v>
      </c>
      <c r="AC542">
        <v>6979</v>
      </c>
      <c r="AD542">
        <v>3187</v>
      </c>
      <c r="AE542">
        <v>1032</v>
      </c>
      <c r="AF542">
        <v>217</v>
      </c>
      <c r="AG542">
        <v>16</v>
      </c>
      <c r="AH542">
        <v>12309</v>
      </c>
      <c r="AI542">
        <v>384</v>
      </c>
      <c r="AJ542">
        <v>1608</v>
      </c>
      <c r="AK542">
        <v>2838</v>
      </c>
      <c r="AL542">
        <v>247</v>
      </c>
      <c r="AM542">
        <v>52</v>
      </c>
      <c r="AN542" t="s">
        <v>172</v>
      </c>
      <c r="AO542">
        <f>AVERAGE(Tabla2[[#This Row],[total_kills]:[rating]])</f>
        <v>5873.2631578947367</v>
      </c>
      <c r="AP542" t="str">
        <f>VLOOKUP(Tabla2[[#This Row],[KPI]],$AS$2:$AT$5,2,1)</f>
        <v>Alto</v>
      </c>
    </row>
    <row r="543" spans="1:42" x14ac:dyDescent="0.3">
      <c r="A543">
        <v>9884</v>
      </c>
      <c r="B543" t="s">
        <v>457</v>
      </c>
      <c r="C543" t="s">
        <v>458</v>
      </c>
      <c r="D543">
        <v>20</v>
      </c>
      <c r="E543" t="s">
        <v>459</v>
      </c>
      <c r="F543" t="s">
        <v>3514</v>
      </c>
      <c r="G543" t="s">
        <v>460</v>
      </c>
      <c r="H543">
        <v>10634</v>
      </c>
      <c r="I543">
        <v>9395</v>
      </c>
      <c r="J543" t="s">
        <v>405</v>
      </c>
      <c r="K543" t="s">
        <v>461</v>
      </c>
      <c r="L543" t="s">
        <v>462</v>
      </c>
      <c r="M543">
        <v>525</v>
      </c>
      <c r="N543">
        <v>13568</v>
      </c>
      <c r="O543" t="s">
        <v>123</v>
      </c>
      <c r="P543" t="s">
        <v>235</v>
      </c>
      <c r="Q543" t="s">
        <v>463</v>
      </c>
      <c r="R543" t="s">
        <v>67</v>
      </c>
      <c r="S543" t="s">
        <v>235</v>
      </c>
      <c r="T543">
        <v>6906</v>
      </c>
      <c r="U543" t="s">
        <v>51</v>
      </c>
      <c r="V543">
        <v>1518</v>
      </c>
      <c r="W543">
        <v>1276</v>
      </c>
      <c r="X543" t="s">
        <v>127</v>
      </c>
      <c r="Y543" t="s">
        <v>464</v>
      </c>
      <c r="Z543" t="s">
        <v>170</v>
      </c>
      <c r="AA543" t="s">
        <v>86</v>
      </c>
      <c r="AB543">
        <v>6662</v>
      </c>
      <c r="AC543">
        <v>4167</v>
      </c>
      <c r="AD543">
        <v>1920</v>
      </c>
      <c r="AE543">
        <v>672</v>
      </c>
      <c r="AF543">
        <v>124</v>
      </c>
      <c r="AG543">
        <v>23</v>
      </c>
      <c r="AH543">
        <v>8173</v>
      </c>
      <c r="AI543">
        <v>205</v>
      </c>
      <c r="AJ543">
        <v>404</v>
      </c>
      <c r="AK543">
        <v>1766</v>
      </c>
      <c r="AL543">
        <v>91</v>
      </c>
      <c r="AM543">
        <v>16</v>
      </c>
      <c r="AN543" t="s">
        <v>370</v>
      </c>
      <c r="AO543">
        <f>AVERAGE(Tabla2[[#This Row],[total_kills]:[rating]])</f>
        <v>3581.3157894736842</v>
      </c>
      <c r="AP543" t="str">
        <f>VLOOKUP(Tabla2[[#This Row],[KPI]],$AS$2:$AT$5,2,1)</f>
        <v>Medio</v>
      </c>
    </row>
    <row r="544" spans="1:42" x14ac:dyDescent="0.3">
      <c r="A544">
        <v>17937</v>
      </c>
      <c r="B544" t="s">
        <v>2616</v>
      </c>
      <c r="C544" t="s">
        <v>2617</v>
      </c>
      <c r="D544">
        <v>20</v>
      </c>
      <c r="E544" t="s">
        <v>545</v>
      </c>
      <c r="F544" t="s">
        <v>1355</v>
      </c>
      <c r="G544" t="s">
        <v>2618</v>
      </c>
      <c r="H544">
        <v>10437</v>
      </c>
      <c r="I544">
        <v>10462</v>
      </c>
      <c r="J544" t="s">
        <v>405</v>
      </c>
      <c r="K544" t="s">
        <v>999</v>
      </c>
      <c r="L544" t="s">
        <v>244</v>
      </c>
      <c r="M544">
        <v>587</v>
      </c>
      <c r="N544">
        <v>15870</v>
      </c>
      <c r="O544" t="s">
        <v>322</v>
      </c>
      <c r="P544" t="s">
        <v>202</v>
      </c>
      <c r="Q544" t="s">
        <v>322</v>
      </c>
      <c r="R544" t="s">
        <v>96</v>
      </c>
      <c r="S544" t="s">
        <v>96</v>
      </c>
      <c r="T544">
        <v>7136</v>
      </c>
      <c r="U544" t="s">
        <v>51</v>
      </c>
      <c r="V544">
        <v>1311</v>
      </c>
      <c r="W544">
        <v>1381</v>
      </c>
      <c r="X544" t="s">
        <v>820</v>
      </c>
      <c r="Y544" t="s">
        <v>950</v>
      </c>
      <c r="Z544" t="s">
        <v>1467</v>
      </c>
      <c r="AA544" t="s">
        <v>1805</v>
      </c>
      <c r="AB544">
        <v>8734</v>
      </c>
      <c r="AC544">
        <v>4621</v>
      </c>
      <c r="AD544">
        <v>1853</v>
      </c>
      <c r="AE544">
        <v>547</v>
      </c>
      <c r="AF544">
        <v>106</v>
      </c>
      <c r="AG544">
        <v>9</v>
      </c>
      <c r="AH544">
        <v>7641</v>
      </c>
      <c r="AI544">
        <v>280</v>
      </c>
      <c r="AJ544">
        <v>396</v>
      </c>
      <c r="AK544">
        <v>1909</v>
      </c>
      <c r="AL544">
        <v>205</v>
      </c>
      <c r="AM544">
        <v>37</v>
      </c>
      <c r="AN544" t="s">
        <v>412</v>
      </c>
      <c r="AO544">
        <f>AVERAGE(Tabla2[[#This Row],[total_kills]:[rating]])</f>
        <v>3869.5789473684213</v>
      </c>
      <c r="AP544" t="str">
        <f>VLOOKUP(Tabla2[[#This Row],[KPI]],$AS$2:$AT$5,2,1)</f>
        <v>Medio</v>
      </c>
    </row>
    <row r="545" spans="1:42" x14ac:dyDescent="0.3">
      <c r="A545">
        <v>9217</v>
      </c>
      <c r="B545" t="s">
        <v>3206</v>
      </c>
      <c r="C545" t="s">
        <v>3207</v>
      </c>
      <c r="D545">
        <v>27</v>
      </c>
      <c r="E545" t="s">
        <v>104</v>
      </c>
      <c r="F545" t="s">
        <v>250</v>
      </c>
      <c r="G545" t="s">
        <v>3208</v>
      </c>
      <c r="H545">
        <v>22360</v>
      </c>
      <c r="I545">
        <v>23790</v>
      </c>
      <c r="J545" t="s">
        <v>405</v>
      </c>
      <c r="K545" t="s">
        <v>3209</v>
      </c>
      <c r="L545" t="s">
        <v>224</v>
      </c>
      <c r="M545">
        <v>1418</v>
      </c>
      <c r="N545">
        <v>36877</v>
      </c>
      <c r="O545" t="s">
        <v>49</v>
      </c>
      <c r="P545" t="s">
        <v>48</v>
      </c>
      <c r="Q545" t="s">
        <v>276</v>
      </c>
      <c r="R545" t="s">
        <v>96</v>
      </c>
      <c r="S545" t="s">
        <v>135</v>
      </c>
      <c r="T545">
        <v>15855</v>
      </c>
      <c r="U545" t="s">
        <v>51</v>
      </c>
      <c r="V545">
        <v>3268</v>
      </c>
      <c r="W545">
        <v>3738</v>
      </c>
      <c r="X545" t="s">
        <v>2324</v>
      </c>
      <c r="Y545" t="s">
        <v>1570</v>
      </c>
      <c r="Z545" t="s">
        <v>324</v>
      </c>
      <c r="AA545" t="s">
        <v>978</v>
      </c>
      <c r="AB545">
        <v>21022</v>
      </c>
      <c r="AC545">
        <v>10726</v>
      </c>
      <c r="AD545">
        <v>3947</v>
      </c>
      <c r="AE545">
        <v>1002</v>
      </c>
      <c r="AF545">
        <v>166</v>
      </c>
      <c r="AG545">
        <v>14</v>
      </c>
      <c r="AH545">
        <v>15200</v>
      </c>
      <c r="AI545">
        <v>1113</v>
      </c>
      <c r="AJ545">
        <v>1613</v>
      </c>
      <c r="AK545">
        <v>4108</v>
      </c>
      <c r="AL545">
        <v>252</v>
      </c>
      <c r="AM545">
        <v>124</v>
      </c>
      <c r="AN545" t="s">
        <v>1314</v>
      </c>
      <c r="AO545">
        <f>AVERAGE(Tabla2[[#This Row],[total_kills]:[rating]])</f>
        <v>8768.0526315789466</v>
      </c>
      <c r="AP545" t="str">
        <f>VLOOKUP(Tabla2[[#This Row],[KPI]],$AS$2:$AT$5,2,1)</f>
        <v>Superior</v>
      </c>
    </row>
    <row r="546" spans="1:42" x14ac:dyDescent="0.3">
      <c r="A546">
        <v>9218</v>
      </c>
      <c r="B546" t="s">
        <v>1076</v>
      </c>
      <c r="C546" t="s">
        <v>1077</v>
      </c>
      <c r="D546">
        <v>27</v>
      </c>
      <c r="E546" t="s">
        <v>104</v>
      </c>
      <c r="F546" t="s">
        <v>3514</v>
      </c>
      <c r="G546" t="s">
        <v>1078</v>
      </c>
      <c r="H546">
        <v>9681</v>
      </c>
      <c r="I546">
        <v>8806</v>
      </c>
      <c r="J546" t="s">
        <v>1079</v>
      </c>
      <c r="K546" t="s">
        <v>92</v>
      </c>
      <c r="L546" t="s">
        <v>612</v>
      </c>
      <c r="M546">
        <v>515</v>
      </c>
      <c r="N546">
        <v>13210</v>
      </c>
      <c r="O546" t="s">
        <v>495</v>
      </c>
      <c r="P546" t="s">
        <v>235</v>
      </c>
      <c r="Q546" t="s">
        <v>225</v>
      </c>
      <c r="R546" t="s">
        <v>50</v>
      </c>
      <c r="S546" t="s">
        <v>50</v>
      </c>
      <c r="T546">
        <v>6466</v>
      </c>
      <c r="U546" t="s">
        <v>51</v>
      </c>
      <c r="V546">
        <v>1325</v>
      </c>
      <c r="W546">
        <v>1164</v>
      </c>
      <c r="X546" t="s">
        <v>111</v>
      </c>
      <c r="Y546" t="s">
        <v>449</v>
      </c>
      <c r="Z546" t="s">
        <v>70</v>
      </c>
      <c r="AA546" t="s">
        <v>560</v>
      </c>
      <c r="AB546">
        <v>6744</v>
      </c>
      <c r="AC546">
        <v>4077</v>
      </c>
      <c r="AD546">
        <v>1716</v>
      </c>
      <c r="AE546">
        <v>535</v>
      </c>
      <c r="AF546">
        <v>123</v>
      </c>
      <c r="AG546">
        <v>15</v>
      </c>
      <c r="AH546">
        <v>6560</v>
      </c>
      <c r="AI546">
        <v>224</v>
      </c>
      <c r="AJ546">
        <v>1177</v>
      </c>
      <c r="AK546">
        <v>1581</v>
      </c>
      <c r="AL546">
        <v>122</v>
      </c>
      <c r="AM546">
        <v>31</v>
      </c>
      <c r="AN546" t="s">
        <v>464</v>
      </c>
      <c r="AO546">
        <f>AVERAGE(Tabla2[[#This Row],[total_kills]:[rating]])</f>
        <v>3372.2105263157896</v>
      </c>
      <c r="AP546" t="str">
        <f>VLOOKUP(Tabla2[[#This Row],[KPI]],$AS$2:$AT$5,2,1)</f>
        <v>Medio</v>
      </c>
    </row>
    <row r="547" spans="1:42" x14ac:dyDescent="0.3">
      <c r="A547">
        <v>9875</v>
      </c>
      <c r="B547" t="s">
        <v>1775</v>
      </c>
      <c r="C547" t="s">
        <v>1776</v>
      </c>
      <c r="D547">
        <v>25</v>
      </c>
      <c r="E547" t="s">
        <v>459</v>
      </c>
      <c r="F547" t="s">
        <v>3514</v>
      </c>
      <c r="G547" t="s">
        <v>1777</v>
      </c>
      <c r="H547">
        <v>8248</v>
      </c>
      <c r="I547">
        <v>7868</v>
      </c>
      <c r="J547" t="s">
        <v>1079</v>
      </c>
      <c r="K547" t="s">
        <v>877</v>
      </c>
      <c r="L547" t="s">
        <v>80</v>
      </c>
      <c r="M547">
        <v>456</v>
      </c>
      <c r="N547">
        <v>11711</v>
      </c>
      <c r="O547" t="s">
        <v>905</v>
      </c>
      <c r="P547" t="s">
        <v>235</v>
      </c>
      <c r="Q547" t="s">
        <v>225</v>
      </c>
      <c r="R547" t="s">
        <v>67</v>
      </c>
      <c r="S547" t="s">
        <v>67</v>
      </c>
      <c r="T547">
        <v>5593</v>
      </c>
      <c r="U547" t="s">
        <v>51</v>
      </c>
      <c r="V547">
        <v>1209</v>
      </c>
      <c r="W547">
        <v>1172</v>
      </c>
      <c r="X547" t="s">
        <v>412</v>
      </c>
      <c r="Y547" t="s">
        <v>449</v>
      </c>
      <c r="Z547" t="s">
        <v>1310</v>
      </c>
      <c r="AA547" t="s">
        <v>746</v>
      </c>
      <c r="AB547">
        <v>6118</v>
      </c>
      <c r="AC547">
        <v>3593</v>
      </c>
      <c r="AD547">
        <v>1444</v>
      </c>
      <c r="AE547">
        <v>463</v>
      </c>
      <c r="AF547">
        <v>87</v>
      </c>
      <c r="AG547">
        <v>6</v>
      </c>
      <c r="AH547">
        <v>5296</v>
      </c>
      <c r="AI547">
        <v>849</v>
      </c>
      <c r="AJ547">
        <v>605</v>
      </c>
      <c r="AK547">
        <v>1376</v>
      </c>
      <c r="AL547">
        <v>106</v>
      </c>
      <c r="AM547">
        <v>40</v>
      </c>
      <c r="AN547" t="s">
        <v>412</v>
      </c>
      <c r="AO547">
        <f>AVERAGE(Tabla2[[#This Row],[total_kills]:[rating]])</f>
        <v>2960</v>
      </c>
      <c r="AP547" t="str">
        <f>VLOOKUP(Tabla2[[#This Row],[KPI]],$AS$2:$AT$5,2,1)</f>
        <v>Bajo</v>
      </c>
    </row>
    <row r="548" spans="1:42" x14ac:dyDescent="0.3">
      <c r="A548">
        <v>8323</v>
      </c>
      <c r="B548" t="s">
        <v>1875</v>
      </c>
      <c r="C548" t="s">
        <v>1876</v>
      </c>
      <c r="D548">
        <v>26</v>
      </c>
      <c r="E548" t="s">
        <v>327</v>
      </c>
      <c r="F548" t="s">
        <v>3514</v>
      </c>
      <c r="G548" t="s">
        <v>1877</v>
      </c>
      <c r="H548">
        <v>31019</v>
      </c>
      <c r="I548">
        <v>29280</v>
      </c>
      <c r="J548" t="s">
        <v>1079</v>
      </c>
      <c r="K548" t="s">
        <v>582</v>
      </c>
      <c r="L548" t="s">
        <v>471</v>
      </c>
      <c r="M548">
        <v>1698</v>
      </c>
      <c r="N548">
        <v>45118</v>
      </c>
      <c r="O548" t="s">
        <v>463</v>
      </c>
      <c r="P548" t="s">
        <v>202</v>
      </c>
      <c r="Q548" t="s">
        <v>276</v>
      </c>
      <c r="R548" t="s">
        <v>96</v>
      </c>
      <c r="S548" t="s">
        <v>50</v>
      </c>
      <c r="T548">
        <v>21223</v>
      </c>
      <c r="U548" t="s">
        <v>51</v>
      </c>
      <c r="V548">
        <v>3844</v>
      </c>
      <c r="W548">
        <v>3828</v>
      </c>
      <c r="X548">
        <v>1</v>
      </c>
      <c r="Y548" t="s">
        <v>820</v>
      </c>
      <c r="Z548" t="s">
        <v>653</v>
      </c>
      <c r="AA548" t="s">
        <v>1052</v>
      </c>
      <c r="AB548">
        <v>23895</v>
      </c>
      <c r="AC548">
        <v>13742</v>
      </c>
      <c r="AD548">
        <v>5534</v>
      </c>
      <c r="AE548">
        <v>1636</v>
      </c>
      <c r="AF548">
        <v>272</v>
      </c>
      <c r="AG548">
        <v>39</v>
      </c>
      <c r="AH548">
        <v>22881</v>
      </c>
      <c r="AI548">
        <v>1106</v>
      </c>
      <c r="AJ548">
        <v>1287</v>
      </c>
      <c r="AK548">
        <v>5523</v>
      </c>
      <c r="AL548">
        <v>238</v>
      </c>
      <c r="AM548">
        <v>64</v>
      </c>
      <c r="AN548" t="s">
        <v>449</v>
      </c>
      <c r="AO548">
        <f>AVERAGE(Tabla2[[#This Row],[total_kills]:[rating]])</f>
        <v>10611.4</v>
      </c>
      <c r="AP548" t="str">
        <f>VLOOKUP(Tabla2[[#This Row],[KPI]],$AS$2:$AT$5,2,1)</f>
        <v>Superior</v>
      </c>
    </row>
    <row r="549" spans="1:42" x14ac:dyDescent="0.3">
      <c r="A549">
        <v>9053</v>
      </c>
      <c r="B549" t="s">
        <v>2905</v>
      </c>
      <c r="C549" t="s">
        <v>2906</v>
      </c>
      <c r="D549">
        <v>25</v>
      </c>
      <c r="E549" t="s">
        <v>500</v>
      </c>
      <c r="F549" t="s">
        <v>3514</v>
      </c>
      <c r="G549" t="s">
        <v>2907</v>
      </c>
      <c r="H549">
        <v>6674</v>
      </c>
      <c r="I549">
        <v>6973</v>
      </c>
      <c r="J549" t="s">
        <v>1079</v>
      </c>
      <c r="K549" t="s">
        <v>920</v>
      </c>
      <c r="L549" t="s">
        <v>80</v>
      </c>
      <c r="M549">
        <v>398</v>
      </c>
      <c r="N549">
        <v>10027</v>
      </c>
      <c r="O549" t="s">
        <v>225</v>
      </c>
      <c r="P549" t="s">
        <v>235</v>
      </c>
      <c r="Q549" t="s">
        <v>905</v>
      </c>
      <c r="R549" t="s">
        <v>48</v>
      </c>
      <c r="S549" t="s">
        <v>67</v>
      </c>
      <c r="T549">
        <v>4584</v>
      </c>
      <c r="U549" t="s">
        <v>51</v>
      </c>
      <c r="V549">
        <v>954</v>
      </c>
      <c r="W549">
        <v>1001</v>
      </c>
      <c r="X549" t="s">
        <v>820</v>
      </c>
      <c r="Y549" t="s">
        <v>245</v>
      </c>
      <c r="Z549" t="s">
        <v>1268</v>
      </c>
      <c r="AA549" t="s">
        <v>933</v>
      </c>
      <c r="AB549">
        <v>5443</v>
      </c>
      <c r="AC549">
        <v>2986</v>
      </c>
      <c r="AD549">
        <v>1189</v>
      </c>
      <c r="AE549">
        <v>335</v>
      </c>
      <c r="AF549">
        <v>66</v>
      </c>
      <c r="AG549">
        <v>8</v>
      </c>
      <c r="AH549">
        <v>4608</v>
      </c>
      <c r="AI549">
        <v>166</v>
      </c>
      <c r="AJ549">
        <v>468</v>
      </c>
      <c r="AK549">
        <v>1330</v>
      </c>
      <c r="AL549">
        <v>98</v>
      </c>
      <c r="AM549">
        <v>22</v>
      </c>
      <c r="AN549" t="s">
        <v>472</v>
      </c>
      <c r="AO549">
        <f>AVERAGE(Tabla2[[#This Row],[total_kills]:[rating]])</f>
        <v>2491.0526315789475</v>
      </c>
      <c r="AP549" t="str">
        <f>VLOOKUP(Tabla2[[#This Row],[KPI]],$AS$2:$AT$5,2,1)</f>
        <v>Bajo</v>
      </c>
    </row>
    <row r="550" spans="1:42" x14ac:dyDescent="0.3">
      <c r="A550">
        <v>15697</v>
      </c>
      <c r="B550" t="s">
        <v>3147</v>
      </c>
      <c r="C550" t="s">
        <v>3148</v>
      </c>
      <c r="D550">
        <v>24</v>
      </c>
      <c r="E550" t="s">
        <v>327</v>
      </c>
      <c r="F550" t="s">
        <v>2040</v>
      </c>
      <c r="G550" t="s">
        <v>3149</v>
      </c>
      <c r="H550">
        <v>8166</v>
      </c>
      <c r="I550">
        <v>8637</v>
      </c>
      <c r="J550" t="s">
        <v>1079</v>
      </c>
      <c r="K550" t="s">
        <v>1834</v>
      </c>
      <c r="L550">
        <v>7</v>
      </c>
      <c r="M550">
        <v>489</v>
      </c>
      <c r="N550">
        <v>13238</v>
      </c>
      <c r="O550" t="s">
        <v>144</v>
      </c>
      <c r="P550" t="s">
        <v>235</v>
      </c>
      <c r="Q550" t="s">
        <v>276</v>
      </c>
      <c r="R550" t="s">
        <v>50</v>
      </c>
      <c r="S550" t="s">
        <v>96</v>
      </c>
      <c r="T550">
        <v>5691</v>
      </c>
      <c r="U550" t="s">
        <v>51</v>
      </c>
      <c r="V550">
        <v>1026</v>
      </c>
      <c r="W550">
        <v>1052</v>
      </c>
      <c r="X550" t="s">
        <v>245</v>
      </c>
      <c r="Y550" t="s">
        <v>1314</v>
      </c>
      <c r="Z550" t="s">
        <v>1765</v>
      </c>
      <c r="AA550" t="s">
        <v>822</v>
      </c>
      <c r="AB550">
        <v>7547</v>
      </c>
      <c r="AC550">
        <v>3770</v>
      </c>
      <c r="AD550">
        <v>1457</v>
      </c>
      <c r="AE550">
        <v>382</v>
      </c>
      <c r="AF550">
        <v>74</v>
      </c>
      <c r="AG550">
        <v>8</v>
      </c>
      <c r="AH550">
        <v>6173</v>
      </c>
      <c r="AI550">
        <v>127</v>
      </c>
      <c r="AJ550">
        <v>430</v>
      </c>
      <c r="AK550">
        <v>1257</v>
      </c>
      <c r="AL550">
        <v>173</v>
      </c>
      <c r="AM550">
        <v>28</v>
      </c>
      <c r="AN550" t="s">
        <v>285</v>
      </c>
      <c r="AO550">
        <f>AVERAGE(Tabla2[[#This Row],[total_kills]:[rating]])</f>
        <v>2986.6</v>
      </c>
      <c r="AP550" t="str">
        <f>VLOOKUP(Tabla2[[#This Row],[KPI]],$AS$2:$AT$5,2,1)</f>
        <v>Bajo</v>
      </c>
    </row>
    <row r="551" spans="1:42" x14ac:dyDescent="0.3">
      <c r="A551">
        <v>8918</v>
      </c>
      <c r="B551" t="s">
        <v>693</v>
      </c>
      <c r="C551" t="s">
        <v>694</v>
      </c>
      <c r="D551">
        <v>23</v>
      </c>
      <c r="E551" t="s">
        <v>75</v>
      </c>
      <c r="F551" t="s">
        <v>60</v>
      </c>
      <c r="G551" t="s">
        <v>695</v>
      </c>
      <c r="H551">
        <v>25927</v>
      </c>
      <c r="I551">
        <v>22812</v>
      </c>
      <c r="J551" t="s">
        <v>696</v>
      </c>
      <c r="K551" t="s">
        <v>382</v>
      </c>
      <c r="L551" t="s">
        <v>164</v>
      </c>
      <c r="M551">
        <v>1318</v>
      </c>
      <c r="N551">
        <v>34779</v>
      </c>
      <c r="O551" t="s">
        <v>180</v>
      </c>
      <c r="P551" t="s">
        <v>235</v>
      </c>
      <c r="Q551" t="s">
        <v>322</v>
      </c>
      <c r="R551" t="s">
        <v>96</v>
      </c>
      <c r="S551" t="s">
        <v>50</v>
      </c>
      <c r="T551">
        <v>17140</v>
      </c>
      <c r="U551" t="s">
        <v>51</v>
      </c>
      <c r="V551">
        <v>4084</v>
      </c>
      <c r="W551">
        <v>3621</v>
      </c>
      <c r="X551" t="s">
        <v>98</v>
      </c>
      <c r="Y551" t="s">
        <v>277</v>
      </c>
      <c r="Z551" t="s">
        <v>391</v>
      </c>
      <c r="AA551" t="s">
        <v>697</v>
      </c>
      <c r="AB551">
        <v>17639</v>
      </c>
      <c r="AC551">
        <v>10582</v>
      </c>
      <c r="AD551">
        <v>4708</v>
      </c>
      <c r="AE551">
        <v>1510</v>
      </c>
      <c r="AF551">
        <v>302</v>
      </c>
      <c r="AG551">
        <v>38</v>
      </c>
      <c r="AH551">
        <v>19820</v>
      </c>
      <c r="AI551">
        <v>199</v>
      </c>
      <c r="AJ551">
        <v>1387</v>
      </c>
      <c r="AK551">
        <v>4222</v>
      </c>
      <c r="AL551">
        <v>285</v>
      </c>
      <c r="AM551">
        <v>71</v>
      </c>
      <c r="AN551" t="s">
        <v>295</v>
      </c>
      <c r="AO551">
        <f>AVERAGE(Tabla2[[#This Row],[total_kills]:[rating]])</f>
        <v>8970.7368421052633</v>
      </c>
      <c r="AP551" t="str">
        <f>VLOOKUP(Tabla2[[#This Row],[KPI]],$AS$2:$AT$5,2,1)</f>
        <v>Superior</v>
      </c>
    </row>
    <row r="552" spans="1:42" x14ac:dyDescent="0.3">
      <c r="A552">
        <v>9247</v>
      </c>
      <c r="B552" t="s">
        <v>902</v>
      </c>
      <c r="C552" t="s">
        <v>903</v>
      </c>
      <c r="D552">
        <v>32</v>
      </c>
      <c r="E552" t="s">
        <v>403</v>
      </c>
      <c r="F552" t="s">
        <v>3514</v>
      </c>
      <c r="G552" t="s">
        <v>904</v>
      </c>
      <c r="H552">
        <v>8352</v>
      </c>
      <c r="I552">
        <v>7676</v>
      </c>
      <c r="J552" t="s">
        <v>696</v>
      </c>
      <c r="K552" t="s">
        <v>634</v>
      </c>
      <c r="L552" t="s">
        <v>471</v>
      </c>
      <c r="M552">
        <v>431</v>
      </c>
      <c r="N552">
        <v>10994</v>
      </c>
      <c r="O552" t="s">
        <v>234</v>
      </c>
      <c r="P552" t="s">
        <v>202</v>
      </c>
      <c r="Q552" t="s">
        <v>905</v>
      </c>
      <c r="R552" t="s">
        <v>66</v>
      </c>
      <c r="S552" t="s">
        <v>96</v>
      </c>
      <c r="T552">
        <v>5463</v>
      </c>
      <c r="U552" t="s">
        <v>51</v>
      </c>
      <c r="V552">
        <v>1413</v>
      </c>
      <c r="W552">
        <v>1228</v>
      </c>
      <c r="X552" t="s">
        <v>84</v>
      </c>
      <c r="Y552" t="s">
        <v>370</v>
      </c>
      <c r="Z552" t="s">
        <v>554</v>
      </c>
      <c r="AA552" t="s">
        <v>906</v>
      </c>
      <c r="AB552">
        <v>5531</v>
      </c>
      <c r="AC552">
        <v>3323</v>
      </c>
      <c r="AD552">
        <v>1522</v>
      </c>
      <c r="AE552">
        <v>506</v>
      </c>
      <c r="AF552">
        <v>93</v>
      </c>
      <c r="AG552">
        <v>19</v>
      </c>
      <c r="AH552">
        <v>5226</v>
      </c>
      <c r="AI552">
        <v>1025</v>
      </c>
      <c r="AJ552">
        <v>319</v>
      </c>
      <c r="AK552">
        <v>1663</v>
      </c>
      <c r="AL552">
        <v>76</v>
      </c>
      <c r="AM552">
        <v>55</v>
      </c>
      <c r="AN552" t="s">
        <v>277</v>
      </c>
      <c r="AO552">
        <f>AVERAGE(Tabla2[[#This Row],[total_kills]:[rating]])</f>
        <v>2890.2631578947367</v>
      </c>
      <c r="AP552" t="str">
        <f>VLOOKUP(Tabla2[[#This Row],[KPI]],$AS$2:$AT$5,2,1)</f>
        <v>Bajo</v>
      </c>
    </row>
    <row r="553" spans="1:42" x14ac:dyDescent="0.3">
      <c r="A553">
        <v>8321</v>
      </c>
      <c r="B553" t="s">
        <v>2775</v>
      </c>
      <c r="C553" t="s">
        <v>2776</v>
      </c>
      <c r="D553">
        <v>25</v>
      </c>
      <c r="E553" t="s">
        <v>327</v>
      </c>
      <c r="F553" t="s">
        <v>2236</v>
      </c>
      <c r="G553" t="s">
        <v>2777</v>
      </c>
      <c r="H553">
        <v>18370</v>
      </c>
      <c r="I553">
        <v>18741</v>
      </c>
      <c r="J553" t="s">
        <v>696</v>
      </c>
      <c r="K553" t="s">
        <v>1018</v>
      </c>
      <c r="L553" t="s">
        <v>201</v>
      </c>
      <c r="M553">
        <v>1054</v>
      </c>
      <c r="N553">
        <v>28144</v>
      </c>
      <c r="O553" t="s">
        <v>276</v>
      </c>
      <c r="P553" t="s">
        <v>202</v>
      </c>
      <c r="Q553" t="s">
        <v>225</v>
      </c>
      <c r="R553" t="s">
        <v>50</v>
      </c>
      <c r="S553" t="s">
        <v>50</v>
      </c>
      <c r="T553">
        <v>12644</v>
      </c>
      <c r="U553" t="s">
        <v>51</v>
      </c>
      <c r="V553">
        <v>2577</v>
      </c>
      <c r="W553">
        <v>2777</v>
      </c>
      <c r="X553" t="s">
        <v>950</v>
      </c>
      <c r="Y553" t="s">
        <v>472</v>
      </c>
      <c r="Z553" t="s">
        <v>1467</v>
      </c>
      <c r="AA553" t="s">
        <v>1171</v>
      </c>
      <c r="AB553">
        <v>15500</v>
      </c>
      <c r="AC553">
        <v>8317</v>
      </c>
      <c r="AD553">
        <v>3168</v>
      </c>
      <c r="AE553">
        <v>947</v>
      </c>
      <c r="AF553">
        <v>191</v>
      </c>
      <c r="AG553">
        <v>21</v>
      </c>
      <c r="AH553">
        <v>13072</v>
      </c>
      <c r="AI553">
        <v>643</v>
      </c>
      <c r="AJ553">
        <v>984</v>
      </c>
      <c r="AK553">
        <v>3428</v>
      </c>
      <c r="AL553">
        <v>240</v>
      </c>
      <c r="AM553">
        <v>59</v>
      </c>
      <c r="AN553" t="s">
        <v>503</v>
      </c>
      <c r="AO553">
        <f>AVERAGE(Tabla2[[#This Row],[total_kills]:[rating]])</f>
        <v>6888.2631578947367</v>
      </c>
      <c r="AP553" t="str">
        <f>VLOOKUP(Tabla2[[#This Row],[KPI]],$AS$2:$AT$5,2,1)</f>
        <v>Alto</v>
      </c>
    </row>
    <row r="554" spans="1:42" x14ac:dyDescent="0.3">
      <c r="A554">
        <v>14311</v>
      </c>
      <c r="B554" t="s">
        <v>3039</v>
      </c>
      <c r="C554" t="s">
        <v>3040</v>
      </c>
      <c r="D554">
        <v>25</v>
      </c>
      <c r="E554" t="s">
        <v>1070</v>
      </c>
      <c r="F554">
        <v>777</v>
      </c>
      <c r="G554" t="s">
        <v>3041</v>
      </c>
      <c r="H554">
        <v>11699</v>
      </c>
      <c r="I554">
        <v>12478</v>
      </c>
      <c r="J554" t="s">
        <v>696</v>
      </c>
      <c r="K554" t="s">
        <v>692</v>
      </c>
      <c r="L554" t="s">
        <v>612</v>
      </c>
      <c r="M554">
        <v>661</v>
      </c>
      <c r="N554">
        <v>17791</v>
      </c>
      <c r="O554" t="s">
        <v>322</v>
      </c>
      <c r="P554" t="s">
        <v>235</v>
      </c>
      <c r="Q554" t="s">
        <v>905</v>
      </c>
      <c r="R554" t="s">
        <v>48</v>
      </c>
      <c r="S554" t="s">
        <v>50</v>
      </c>
      <c r="T554">
        <v>7978</v>
      </c>
      <c r="U554" t="s">
        <v>51</v>
      </c>
      <c r="V554">
        <v>1908</v>
      </c>
      <c r="W554">
        <v>2270</v>
      </c>
      <c r="X554" t="s">
        <v>47</v>
      </c>
      <c r="Y554" t="s">
        <v>285</v>
      </c>
      <c r="Z554" t="s">
        <v>2130</v>
      </c>
      <c r="AA554" t="s">
        <v>676</v>
      </c>
      <c r="AB554">
        <v>9813</v>
      </c>
      <c r="AC554">
        <v>5155</v>
      </c>
      <c r="AD554">
        <v>2073</v>
      </c>
      <c r="AE554">
        <v>618</v>
      </c>
      <c r="AF554">
        <v>116</v>
      </c>
      <c r="AG554">
        <v>16</v>
      </c>
      <c r="AH554">
        <v>8147</v>
      </c>
      <c r="AI554">
        <v>202</v>
      </c>
      <c r="AJ554">
        <v>1100</v>
      </c>
      <c r="AK554">
        <v>2120</v>
      </c>
      <c r="AL554">
        <v>124</v>
      </c>
      <c r="AM554">
        <v>39</v>
      </c>
      <c r="AN554" t="s">
        <v>412</v>
      </c>
      <c r="AO554">
        <f>AVERAGE(Tabla2[[#This Row],[total_kills]:[rating]])</f>
        <v>4437.2631578947367</v>
      </c>
      <c r="AP554" t="str">
        <f>VLOOKUP(Tabla2[[#This Row],[KPI]],$AS$2:$AT$5,2,1)</f>
        <v>Medio</v>
      </c>
    </row>
    <row r="555" spans="1:42" x14ac:dyDescent="0.3">
      <c r="A555">
        <v>2292</v>
      </c>
      <c r="B555" t="s">
        <v>3144</v>
      </c>
      <c r="C555" t="s">
        <v>3145</v>
      </c>
      <c r="D555">
        <v>32</v>
      </c>
      <c r="E555" t="s">
        <v>209</v>
      </c>
      <c r="F555" t="s">
        <v>3514</v>
      </c>
      <c r="G555" t="s">
        <v>3146</v>
      </c>
      <c r="H555">
        <v>7723</v>
      </c>
      <c r="I555">
        <v>8457</v>
      </c>
      <c r="J555" t="s">
        <v>696</v>
      </c>
      <c r="K555" t="s">
        <v>2354</v>
      </c>
      <c r="L555" t="s">
        <v>201</v>
      </c>
      <c r="M555">
        <v>442</v>
      </c>
      <c r="N555">
        <v>11512</v>
      </c>
      <c r="O555" t="s">
        <v>225</v>
      </c>
      <c r="P555" t="s">
        <v>235</v>
      </c>
      <c r="Q555" t="s">
        <v>495</v>
      </c>
      <c r="R555" t="s">
        <v>50</v>
      </c>
      <c r="S555" t="s">
        <v>66</v>
      </c>
      <c r="T555">
        <v>5249</v>
      </c>
      <c r="U555" t="s">
        <v>51</v>
      </c>
      <c r="V555">
        <v>1306</v>
      </c>
      <c r="W555">
        <v>1577</v>
      </c>
      <c r="X555" t="s">
        <v>2425</v>
      </c>
      <c r="Y555" t="s">
        <v>255</v>
      </c>
      <c r="Z555" t="s">
        <v>745</v>
      </c>
      <c r="AA555" t="s">
        <v>279</v>
      </c>
      <c r="AB555">
        <v>6263</v>
      </c>
      <c r="AC555">
        <v>3363</v>
      </c>
      <c r="AD555">
        <v>1389</v>
      </c>
      <c r="AE555">
        <v>411</v>
      </c>
      <c r="AF555">
        <v>81</v>
      </c>
      <c r="AG555">
        <v>5</v>
      </c>
      <c r="AH555">
        <v>4627</v>
      </c>
      <c r="AI555">
        <v>754</v>
      </c>
      <c r="AJ555">
        <v>616</v>
      </c>
      <c r="AK555">
        <v>1556</v>
      </c>
      <c r="AL555">
        <v>71</v>
      </c>
      <c r="AM555">
        <v>112</v>
      </c>
      <c r="AN555" t="s">
        <v>1570</v>
      </c>
      <c r="AO555">
        <f>AVERAGE(Tabla2[[#This Row],[total_kills]:[rating]])</f>
        <v>2921.7894736842104</v>
      </c>
      <c r="AP555" t="str">
        <f>VLOOKUP(Tabla2[[#This Row],[KPI]],$AS$2:$AT$5,2,1)</f>
        <v>Bajo</v>
      </c>
    </row>
    <row r="556" spans="1:42" x14ac:dyDescent="0.3">
      <c r="A556">
        <v>3741</v>
      </c>
      <c r="B556" t="s">
        <v>218</v>
      </c>
      <c r="C556" t="s">
        <v>219</v>
      </c>
      <c r="D556">
        <v>25</v>
      </c>
      <c r="E556" t="s">
        <v>220</v>
      </c>
      <c r="F556" t="s">
        <v>221</v>
      </c>
      <c r="G556" t="s">
        <v>222</v>
      </c>
      <c r="H556">
        <v>34634</v>
      </c>
      <c r="I556">
        <v>29087</v>
      </c>
      <c r="J556" t="s">
        <v>223</v>
      </c>
      <c r="K556">
        <v>86</v>
      </c>
      <c r="L556" t="s">
        <v>224</v>
      </c>
      <c r="M556">
        <v>1637</v>
      </c>
      <c r="N556">
        <v>43526</v>
      </c>
      <c r="O556" t="s">
        <v>94</v>
      </c>
      <c r="P556" t="s">
        <v>202</v>
      </c>
      <c r="Q556" t="s">
        <v>225</v>
      </c>
      <c r="R556" t="s">
        <v>66</v>
      </c>
      <c r="S556" t="s">
        <v>50</v>
      </c>
      <c r="T556">
        <v>22258</v>
      </c>
      <c r="U556" t="s">
        <v>51</v>
      </c>
      <c r="V556">
        <v>6195</v>
      </c>
      <c r="W556">
        <v>5049</v>
      </c>
      <c r="X556" t="s">
        <v>101</v>
      </c>
      <c r="Y556" t="s">
        <v>169</v>
      </c>
      <c r="Z556" t="s">
        <v>54</v>
      </c>
      <c r="AA556" t="s">
        <v>226</v>
      </c>
      <c r="AB556">
        <v>21268</v>
      </c>
      <c r="AC556">
        <v>13294</v>
      </c>
      <c r="AD556">
        <v>6231</v>
      </c>
      <c r="AE556">
        <v>2146</v>
      </c>
      <c r="AF556">
        <v>519</v>
      </c>
      <c r="AG556">
        <v>68</v>
      </c>
      <c r="AH556">
        <v>23581</v>
      </c>
      <c r="AI556">
        <v>3296</v>
      </c>
      <c r="AJ556">
        <v>1138</v>
      </c>
      <c r="AK556">
        <v>6308</v>
      </c>
      <c r="AL556">
        <v>297</v>
      </c>
      <c r="AM556">
        <v>89</v>
      </c>
      <c r="AN556" t="s">
        <v>84</v>
      </c>
      <c r="AO556">
        <f>AVERAGE(Tabla2[[#This Row],[total_kills]:[rating]])</f>
        <v>11035.35</v>
      </c>
      <c r="AP556" t="str">
        <f>VLOOKUP(Tabla2[[#This Row],[KPI]],$AS$2:$AT$5,2,1)</f>
        <v>Superior</v>
      </c>
    </row>
    <row r="557" spans="1:42" x14ac:dyDescent="0.3">
      <c r="A557">
        <v>8095</v>
      </c>
      <c r="B557" t="s">
        <v>1757</v>
      </c>
      <c r="C557" t="s">
        <v>1758</v>
      </c>
      <c r="D557">
        <v>26</v>
      </c>
      <c r="E557" t="s">
        <v>196</v>
      </c>
      <c r="F557" t="s">
        <v>338</v>
      </c>
      <c r="G557" t="s">
        <v>1759</v>
      </c>
      <c r="H557">
        <v>28807</v>
      </c>
      <c r="I557">
        <v>27637</v>
      </c>
      <c r="J557" t="s">
        <v>223</v>
      </c>
      <c r="K557" t="s">
        <v>1057</v>
      </c>
      <c r="L557" t="s">
        <v>201</v>
      </c>
      <c r="M557">
        <v>1564</v>
      </c>
      <c r="N557">
        <v>41206</v>
      </c>
      <c r="O557" t="s">
        <v>905</v>
      </c>
      <c r="P557" t="s">
        <v>235</v>
      </c>
      <c r="Q557" t="s">
        <v>225</v>
      </c>
      <c r="R557" t="s">
        <v>50</v>
      </c>
      <c r="S557" t="s">
        <v>50</v>
      </c>
      <c r="T557">
        <v>19245</v>
      </c>
      <c r="U557" t="s">
        <v>51</v>
      </c>
      <c r="V557">
        <v>4244</v>
      </c>
      <c r="W557">
        <v>4170</v>
      </c>
      <c r="X557" t="s">
        <v>449</v>
      </c>
      <c r="Y557" t="s">
        <v>255</v>
      </c>
      <c r="Z557" t="s">
        <v>795</v>
      </c>
      <c r="AA557" t="s">
        <v>577</v>
      </c>
      <c r="AB557">
        <v>21961</v>
      </c>
      <c r="AC557">
        <v>12069</v>
      </c>
      <c r="AD557">
        <v>5206</v>
      </c>
      <c r="AE557">
        <v>1615</v>
      </c>
      <c r="AF557">
        <v>317</v>
      </c>
      <c r="AG557">
        <v>38</v>
      </c>
      <c r="AH557">
        <v>20670</v>
      </c>
      <c r="AI557">
        <v>1274</v>
      </c>
      <c r="AJ557">
        <v>1439</v>
      </c>
      <c r="AK557">
        <v>5003</v>
      </c>
      <c r="AL557">
        <v>355</v>
      </c>
      <c r="AM557">
        <v>108</v>
      </c>
      <c r="AN557" t="s">
        <v>412</v>
      </c>
      <c r="AO557">
        <f>AVERAGE(Tabla2[[#This Row],[total_kills]:[rating]])</f>
        <v>10364.631578947368</v>
      </c>
      <c r="AP557" t="str">
        <f>VLOOKUP(Tabla2[[#This Row],[KPI]],$AS$2:$AT$5,2,1)</f>
        <v>Superior</v>
      </c>
    </row>
    <row r="558" spans="1:42" x14ac:dyDescent="0.3">
      <c r="A558">
        <v>17305</v>
      </c>
      <c r="B558" t="s">
        <v>2687</v>
      </c>
      <c r="C558" t="s">
        <v>2688</v>
      </c>
      <c r="D558">
        <v>23</v>
      </c>
      <c r="E558" t="s">
        <v>75</v>
      </c>
      <c r="F558" t="s">
        <v>3514</v>
      </c>
      <c r="G558" t="s">
        <v>2689</v>
      </c>
      <c r="H558">
        <v>8708</v>
      </c>
      <c r="I558">
        <v>8580</v>
      </c>
      <c r="J558" t="s">
        <v>223</v>
      </c>
      <c r="K558" t="s">
        <v>2205</v>
      </c>
      <c r="L558" t="s">
        <v>164</v>
      </c>
      <c r="M558">
        <v>503</v>
      </c>
      <c r="N558">
        <v>13560</v>
      </c>
      <c r="O558" t="s">
        <v>65</v>
      </c>
      <c r="P558" t="s">
        <v>48</v>
      </c>
      <c r="Q558" t="s">
        <v>215</v>
      </c>
      <c r="R558" t="s">
        <v>50</v>
      </c>
      <c r="S558" t="s">
        <v>50</v>
      </c>
      <c r="T558">
        <v>6087</v>
      </c>
      <c r="U558" t="s">
        <v>51</v>
      </c>
      <c r="V558">
        <v>1123</v>
      </c>
      <c r="W558">
        <v>1050</v>
      </c>
      <c r="X558" t="s">
        <v>464</v>
      </c>
      <c r="Y558" t="s">
        <v>820</v>
      </c>
      <c r="Z558" t="s">
        <v>54</v>
      </c>
      <c r="AA558" t="s">
        <v>1805</v>
      </c>
      <c r="AB558">
        <v>7473</v>
      </c>
      <c r="AC558">
        <v>4059</v>
      </c>
      <c r="AD558">
        <v>1512</v>
      </c>
      <c r="AE558">
        <v>443</v>
      </c>
      <c r="AF558">
        <v>69</v>
      </c>
      <c r="AG558">
        <v>4</v>
      </c>
      <c r="AH558">
        <v>6618</v>
      </c>
      <c r="AI558">
        <v>272</v>
      </c>
      <c r="AJ558">
        <v>383</v>
      </c>
      <c r="AK558">
        <v>1290</v>
      </c>
      <c r="AL558">
        <v>159</v>
      </c>
      <c r="AM558">
        <v>26</v>
      </c>
      <c r="AN558" t="s">
        <v>412</v>
      </c>
      <c r="AO558">
        <f>AVERAGE(Tabla2[[#This Row],[total_kills]:[rating]])</f>
        <v>3258.8947368421054</v>
      </c>
      <c r="AP558" t="str">
        <f>VLOOKUP(Tabla2[[#This Row],[KPI]],$AS$2:$AT$5,2,1)</f>
        <v>Bajo</v>
      </c>
    </row>
    <row r="559" spans="1:42" x14ac:dyDescent="0.3">
      <c r="A559">
        <v>7398</v>
      </c>
      <c r="B559" t="s">
        <v>874</v>
      </c>
      <c r="C559" t="s">
        <v>875</v>
      </c>
      <c r="D559">
        <v>29</v>
      </c>
      <c r="E559" t="s">
        <v>196</v>
      </c>
      <c r="F559" t="s">
        <v>43</v>
      </c>
      <c r="G559" t="s">
        <v>198</v>
      </c>
      <c r="H559">
        <v>37250</v>
      </c>
      <c r="I559">
        <v>32885</v>
      </c>
      <c r="J559" t="s">
        <v>876</v>
      </c>
      <c r="K559" t="s">
        <v>877</v>
      </c>
      <c r="L559" t="s">
        <v>471</v>
      </c>
      <c r="M559">
        <v>1953</v>
      </c>
      <c r="N559">
        <v>50862</v>
      </c>
      <c r="O559" t="s">
        <v>495</v>
      </c>
      <c r="P559" t="s">
        <v>235</v>
      </c>
      <c r="Q559" t="s">
        <v>276</v>
      </c>
      <c r="R559" t="s">
        <v>96</v>
      </c>
      <c r="S559" t="s">
        <v>96</v>
      </c>
      <c r="T559">
        <v>24859</v>
      </c>
      <c r="U559" t="s">
        <v>51</v>
      </c>
      <c r="V559">
        <v>5993</v>
      </c>
      <c r="W559">
        <v>5188</v>
      </c>
      <c r="X559" t="s">
        <v>206</v>
      </c>
      <c r="Y559" t="s">
        <v>295</v>
      </c>
      <c r="Z559" t="s">
        <v>70</v>
      </c>
      <c r="AA559" t="s">
        <v>267</v>
      </c>
      <c r="AB559">
        <v>26003</v>
      </c>
      <c r="AC559">
        <v>15554</v>
      </c>
      <c r="AD559">
        <v>6765</v>
      </c>
      <c r="AE559">
        <v>2078</v>
      </c>
      <c r="AF559">
        <v>423</v>
      </c>
      <c r="AG559">
        <v>39</v>
      </c>
      <c r="AH559">
        <v>26134</v>
      </c>
      <c r="AI559">
        <v>1859</v>
      </c>
      <c r="AJ559">
        <v>2176</v>
      </c>
      <c r="AK559">
        <v>6552</v>
      </c>
      <c r="AL559">
        <v>351</v>
      </c>
      <c r="AM559">
        <v>241</v>
      </c>
      <c r="AN559" t="s">
        <v>277</v>
      </c>
      <c r="AO559">
        <f>AVERAGE(Tabla2[[#This Row],[total_kills]:[rating]])</f>
        <v>13008.684210526315</v>
      </c>
      <c r="AP559" t="str">
        <f>VLOOKUP(Tabla2[[#This Row],[KPI]],$AS$2:$AT$5,2,1)</f>
        <v>Superior</v>
      </c>
    </row>
    <row r="560" spans="1:42" x14ac:dyDescent="0.3">
      <c r="A560">
        <v>16872</v>
      </c>
      <c r="B560" t="s">
        <v>1257</v>
      </c>
      <c r="C560" t="s">
        <v>1258</v>
      </c>
      <c r="D560">
        <v>21</v>
      </c>
      <c r="E560" t="s">
        <v>209</v>
      </c>
      <c r="F560" t="s">
        <v>1259</v>
      </c>
      <c r="G560" t="s">
        <v>1259</v>
      </c>
      <c r="H560">
        <v>8014</v>
      </c>
      <c r="I560">
        <v>7478</v>
      </c>
      <c r="J560" t="s">
        <v>1260</v>
      </c>
      <c r="K560" t="s">
        <v>253</v>
      </c>
      <c r="L560" t="s">
        <v>589</v>
      </c>
      <c r="M560">
        <v>408</v>
      </c>
      <c r="N560">
        <v>10886</v>
      </c>
      <c r="O560" t="s">
        <v>283</v>
      </c>
      <c r="P560" t="s">
        <v>48</v>
      </c>
      <c r="Q560" t="s">
        <v>463</v>
      </c>
      <c r="R560" t="s">
        <v>96</v>
      </c>
      <c r="S560" t="s">
        <v>50</v>
      </c>
      <c r="T560">
        <v>5285</v>
      </c>
      <c r="U560" t="s">
        <v>51</v>
      </c>
      <c r="V560">
        <v>946</v>
      </c>
      <c r="W560">
        <v>931</v>
      </c>
      <c r="X560" t="s">
        <v>449</v>
      </c>
      <c r="Y560" t="s">
        <v>472</v>
      </c>
      <c r="Z560" t="s">
        <v>576</v>
      </c>
      <c r="AA560" t="s">
        <v>1083</v>
      </c>
      <c r="AB560">
        <v>5601</v>
      </c>
      <c r="AC560">
        <v>3233</v>
      </c>
      <c r="AD560">
        <v>1478</v>
      </c>
      <c r="AE560">
        <v>478</v>
      </c>
      <c r="AF560">
        <v>89</v>
      </c>
      <c r="AG560">
        <v>7</v>
      </c>
      <c r="AH560">
        <v>5742</v>
      </c>
      <c r="AI560">
        <v>173</v>
      </c>
      <c r="AJ560">
        <v>540</v>
      </c>
      <c r="AK560">
        <v>1476</v>
      </c>
      <c r="AL560">
        <v>63</v>
      </c>
      <c r="AM560">
        <v>60</v>
      </c>
      <c r="AN560" t="s">
        <v>295</v>
      </c>
      <c r="AO560">
        <f>AVERAGE(Tabla2[[#This Row],[total_kills]:[rating]])</f>
        <v>2783.5789473684213</v>
      </c>
      <c r="AP560" t="str">
        <f>VLOOKUP(Tabla2[[#This Row],[KPI]],$AS$2:$AT$5,2,1)</f>
        <v>Bajo</v>
      </c>
    </row>
    <row r="561" spans="1:42" x14ac:dyDescent="0.3">
      <c r="A561">
        <v>12731</v>
      </c>
      <c r="B561" t="s">
        <v>1426</v>
      </c>
      <c r="C561" t="s">
        <v>1427</v>
      </c>
      <c r="D561">
        <v>25</v>
      </c>
      <c r="E561" t="s">
        <v>59</v>
      </c>
      <c r="F561" t="s">
        <v>60</v>
      </c>
      <c r="G561" t="s">
        <v>1242</v>
      </c>
      <c r="H561">
        <v>20009</v>
      </c>
      <c r="I561">
        <v>18104</v>
      </c>
      <c r="J561" t="s">
        <v>1260</v>
      </c>
      <c r="K561" t="s">
        <v>723</v>
      </c>
      <c r="L561" t="s">
        <v>398</v>
      </c>
      <c r="M561">
        <v>1099</v>
      </c>
      <c r="N561">
        <v>28808</v>
      </c>
      <c r="O561" t="s">
        <v>463</v>
      </c>
      <c r="P561" t="s">
        <v>202</v>
      </c>
      <c r="Q561" t="s">
        <v>215</v>
      </c>
      <c r="R561" t="s">
        <v>50</v>
      </c>
      <c r="S561" t="s">
        <v>67</v>
      </c>
      <c r="T561">
        <v>13627</v>
      </c>
      <c r="U561" t="s">
        <v>51</v>
      </c>
      <c r="V561">
        <v>2444</v>
      </c>
      <c r="W561">
        <v>2320</v>
      </c>
      <c r="X561" t="s">
        <v>304</v>
      </c>
      <c r="Y561" t="s">
        <v>472</v>
      </c>
      <c r="Z561" t="s">
        <v>217</v>
      </c>
      <c r="AA561" t="s">
        <v>1052</v>
      </c>
      <c r="AB561">
        <v>15181</v>
      </c>
      <c r="AC561">
        <v>8772</v>
      </c>
      <c r="AD561">
        <v>3551</v>
      </c>
      <c r="AE561">
        <v>1103</v>
      </c>
      <c r="AF561">
        <v>179</v>
      </c>
      <c r="AG561">
        <v>22</v>
      </c>
      <c r="AH561">
        <v>14096</v>
      </c>
      <c r="AI561">
        <v>741</v>
      </c>
      <c r="AJ561">
        <v>1463</v>
      </c>
      <c r="AK561">
        <v>3308</v>
      </c>
      <c r="AL561">
        <v>197</v>
      </c>
      <c r="AM561">
        <v>259</v>
      </c>
      <c r="AN561" t="s">
        <v>561</v>
      </c>
      <c r="AO561">
        <f>AVERAGE(Tabla2[[#This Row],[total_kills]:[rating]])</f>
        <v>7120.1578947368425</v>
      </c>
      <c r="AP561" t="str">
        <f>VLOOKUP(Tabla2[[#This Row],[KPI]],$AS$2:$AT$5,2,1)</f>
        <v>Superior</v>
      </c>
    </row>
    <row r="562" spans="1:42" x14ac:dyDescent="0.3">
      <c r="A562">
        <v>12086</v>
      </c>
      <c r="B562" t="s">
        <v>2054</v>
      </c>
      <c r="C562" t="s">
        <v>2055</v>
      </c>
      <c r="D562">
        <v>22</v>
      </c>
      <c r="E562" t="s">
        <v>299</v>
      </c>
      <c r="F562" t="s">
        <v>986</v>
      </c>
      <c r="G562" t="s">
        <v>2056</v>
      </c>
      <c r="H562">
        <v>13552</v>
      </c>
      <c r="I562">
        <v>13061</v>
      </c>
      <c r="J562" t="s">
        <v>1260</v>
      </c>
      <c r="K562" t="s">
        <v>916</v>
      </c>
      <c r="L562" t="s">
        <v>949</v>
      </c>
      <c r="M562">
        <v>765</v>
      </c>
      <c r="N562">
        <v>19858</v>
      </c>
      <c r="O562" t="s">
        <v>167</v>
      </c>
      <c r="P562" t="s">
        <v>202</v>
      </c>
      <c r="Q562" t="s">
        <v>322</v>
      </c>
      <c r="R562" t="s">
        <v>50</v>
      </c>
      <c r="S562" t="s">
        <v>67</v>
      </c>
      <c r="T562">
        <v>9228</v>
      </c>
      <c r="U562" t="s">
        <v>51</v>
      </c>
      <c r="V562">
        <v>1856</v>
      </c>
      <c r="W562">
        <v>1986</v>
      </c>
      <c r="X562" t="s">
        <v>950</v>
      </c>
      <c r="Y562" t="s">
        <v>503</v>
      </c>
      <c r="Z562" t="s">
        <v>1462</v>
      </c>
      <c r="AA562" t="s">
        <v>1244</v>
      </c>
      <c r="AB562">
        <v>10630</v>
      </c>
      <c r="AC562">
        <v>5964</v>
      </c>
      <c r="AD562">
        <v>2381</v>
      </c>
      <c r="AE562">
        <v>725</v>
      </c>
      <c r="AF562">
        <v>139</v>
      </c>
      <c r="AG562">
        <v>19</v>
      </c>
      <c r="AH562">
        <v>9609</v>
      </c>
      <c r="AI562">
        <v>545</v>
      </c>
      <c r="AJ562">
        <v>793</v>
      </c>
      <c r="AK562">
        <v>2422</v>
      </c>
      <c r="AL562">
        <v>192</v>
      </c>
      <c r="AM562">
        <v>34</v>
      </c>
      <c r="AN562" t="s">
        <v>590</v>
      </c>
      <c r="AO562">
        <f>AVERAGE(Tabla2[[#This Row],[total_kills]:[rating]])</f>
        <v>4934.6842105263158</v>
      </c>
      <c r="AP562" t="str">
        <f>VLOOKUP(Tabla2[[#This Row],[KPI]],$AS$2:$AT$5,2,1)</f>
        <v>Alto</v>
      </c>
    </row>
    <row r="563" spans="1:42" x14ac:dyDescent="0.3">
      <c r="A563">
        <v>630</v>
      </c>
      <c r="B563" t="s">
        <v>2385</v>
      </c>
      <c r="C563" t="s">
        <v>2386</v>
      </c>
      <c r="D563">
        <v>29</v>
      </c>
      <c r="E563" t="s">
        <v>1643</v>
      </c>
      <c r="F563" t="s">
        <v>1644</v>
      </c>
      <c r="G563" t="s">
        <v>2387</v>
      </c>
      <c r="H563">
        <v>22278</v>
      </c>
      <c r="I563">
        <v>22069</v>
      </c>
      <c r="J563" t="s">
        <v>1260</v>
      </c>
      <c r="K563">
        <v>78</v>
      </c>
      <c r="L563" t="s">
        <v>782</v>
      </c>
      <c r="M563">
        <v>1235</v>
      </c>
      <c r="N563">
        <v>32303</v>
      </c>
      <c r="O563" t="s">
        <v>463</v>
      </c>
      <c r="P563" t="s">
        <v>166</v>
      </c>
      <c r="Q563" t="s">
        <v>167</v>
      </c>
      <c r="R563" t="s">
        <v>50</v>
      </c>
      <c r="S563" t="s">
        <v>50</v>
      </c>
      <c r="T563">
        <v>15208</v>
      </c>
      <c r="U563" t="s">
        <v>51</v>
      </c>
      <c r="V563">
        <v>3382</v>
      </c>
      <c r="W563">
        <v>3326</v>
      </c>
      <c r="X563" t="s">
        <v>449</v>
      </c>
      <c r="Y563" t="s">
        <v>449</v>
      </c>
      <c r="Z563" t="s">
        <v>554</v>
      </c>
      <c r="AA563" t="s">
        <v>676</v>
      </c>
      <c r="AB563">
        <v>17095</v>
      </c>
      <c r="AC563">
        <v>9787</v>
      </c>
      <c r="AD563">
        <v>4043</v>
      </c>
      <c r="AE563">
        <v>1146</v>
      </c>
      <c r="AF563">
        <v>207</v>
      </c>
      <c r="AG563">
        <v>25</v>
      </c>
      <c r="AH563">
        <v>17101</v>
      </c>
      <c r="AI563">
        <v>113</v>
      </c>
      <c r="AJ563">
        <v>995</v>
      </c>
      <c r="AK563">
        <v>3747</v>
      </c>
      <c r="AL563">
        <v>314</v>
      </c>
      <c r="AM563">
        <v>38</v>
      </c>
      <c r="AN563">
        <v>1</v>
      </c>
      <c r="AO563">
        <f>AVERAGE(Tabla2[[#This Row],[total_kills]:[rating]])</f>
        <v>7356.7142857142853</v>
      </c>
      <c r="AP563" t="str">
        <f>VLOOKUP(Tabla2[[#This Row],[KPI]],$AS$2:$AT$5,2,1)</f>
        <v>Superior</v>
      </c>
    </row>
    <row r="564" spans="1:42" x14ac:dyDescent="0.3">
      <c r="A564">
        <v>7356</v>
      </c>
      <c r="B564" t="s">
        <v>965</v>
      </c>
      <c r="C564" t="s">
        <v>966</v>
      </c>
      <c r="D564">
        <v>25</v>
      </c>
      <c r="E564" t="s">
        <v>327</v>
      </c>
      <c r="F564" t="s">
        <v>3514</v>
      </c>
      <c r="G564" t="s">
        <v>967</v>
      </c>
      <c r="H564">
        <v>33874</v>
      </c>
      <c r="I564">
        <v>30809</v>
      </c>
      <c r="J564" t="s">
        <v>968</v>
      </c>
      <c r="K564" t="s">
        <v>108</v>
      </c>
      <c r="L564" t="s">
        <v>331</v>
      </c>
      <c r="M564">
        <v>1732</v>
      </c>
      <c r="N564">
        <v>45397</v>
      </c>
      <c r="O564" t="s">
        <v>180</v>
      </c>
      <c r="P564" t="s">
        <v>202</v>
      </c>
      <c r="Q564" t="s">
        <v>167</v>
      </c>
      <c r="R564" t="s">
        <v>96</v>
      </c>
      <c r="S564" t="s">
        <v>50</v>
      </c>
      <c r="T564">
        <v>22373</v>
      </c>
      <c r="U564" t="s">
        <v>51</v>
      </c>
      <c r="V564">
        <v>5011</v>
      </c>
      <c r="W564">
        <v>4632</v>
      </c>
      <c r="X564" t="s">
        <v>277</v>
      </c>
      <c r="Y564" t="s">
        <v>304</v>
      </c>
      <c r="Z564" t="s">
        <v>705</v>
      </c>
      <c r="AA564" t="s">
        <v>969</v>
      </c>
      <c r="AB564">
        <v>23024</v>
      </c>
      <c r="AC564">
        <v>13786</v>
      </c>
      <c r="AD564">
        <v>6189</v>
      </c>
      <c r="AE564">
        <v>1950</v>
      </c>
      <c r="AF564">
        <v>389</v>
      </c>
      <c r="AG564">
        <v>59</v>
      </c>
      <c r="AH564">
        <v>25816</v>
      </c>
      <c r="AI564">
        <v>1209</v>
      </c>
      <c r="AJ564">
        <v>592</v>
      </c>
      <c r="AK564">
        <v>5875</v>
      </c>
      <c r="AL564">
        <v>381</v>
      </c>
      <c r="AM564">
        <v>46</v>
      </c>
      <c r="AN564" t="s">
        <v>277</v>
      </c>
      <c r="AO564">
        <f>AVERAGE(Tabla2[[#This Row],[total_kills]:[rating]])</f>
        <v>11744.421052631578</v>
      </c>
      <c r="AP564" t="str">
        <f>VLOOKUP(Tabla2[[#This Row],[KPI]],$AS$2:$AT$5,2,1)</f>
        <v>Superior</v>
      </c>
    </row>
    <row r="565" spans="1:42" x14ac:dyDescent="0.3">
      <c r="A565">
        <v>9317</v>
      </c>
      <c r="B565" t="s">
        <v>1199</v>
      </c>
      <c r="C565" t="s">
        <v>1200</v>
      </c>
      <c r="D565">
        <v>27</v>
      </c>
      <c r="E565" t="s">
        <v>196</v>
      </c>
      <c r="F565" t="s">
        <v>3514</v>
      </c>
      <c r="G565" t="s">
        <v>1201</v>
      </c>
      <c r="H565">
        <v>7530</v>
      </c>
      <c r="I565">
        <v>6767</v>
      </c>
      <c r="J565" t="s">
        <v>968</v>
      </c>
      <c r="K565" t="s">
        <v>877</v>
      </c>
      <c r="L565" t="s">
        <v>331</v>
      </c>
      <c r="M565">
        <v>403</v>
      </c>
      <c r="N565">
        <v>10503</v>
      </c>
      <c r="O565" t="s">
        <v>311</v>
      </c>
      <c r="P565" t="s">
        <v>48</v>
      </c>
      <c r="Q565" t="s">
        <v>65</v>
      </c>
      <c r="R565" t="s">
        <v>96</v>
      </c>
      <c r="S565" t="s">
        <v>48</v>
      </c>
      <c r="T565">
        <v>5099</v>
      </c>
      <c r="U565" t="s">
        <v>51</v>
      </c>
      <c r="V565">
        <v>1069</v>
      </c>
      <c r="W565">
        <v>909</v>
      </c>
      <c r="X565" t="s">
        <v>169</v>
      </c>
      <c r="Y565" t="s">
        <v>412</v>
      </c>
      <c r="Z565" t="s">
        <v>137</v>
      </c>
      <c r="AA565" t="s">
        <v>560</v>
      </c>
      <c r="AB565">
        <v>5404</v>
      </c>
      <c r="AC565">
        <v>3259</v>
      </c>
      <c r="AD565">
        <v>1355</v>
      </c>
      <c r="AE565">
        <v>391</v>
      </c>
      <c r="AF565">
        <v>82</v>
      </c>
      <c r="AG565">
        <v>12</v>
      </c>
      <c r="AH565">
        <v>5433</v>
      </c>
      <c r="AI565">
        <v>404</v>
      </c>
      <c r="AJ565">
        <v>238</v>
      </c>
      <c r="AK565">
        <v>1358</v>
      </c>
      <c r="AL565">
        <v>98</v>
      </c>
      <c r="AM565">
        <v>10</v>
      </c>
      <c r="AN565" t="s">
        <v>590</v>
      </c>
      <c r="AO565">
        <f>AVERAGE(Tabla2[[#This Row],[total_kills]:[rating]])</f>
        <v>2648.6315789473683</v>
      </c>
      <c r="AP565" t="str">
        <f>VLOOKUP(Tabla2[[#This Row],[KPI]],$AS$2:$AT$5,2,1)</f>
        <v>Bajo</v>
      </c>
    </row>
    <row r="566" spans="1:42" x14ac:dyDescent="0.3">
      <c r="A566">
        <v>13230</v>
      </c>
      <c r="B566" t="s">
        <v>1542</v>
      </c>
      <c r="C566" t="s">
        <v>1543</v>
      </c>
      <c r="D566">
        <v>22</v>
      </c>
      <c r="E566" t="s">
        <v>459</v>
      </c>
      <c r="F566" t="s">
        <v>1544</v>
      </c>
      <c r="G566" t="s">
        <v>1545</v>
      </c>
      <c r="H566">
        <v>18189</v>
      </c>
      <c r="I566">
        <v>17218</v>
      </c>
      <c r="J566" t="s">
        <v>968</v>
      </c>
      <c r="K566" t="s">
        <v>540</v>
      </c>
      <c r="L566" t="s">
        <v>471</v>
      </c>
      <c r="M566">
        <v>958</v>
      </c>
      <c r="N566">
        <v>25283</v>
      </c>
      <c r="O566" t="s">
        <v>311</v>
      </c>
      <c r="P566" t="s">
        <v>48</v>
      </c>
      <c r="Q566" t="s">
        <v>167</v>
      </c>
      <c r="R566" t="s">
        <v>67</v>
      </c>
      <c r="S566" t="s">
        <v>48</v>
      </c>
      <c r="T566">
        <v>12204</v>
      </c>
      <c r="U566" t="s">
        <v>51</v>
      </c>
      <c r="V566">
        <v>2754</v>
      </c>
      <c r="W566">
        <v>2592</v>
      </c>
      <c r="X566" t="s">
        <v>590</v>
      </c>
      <c r="Y566" t="s">
        <v>407</v>
      </c>
      <c r="Z566" t="s">
        <v>237</v>
      </c>
      <c r="AA566" t="s">
        <v>279</v>
      </c>
      <c r="AB566">
        <v>13079</v>
      </c>
      <c r="AC566">
        <v>7759</v>
      </c>
      <c r="AD566">
        <v>3174</v>
      </c>
      <c r="AE566">
        <v>1031</v>
      </c>
      <c r="AF566">
        <v>211</v>
      </c>
      <c r="AG566">
        <v>29</v>
      </c>
      <c r="AH566">
        <v>12955</v>
      </c>
      <c r="AI566">
        <v>1155</v>
      </c>
      <c r="AJ566">
        <v>1023</v>
      </c>
      <c r="AK566">
        <v>2946</v>
      </c>
      <c r="AL566">
        <v>135</v>
      </c>
      <c r="AM566">
        <v>35</v>
      </c>
      <c r="AN566" t="s">
        <v>295</v>
      </c>
      <c r="AO566">
        <f>AVERAGE(Tabla2[[#This Row],[total_kills]:[rating]])</f>
        <v>6459.4736842105267</v>
      </c>
      <c r="AP566" t="str">
        <f>VLOOKUP(Tabla2[[#This Row],[KPI]],$AS$2:$AT$5,2,1)</f>
        <v>Alto</v>
      </c>
    </row>
    <row r="567" spans="1:42" x14ac:dyDescent="0.3">
      <c r="A567">
        <v>9043</v>
      </c>
      <c r="B567" t="s">
        <v>1567</v>
      </c>
      <c r="C567" t="s">
        <v>1568</v>
      </c>
      <c r="D567">
        <v>28</v>
      </c>
      <c r="E567" t="s">
        <v>500</v>
      </c>
      <c r="F567" t="s">
        <v>3514</v>
      </c>
      <c r="G567" t="s">
        <v>1569</v>
      </c>
      <c r="H567">
        <v>15394</v>
      </c>
      <c r="I567">
        <v>14358</v>
      </c>
      <c r="J567" t="s">
        <v>968</v>
      </c>
      <c r="K567" t="s">
        <v>939</v>
      </c>
      <c r="L567">
        <v>3</v>
      </c>
      <c r="M567">
        <v>835</v>
      </c>
      <c r="N567">
        <v>21741</v>
      </c>
      <c r="O567" t="s">
        <v>646</v>
      </c>
      <c r="P567" t="s">
        <v>202</v>
      </c>
      <c r="Q567" t="s">
        <v>322</v>
      </c>
      <c r="R567" t="s">
        <v>50</v>
      </c>
      <c r="S567" t="s">
        <v>48</v>
      </c>
      <c r="T567">
        <v>10431</v>
      </c>
      <c r="U567" t="s">
        <v>51</v>
      </c>
      <c r="V567">
        <v>1773</v>
      </c>
      <c r="W567">
        <v>1746</v>
      </c>
      <c r="X567" t="s">
        <v>449</v>
      </c>
      <c r="Y567" t="s">
        <v>1570</v>
      </c>
      <c r="Z567" t="s">
        <v>1571</v>
      </c>
      <c r="AA567" t="s">
        <v>1572</v>
      </c>
      <c r="AB567">
        <v>11310</v>
      </c>
      <c r="AC567">
        <v>6617</v>
      </c>
      <c r="AD567">
        <v>2854</v>
      </c>
      <c r="AE567">
        <v>787</v>
      </c>
      <c r="AF567">
        <v>157</v>
      </c>
      <c r="AG567">
        <v>16</v>
      </c>
      <c r="AH567">
        <v>10775</v>
      </c>
      <c r="AI567">
        <v>609</v>
      </c>
      <c r="AJ567">
        <v>737</v>
      </c>
      <c r="AK567">
        <v>2943</v>
      </c>
      <c r="AL567">
        <v>141</v>
      </c>
      <c r="AM567">
        <v>219</v>
      </c>
      <c r="AN567" t="s">
        <v>407</v>
      </c>
      <c r="AO567">
        <f>AVERAGE(Tabla2[[#This Row],[total_kills]:[rating]])</f>
        <v>5172.3</v>
      </c>
      <c r="AP567" t="str">
        <f>VLOOKUP(Tabla2[[#This Row],[KPI]],$AS$2:$AT$5,2,1)</f>
        <v>Alto</v>
      </c>
    </row>
    <row r="568" spans="1:42" x14ac:dyDescent="0.3">
      <c r="A568">
        <v>18717</v>
      </c>
      <c r="B568" t="s">
        <v>1602</v>
      </c>
      <c r="C568" t="s">
        <v>1603</v>
      </c>
      <c r="D568">
        <v>20</v>
      </c>
      <c r="E568" t="s">
        <v>104</v>
      </c>
      <c r="F568" t="s">
        <v>1604</v>
      </c>
      <c r="G568" t="s">
        <v>1605</v>
      </c>
      <c r="H568">
        <v>7598</v>
      </c>
      <c r="I568">
        <v>7082</v>
      </c>
      <c r="J568" t="s">
        <v>968</v>
      </c>
      <c r="K568" t="s">
        <v>1057</v>
      </c>
      <c r="L568" t="s">
        <v>390</v>
      </c>
      <c r="M568">
        <v>399</v>
      </c>
      <c r="N568">
        <v>10815</v>
      </c>
      <c r="O568" t="s">
        <v>905</v>
      </c>
      <c r="P568" t="s">
        <v>67</v>
      </c>
      <c r="Q568" t="s">
        <v>276</v>
      </c>
      <c r="R568" t="s">
        <v>50</v>
      </c>
      <c r="S568" t="s">
        <v>50</v>
      </c>
      <c r="T568">
        <v>5165</v>
      </c>
      <c r="U568" t="s">
        <v>51</v>
      </c>
      <c r="V568">
        <v>1135</v>
      </c>
      <c r="W568">
        <v>1135</v>
      </c>
      <c r="X568">
        <v>1</v>
      </c>
      <c r="Y568" t="s">
        <v>449</v>
      </c>
      <c r="Z568" t="s">
        <v>576</v>
      </c>
      <c r="AA568" t="s">
        <v>648</v>
      </c>
      <c r="AB568">
        <v>5650</v>
      </c>
      <c r="AC568">
        <v>3316</v>
      </c>
      <c r="AD568">
        <v>1343</v>
      </c>
      <c r="AE568">
        <v>433</v>
      </c>
      <c r="AF568">
        <v>68</v>
      </c>
      <c r="AG568">
        <v>5</v>
      </c>
      <c r="AH568">
        <v>5686</v>
      </c>
      <c r="AI568">
        <v>430</v>
      </c>
      <c r="AJ568">
        <v>218</v>
      </c>
      <c r="AK568">
        <v>1172</v>
      </c>
      <c r="AL568">
        <v>88</v>
      </c>
      <c r="AM568">
        <v>36</v>
      </c>
      <c r="AN568" t="s">
        <v>277</v>
      </c>
      <c r="AO568">
        <f>AVERAGE(Tabla2[[#This Row],[total_kills]:[rating]])</f>
        <v>2588.75</v>
      </c>
      <c r="AP568" t="str">
        <f>VLOOKUP(Tabla2[[#This Row],[KPI]],$AS$2:$AT$5,2,1)</f>
        <v>Bajo</v>
      </c>
    </row>
    <row r="569" spans="1:42" x14ac:dyDescent="0.3">
      <c r="A569">
        <v>9636</v>
      </c>
      <c r="B569" t="s">
        <v>2694</v>
      </c>
      <c r="C569" t="s">
        <v>2695</v>
      </c>
      <c r="D569">
        <v>26</v>
      </c>
      <c r="E569" t="s">
        <v>299</v>
      </c>
      <c r="F569" t="s">
        <v>3514</v>
      </c>
      <c r="G569" t="s">
        <v>2696</v>
      </c>
      <c r="H569">
        <v>15228</v>
      </c>
      <c r="I569">
        <v>15746</v>
      </c>
      <c r="J569" t="s">
        <v>968</v>
      </c>
      <c r="K569" t="s">
        <v>480</v>
      </c>
      <c r="L569" t="s">
        <v>589</v>
      </c>
      <c r="M569">
        <v>860</v>
      </c>
      <c r="N569">
        <v>22168</v>
      </c>
      <c r="O569" t="s">
        <v>463</v>
      </c>
      <c r="P569" t="s">
        <v>235</v>
      </c>
      <c r="Q569" t="s">
        <v>646</v>
      </c>
      <c r="R569" t="s">
        <v>96</v>
      </c>
      <c r="S569" t="s">
        <v>66</v>
      </c>
      <c r="T569">
        <v>10250</v>
      </c>
      <c r="U569" t="s">
        <v>51</v>
      </c>
      <c r="V569">
        <v>2694</v>
      </c>
      <c r="W569">
        <v>2820</v>
      </c>
      <c r="X569" t="s">
        <v>472</v>
      </c>
      <c r="Y569" t="s">
        <v>590</v>
      </c>
      <c r="Z569" t="s">
        <v>533</v>
      </c>
      <c r="AA569" t="s">
        <v>238</v>
      </c>
      <c r="AB569">
        <v>11918</v>
      </c>
      <c r="AC569">
        <v>6467</v>
      </c>
      <c r="AD569">
        <v>2775</v>
      </c>
      <c r="AE569">
        <v>838</v>
      </c>
      <c r="AF569">
        <v>153</v>
      </c>
      <c r="AG569">
        <v>17</v>
      </c>
      <c r="AH569">
        <v>10561</v>
      </c>
      <c r="AI569">
        <v>836</v>
      </c>
      <c r="AJ569">
        <v>947</v>
      </c>
      <c r="AK569">
        <v>2763</v>
      </c>
      <c r="AL569">
        <v>143</v>
      </c>
      <c r="AM569">
        <v>10</v>
      </c>
      <c r="AN569" t="s">
        <v>245</v>
      </c>
      <c r="AO569">
        <f>AVERAGE(Tabla2[[#This Row],[total_kills]:[rating]])</f>
        <v>5641.7894736842109</v>
      </c>
      <c r="AP569" t="str">
        <f>VLOOKUP(Tabla2[[#This Row],[KPI]],$AS$2:$AT$5,2,1)</f>
        <v>Alto</v>
      </c>
    </row>
    <row r="570" spans="1:42" x14ac:dyDescent="0.3">
      <c r="A570">
        <v>7169</v>
      </c>
      <c r="B570" t="s">
        <v>2724</v>
      </c>
      <c r="C570" t="s">
        <v>2725</v>
      </c>
      <c r="D570">
        <v>32</v>
      </c>
      <c r="E570" t="s">
        <v>42</v>
      </c>
      <c r="F570" t="s">
        <v>3514</v>
      </c>
      <c r="G570" t="s">
        <v>2726</v>
      </c>
      <c r="H570">
        <v>26056</v>
      </c>
      <c r="I570">
        <v>26673</v>
      </c>
      <c r="J570" t="s">
        <v>968</v>
      </c>
      <c r="K570" t="s">
        <v>2727</v>
      </c>
      <c r="L570" t="s">
        <v>122</v>
      </c>
      <c r="M570">
        <v>1499</v>
      </c>
      <c r="N570">
        <v>39100</v>
      </c>
      <c r="O570" t="s">
        <v>225</v>
      </c>
      <c r="P570" t="s">
        <v>202</v>
      </c>
      <c r="Q570" t="s">
        <v>167</v>
      </c>
      <c r="R570" t="s">
        <v>67</v>
      </c>
      <c r="S570" t="s">
        <v>67</v>
      </c>
      <c r="T570">
        <v>17736</v>
      </c>
      <c r="U570" t="s">
        <v>51</v>
      </c>
      <c r="V570">
        <v>3231</v>
      </c>
      <c r="W570">
        <v>3437</v>
      </c>
      <c r="X570" t="s">
        <v>1570</v>
      </c>
      <c r="Y570" t="s">
        <v>950</v>
      </c>
      <c r="Z570" t="s">
        <v>576</v>
      </c>
      <c r="AA570" t="s">
        <v>1276</v>
      </c>
      <c r="AB570">
        <v>21364</v>
      </c>
      <c r="AC570">
        <v>11448</v>
      </c>
      <c r="AD570">
        <v>4587</v>
      </c>
      <c r="AE570">
        <v>1401</v>
      </c>
      <c r="AF570">
        <v>282</v>
      </c>
      <c r="AG570">
        <v>18</v>
      </c>
      <c r="AH570">
        <v>19005</v>
      </c>
      <c r="AI570">
        <v>71</v>
      </c>
      <c r="AJ570">
        <v>1716</v>
      </c>
      <c r="AK570">
        <v>5057</v>
      </c>
      <c r="AL570">
        <v>202</v>
      </c>
      <c r="AM570">
        <v>24</v>
      </c>
      <c r="AN570" t="s">
        <v>503</v>
      </c>
      <c r="AO570">
        <f>AVERAGE(Tabla2[[#This Row],[total_kills]:[rating]])</f>
        <v>9626.6842105263149</v>
      </c>
      <c r="AP570" t="str">
        <f>VLOOKUP(Tabla2[[#This Row],[KPI]],$AS$2:$AT$5,2,1)</f>
        <v>Superior</v>
      </c>
    </row>
    <row r="571" spans="1:42" x14ac:dyDescent="0.3">
      <c r="A571">
        <v>16486</v>
      </c>
      <c r="B571" t="s">
        <v>3177</v>
      </c>
      <c r="C571" t="s">
        <v>3178</v>
      </c>
      <c r="D571">
        <v>18</v>
      </c>
      <c r="E571" t="s">
        <v>545</v>
      </c>
      <c r="F571" t="s">
        <v>1600</v>
      </c>
      <c r="G571" t="s">
        <v>1593</v>
      </c>
      <c r="H571">
        <v>7089</v>
      </c>
      <c r="I571">
        <v>7664</v>
      </c>
      <c r="J571" t="s">
        <v>968</v>
      </c>
      <c r="K571" t="s">
        <v>1550</v>
      </c>
      <c r="L571" t="s">
        <v>612</v>
      </c>
      <c r="M571">
        <v>412</v>
      </c>
      <c r="N571">
        <v>11035</v>
      </c>
      <c r="O571" t="s">
        <v>65</v>
      </c>
      <c r="P571" t="s">
        <v>48</v>
      </c>
      <c r="Q571" t="s">
        <v>463</v>
      </c>
      <c r="R571" t="s">
        <v>96</v>
      </c>
      <c r="S571" t="s">
        <v>96</v>
      </c>
      <c r="T571">
        <v>4893</v>
      </c>
      <c r="U571" t="s">
        <v>51</v>
      </c>
      <c r="V571">
        <v>989</v>
      </c>
      <c r="W571">
        <v>1167</v>
      </c>
      <c r="X571" t="s">
        <v>2667</v>
      </c>
      <c r="Y571" t="s">
        <v>1570</v>
      </c>
      <c r="Z571" t="s">
        <v>718</v>
      </c>
      <c r="AA571" t="s">
        <v>888</v>
      </c>
      <c r="AB571">
        <v>6142</v>
      </c>
      <c r="AC571">
        <v>3205</v>
      </c>
      <c r="AD571">
        <v>1253</v>
      </c>
      <c r="AE571">
        <v>367</v>
      </c>
      <c r="AF571">
        <v>63</v>
      </c>
      <c r="AG571">
        <v>5</v>
      </c>
      <c r="AH571">
        <v>5261</v>
      </c>
      <c r="AI571">
        <v>75</v>
      </c>
      <c r="AJ571">
        <v>466</v>
      </c>
      <c r="AK571">
        <v>1192</v>
      </c>
      <c r="AL571">
        <v>92</v>
      </c>
      <c r="AM571">
        <v>34</v>
      </c>
      <c r="AN571" t="s">
        <v>245</v>
      </c>
      <c r="AO571">
        <f>AVERAGE(Tabla2[[#This Row],[total_kills]:[rating]])</f>
        <v>2705.4736842105262</v>
      </c>
      <c r="AP571" t="str">
        <f>VLOOKUP(Tabla2[[#This Row],[KPI]],$AS$2:$AT$5,2,1)</f>
        <v>Bajo</v>
      </c>
    </row>
    <row r="572" spans="1:42" x14ac:dyDescent="0.3">
      <c r="A572">
        <v>14619</v>
      </c>
      <c r="B572" t="s">
        <v>569</v>
      </c>
      <c r="C572" t="s">
        <v>570</v>
      </c>
      <c r="D572">
        <v>24</v>
      </c>
      <c r="E572" t="s">
        <v>459</v>
      </c>
      <c r="F572" t="s">
        <v>571</v>
      </c>
      <c r="G572" t="s">
        <v>572</v>
      </c>
      <c r="H572">
        <v>16071</v>
      </c>
      <c r="I572">
        <v>14047</v>
      </c>
      <c r="J572" t="s">
        <v>573</v>
      </c>
      <c r="K572" t="s">
        <v>574</v>
      </c>
      <c r="L572" t="s">
        <v>575</v>
      </c>
      <c r="M572">
        <v>827</v>
      </c>
      <c r="N572">
        <v>21545</v>
      </c>
      <c r="O572" t="s">
        <v>180</v>
      </c>
      <c r="P572" t="s">
        <v>235</v>
      </c>
      <c r="Q572" t="s">
        <v>276</v>
      </c>
      <c r="R572" t="s">
        <v>50</v>
      </c>
      <c r="S572" t="s">
        <v>67</v>
      </c>
      <c r="T572">
        <v>10526</v>
      </c>
      <c r="U572" t="s">
        <v>51</v>
      </c>
      <c r="V572">
        <v>2310</v>
      </c>
      <c r="W572">
        <v>2137</v>
      </c>
      <c r="X572" t="s">
        <v>277</v>
      </c>
      <c r="Y572" t="s">
        <v>407</v>
      </c>
      <c r="Z572" t="s">
        <v>576</v>
      </c>
      <c r="AA572" t="s">
        <v>577</v>
      </c>
      <c r="AB572">
        <v>11019</v>
      </c>
      <c r="AC572">
        <v>6462</v>
      </c>
      <c r="AD572">
        <v>2853</v>
      </c>
      <c r="AE572">
        <v>973</v>
      </c>
      <c r="AF572">
        <v>206</v>
      </c>
      <c r="AG572">
        <v>32</v>
      </c>
      <c r="AH572">
        <v>11610</v>
      </c>
      <c r="AI572">
        <v>464</v>
      </c>
      <c r="AJ572">
        <v>1064</v>
      </c>
      <c r="AK572">
        <v>2730</v>
      </c>
      <c r="AL572">
        <v>202</v>
      </c>
      <c r="AM572">
        <v>54</v>
      </c>
      <c r="AN572" t="s">
        <v>206</v>
      </c>
      <c r="AO572">
        <f>AVERAGE(Tabla2[[#This Row],[total_kills]:[rating]])</f>
        <v>5533.2631578947367</v>
      </c>
      <c r="AP572" t="str">
        <f>VLOOKUP(Tabla2[[#This Row],[KPI]],$AS$2:$AT$5,2,1)</f>
        <v>Alto</v>
      </c>
    </row>
    <row r="573" spans="1:42" x14ac:dyDescent="0.3">
      <c r="A573">
        <v>10589</v>
      </c>
      <c r="B573" t="s">
        <v>1469</v>
      </c>
      <c r="C573" t="s">
        <v>1470</v>
      </c>
      <c r="D573">
        <v>29</v>
      </c>
      <c r="E573" t="s">
        <v>75</v>
      </c>
      <c r="F573" t="s">
        <v>1471</v>
      </c>
      <c r="G573" t="s">
        <v>1472</v>
      </c>
      <c r="H573">
        <v>9899</v>
      </c>
      <c r="I573">
        <v>9295</v>
      </c>
      <c r="J573" t="s">
        <v>573</v>
      </c>
      <c r="K573" t="s">
        <v>837</v>
      </c>
      <c r="L573" t="s">
        <v>589</v>
      </c>
      <c r="M573">
        <v>516</v>
      </c>
      <c r="N573">
        <v>13467</v>
      </c>
      <c r="O573" t="s">
        <v>283</v>
      </c>
      <c r="P573" t="s">
        <v>235</v>
      </c>
      <c r="Q573" t="s">
        <v>463</v>
      </c>
      <c r="R573" t="s">
        <v>66</v>
      </c>
      <c r="S573" t="s">
        <v>50</v>
      </c>
      <c r="T573">
        <v>6659</v>
      </c>
      <c r="U573" t="s">
        <v>51</v>
      </c>
      <c r="V573">
        <v>1052</v>
      </c>
      <c r="W573">
        <v>1053</v>
      </c>
      <c r="X573">
        <v>1</v>
      </c>
      <c r="Y573" t="s">
        <v>950</v>
      </c>
      <c r="Z573" t="s">
        <v>1165</v>
      </c>
      <c r="AA573" t="s">
        <v>1276</v>
      </c>
      <c r="AB573">
        <v>6808</v>
      </c>
      <c r="AC573">
        <v>4185</v>
      </c>
      <c r="AD573">
        <v>1834</v>
      </c>
      <c r="AE573">
        <v>524</v>
      </c>
      <c r="AF573">
        <v>106</v>
      </c>
      <c r="AG573">
        <v>10</v>
      </c>
      <c r="AH573">
        <v>7534</v>
      </c>
      <c r="AI573">
        <v>57</v>
      </c>
      <c r="AJ573">
        <v>367</v>
      </c>
      <c r="AK573">
        <v>1834</v>
      </c>
      <c r="AL573">
        <v>109</v>
      </c>
      <c r="AM573">
        <v>13</v>
      </c>
      <c r="AN573" t="s">
        <v>304</v>
      </c>
      <c r="AO573">
        <f>AVERAGE(Tabla2[[#This Row],[total_kills]:[rating]])</f>
        <v>3266.15</v>
      </c>
      <c r="AP573" t="str">
        <f>VLOOKUP(Tabla2[[#This Row],[KPI]],$AS$2:$AT$5,2,1)</f>
        <v>Bajo</v>
      </c>
    </row>
    <row r="574" spans="1:42" x14ac:dyDescent="0.3">
      <c r="A574">
        <v>9612</v>
      </c>
      <c r="B574" t="s">
        <v>1564</v>
      </c>
      <c r="C574" t="s">
        <v>1565</v>
      </c>
      <c r="D574">
        <v>24</v>
      </c>
      <c r="E574" t="s">
        <v>196</v>
      </c>
      <c r="F574" t="s">
        <v>3514</v>
      </c>
      <c r="G574" t="s">
        <v>1566</v>
      </c>
      <c r="H574">
        <v>15534</v>
      </c>
      <c r="I574">
        <v>14571</v>
      </c>
      <c r="J574" t="s">
        <v>573</v>
      </c>
      <c r="K574" t="s">
        <v>92</v>
      </c>
      <c r="L574" t="s">
        <v>282</v>
      </c>
      <c r="M574">
        <v>817</v>
      </c>
      <c r="N574">
        <v>21619</v>
      </c>
      <c r="O574" t="s">
        <v>311</v>
      </c>
      <c r="P574" t="s">
        <v>235</v>
      </c>
      <c r="Q574" t="s">
        <v>225</v>
      </c>
      <c r="R574" t="s">
        <v>96</v>
      </c>
      <c r="S574" t="s">
        <v>50</v>
      </c>
      <c r="T574">
        <v>10528</v>
      </c>
      <c r="U574" t="s">
        <v>51</v>
      </c>
      <c r="V574">
        <v>2330</v>
      </c>
      <c r="W574">
        <v>2104</v>
      </c>
      <c r="X574" t="s">
        <v>362</v>
      </c>
      <c r="Y574" t="s">
        <v>407</v>
      </c>
      <c r="Z574" t="s">
        <v>795</v>
      </c>
      <c r="AA574" t="s">
        <v>602</v>
      </c>
      <c r="AB574">
        <v>11091</v>
      </c>
      <c r="AC574">
        <v>6710</v>
      </c>
      <c r="AD574">
        <v>2822</v>
      </c>
      <c r="AE574">
        <v>823</v>
      </c>
      <c r="AF574">
        <v>154</v>
      </c>
      <c r="AG574">
        <v>19</v>
      </c>
      <c r="AH574">
        <v>11047</v>
      </c>
      <c r="AI574">
        <v>874</v>
      </c>
      <c r="AJ574">
        <v>837</v>
      </c>
      <c r="AK574">
        <v>2489</v>
      </c>
      <c r="AL574">
        <v>210</v>
      </c>
      <c r="AM574">
        <v>107</v>
      </c>
      <c r="AN574" t="s">
        <v>407</v>
      </c>
      <c r="AO574">
        <f>AVERAGE(Tabla2[[#This Row],[total_kills]:[rating]])</f>
        <v>5509.7894736842109</v>
      </c>
      <c r="AP574" t="str">
        <f>VLOOKUP(Tabla2[[#This Row],[KPI]],$AS$2:$AT$5,2,1)</f>
        <v>Alto</v>
      </c>
    </row>
    <row r="575" spans="1:42" x14ac:dyDescent="0.3">
      <c r="A575">
        <v>9483</v>
      </c>
      <c r="B575" t="s">
        <v>1861</v>
      </c>
      <c r="C575" t="s">
        <v>1862</v>
      </c>
      <c r="D575">
        <v>25</v>
      </c>
      <c r="E575" t="s">
        <v>104</v>
      </c>
      <c r="F575" t="s">
        <v>3514</v>
      </c>
      <c r="G575" t="s">
        <v>1863</v>
      </c>
      <c r="H575">
        <v>19838</v>
      </c>
      <c r="I575">
        <v>19377</v>
      </c>
      <c r="J575" t="s">
        <v>573</v>
      </c>
      <c r="K575" t="s">
        <v>424</v>
      </c>
      <c r="L575" t="s">
        <v>471</v>
      </c>
      <c r="M575">
        <v>1065</v>
      </c>
      <c r="N575">
        <v>27675</v>
      </c>
      <c r="O575" t="s">
        <v>311</v>
      </c>
      <c r="P575" t="s">
        <v>235</v>
      </c>
      <c r="Q575" t="s">
        <v>905</v>
      </c>
      <c r="R575" t="s">
        <v>67</v>
      </c>
      <c r="S575" t="s">
        <v>50</v>
      </c>
      <c r="T575">
        <v>13240</v>
      </c>
      <c r="U575" t="s">
        <v>51</v>
      </c>
      <c r="V575">
        <v>3555</v>
      </c>
      <c r="W575">
        <v>3680</v>
      </c>
      <c r="X575" t="s">
        <v>503</v>
      </c>
      <c r="Y575" t="s">
        <v>295</v>
      </c>
      <c r="Z575" t="s">
        <v>795</v>
      </c>
      <c r="AA575" t="s">
        <v>542</v>
      </c>
      <c r="AB575">
        <v>14435</v>
      </c>
      <c r="AC575">
        <v>8263</v>
      </c>
      <c r="AD575">
        <v>3599</v>
      </c>
      <c r="AE575">
        <v>1146</v>
      </c>
      <c r="AF575">
        <v>221</v>
      </c>
      <c r="AG575">
        <v>11</v>
      </c>
      <c r="AH575">
        <v>15540</v>
      </c>
      <c r="AI575">
        <v>105</v>
      </c>
      <c r="AJ575">
        <v>735</v>
      </c>
      <c r="AK575">
        <v>3304</v>
      </c>
      <c r="AL575">
        <v>148</v>
      </c>
      <c r="AM575">
        <v>61</v>
      </c>
      <c r="AN575" t="s">
        <v>449</v>
      </c>
      <c r="AO575">
        <f>AVERAGE(Tabla2[[#This Row],[total_kills]:[rating]])</f>
        <v>7157.7894736842109</v>
      </c>
      <c r="AP575" t="str">
        <f>VLOOKUP(Tabla2[[#This Row],[KPI]],$AS$2:$AT$5,2,1)</f>
        <v>Superior</v>
      </c>
    </row>
    <row r="576" spans="1:42" x14ac:dyDescent="0.3">
      <c r="A576">
        <v>13186</v>
      </c>
      <c r="B576" t="s">
        <v>2351</v>
      </c>
      <c r="C576" t="s">
        <v>2352</v>
      </c>
      <c r="D576">
        <v>24</v>
      </c>
      <c r="E576" t="s">
        <v>459</v>
      </c>
      <c r="F576" t="s">
        <v>3514</v>
      </c>
      <c r="G576" t="s">
        <v>2353</v>
      </c>
      <c r="H576">
        <v>9454</v>
      </c>
      <c r="I576">
        <v>9285</v>
      </c>
      <c r="J576" t="s">
        <v>573</v>
      </c>
      <c r="K576" t="s">
        <v>2354</v>
      </c>
      <c r="L576" t="s">
        <v>282</v>
      </c>
      <c r="M576">
        <v>544</v>
      </c>
      <c r="N576">
        <v>13974</v>
      </c>
      <c r="O576" t="s">
        <v>167</v>
      </c>
      <c r="P576" t="s">
        <v>166</v>
      </c>
      <c r="Q576" t="s">
        <v>322</v>
      </c>
      <c r="R576" t="s">
        <v>48</v>
      </c>
      <c r="S576" t="s">
        <v>48</v>
      </c>
      <c r="T576">
        <v>6470</v>
      </c>
      <c r="U576" t="s">
        <v>51</v>
      </c>
      <c r="V576">
        <v>1227</v>
      </c>
      <c r="W576">
        <v>1285</v>
      </c>
      <c r="X576" t="s">
        <v>820</v>
      </c>
      <c r="Y576" t="s">
        <v>820</v>
      </c>
      <c r="Z576" t="s">
        <v>314</v>
      </c>
      <c r="AA576" t="s">
        <v>1083</v>
      </c>
      <c r="AB576">
        <v>7504</v>
      </c>
      <c r="AC576">
        <v>4191</v>
      </c>
      <c r="AD576">
        <v>1690</v>
      </c>
      <c r="AE576">
        <v>488</v>
      </c>
      <c r="AF576">
        <v>86</v>
      </c>
      <c r="AG576">
        <v>15</v>
      </c>
      <c r="AH576">
        <v>6597</v>
      </c>
      <c r="AI576">
        <v>206</v>
      </c>
      <c r="AJ576">
        <v>723</v>
      </c>
      <c r="AK576">
        <v>1685</v>
      </c>
      <c r="AL576">
        <v>157</v>
      </c>
      <c r="AM576">
        <v>107</v>
      </c>
      <c r="AN576" t="s">
        <v>590</v>
      </c>
      <c r="AO576">
        <f>AVERAGE(Tabla2[[#This Row],[total_kills]:[rating]])</f>
        <v>3457.2631578947367</v>
      </c>
      <c r="AP576" t="str">
        <f>VLOOKUP(Tabla2[[#This Row],[KPI]],$AS$2:$AT$5,2,1)</f>
        <v>Medio</v>
      </c>
    </row>
    <row r="577" spans="1:42" x14ac:dyDescent="0.3">
      <c r="A577">
        <v>11162</v>
      </c>
      <c r="B577" t="s">
        <v>956</v>
      </c>
      <c r="C577" t="s">
        <v>957</v>
      </c>
      <c r="D577">
        <v>24</v>
      </c>
      <c r="E577" t="s">
        <v>299</v>
      </c>
      <c r="F577" t="s">
        <v>260</v>
      </c>
      <c r="G577" t="s">
        <v>958</v>
      </c>
      <c r="H577">
        <v>17302</v>
      </c>
      <c r="I577">
        <v>15301</v>
      </c>
      <c r="J577" t="s">
        <v>959</v>
      </c>
      <c r="K577" t="s">
        <v>960</v>
      </c>
      <c r="L577" t="s">
        <v>244</v>
      </c>
      <c r="M577">
        <v>947</v>
      </c>
      <c r="N577">
        <v>24099</v>
      </c>
      <c r="O577" t="s">
        <v>311</v>
      </c>
      <c r="P577" t="s">
        <v>235</v>
      </c>
      <c r="Q577" t="s">
        <v>215</v>
      </c>
      <c r="R577" t="s">
        <v>50</v>
      </c>
      <c r="S577" t="s">
        <v>50</v>
      </c>
      <c r="T577">
        <v>11545</v>
      </c>
      <c r="U577" t="s">
        <v>51</v>
      </c>
      <c r="V577">
        <v>2669</v>
      </c>
      <c r="W577">
        <v>2462</v>
      </c>
      <c r="X577" t="s">
        <v>277</v>
      </c>
      <c r="Y577" t="s">
        <v>304</v>
      </c>
      <c r="Z577" t="s">
        <v>296</v>
      </c>
      <c r="AA577" t="s">
        <v>648</v>
      </c>
      <c r="AB577">
        <v>12554</v>
      </c>
      <c r="AC577">
        <v>7214</v>
      </c>
      <c r="AD577">
        <v>3142</v>
      </c>
      <c r="AE577">
        <v>976</v>
      </c>
      <c r="AF577">
        <v>189</v>
      </c>
      <c r="AG577">
        <v>24</v>
      </c>
      <c r="AH577">
        <v>11909</v>
      </c>
      <c r="AI577">
        <v>1109</v>
      </c>
      <c r="AJ577">
        <v>1291</v>
      </c>
      <c r="AK577">
        <v>2755</v>
      </c>
      <c r="AL577">
        <v>227</v>
      </c>
      <c r="AM577">
        <v>50</v>
      </c>
      <c r="AN577" t="s">
        <v>111</v>
      </c>
      <c r="AO577">
        <f>AVERAGE(Tabla2[[#This Row],[total_kills]:[rating]])</f>
        <v>6092.894736842105</v>
      </c>
      <c r="AP577" t="str">
        <f>VLOOKUP(Tabla2[[#This Row],[KPI]],$AS$2:$AT$5,2,1)</f>
        <v>Alto</v>
      </c>
    </row>
    <row r="578" spans="1:42" x14ac:dyDescent="0.3">
      <c r="A578">
        <v>16612</v>
      </c>
      <c r="B578" t="s">
        <v>1539</v>
      </c>
      <c r="C578" t="s">
        <v>1540</v>
      </c>
      <c r="D578">
        <v>21</v>
      </c>
      <c r="E578" t="s">
        <v>75</v>
      </c>
      <c r="F578" t="s">
        <v>308</v>
      </c>
      <c r="G578" t="s">
        <v>1541</v>
      </c>
      <c r="H578">
        <v>20651</v>
      </c>
      <c r="I578">
        <v>19814</v>
      </c>
      <c r="J578" t="s">
        <v>959</v>
      </c>
      <c r="K578" t="s">
        <v>911</v>
      </c>
      <c r="L578" t="s">
        <v>294</v>
      </c>
      <c r="M578">
        <v>1076</v>
      </c>
      <c r="N578">
        <v>28750</v>
      </c>
      <c r="O578" t="s">
        <v>311</v>
      </c>
      <c r="P578" t="s">
        <v>202</v>
      </c>
      <c r="Q578" t="s">
        <v>463</v>
      </c>
      <c r="R578" t="s">
        <v>66</v>
      </c>
      <c r="S578" t="s">
        <v>135</v>
      </c>
      <c r="T578">
        <v>13571</v>
      </c>
      <c r="U578" t="s">
        <v>51</v>
      </c>
      <c r="V578">
        <v>3372</v>
      </c>
      <c r="W578">
        <v>3298</v>
      </c>
      <c r="X578" t="s">
        <v>449</v>
      </c>
      <c r="Y578" t="s">
        <v>590</v>
      </c>
      <c r="Z578" t="s">
        <v>1310</v>
      </c>
      <c r="AA578" t="s">
        <v>697</v>
      </c>
      <c r="AB578">
        <v>15179</v>
      </c>
      <c r="AC578">
        <v>8339</v>
      </c>
      <c r="AD578">
        <v>3725</v>
      </c>
      <c r="AE578">
        <v>1199</v>
      </c>
      <c r="AF578">
        <v>275</v>
      </c>
      <c r="AG578">
        <v>33</v>
      </c>
      <c r="AH578">
        <v>14899</v>
      </c>
      <c r="AI578">
        <v>1015</v>
      </c>
      <c r="AJ578">
        <v>973</v>
      </c>
      <c r="AK578">
        <v>3520</v>
      </c>
      <c r="AL578">
        <v>181</v>
      </c>
      <c r="AM578">
        <v>98</v>
      </c>
      <c r="AN578" t="s">
        <v>295</v>
      </c>
      <c r="AO578">
        <f>AVERAGE(Tabla2[[#This Row],[total_kills]:[rating]])</f>
        <v>7366.7368421052633</v>
      </c>
      <c r="AP578" t="str">
        <f>VLOOKUP(Tabla2[[#This Row],[KPI]],$AS$2:$AT$5,2,1)</f>
        <v>Superior</v>
      </c>
    </row>
    <row r="579" spans="1:42" x14ac:dyDescent="0.3">
      <c r="A579">
        <v>11777</v>
      </c>
      <c r="B579" t="s">
        <v>1701</v>
      </c>
      <c r="C579" t="s">
        <v>1702</v>
      </c>
      <c r="D579">
        <v>23</v>
      </c>
      <c r="E579" t="s">
        <v>1703</v>
      </c>
      <c r="F579" t="s">
        <v>701</v>
      </c>
      <c r="G579" t="s">
        <v>1704</v>
      </c>
      <c r="H579">
        <v>13472</v>
      </c>
      <c r="I579">
        <v>13101</v>
      </c>
      <c r="J579" t="s">
        <v>959</v>
      </c>
      <c r="K579" t="s">
        <v>686</v>
      </c>
      <c r="L579" t="s">
        <v>1352</v>
      </c>
      <c r="M579">
        <v>699</v>
      </c>
      <c r="N579">
        <v>18623</v>
      </c>
      <c r="O579" t="s">
        <v>311</v>
      </c>
      <c r="P579" t="s">
        <v>235</v>
      </c>
      <c r="Q579" t="s">
        <v>905</v>
      </c>
      <c r="R579" t="s">
        <v>96</v>
      </c>
      <c r="S579" t="s">
        <v>50</v>
      </c>
      <c r="T579">
        <v>8981</v>
      </c>
      <c r="U579" t="s">
        <v>51</v>
      </c>
      <c r="V579">
        <v>2333</v>
      </c>
      <c r="W579">
        <v>2356</v>
      </c>
      <c r="X579" t="s">
        <v>285</v>
      </c>
      <c r="Y579" t="s">
        <v>277</v>
      </c>
      <c r="Z579" t="s">
        <v>1358</v>
      </c>
      <c r="AA579" t="s">
        <v>354</v>
      </c>
      <c r="AB579">
        <v>9642</v>
      </c>
      <c r="AC579">
        <v>5656</v>
      </c>
      <c r="AD579">
        <v>2359</v>
      </c>
      <c r="AE579">
        <v>777</v>
      </c>
      <c r="AF579">
        <v>178</v>
      </c>
      <c r="AG579">
        <v>11</v>
      </c>
      <c r="AH579">
        <v>9432</v>
      </c>
      <c r="AI579">
        <v>849</v>
      </c>
      <c r="AJ579">
        <v>750</v>
      </c>
      <c r="AK579">
        <v>2233</v>
      </c>
      <c r="AL579">
        <v>184</v>
      </c>
      <c r="AM579">
        <v>71</v>
      </c>
      <c r="AN579" t="s">
        <v>277</v>
      </c>
      <c r="AO579">
        <f>AVERAGE(Tabla2[[#This Row],[total_kills]:[rating]])</f>
        <v>4826.6842105263158</v>
      </c>
      <c r="AP579" t="str">
        <f>VLOOKUP(Tabla2[[#This Row],[KPI]],$AS$2:$AT$5,2,1)</f>
        <v>Alto</v>
      </c>
    </row>
    <row r="580" spans="1:42" x14ac:dyDescent="0.3">
      <c r="A580">
        <v>15835</v>
      </c>
      <c r="B580" t="s">
        <v>1750</v>
      </c>
      <c r="C580" t="s">
        <v>1751</v>
      </c>
      <c r="D580">
        <v>22</v>
      </c>
      <c r="E580" t="s">
        <v>159</v>
      </c>
      <c r="F580" t="s">
        <v>160</v>
      </c>
      <c r="G580" t="s">
        <v>1752</v>
      </c>
      <c r="H580">
        <v>12578</v>
      </c>
      <c r="I580">
        <v>12425</v>
      </c>
      <c r="J580" t="s">
        <v>959</v>
      </c>
      <c r="K580" t="s">
        <v>1130</v>
      </c>
      <c r="L580" t="s">
        <v>224</v>
      </c>
      <c r="M580">
        <v>650</v>
      </c>
      <c r="N580">
        <v>17397</v>
      </c>
      <c r="O580" t="s">
        <v>311</v>
      </c>
      <c r="P580" t="s">
        <v>202</v>
      </c>
      <c r="Q580" t="s">
        <v>646</v>
      </c>
      <c r="R580" t="s">
        <v>50</v>
      </c>
      <c r="S580" t="s">
        <v>96</v>
      </c>
      <c r="T580">
        <v>8280</v>
      </c>
      <c r="U580" t="s">
        <v>51</v>
      </c>
      <c r="V580">
        <v>2698</v>
      </c>
      <c r="W580">
        <v>2567</v>
      </c>
      <c r="X580" t="s">
        <v>304</v>
      </c>
      <c r="Y580" t="s">
        <v>147</v>
      </c>
      <c r="Z580" t="s">
        <v>455</v>
      </c>
      <c r="AA580" t="s">
        <v>921</v>
      </c>
      <c r="AB580">
        <v>9117</v>
      </c>
      <c r="AC580">
        <v>5127</v>
      </c>
      <c r="AD580">
        <v>2220</v>
      </c>
      <c r="AE580">
        <v>739</v>
      </c>
      <c r="AF580">
        <v>176</v>
      </c>
      <c r="AG580">
        <v>18</v>
      </c>
      <c r="AH580">
        <v>7697</v>
      </c>
      <c r="AI580">
        <v>1952</v>
      </c>
      <c r="AJ580">
        <v>774</v>
      </c>
      <c r="AK580">
        <v>1946</v>
      </c>
      <c r="AL580">
        <v>164</v>
      </c>
      <c r="AM580">
        <v>86</v>
      </c>
      <c r="AN580" t="s">
        <v>561</v>
      </c>
      <c r="AO580">
        <f>AVERAGE(Tabla2[[#This Row],[total_kills]:[rating]])</f>
        <v>4558.4736842105267</v>
      </c>
      <c r="AP580" t="str">
        <f>VLOOKUP(Tabla2[[#This Row],[KPI]],$AS$2:$AT$5,2,1)</f>
        <v>Medio</v>
      </c>
    </row>
    <row r="581" spans="1:42" x14ac:dyDescent="0.3">
      <c r="A581">
        <v>13589</v>
      </c>
      <c r="B581" t="s">
        <v>1901</v>
      </c>
      <c r="C581" t="s">
        <v>1902</v>
      </c>
      <c r="D581">
        <v>22</v>
      </c>
      <c r="E581" t="s">
        <v>459</v>
      </c>
      <c r="F581" t="s">
        <v>1903</v>
      </c>
      <c r="G581" t="s">
        <v>1904</v>
      </c>
      <c r="H581">
        <v>14027</v>
      </c>
      <c r="I581">
        <v>13016</v>
      </c>
      <c r="J581" t="s">
        <v>959</v>
      </c>
      <c r="K581" t="s">
        <v>1905</v>
      </c>
      <c r="L581" t="s">
        <v>224</v>
      </c>
      <c r="M581">
        <v>814</v>
      </c>
      <c r="N581">
        <v>21161</v>
      </c>
      <c r="O581" t="s">
        <v>322</v>
      </c>
      <c r="P581" t="s">
        <v>48</v>
      </c>
      <c r="Q581" t="s">
        <v>144</v>
      </c>
      <c r="R581" t="s">
        <v>50</v>
      </c>
      <c r="S581" t="s">
        <v>67</v>
      </c>
      <c r="T581">
        <v>9657</v>
      </c>
      <c r="U581" t="s">
        <v>51</v>
      </c>
      <c r="V581">
        <v>1438</v>
      </c>
      <c r="W581">
        <v>1341</v>
      </c>
      <c r="X581" t="s">
        <v>464</v>
      </c>
      <c r="Y581" t="s">
        <v>1906</v>
      </c>
      <c r="Z581" t="s">
        <v>473</v>
      </c>
      <c r="AA581" t="s">
        <v>1907</v>
      </c>
      <c r="AB581">
        <v>11504</v>
      </c>
      <c r="AC581">
        <v>6278</v>
      </c>
      <c r="AD581">
        <v>2529</v>
      </c>
      <c r="AE581">
        <v>718</v>
      </c>
      <c r="AF581">
        <v>123</v>
      </c>
      <c r="AG581">
        <v>9</v>
      </c>
      <c r="AH581">
        <v>10142</v>
      </c>
      <c r="AI581">
        <v>400</v>
      </c>
      <c r="AJ581">
        <v>700</v>
      </c>
      <c r="AK581">
        <v>2552</v>
      </c>
      <c r="AL581">
        <v>216</v>
      </c>
      <c r="AM581">
        <v>70</v>
      </c>
      <c r="AN581" t="s">
        <v>590</v>
      </c>
      <c r="AO581">
        <f>AVERAGE(Tabla2[[#This Row],[total_kills]:[rating]])</f>
        <v>5089.2105263157891</v>
      </c>
      <c r="AP581" t="str">
        <f>VLOOKUP(Tabla2[[#This Row],[KPI]],$AS$2:$AT$5,2,1)</f>
        <v>Alto</v>
      </c>
    </row>
    <row r="582" spans="1:42" x14ac:dyDescent="0.3">
      <c r="A582">
        <v>2007</v>
      </c>
      <c r="B582" t="s">
        <v>2152</v>
      </c>
      <c r="C582" t="s">
        <v>2153</v>
      </c>
      <c r="D582">
        <v>34</v>
      </c>
      <c r="E582" t="s">
        <v>299</v>
      </c>
      <c r="F582" t="s">
        <v>151</v>
      </c>
      <c r="G582" t="s">
        <v>2154</v>
      </c>
      <c r="H582">
        <v>16627</v>
      </c>
      <c r="I582">
        <v>16413</v>
      </c>
      <c r="J582" t="s">
        <v>959</v>
      </c>
      <c r="K582" t="s">
        <v>1183</v>
      </c>
      <c r="L582" t="s">
        <v>575</v>
      </c>
      <c r="M582">
        <v>931</v>
      </c>
      <c r="N582">
        <v>23802</v>
      </c>
      <c r="O582" t="s">
        <v>905</v>
      </c>
      <c r="P582" t="s">
        <v>166</v>
      </c>
      <c r="Q582" t="s">
        <v>463</v>
      </c>
      <c r="R582" t="s">
        <v>50</v>
      </c>
      <c r="S582" t="s">
        <v>96</v>
      </c>
      <c r="T582">
        <v>11195</v>
      </c>
      <c r="U582" t="s">
        <v>51</v>
      </c>
      <c r="V582">
        <v>2524</v>
      </c>
      <c r="W582">
        <v>2631</v>
      </c>
      <c r="X582" t="s">
        <v>472</v>
      </c>
      <c r="Y582" t="s">
        <v>255</v>
      </c>
      <c r="Z582" t="s">
        <v>795</v>
      </c>
      <c r="AA582" t="s">
        <v>577</v>
      </c>
      <c r="AB582">
        <v>12607</v>
      </c>
      <c r="AC582">
        <v>7101</v>
      </c>
      <c r="AD582">
        <v>2981</v>
      </c>
      <c r="AE582">
        <v>908</v>
      </c>
      <c r="AF582">
        <v>185</v>
      </c>
      <c r="AG582">
        <v>20</v>
      </c>
      <c r="AH582">
        <v>11712</v>
      </c>
      <c r="AI582">
        <v>578</v>
      </c>
      <c r="AJ582">
        <v>1109</v>
      </c>
      <c r="AK582">
        <v>2834</v>
      </c>
      <c r="AL582">
        <v>306</v>
      </c>
      <c r="AM582">
        <v>60</v>
      </c>
      <c r="AN582" t="s">
        <v>255</v>
      </c>
      <c r="AO582">
        <f>AVERAGE(Tabla2[[#This Row],[total_kills]:[rating]])</f>
        <v>6027.5789473684208</v>
      </c>
      <c r="AP582" t="str">
        <f>VLOOKUP(Tabla2[[#This Row],[KPI]],$AS$2:$AT$5,2,1)</f>
        <v>Alto</v>
      </c>
    </row>
    <row r="583" spans="1:42" x14ac:dyDescent="0.3">
      <c r="A583">
        <v>7438</v>
      </c>
      <c r="B583" t="s">
        <v>2642</v>
      </c>
      <c r="C583" t="s">
        <v>2643</v>
      </c>
      <c r="D583">
        <v>34</v>
      </c>
      <c r="E583" t="s">
        <v>459</v>
      </c>
      <c r="F583" t="s">
        <v>3514</v>
      </c>
      <c r="G583" t="s">
        <v>2644</v>
      </c>
      <c r="H583">
        <v>12065</v>
      </c>
      <c r="I583">
        <v>12294</v>
      </c>
      <c r="J583" t="s">
        <v>959</v>
      </c>
      <c r="K583" t="s">
        <v>582</v>
      </c>
      <c r="L583" t="s">
        <v>462</v>
      </c>
      <c r="M583">
        <v>682</v>
      </c>
      <c r="N583">
        <v>17700</v>
      </c>
      <c r="O583" t="s">
        <v>167</v>
      </c>
      <c r="P583" t="s">
        <v>235</v>
      </c>
      <c r="Q583" t="s">
        <v>463</v>
      </c>
      <c r="R583" t="s">
        <v>50</v>
      </c>
      <c r="S583" t="s">
        <v>50</v>
      </c>
      <c r="T583">
        <v>8175</v>
      </c>
      <c r="U583" t="s">
        <v>51</v>
      </c>
      <c r="V583">
        <v>1551</v>
      </c>
      <c r="W583">
        <v>1655</v>
      </c>
      <c r="X583" t="s">
        <v>1570</v>
      </c>
      <c r="Y583" t="s">
        <v>820</v>
      </c>
      <c r="Z583" t="s">
        <v>1121</v>
      </c>
      <c r="AA583" t="s">
        <v>783</v>
      </c>
      <c r="AB583">
        <v>9525</v>
      </c>
      <c r="AC583">
        <v>5219</v>
      </c>
      <c r="AD583">
        <v>2188</v>
      </c>
      <c r="AE583">
        <v>639</v>
      </c>
      <c r="AF583">
        <v>112</v>
      </c>
      <c r="AG583">
        <v>17</v>
      </c>
      <c r="AH583">
        <v>9051</v>
      </c>
      <c r="AI583">
        <v>37</v>
      </c>
      <c r="AJ583">
        <v>448</v>
      </c>
      <c r="AK583">
        <v>2397</v>
      </c>
      <c r="AL583">
        <v>120</v>
      </c>
      <c r="AM583">
        <v>22</v>
      </c>
      <c r="AN583" t="s">
        <v>245</v>
      </c>
      <c r="AO583">
        <f>AVERAGE(Tabla2[[#This Row],[total_kills]:[rating]])</f>
        <v>4415.6315789473683</v>
      </c>
      <c r="AP583" t="str">
        <f>VLOOKUP(Tabla2[[#This Row],[KPI]],$AS$2:$AT$5,2,1)</f>
        <v>Medio</v>
      </c>
    </row>
    <row r="584" spans="1:42" x14ac:dyDescent="0.3">
      <c r="A584">
        <v>8601</v>
      </c>
      <c r="B584" t="s">
        <v>1215</v>
      </c>
      <c r="C584" t="s">
        <v>1216</v>
      </c>
      <c r="D584">
        <v>28</v>
      </c>
      <c r="E584" t="s">
        <v>209</v>
      </c>
      <c r="F584" t="s">
        <v>358</v>
      </c>
      <c r="G584" t="s">
        <v>1217</v>
      </c>
      <c r="H584">
        <v>23611</v>
      </c>
      <c r="I584">
        <v>22147</v>
      </c>
      <c r="J584" t="s">
        <v>1218</v>
      </c>
      <c r="K584" t="s">
        <v>1219</v>
      </c>
      <c r="L584" t="s">
        <v>331</v>
      </c>
      <c r="M584">
        <v>1228</v>
      </c>
      <c r="N584">
        <v>31394</v>
      </c>
      <c r="O584" t="s">
        <v>180</v>
      </c>
      <c r="P584" t="s">
        <v>434</v>
      </c>
      <c r="Q584" t="s">
        <v>646</v>
      </c>
      <c r="R584" t="s">
        <v>48</v>
      </c>
      <c r="S584" t="s">
        <v>50</v>
      </c>
      <c r="T584">
        <v>15584</v>
      </c>
      <c r="U584" t="s">
        <v>51</v>
      </c>
      <c r="V584">
        <v>4498</v>
      </c>
      <c r="W584">
        <v>4323</v>
      </c>
      <c r="X584" t="s">
        <v>407</v>
      </c>
      <c r="Y584" t="s">
        <v>84</v>
      </c>
      <c r="Z584" t="s">
        <v>170</v>
      </c>
      <c r="AA584" t="s">
        <v>1220</v>
      </c>
      <c r="AB584">
        <v>15810</v>
      </c>
      <c r="AC584">
        <v>9602</v>
      </c>
      <c r="AD584">
        <v>4279</v>
      </c>
      <c r="AE584">
        <v>1389</v>
      </c>
      <c r="AF584">
        <v>287</v>
      </c>
      <c r="AG584">
        <v>27</v>
      </c>
      <c r="AH584">
        <v>18306</v>
      </c>
      <c r="AI584">
        <v>74</v>
      </c>
      <c r="AJ584">
        <v>1123</v>
      </c>
      <c r="AK584">
        <v>3852</v>
      </c>
      <c r="AL584">
        <v>273</v>
      </c>
      <c r="AM584">
        <v>32</v>
      </c>
      <c r="AN584" t="s">
        <v>590</v>
      </c>
      <c r="AO584">
        <f>AVERAGE(Tabla2[[#This Row],[total_kills]:[rating]])</f>
        <v>8307.3157894736851</v>
      </c>
      <c r="AP584" t="str">
        <f>VLOOKUP(Tabla2[[#This Row],[KPI]],$AS$2:$AT$5,2,1)</f>
        <v>Superior</v>
      </c>
    </row>
    <row r="585" spans="1:42" x14ac:dyDescent="0.3">
      <c r="A585">
        <v>9618</v>
      </c>
      <c r="B585" t="s">
        <v>1311</v>
      </c>
      <c r="C585" t="s">
        <v>1312</v>
      </c>
      <c r="D585">
        <v>25</v>
      </c>
      <c r="E585" t="s">
        <v>895</v>
      </c>
      <c r="F585" t="s">
        <v>130</v>
      </c>
      <c r="G585" t="s">
        <v>1313</v>
      </c>
      <c r="H585">
        <v>23191</v>
      </c>
      <c r="I585">
        <v>21037</v>
      </c>
      <c r="J585" t="s">
        <v>1218</v>
      </c>
      <c r="K585" t="s">
        <v>531</v>
      </c>
      <c r="L585" t="s">
        <v>224</v>
      </c>
      <c r="M585">
        <v>1253</v>
      </c>
      <c r="N585">
        <v>33161</v>
      </c>
      <c r="O585" t="s">
        <v>905</v>
      </c>
      <c r="P585" t="s">
        <v>202</v>
      </c>
      <c r="Q585" t="s">
        <v>215</v>
      </c>
      <c r="R585" t="s">
        <v>50</v>
      </c>
      <c r="S585" t="s">
        <v>67</v>
      </c>
      <c r="T585">
        <v>15639</v>
      </c>
      <c r="U585" t="s">
        <v>51</v>
      </c>
      <c r="V585">
        <v>2523</v>
      </c>
      <c r="W585">
        <v>2509</v>
      </c>
      <c r="X585" t="s">
        <v>255</v>
      </c>
      <c r="Y585" t="s">
        <v>1314</v>
      </c>
      <c r="Z585" t="s">
        <v>391</v>
      </c>
      <c r="AA585" t="s">
        <v>1315</v>
      </c>
      <c r="AB585">
        <v>17522</v>
      </c>
      <c r="AC585">
        <v>9932</v>
      </c>
      <c r="AD585">
        <v>4176</v>
      </c>
      <c r="AE585">
        <v>1242</v>
      </c>
      <c r="AF585">
        <v>264</v>
      </c>
      <c r="AG585">
        <v>25</v>
      </c>
      <c r="AH585">
        <v>16842</v>
      </c>
      <c r="AI585">
        <v>364</v>
      </c>
      <c r="AJ585">
        <v>1715</v>
      </c>
      <c r="AK585">
        <v>3931</v>
      </c>
      <c r="AL585">
        <v>326</v>
      </c>
      <c r="AM585">
        <v>78</v>
      </c>
      <c r="AN585" t="s">
        <v>304</v>
      </c>
      <c r="AO585">
        <f>AVERAGE(Tabla2[[#This Row],[total_kills]:[rating]])</f>
        <v>8196.3157894736851</v>
      </c>
      <c r="AP585" t="str">
        <f>VLOOKUP(Tabla2[[#This Row],[KPI]],$AS$2:$AT$5,2,1)</f>
        <v>Superior</v>
      </c>
    </row>
    <row r="586" spans="1:42" x14ac:dyDescent="0.3">
      <c r="A586">
        <v>16647</v>
      </c>
      <c r="B586" t="s">
        <v>1507</v>
      </c>
      <c r="C586" t="s">
        <v>1508</v>
      </c>
      <c r="D586">
        <v>21</v>
      </c>
      <c r="E586" t="s">
        <v>459</v>
      </c>
      <c r="F586" t="s">
        <v>825</v>
      </c>
      <c r="G586" t="s">
        <v>1509</v>
      </c>
      <c r="H586">
        <v>14742</v>
      </c>
      <c r="I586">
        <v>13762</v>
      </c>
      <c r="J586" t="s">
        <v>1218</v>
      </c>
      <c r="K586" t="s">
        <v>1510</v>
      </c>
      <c r="L586" t="s">
        <v>1004</v>
      </c>
      <c r="M586">
        <v>802</v>
      </c>
      <c r="N586">
        <v>20805</v>
      </c>
      <c r="O586" t="s">
        <v>646</v>
      </c>
      <c r="P586" t="s">
        <v>166</v>
      </c>
      <c r="Q586" t="s">
        <v>322</v>
      </c>
      <c r="R586" t="s">
        <v>48</v>
      </c>
      <c r="S586" t="s">
        <v>235</v>
      </c>
      <c r="T586">
        <v>9905</v>
      </c>
      <c r="U586" t="s">
        <v>51</v>
      </c>
      <c r="V586">
        <v>1760</v>
      </c>
      <c r="W586">
        <v>1732</v>
      </c>
      <c r="X586" t="s">
        <v>449</v>
      </c>
      <c r="Y586" t="s">
        <v>820</v>
      </c>
      <c r="Z586" t="s">
        <v>54</v>
      </c>
      <c r="AA586" t="s">
        <v>247</v>
      </c>
      <c r="AB586">
        <v>10900</v>
      </c>
      <c r="AC586">
        <v>6267</v>
      </c>
      <c r="AD586">
        <v>2651</v>
      </c>
      <c r="AE586">
        <v>799</v>
      </c>
      <c r="AF586">
        <v>164</v>
      </c>
      <c r="AG586">
        <v>24</v>
      </c>
      <c r="AH586">
        <v>10900</v>
      </c>
      <c r="AI586">
        <v>197</v>
      </c>
      <c r="AJ586">
        <v>911</v>
      </c>
      <c r="AK586">
        <v>2523</v>
      </c>
      <c r="AL586">
        <v>239</v>
      </c>
      <c r="AM586">
        <v>34</v>
      </c>
      <c r="AN586" t="s">
        <v>561</v>
      </c>
      <c r="AO586">
        <f>AVERAGE(Tabla2[[#This Row],[total_kills]:[rating]])</f>
        <v>5216.6842105263158</v>
      </c>
      <c r="AP586" t="str">
        <f>VLOOKUP(Tabla2[[#This Row],[KPI]],$AS$2:$AT$5,2,1)</f>
        <v>Alto</v>
      </c>
    </row>
    <row r="587" spans="1:42" x14ac:dyDescent="0.3">
      <c r="A587">
        <v>8368</v>
      </c>
      <c r="B587" t="s">
        <v>2749</v>
      </c>
      <c r="C587" t="s">
        <v>2750</v>
      </c>
      <c r="D587">
        <v>25</v>
      </c>
      <c r="E587" t="s">
        <v>75</v>
      </c>
      <c r="F587" t="s">
        <v>3514</v>
      </c>
      <c r="G587" t="s">
        <v>2751</v>
      </c>
      <c r="H587">
        <v>16152</v>
      </c>
      <c r="I587">
        <v>16425</v>
      </c>
      <c r="J587" t="s">
        <v>1218</v>
      </c>
      <c r="K587" t="s">
        <v>1499</v>
      </c>
      <c r="L587" t="s">
        <v>224</v>
      </c>
      <c r="M587">
        <v>922</v>
      </c>
      <c r="N587">
        <v>24189</v>
      </c>
      <c r="O587" t="s">
        <v>225</v>
      </c>
      <c r="P587" t="s">
        <v>202</v>
      </c>
      <c r="Q587" t="s">
        <v>167</v>
      </c>
      <c r="R587" t="s">
        <v>96</v>
      </c>
      <c r="S587" t="s">
        <v>66</v>
      </c>
      <c r="T587">
        <v>11138</v>
      </c>
      <c r="U587" t="s">
        <v>51</v>
      </c>
      <c r="V587">
        <v>2181</v>
      </c>
      <c r="W587">
        <v>2314</v>
      </c>
      <c r="X587" t="s">
        <v>1570</v>
      </c>
      <c r="Y587" t="s">
        <v>472</v>
      </c>
      <c r="Z587" t="s">
        <v>1467</v>
      </c>
      <c r="AA587" t="s">
        <v>1101</v>
      </c>
      <c r="AB587">
        <v>13051</v>
      </c>
      <c r="AC587">
        <v>7276</v>
      </c>
      <c r="AD587">
        <v>2902</v>
      </c>
      <c r="AE587">
        <v>789</v>
      </c>
      <c r="AF587">
        <v>154</v>
      </c>
      <c r="AG587">
        <v>17</v>
      </c>
      <c r="AH587">
        <v>10481</v>
      </c>
      <c r="AI587">
        <v>1414</v>
      </c>
      <c r="AJ587">
        <v>967</v>
      </c>
      <c r="AK587">
        <v>2985</v>
      </c>
      <c r="AL587">
        <v>258</v>
      </c>
      <c r="AM587">
        <v>79</v>
      </c>
      <c r="AN587" t="s">
        <v>503</v>
      </c>
      <c r="AO587">
        <f>AVERAGE(Tabla2[[#This Row],[total_kills]:[rating]])</f>
        <v>5983.894736842105</v>
      </c>
      <c r="AP587" t="str">
        <f>VLOOKUP(Tabla2[[#This Row],[KPI]],$AS$2:$AT$5,2,1)</f>
        <v>Alto</v>
      </c>
    </row>
    <row r="588" spans="1:42" x14ac:dyDescent="0.3">
      <c r="A588">
        <v>11739</v>
      </c>
      <c r="B588" t="s">
        <v>1178</v>
      </c>
      <c r="C588" t="s">
        <v>1179</v>
      </c>
      <c r="D588">
        <v>24</v>
      </c>
      <c r="E588" t="s">
        <v>104</v>
      </c>
      <c r="F588" t="s">
        <v>1180</v>
      </c>
      <c r="G588" t="s">
        <v>1181</v>
      </c>
      <c r="H588">
        <v>14978</v>
      </c>
      <c r="I588">
        <v>13532</v>
      </c>
      <c r="J588" t="s">
        <v>1182</v>
      </c>
      <c r="K588" t="s">
        <v>1183</v>
      </c>
      <c r="L588" t="s">
        <v>471</v>
      </c>
      <c r="M588">
        <v>805</v>
      </c>
      <c r="N588">
        <v>20891</v>
      </c>
      <c r="O588" t="s">
        <v>311</v>
      </c>
      <c r="P588" t="s">
        <v>202</v>
      </c>
      <c r="Q588" t="s">
        <v>276</v>
      </c>
      <c r="R588" t="s">
        <v>50</v>
      </c>
      <c r="S588" t="s">
        <v>67</v>
      </c>
      <c r="T588">
        <v>10049</v>
      </c>
      <c r="U588" t="s">
        <v>51</v>
      </c>
      <c r="V588">
        <v>1774</v>
      </c>
      <c r="W588">
        <v>1563</v>
      </c>
      <c r="X588" t="s">
        <v>98</v>
      </c>
      <c r="Y588" t="s">
        <v>503</v>
      </c>
      <c r="Z588" t="s">
        <v>583</v>
      </c>
      <c r="AA588" t="s">
        <v>978</v>
      </c>
      <c r="AB588">
        <v>10842</v>
      </c>
      <c r="AC588">
        <v>6352</v>
      </c>
      <c r="AD588">
        <v>2682</v>
      </c>
      <c r="AE588">
        <v>815</v>
      </c>
      <c r="AF588">
        <v>183</v>
      </c>
      <c r="AG588">
        <v>17</v>
      </c>
      <c r="AH588">
        <v>11209</v>
      </c>
      <c r="AI588">
        <v>101</v>
      </c>
      <c r="AJ588">
        <v>909</v>
      </c>
      <c r="AK588">
        <v>2598</v>
      </c>
      <c r="AL588">
        <v>166</v>
      </c>
      <c r="AM588">
        <v>32</v>
      </c>
      <c r="AN588" t="s">
        <v>561</v>
      </c>
      <c r="AO588">
        <f>AVERAGE(Tabla2[[#This Row],[total_kills]:[rating]])</f>
        <v>5236.7368421052633</v>
      </c>
      <c r="AP588" t="str">
        <f>VLOOKUP(Tabla2[[#This Row],[KPI]],$AS$2:$AT$5,2,1)</f>
        <v>Alto</v>
      </c>
    </row>
    <row r="589" spans="1:42" x14ac:dyDescent="0.3">
      <c r="A589">
        <v>483</v>
      </c>
      <c r="B589" t="s">
        <v>2263</v>
      </c>
      <c r="C589" t="s">
        <v>2264</v>
      </c>
      <c r="D589">
        <v>34</v>
      </c>
      <c r="E589" t="s">
        <v>59</v>
      </c>
      <c r="F589" t="s">
        <v>1880</v>
      </c>
      <c r="G589" t="s">
        <v>60</v>
      </c>
      <c r="H589">
        <v>26743</v>
      </c>
      <c r="I589">
        <v>26057</v>
      </c>
      <c r="J589" t="s">
        <v>1182</v>
      </c>
      <c r="K589">
        <v>72</v>
      </c>
      <c r="L589" t="s">
        <v>122</v>
      </c>
      <c r="M589">
        <v>1477</v>
      </c>
      <c r="N589">
        <v>38889</v>
      </c>
      <c r="O589" t="s">
        <v>463</v>
      </c>
      <c r="P589" t="s">
        <v>202</v>
      </c>
      <c r="Q589" t="s">
        <v>225</v>
      </c>
      <c r="R589" t="s">
        <v>96</v>
      </c>
      <c r="S589" t="s">
        <v>96</v>
      </c>
      <c r="T589">
        <v>18270</v>
      </c>
      <c r="U589" t="s">
        <v>51</v>
      </c>
      <c r="V589">
        <v>3760</v>
      </c>
      <c r="W589">
        <v>3927</v>
      </c>
      <c r="X589" t="s">
        <v>472</v>
      </c>
      <c r="Y589" t="s">
        <v>245</v>
      </c>
      <c r="Z589" t="s">
        <v>170</v>
      </c>
      <c r="AA589" t="s">
        <v>739</v>
      </c>
      <c r="AB589">
        <v>20619</v>
      </c>
      <c r="AC589">
        <v>11724</v>
      </c>
      <c r="AD589">
        <v>4956</v>
      </c>
      <c r="AE589">
        <v>1334</v>
      </c>
      <c r="AF589">
        <v>238</v>
      </c>
      <c r="AG589">
        <v>18</v>
      </c>
      <c r="AH589">
        <v>19786</v>
      </c>
      <c r="AI589">
        <v>627</v>
      </c>
      <c r="AJ589">
        <v>1557</v>
      </c>
      <c r="AK589">
        <v>4391</v>
      </c>
      <c r="AL589">
        <v>231</v>
      </c>
      <c r="AM589">
        <v>178</v>
      </c>
      <c r="AN589">
        <v>1</v>
      </c>
      <c r="AO589">
        <f>AVERAGE(Tabla2[[#This Row],[total_kills]:[rating]])</f>
        <v>8802.6190476190477</v>
      </c>
      <c r="AP589" t="str">
        <f>VLOOKUP(Tabla2[[#This Row],[KPI]],$AS$2:$AT$5,2,1)</f>
        <v>Superior</v>
      </c>
    </row>
    <row r="590" spans="1:42" x14ac:dyDescent="0.3">
      <c r="A590">
        <v>16921</v>
      </c>
      <c r="B590" t="s">
        <v>2861</v>
      </c>
      <c r="C590" t="s">
        <v>2862</v>
      </c>
      <c r="D590">
        <v>21</v>
      </c>
      <c r="E590" t="s">
        <v>75</v>
      </c>
      <c r="F590" t="s">
        <v>76</v>
      </c>
      <c r="G590" t="s">
        <v>77</v>
      </c>
      <c r="H590">
        <v>15599</v>
      </c>
      <c r="I590">
        <v>16297</v>
      </c>
      <c r="J590" t="s">
        <v>1182</v>
      </c>
      <c r="K590" t="s">
        <v>2250</v>
      </c>
      <c r="L590" t="s">
        <v>575</v>
      </c>
      <c r="M590">
        <v>885</v>
      </c>
      <c r="N590">
        <v>23491</v>
      </c>
      <c r="O590" t="s">
        <v>322</v>
      </c>
      <c r="P590" t="s">
        <v>235</v>
      </c>
      <c r="Q590" t="s">
        <v>463</v>
      </c>
      <c r="R590" t="s">
        <v>50</v>
      </c>
      <c r="S590" t="s">
        <v>66</v>
      </c>
      <c r="T590">
        <v>10636</v>
      </c>
      <c r="U590" t="s">
        <v>51</v>
      </c>
      <c r="V590">
        <v>2853</v>
      </c>
      <c r="W590">
        <v>3450</v>
      </c>
      <c r="X590" t="s">
        <v>2425</v>
      </c>
      <c r="Y590" t="s">
        <v>412</v>
      </c>
      <c r="Z590" t="s">
        <v>314</v>
      </c>
      <c r="AA590" t="s">
        <v>305</v>
      </c>
      <c r="AB590">
        <v>12855</v>
      </c>
      <c r="AC590">
        <v>6888</v>
      </c>
      <c r="AD590">
        <v>2745</v>
      </c>
      <c r="AE590">
        <v>805</v>
      </c>
      <c r="AF590">
        <v>184</v>
      </c>
      <c r="AG590">
        <v>14</v>
      </c>
      <c r="AH590">
        <v>11360</v>
      </c>
      <c r="AI590">
        <v>478</v>
      </c>
      <c r="AJ590">
        <v>1410</v>
      </c>
      <c r="AK590">
        <v>2138</v>
      </c>
      <c r="AL590">
        <v>213</v>
      </c>
      <c r="AM590">
        <v>46</v>
      </c>
      <c r="AN590" t="s">
        <v>407</v>
      </c>
      <c r="AO590">
        <f>AVERAGE(Tabla2[[#This Row],[total_kills]:[rating]])</f>
        <v>5913</v>
      </c>
      <c r="AP590" t="str">
        <f>VLOOKUP(Tabla2[[#This Row],[KPI]],$AS$2:$AT$5,2,1)</f>
        <v>Alto</v>
      </c>
    </row>
    <row r="591" spans="1:42" x14ac:dyDescent="0.3">
      <c r="A591">
        <v>18141</v>
      </c>
      <c r="B591" t="s">
        <v>735</v>
      </c>
      <c r="C591" t="s">
        <v>736</v>
      </c>
      <c r="D591">
        <v>25</v>
      </c>
      <c r="E591" t="s">
        <v>104</v>
      </c>
      <c r="F591" t="s">
        <v>662</v>
      </c>
      <c r="G591" t="s">
        <v>662</v>
      </c>
      <c r="H591">
        <v>12001</v>
      </c>
      <c r="I591">
        <v>10404</v>
      </c>
      <c r="J591" t="s">
        <v>737</v>
      </c>
      <c r="K591" t="s">
        <v>738</v>
      </c>
      <c r="L591" t="s">
        <v>282</v>
      </c>
      <c r="M591">
        <v>622</v>
      </c>
      <c r="N591">
        <v>16530</v>
      </c>
      <c r="O591" t="s">
        <v>495</v>
      </c>
      <c r="P591" t="s">
        <v>166</v>
      </c>
      <c r="Q591" t="s">
        <v>215</v>
      </c>
      <c r="R591" t="s">
        <v>50</v>
      </c>
      <c r="S591" t="s">
        <v>67</v>
      </c>
      <c r="T591">
        <v>8019</v>
      </c>
      <c r="U591" t="s">
        <v>51</v>
      </c>
      <c r="V591">
        <v>1689</v>
      </c>
      <c r="W591">
        <v>1506</v>
      </c>
      <c r="X591" t="s">
        <v>370</v>
      </c>
      <c r="Y591" t="s">
        <v>412</v>
      </c>
      <c r="Z591" t="s">
        <v>391</v>
      </c>
      <c r="AA591" t="s">
        <v>739</v>
      </c>
      <c r="AB591">
        <v>8511</v>
      </c>
      <c r="AC591">
        <v>5038</v>
      </c>
      <c r="AD591">
        <v>2151</v>
      </c>
      <c r="AE591">
        <v>676</v>
      </c>
      <c r="AF591">
        <v>137</v>
      </c>
      <c r="AG591">
        <v>17</v>
      </c>
      <c r="AH591">
        <v>9136</v>
      </c>
      <c r="AI591">
        <v>338</v>
      </c>
      <c r="AJ591">
        <v>550</v>
      </c>
      <c r="AK591">
        <v>1796</v>
      </c>
      <c r="AL591">
        <v>176</v>
      </c>
      <c r="AM591">
        <v>52</v>
      </c>
      <c r="AN591" t="s">
        <v>206</v>
      </c>
      <c r="AO591">
        <f>AVERAGE(Tabla2[[#This Row],[total_kills]:[rating]])</f>
        <v>4176.2631578947367</v>
      </c>
      <c r="AP591" t="str">
        <f>VLOOKUP(Tabla2[[#This Row],[KPI]],$AS$2:$AT$5,2,1)</f>
        <v>Medio</v>
      </c>
    </row>
    <row r="592" spans="1:42" x14ac:dyDescent="0.3">
      <c r="A592">
        <v>9353</v>
      </c>
      <c r="B592" t="s">
        <v>1080</v>
      </c>
      <c r="C592" t="s">
        <v>1081</v>
      </c>
      <c r="D592">
        <v>25</v>
      </c>
      <c r="E592" t="s">
        <v>159</v>
      </c>
      <c r="F592" t="s">
        <v>160</v>
      </c>
      <c r="G592" t="s">
        <v>1082</v>
      </c>
      <c r="H592">
        <v>20217</v>
      </c>
      <c r="I592">
        <v>18219</v>
      </c>
      <c r="J592" t="s">
        <v>737</v>
      </c>
      <c r="K592" t="s">
        <v>540</v>
      </c>
      <c r="L592" t="s">
        <v>63</v>
      </c>
      <c r="M592">
        <v>1068</v>
      </c>
      <c r="N592">
        <v>27990</v>
      </c>
      <c r="O592" t="s">
        <v>311</v>
      </c>
      <c r="P592" t="s">
        <v>48</v>
      </c>
      <c r="Q592" t="s">
        <v>276</v>
      </c>
      <c r="R592" t="s">
        <v>50</v>
      </c>
      <c r="S592" t="s">
        <v>50</v>
      </c>
      <c r="T592">
        <v>13493</v>
      </c>
      <c r="U592" t="s">
        <v>51</v>
      </c>
      <c r="V592">
        <v>2552</v>
      </c>
      <c r="W592">
        <v>2465</v>
      </c>
      <c r="X592" t="s">
        <v>407</v>
      </c>
      <c r="Y592" t="s">
        <v>245</v>
      </c>
      <c r="Z592" t="s">
        <v>718</v>
      </c>
      <c r="AA592" t="s">
        <v>1083</v>
      </c>
      <c r="AB592">
        <v>14497</v>
      </c>
      <c r="AC592">
        <v>8457</v>
      </c>
      <c r="AD592">
        <v>3634</v>
      </c>
      <c r="AE592">
        <v>1141</v>
      </c>
      <c r="AF592">
        <v>236</v>
      </c>
      <c r="AG592">
        <v>25</v>
      </c>
      <c r="AH592">
        <v>14906</v>
      </c>
      <c r="AI592">
        <v>752</v>
      </c>
      <c r="AJ592">
        <v>919</v>
      </c>
      <c r="AK592">
        <v>3471</v>
      </c>
      <c r="AL592">
        <v>178</v>
      </c>
      <c r="AM592">
        <v>39</v>
      </c>
      <c r="AN592" t="s">
        <v>464</v>
      </c>
      <c r="AO592">
        <f>AVERAGE(Tabla2[[#This Row],[total_kills]:[rating]])</f>
        <v>7066.2631578947367</v>
      </c>
      <c r="AP592" t="str">
        <f>VLOOKUP(Tabla2[[#This Row],[KPI]],$AS$2:$AT$5,2,1)</f>
        <v>Superior</v>
      </c>
    </row>
    <row r="593" spans="1:42" x14ac:dyDescent="0.3">
      <c r="A593">
        <v>14929</v>
      </c>
      <c r="B593" t="s">
        <v>2094</v>
      </c>
      <c r="C593" t="s">
        <v>2095</v>
      </c>
      <c r="D593">
        <v>22</v>
      </c>
      <c r="E593" t="s">
        <v>708</v>
      </c>
      <c r="F593" t="s">
        <v>188</v>
      </c>
      <c r="G593" t="s">
        <v>2096</v>
      </c>
      <c r="H593">
        <v>9406</v>
      </c>
      <c r="I593">
        <v>9192</v>
      </c>
      <c r="J593" t="s">
        <v>737</v>
      </c>
      <c r="K593" t="s">
        <v>1363</v>
      </c>
      <c r="L593" t="s">
        <v>471</v>
      </c>
      <c r="M593">
        <v>521</v>
      </c>
      <c r="N593">
        <v>13676</v>
      </c>
      <c r="O593" t="s">
        <v>463</v>
      </c>
      <c r="P593" t="s">
        <v>202</v>
      </c>
      <c r="Q593" t="s">
        <v>225</v>
      </c>
      <c r="R593" t="s">
        <v>50</v>
      </c>
      <c r="S593" t="s">
        <v>50</v>
      </c>
      <c r="T593">
        <v>6327</v>
      </c>
      <c r="U593" t="s">
        <v>51</v>
      </c>
      <c r="V593">
        <v>1376</v>
      </c>
      <c r="W593">
        <v>1486</v>
      </c>
      <c r="X593" t="s">
        <v>950</v>
      </c>
      <c r="Y593" t="s">
        <v>285</v>
      </c>
      <c r="Z593" t="s">
        <v>2083</v>
      </c>
      <c r="AA593" t="s">
        <v>413</v>
      </c>
      <c r="AB593">
        <v>7349</v>
      </c>
      <c r="AC593">
        <v>4013</v>
      </c>
      <c r="AD593">
        <v>1682</v>
      </c>
      <c r="AE593">
        <v>510</v>
      </c>
      <c r="AF593">
        <v>111</v>
      </c>
      <c r="AG593">
        <v>11</v>
      </c>
      <c r="AH593">
        <v>7061</v>
      </c>
      <c r="AI593">
        <v>335</v>
      </c>
      <c r="AJ593">
        <v>207</v>
      </c>
      <c r="AK593">
        <v>1740</v>
      </c>
      <c r="AL593">
        <v>74</v>
      </c>
      <c r="AM593">
        <v>11</v>
      </c>
      <c r="AN593" t="s">
        <v>590</v>
      </c>
      <c r="AO593">
        <f>AVERAGE(Tabla2[[#This Row],[total_kills]:[rating]])</f>
        <v>3425.6842105263158</v>
      </c>
      <c r="AP593" t="str">
        <f>VLOOKUP(Tabla2[[#This Row],[KPI]],$AS$2:$AT$5,2,1)</f>
        <v>Medio</v>
      </c>
    </row>
    <row r="594" spans="1:42" x14ac:dyDescent="0.3">
      <c r="A594">
        <v>10764</v>
      </c>
      <c r="B594" t="s">
        <v>2289</v>
      </c>
      <c r="C594" t="s">
        <v>2290</v>
      </c>
      <c r="D594">
        <v>28</v>
      </c>
      <c r="E594" t="s">
        <v>477</v>
      </c>
      <c r="F594" t="s">
        <v>3514</v>
      </c>
      <c r="G594" t="s">
        <v>2291</v>
      </c>
      <c r="H594">
        <v>7029</v>
      </c>
      <c r="I594">
        <v>6866</v>
      </c>
      <c r="J594" t="s">
        <v>737</v>
      </c>
      <c r="K594" t="s">
        <v>1057</v>
      </c>
      <c r="L594" t="s">
        <v>201</v>
      </c>
      <c r="M594">
        <v>404</v>
      </c>
      <c r="N594">
        <v>10342</v>
      </c>
      <c r="O594" t="s">
        <v>167</v>
      </c>
      <c r="P594" t="s">
        <v>166</v>
      </c>
      <c r="Q594" t="s">
        <v>322</v>
      </c>
      <c r="R594" t="s">
        <v>50</v>
      </c>
      <c r="S594" t="s">
        <v>50</v>
      </c>
      <c r="T594">
        <v>4827</v>
      </c>
      <c r="U594" t="s">
        <v>51</v>
      </c>
      <c r="V594">
        <v>915</v>
      </c>
      <c r="W594">
        <v>1021</v>
      </c>
      <c r="X594" t="s">
        <v>1906</v>
      </c>
      <c r="Y594" t="s">
        <v>1570</v>
      </c>
      <c r="Z594" t="s">
        <v>517</v>
      </c>
      <c r="AA594" t="s">
        <v>257</v>
      </c>
      <c r="AB594">
        <v>5515</v>
      </c>
      <c r="AC594">
        <v>3155</v>
      </c>
      <c r="AD594">
        <v>1208</v>
      </c>
      <c r="AE594">
        <v>406</v>
      </c>
      <c r="AF594">
        <v>50</v>
      </c>
      <c r="AG594">
        <v>8</v>
      </c>
      <c r="AH594">
        <v>4976</v>
      </c>
      <c r="AI594">
        <v>64</v>
      </c>
      <c r="AJ594">
        <v>798</v>
      </c>
      <c r="AK594">
        <v>1115</v>
      </c>
      <c r="AL594">
        <v>81</v>
      </c>
      <c r="AM594">
        <v>11</v>
      </c>
      <c r="AN594" t="s">
        <v>590</v>
      </c>
      <c r="AO594">
        <f>AVERAGE(Tabla2[[#This Row],[total_kills]:[rating]])</f>
        <v>2567.9473684210525</v>
      </c>
      <c r="AP594" t="str">
        <f>VLOOKUP(Tabla2[[#This Row],[KPI]],$AS$2:$AT$5,2,1)</f>
        <v>Bajo</v>
      </c>
    </row>
    <row r="595" spans="1:42" x14ac:dyDescent="0.3">
      <c r="A595">
        <v>10663</v>
      </c>
      <c r="B595" t="s">
        <v>2312</v>
      </c>
      <c r="C595" t="s">
        <v>2313</v>
      </c>
      <c r="D595">
        <v>21</v>
      </c>
      <c r="E595" t="s">
        <v>477</v>
      </c>
      <c r="F595" t="s">
        <v>3514</v>
      </c>
      <c r="G595" t="s">
        <v>2314</v>
      </c>
      <c r="H595">
        <v>8834</v>
      </c>
      <c r="I595">
        <v>8801</v>
      </c>
      <c r="J595" t="s">
        <v>737</v>
      </c>
      <c r="K595" t="s">
        <v>79</v>
      </c>
      <c r="L595" t="s">
        <v>471</v>
      </c>
      <c r="M595">
        <v>492</v>
      </c>
      <c r="N595">
        <v>12610</v>
      </c>
      <c r="O595" t="s">
        <v>905</v>
      </c>
      <c r="P595" t="s">
        <v>235</v>
      </c>
      <c r="Q595" t="s">
        <v>905</v>
      </c>
      <c r="R595" t="s">
        <v>96</v>
      </c>
      <c r="S595" t="s">
        <v>96</v>
      </c>
      <c r="T595">
        <v>5999</v>
      </c>
      <c r="U595" t="s">
        <v>51</v>
      </c>
      <c r="V595">
        <v>1246</v>
      </c>
      <c r="W595">
        <v>1422</v>
      </c>
      <c r="X595" t="s">
        <v>2315</v>
      </c>
      <c r="Y595" t="s">
        <v>503</v>
      </c>
      <c r="Z595" t="s">
        <v>508</v>
      </c>
      <c r="AA595" t="s">
        <v>408</v>
      </c>
      <c r="AB595">
        <v>6611</v>
      </c>
      <c r="AC595">
        <v>3834</v>
      </c>
      <c r="AD595">
        <v>1613</v>
      </c>
      <c r="AE595">
        <v>447</v>
      </c>
      <c r="AF595">
        <v>92</v>
      </c>
      <c r="AG595">
        <v>13</v>
      </c>
      <c r="AH595">
        <v>6463</v>
      </c>
      <c r="AI595">
        <v>180</v>
      </c>
      <c r="AJ595">
        <v>490</v>
      </c>
      <c r="AK595">
        <v>1571</v>
      </c>
      <c r="AL595">
        <v>87</v>
      </c>
      <c r="AM595">
        <v>58</v>
      </c>
      <c r="AN595" t="s">
        <v>590</v>
      </c>
      <c r="AO595">
        <f>AVERAGE(Tabla2[[#This Row],[total_kills]:[rating]])</f>
        <v>3203.3157894736842</v>
      </c>
      <c r="AP595" t="str">
        <f>VLOOKUP(Tabla2[[#This Row],[KPI]],$AS$2:$AT$5,2,1)</f>
        <v>Bajo</v>
      </c>
    </row>
    <row r="596" spans="1:42" x14ac:dyDescent="0.3">
      <c r="A596">
        <v>8871</v>
      </c>
      <c r="B596" t="s">
        <v>2547</v>
      </c>
      <c r="C596" t="s">
        <v>2548</v>
      </c>
      <c r="D596">
        <v>22</v>
      </c>
      <c r="E596" t="s">
        <v>196</v>
      </c>
      <c r="F596" t="s">
        <v>3514</v>
      </c>
      <c r="G596" t="s">
        <v>2549</v>
      </c>
      <c r="H596">
        <v>15622</v>
      </c>
      <c r="I596">
        <v>15631</v>
      </c>
      <c r="J596" t="s">
        <v>737</v>
      </c>
      <c r="K596" t="s">
        <v>486</v>
      </c>
      <c r="L596">
        <v>3</v>
      </c>
      <c r="M596">
        <v>893</v>
      </c>
      <c r="N596">
        <v>23437</v>
      </c>
      <c r="O596" t="s">
        <v>225</v>
      </c>
      <c r="P596" t="s">
        <v>202</v>
      </c>
      <c r="Q596" t="s">
        <v>225</v>
      </c>
      <c r="R596" t="s">
        <v>48</v>
      </c>
      <c r="S596" t="s">
        <v>48</v>
      </c>
      <c r="T596">
        <v>10697</v>
      </c>
      <c r="U596" t="s">
        <v>51</v>
      </c>
      <c r="V596">
        <v>2058</v>
      </c>
      <c r="W596">
        <v>2119</v>
      </c>
      <c r="X596" t="s">
        <v>503</v>
      </c>
      <c r="Y596" t="s">
        <v>472</v>
      </c>
      <c r="Z596" t="s">
        <v>795</v>
      </c>
      <c r="AA596" t="s">
        <v>518</v>
      </c>
      <c r="AB596">
        <v>12740</v>
      </c>
      <c r="AC596">
        <v>6969</v>
      </c>
      <c r="AD596">
        <v>2740</v>
      </c>
      <c r="AE596">
        <v>808</v>
      </c>
      <c r="AF596">
        <v>152</v>
      </c>
      <c r="AG596">
        <v>28</v>
      </c>
      <c r="AH596">
        <v>11597</v>
      </c>
      <c r="AI596">
        <v>84</v>
      </c>
      <c r="AJ596">
        <v>903</v>
      </c>
      <c r="AK596">
        <v>2814</v>
      </c>
      <c r="AL596">
        <v>155</v>
      </c>
      <c r="AM596">
        <v>117</v>
      </c>
      <c r="AN596" t="s">
        <v>285</v>
      </c>
      <c r="AO596">
        <f>AVERAGE(Tabla2[[#This Row],[total_kills]:[rating]])</f>
        <v>5478.35</v>
      </c>
      <c r="AP596" t="str">
        <f>VLOOKUP(Tabla2[[#This Row],[KPI]],$AS$2:$AT$5,2,1)</f>
        <v>Alto</v>
      </c>
    </row>
    <row r="597" spans="1:42" x14ac:dyDescent="0.3">
      <c r="A597">
        <v>13254</v>
      </c>
      <c r="B597" t="s">
        <v>562</v>
      </c>
      <c r="C597" t="s">
        <v>563</v>
      </c>
      <c r="D597">
        <v>21</v>
      </c>
      <c r="E597" t="s">
        <v>500</v>
      </c>
      <c r="F597" t="s">
        <v>3514</v>
      </c>
      <c r="G597" t="s">
        <v>564</v>
      </c>
      <c r="H597">
        <v>7931</v>
      </c>
      <c r="I597">
        <v>7092</v>
      </c>
      <c r="J597" t="s">
        <v>565</v>
      </c>
      <c r="K597" t="s">
        <v>566</v>
      </c>
      <c r="L597" t="s">
        <v>471</v>
      </c>
      <c r="M597">
        <v>401</v>
      </c>
      <c r="N597">
        <v>10399</v>
      </c>
      <c r="O597" t="s">
        <v>234</v>
      </c>
      <c r="P597" t="s">
        <v>235</v>
      </c>
      <c r="Q597" t="s">
        <v>167</v>
      </c>
      <c r="R597" t="s">
        <v>50</v>
      </c>
      <c r="S597" t="s">
        <v>48</v>
      </c>
      <c r="T597">
        <v>5128</v>
      </c>
      <c r="U597" t="s">
        <v>51</v>
      </c>
      <c r="V597">
        <v>1173</v>
      </c>
      <c r="W597">
        <v>1121</v>
      </c>
      <c r="X597" t="s">
        <v>304</v>
      </c>
      <c r="Y597" t="s">
        <v>304</v>
      </c>
      <c r="Z597" t="s">
        <v>567</v>
      </c>
      <c r="AA597" t="s">
        <v>568</v>
      </c>
      <c r="AB597">
        <v>5271</v>
      </c>
      <c r="AC597">
        <v>3097</v>
      </c>
      <c r="AD597">
        <v>1401</v>
      </c>
      <c r="AE597">
        <v>503</v>
      </c>
      <c r="AF597">
        <v>112</v>
      </c>
      <c r="AG597">
        <v>15</v>
      </c>
      <c r="AH597">
        <v>5215</v>
      </c>
      <c r="AI597">
        <v>814</v>
      </c>
      <c r="AJ597">
        <v>237</v>
      </c>
      <c r="AK597">
        <v>1583</v>
      </c>
      <c r="AL597">
        <v>62</v>
      </c>
      <c r="AM597">
        <v>38</v>
      </c>
      <c r="AN597" t="s">
        <v>84</v>
      </c>
      <c r="AO597">
        <f>AVERAGE(Tabla2[[#This Row],[total_kills]:[rating]])</f>
        <v>2715.4210526315787</v>
      </c>
      <c r="AP597" t="str">
        <f>VLOOKUP(Tabla2[[#This Row],[KPI]],$AS$2:$AT$5,2,1)</f>
        <v>Bajo</v>
      </c>
    </row>
    <row r="598" spans="1:42" x14ac:dyDescent="0.3">
      <c r="A598">
        <v>20090</v>
      </c>
      <c r="B598" t="s">
        <v>2033</v>
      </c>
      <c r="C598" t="s">
        <v>2034</v>
      </c>
      <c r="D598">
        <v>18</v>
      </c>
      <c r="E598" t="s">
        <v>196</v>
      </c>
      <c r="F598" t="s">
        <v>992</v>
      </c>
      <c r="G598" t="s">
        <v>992</v>
      </c>
      <c r="H598">
        <v>7590</v>
      </c>
      <c r="I598">
        <v>7290</v>
      </c>
      <c r="J598" t="s">
        <v>565</v>
      </c>
      <c r="K598" t="s">
        <v>1042</v>
      </c>
      <c r="L598">
        <v>3</v>
      </c>
      <c r="M598">
        <v>415</v>
      </c>
      <c r="N598">
        <v>10947</v>
      </c>
      <c r="O598" t="s">
        <v>463</v>
      </c>
      <c r="P598" t="s">
        <v>48</v>
      </c>
      <c r="Q598" t="s">
        <v>225</v>
      </c>
      <c r="R598" t="s">
        <v>50</v>
      </c>
      <c r="S598" t="s">
        <v>67</v>
      </c>
      <c r="T598">
        <v>5192</v>
      </c>
      <c r="U598" t="s">
        <v>51</v>
      </c>
      <c r="V598">
        <v>1095</v>
      </c>
      <c r="W598">
        <v>1074</v>
      </c>
      <c r="X598" t="s">
        <v>449</v>
      </c>
      <c r="Y598">
        <v>1</v>
      </c>
      <c r="Z598" t="s">
        <v>1121</v>
      </c>
      <c r="AA598" t="s">
        <v>739</v>
      </c>
      <c r="AB598">
        <v>5755</v>
      </c>
      <c r="AC598">
        <v>3361</v>
      </c>
      <c r="AD598">
        <v>1352</v>
      </c>
      <c r="AE598">
        <v>397</v>
      </c>
      <c r="AF598">
        <v>76</v>
      </c>
      <c r="AG598">
        <v>6</v>
      </c>
      <c r="AH598">
        <v>5944</v>
      </c>
      <c r="AI598">
        <v>110</v>
      </c>
      <c r="AJ598">
        <v>202</v>
      </c>
      <c r="AK598">
        <v>1283</v>
      </c>
      <c r="AL598">
        <v>61</v>
      </c>
      <c r="AM598">
        <v>27</v>
      </c>
      <c r="AN598" t="s">
        <v>464</v>
      </c>
      <c r="AO598">
        <f>AVERAGE(Tabla2[[#This Row],[total_kills]:[rating]])</f>
        <v>2484.8095238095239</v>
      </c>
      <c r="AP598" t="str">
        <f>VLOOKUP(Tabla2[[#This Row],[KPI]],$AS$2:$AT$5,2,1)</f>
        <v>Bajo</v>
      </c>
    </row>
    <row r="599" spans="1:42" x14ac:dyDescent="0.3">
      <c r="A599">
        <v>4959</v>
      </c>
      <c r="B599" t="s">
        <v>2188</v>
      </c>
      <c r="C599" t="s">
        <v>2189</v>
      </c>
      <c r="D599">
        <v>28</v>
      </c>
      <c r="E599" t="s">
        <v>42</v>
      </c>
      <c r="F599" t="s">
        <v>3514</v>
      </c>
      <c r="G599" t="s">
        <v>2190</v>
      </c>
      <c r="H599">
        <v>26259</v>
      </c>
      <c r="I599">
        <v>24967</v>
      </c>
      <c r="J599" t="s">
        <v>565</v>
      </c>
      <c r="K599">
        <v>74</v>
      </c>
      <c r="L599" t="s">
        <v>658</v>
      </c>
      <c r="M599">
        <v>1495</v>
      </c>
      <c r="N599">
        <v>39250</v>
      </c>
      <c r="O599" t="s">
        <v>225</v>
      </c>
      <c r="P599" t="s">
        <v>166</v>
      </c>
      <c r="Q599" t="s">
        <v>65</v>
      </c>
      <c r="R599" t="s">
        <v>66</v>
      </c>
      <c r="S599" t="s">
        <v>96</v>
      </c>
      <c r="T599">
        <v>18153</v>
      </c>
      <c r="U599" t="s">
        <v>51</v>
      </c>
      <c r="V599">
        <v>3389</v>
      </c>
      <c r="W599">
        <v>3214</v>
      </c>
      <c r="X599" t="s">
        <v>304</v>
      </c>
      <c r="Y599" t="s">
        <v>472</v>
      </c>
      <c r="Z599" t="s">
        <v>718</v>
      </c>
      <c r="AA599" t="s">
        <v>247</v>
      </c>
      <c r="AB599">
        <v>21097</v>
      </c>
      <c r="AC599">
        <v>11895</v>
      </c>
      <c r="AD599">
        <v>4755</v>
      </c>
      <c r="AE599">
        <v>1232</v>
      </c>
      <c r="AF599">
        <v>244</v>
      </c>
      <c r="AG599">
        <v>27</v>
      </c>
      <c r="AH599">
        <v>18894</v>
      </c>
      <c r="AI599">
        <v>728</v>
      </c>
      <c r="AJ599">
        <v>956</v>
      </c>
      <c r="AK599">
        <v>4936</v>
      </c>
      <c r="AL599">
        <v>510</v>
      </c>
      <c r="AM599">
        <v>269</v>
      </c>
      <c r="AN599" t="s">
        <v>255</v>
      </c>
      <c r="AO599">
        <f>AVERAGE(Tabla2[[#This Row],[total_kills]:[rating]])</f>
        <v>9117.2000000000007</v>
      </c>
      <c r="AP599" t="str">
        <f>VLOOKUP(Tabla2[[#This Row],[KPI]],$AS$2:$AT$5,2,1)</f>
        <v>Superior</v>
      </c>
    </row>
    <row r="600" spans="1:42" x14ac:dyDescent="0.3">
      <c r="A600">
        <v>339</v>
      </c>
      <c r="B600" t="s">
        <v>2493</v>
      </c>
      <c r="C600" t="s">
        <v>2494</v>
      </c>
      <c r="D600">
        <v>32</v>
      </c>
      <c r="E600" t="s">
        <v>59</v>
      </c>
      <c r="F600" t="s">
        <v>3514</v>
      </c>
      <c r="G600" t="s">
        <v>421</v>
      </c>
      <c r="H600">
        <v>31392</v>
      </c>
      <c r="I600">
        <v>32077</v>
      </c>
      <c r="J600" t="s">
        <v>565</v>
      </c>
      <c r="K600" t="s">
        <v>121</v>
      </c>
      <c r="L600">
        <v>5</v>
      </c>
      <c r="M600">
        <v>1728</v>
      </c>
      <c r="N600">
        <v>45027</v>
      </c>
      <c r="O600" t="s">
        <v>905</v>
      </c>
      <c r="P600" t="s">
        <v>434</v>
      </c>
      <c r="Q600" t="s">
        <v>646</v>
      </c>
      <c r="R600" t="s">
        <v>50</v>
      </c>
      <c r="S600" t="s">
        <v>135</v>
      </c>
      <c r="T600">
        <v>20977</v>
      </c>
      <c r="U600" t="s">
        <v>51</v>
      </c>
      <c r="V600">
        <v>6016</v>
      </c>
      <c r="W600">
        <v>6382</v>
      </c>
      <c r="X600" t="s">
        <v>1570</v>
      </c>
      <c r="Y600" t="s">
        <v>561</v>
      </c>
      <c r="Z600" t="s">
        <v>932</v>
      </c>
      <c r="AA600" t="s">
        <v>428</v>
      </c>
      <c r="AB600">
        <v>24050</v>
      </c>
      <c r="AC600">
        <v>13183</v>
      </c>
      <c r="AD600">
        <v>5668</v>
      </c>
      <c r="AE600">
        <v>1738</v>
      </c>
      <c r="AF600">
        <v>336</v>
      </c>
      <c r="AG600">
        <v>52</v>
      </c>
      <c r="AH600">
        <v>23022</v>
      </c>
      <c r="AI600">
        <v>702</v>
      </c>
      <c r="AJ600">
        <v>1724</v>
      </c>
      <c r="AK600">
        <v>5467</v>
      </c>
      <c r="AL600">
        <v>437</v>
      </c>
      <c r="AM600">
        <v>62</v>
      </c>
      <c r="AN600" t="s">
        <v>285</v>
      </c>
      <c r="AO600">
        <f>AVERAGE(Tabla2[[#This Row],[total_kills]:[rating]])</f>
        <v>11002.25</v>
      </c>
      <c r="AP600" t="str">
        <f>VLOOKUP(Tabla2[[#This Row],[KPI]],$AS$2:$AT$5,2,1)</f>
        <v>Superior</v>
      </c>
    </row>
    <row r="601" spans="1:42" x14ac:dyDescent="0.3">
      <c r="A601">
        <v>11996</v>
      </c>
      <c r="B601" t="s">
        <v>2628</v>
      </c>
      <c r="C601" t="s">
        <v>2629</v>
      </c>
      <c r="D601">
        <v>24</v>
      </c>
      <c r="E601" t="s">
        <v>196</v>
      </c>
      <c r="F601" t="s">
        <v>319</v>
      </c>
      <c r="G601" t="s">
        <v>2630</v>
      </c>
      <c r="H601">
        <v>12656</v>
      </c>
      <c r="I601">
        <v>12553</v>
      </c>
      <c r="J601" t="s">
        <v>565</v>
      </c>
      <c r="K601" t="s">
        <v>1288</v>
      </c>
      <c r="L601" t="s">
        <v>164</v>
      </c>
      <c r="M601">
        <v>717</v>
      </c>
      <c r="N601">
        <v>19219</v>
      </c>
      <c r="O601" t="s">
        <v>322</v>
      </c>
      <c r="P601" t="s">
        <v>202</v>
      </c>
      <c r="Q601" t="s">
        <v>276</v>
      </c>
      <c r="R601" t="s">
        <v>48</v>
      </c>
      <c r="S601" t="s">
        <v>202</v>
      </c>
      <c r="T601">
        <v>8756</v>
      </c>
      <c r="U601" t="s">
        <v>51</v>
      </c>
      <c r="V601">
        <v>1559</v>
      </c>
      <c r="W601">
        <v>1531</v>
      </c>
      <c r="X601" t="s">
        <v>449</v>
      </c>
      <c r="Y601" t="s">
        <v>1570</v>
      </c>
      <c r="Z601" t="s">
        <v>1358</v>
      </c>
      <c r="AA601" t="s">
        <v>2631</v>
      </c>
      <c r="AB601">
        <v>10463</v>
      </c>
      <c r="AC601">
        <v>5734</v>
      </c>
      <c r="AD601">
        <v>2255</v>
      </c>
      <c r="AE601">
        <v>665</v>
      </c>
      <c r="AF601">
        <v>93</v>
      </c>
      <c r="AG601">
        <v>9</v>
      </c>
      <c r="AH601">
        <v>9719</v>
      </c>
      <c r="AI601">
        <v>97</v>
      </c>
      <c r="AJ601">
        <v>671</v>
      </c>
      <c r="AK601">
        <v>1989</v>
      </c>
      <c r="AL601">
        <v>179</v>
      </c>
      <c r="AM601">
        <v>46</v>
      </c>
      <c r="AN601" t="s">
        <v>407</v>
      </c>
      <c r="AO601">
        <f>AVERAGE(Tabla2[[#This Row],[total_kills]:[rating]])</f>
        <v>4679.5263157894733</v>
      </c>
      <c r="AP601" t="str">
        <f>VLOOKUP(Tabla2[[#This Row],[KPI]],$AS$2:$AT$5,2,1)</f>
        <v>Medio</v>
      </c>
    </row>
    <row r="602" spans="1:42" x14ac:dyDescent="0.3">
      <c r="A602">
        <v>7378</v>
      </c>
      <c r="B602" t="s">
        <v>3404</v>
      </c>
      <c r="C602" t="s">
        <v>3405</v>
      </c>
      <c r="D602">
        <v>31</v>
      </c>
      <c r="E602" t="s">
        <v>545</v>
      </c>
      <c r="F602" t="s">
        <v>878</v>
      </c>
      <c r="G602" t="s">
        <v>3406</v>
      </c>
      <c r="H602">
        <v>6122</v>
      </c>
      <c r="I602">
        <v>7223</v>
      </c>
      <c r="J602" t="s">
        <v>565</v>
      </c>
      <c r="K602" t="s">
        <v>2614</v>
      </c>
      <c r="L602" t="s">
        <v>80</v>
      </c>
      <c r="M602">
        <v>400</v>
      </c>
      <c r="N602">
        <v>10494</v>
      </c>
      <c r="O602" t="s">
        <v>284</v>
      </c>
      <c r="P602" t="s">
        <v>553</v>
      </c>
      <c r="Q602" t="s">
        <v>463</v>
      </c>
      <c r="R602" t="s">
        <v>48</v>
      </c>
      <c r="S602" t="s">
        <v>66</v>
      </c>
      <c r="T602">
        <v>4394</v>
      </c>
      <c r="U602" t="s">
        <v>51</v>
      </c>
      <c r="V602">
        <v>847</v>
      </c>
      <c r="W602">
        <v>1138</v>
      </c>
      <c r="X602" t="s">
        <v>283</v>
      </c>
      <c r="Y602" t="s">
        <v>1551</v>
      </c>
      <c r="Z602" t="s">
        <v>718</v>
      </c>
      <c r="AA602" t="s">
        <v>287</v>
      </c>
      <c r="AB602">
        <v>6100</v>
      </c>
      <c r="AC602">
        <v>3055</v>
      </c>
      <c r="AD602">
        <v>1017</v>
      </c>
      <c r="AE602">
        <v>283</v>
      </c>
      <c r="AF602">
        <v>35</v>
      </c>
      <c r="AG602">
        <v>4</v>
      </c>
      <c r="AH602">
        <v>4529</v>
      </c>
      <c r="AI602">
        <v>145</v>
      </c>
      <c r="AJ602">
        <v>332</v>
      </c>
      <c r="AK602">
        <v>972</v>
      </c>
      <c r="AL602">
        <v>127</v>
      </c>
      <c r="AM602">
        <v>20</v>
      </c>
      <c r="AN602" t="s">
        <v>64</v>
      </c>
      <c r="AO602">
        <f>AVERAGE(Tabla2[[#This Row],[total_kills]:[rating]])</f>
        <v>2486.1578947368421</v>
      </c>
      <c r="AP602" t="str">
        <f>VLOOKUP(Tabla2[[#This Row],[KPI]],$AS$2:$AT$5,2,1)</f>
        <v>Bajo</v>
      </c>
    </row>
    <row r="603" spans="1:42" x14ac:dyDescent="0.3">
      <c r="A603">
        <v>7935</v>
      </c>
      <c r="B603" t="s">
        <v>1992</v>
      </c>
      <c r="C603" t="s">
        <v>1993</v>
      </c>
      <c r="D603">
        <v>26</v>
      </c>
      <c r="E603" t="s">
        <v>459</v>
      </c>
      <c r="F603" t="s">
        <v>3514</v>
      </c>
      <c r="G603" t="s">
        <v>1994</v>
      </c>
      <c r="H603">
        <v>12336</v>
      </c>
      <c r="I603">
        <v>12141</v>
      </c>
      <c r="J603" t="s">
        <v>1995</v>
      </c>
      <c r="K603" t="s">
        <v>418</v>
      </c>
      <c r="L603">
        <v>3</v>
      </c>
      <c r="M603">
        <v>660</v>
      </c>
      <c r="N603">
        <v>17324</v>
      </c>
      <c r="O603" t="s">
        <v>646</v>
      </c>
      <c r="P603" t="s">
        <v>202</v>
      </c>
      <c r="Q603" t="s">
        <v>905</v>
      </c>
      <c r="R603" t="s">
        <v>50</v>
      </c>
      <c r="S603" t="s">
        <v>67</v>
      </c>
      <c r="T603">
        <v>8244</v>
      </c>
      <c r="U603" t="s">
        <v>51</v>
      </c>
      <c r="V603">
        <v>1858</v>
      </c>
      <c r="W603">
        <v>1796</v>
      </c>
      <c r="X603" t="s">
        <v>412</v>
      </c>
      <c r="Y603" t="s">
        <v>412</v>
      </c>
      <c r="Z603" t="s">
        <v>1996</v>
      </c>
      <c r="AA603" t="s">
        <v>659</v>
      </c>
      <c r="AB603">
        <v>9080</v>
      </c>
      <c r="AC603">
        <v>5181</v>
      </c>
      <c r="AD603">
        <v>2223</v>
      </c>
      <c r="AE603">
        <v>676</v>
      </c>
      <c r="AF603">
        <v>152</v>
      </c>
      <c r="AG603">
        <v>12</v>
      </c>
      <c r="AH603">
        <v>9185</v>
      </c>
      <c r="AI603">
        <v>343</v>
      </c>
      <c r="AJ603">
        <v>374</v>
      </c>
      <c r="AK603">
        <v>2239</v>
      </c>
      <c r="AL603">
        <v>166</v>
      </c>
      <c r="AM603">
        <v>50</v>
      </c>
      <c r="AN603" t="s">
        <v>449</v>
      </c>
      <c r="AO603">
        <f>AVERAGE(Tabla2[[#This Row],[total_kills]:[rating]])</f>
        <v>4202.1499999999996</v>
      </c>
      <c r="AP603" t="str">
        <f>VLOOKUP(Tabla2[[#This Row],[KPI]],$AS$2:$AT$5,2,1)</f>
        <v>Medio</v>
      </c>
    </row>
    <row r="604" spans="1:42" x14ac:dyDescent="0.3">
      <c r="A604">
        <v>9298</v>
      </c>
      <c r="B604" t="s">
        <v>2369</v>
      </c>
      <c r="C604" t="s">
        <v>2370</v>
      </c>
      <c r="D604">
        <v>25</v>
      </c>
      <c r="E604" t="s">
        <v>1070</v>
      </c>
      <c r="F604" t="s">
        <v>3514</v>
      </c>
      <c r="G604" t="s">
        <v>2371</v>
      </c>
      <c r="H604">
        <v>8886</v>
      </c>
      <c r="I604">
        <v>8837</v>
      </c>
      <c r="J604" t="s">
        <v>1995</v>
      </c>
      <c r="K604" t="s">
        <v>1062</v>
      </c>
      <c r="L604" t="s">
        <v>93</v>
      </c>
      <c r="M604">
        <v>479</v>
      </c>
      <c r="N604">
        <v>12857</v>
      </c>
      <c r="O604" t="s">
        <v>463</v>
      </c>
      <c r="P604" t="s">
        <v>48</v>
      </c>
      <c r="Q604" t="s">
        <v>463</v>
      </c>
      <c r="R604" t="s">
        <v>96</v>
      </c>
      <c r="S604" t="s">
        <v>50</v>
      </c>
      <c r="T604">
        <v>6035</v>
      </c>
      <c r="U604" t="s">
        <v>51</v>
      </c>
      <c r="V604">
        <v>1130</v>
      </c>
      <c r="W604">
        <v>1173</v>
      </c>
      <c r="X604" t="s">
        <v>472</v>
      </c>
      <c r="Y604" t="s">
        <v>820</v>
      </c>
      <c r="Z604" t="s">
        <v>278</v>
      </c>
      <c r="AA604" t="s">
        <v>783</v>
      </c>
      <c r="AB604">
        <v>6822</v>
      </c>
      <c r="AC604">
        <v>3850</v>
      </c>
      <c r="AD604">
        <v>1621</v>
      </c>
      <c r="AE604">
        <v>468</v>
      </c>
      <c r="AF604">
        <v>90</v>
      </c>
      <c r="AG604">
        <v>6</v>
      </c>
      <c r="AH604">
        <v>6569</v>
      </c>
      <c r="AI604">
        <v>416</v>
      </c>
      <c r="AJ604">
        <v>386</v>
      </c>
      <c r="AK604">
        <v>1421</v>
      </c>
      <c r="AL604">
        <v>86</v>
      </c>
      <c r="AM604">
        <v>20</v>
      </c>
      <c r="AN604">
        <v>1</v>
      </c>
      <c r="AO604">
        <f>AVERAGE(Tabla2[[#This Row],[total_kills]:[rating]])</f>
        <v>3057.65</v>
      </c>
      <c r="AP604" t="str">
        <f>VLOOKUP(Tabla2[[#This Row],[KPI]],$AS$2:$AT$5,2,1)</f>
        <v>Bajo</v>
      </c>
    </row>
    <row r="605" spans="1:42" x14ac:dyDescent="0.3">
      <c r="A605">
        <v>8539</v>
      </c>
      <c r="B605" t="s">
        <v>2717</v>
      </c>
      <c r="C605" t="s">
        <v>2718</v>
      </c>
      <c r="D605">
        <v>25</v>
      </c>
      <c r="E605" t="s">
        <v>327</v>
      </c>
      <c r="F605" t="s">
        <v>1740</v>
      </c>
      <c r="G605" t="s">
        <v>1740</v>
      </c>
      <c r="H605">
        <v>9069</v>
      </c>
      <c r="I605">
        <v>9194</v>
      </c>
      <c r="J605" t="s">
        <v>1995</v>
      </c>
      <c r="K605" t="s">
        <v>486</v>
      </c>
      <c r="L605">
        <v>4</v>
      </c>
      <c r="M605">
        <v>509</v>
      </c>
      <c r="N605">
        <v>13762</v>
      </c>
      <c r="O605" t="s">
        <v>322</v>
      </c>
      <c r="P605" t="s">
        <v>202</v>
      </c>
      <c r="Q605" t="s">
        <v>225</v>
      </c>
      <c r="R605" t="s">
        <v>50</v>
      </c>
      <c r="S605" t="s">
        <v>48</v>
      </c>
      <c r="T605">
        <v>6244</v>
      </c>
      <c r="U605" t="s">
        <v>51</v>
      </c>
      <c r="V605">
        <v>1195</v>
      </c>
      <c r="W605">
        <v>1326</v>
      </c>
      <c r="X605" t="s">
        <v>1906</v>
      </c>
      <c r="Y605" t="s">
        <v>1570</v>
      </c>
      <c r="Z605" t="s">
        <v>1020</v>
      </c>
      <c r="AA605" t="s">
        <v>518</v>
      </c>
      <c r="AB605">
        <v>7518</v>
      </c>
      <c r="AC605">
        <v>4097</v>
      </c>
      <c r="AD605">
        <v>1591</v>
      </c>
      <c r="AE605">
        <v>446</v>
      </c>
      <c r="AF605">
        <v>98</v>
      </c>
      <c r="AG605">
        <v>12</v>
      </c>
      <c r="AH605">
        <v>7212</v>
      </c>
      <c r="AI605">
        <v>35</v>
      </c>
      <c r="AJ605">
        <v>210</v>
      </c>
      <c r="AK605">
        <v>1502</v>
      </c>
      <c r="AL605">
        <v>128</v>
      </c>
      <c r="AM605">
        <v>18</v>
      </c>
      <c r="AN605" t="s">
        <v>503</v>
      </c>
      <c r="AO605">
        <f>AVERAGE(Tabla2[[#This Row],[total_kills]:[rating]])</f>
        <v>3208.5</v>
      </c>
      <c r="AP605" t="str">
        <f>VLOOKUP(Tabla2[[#This Row],[KPI]],$AS$2:$AT$5,2,1)</f>
        <v>Bajo</v>
      </c>
    </row>
    <row r="606" spans="1:42" x14ac:dyDescent="0.3">
      <c r="A606">
        <v>161</v>
      </c>
      <c r="B606" t="s">
        <v>3002</v>
      </c>
      <c r="C606" t="s">
        <v>3003</v>
      </c>
      <c r="D606">
        <v>36</v>
      </c>
      <c r="E606" t="s">
        <v>327</v>
      </c>
      <c r="F606" t="s">
        <v>1343</v>
      </c>
      <c r="G606" t="s">
        <v>3004</v>
      </c>
      <c r="H606">
        <v>36946</v>
      </c>
      <c r="I606">
        <v>38468</v>
      </c>
      <c r="J606" t="s">
        <v>1995</v>
      </c>
      <c r="K606" t="s">
        <v>3005</v>
      </c>
      <c r="L606" t="s">
        <v>214</v>
      </c>
      <c r="M606">
        <v>2163</v>
      </c>
      <c r="N606">
        <v>56767</v>
      </c>
      <c r="O606" t="s">
        <v>276</v>
      </c>
      <c r="P606" t="s">
        <v>202</v>
      </c>
      <c r="Q606" t="s">
        <v>167</v>
      </c>
      <c r="R606" t="s">
        <v>67</v>
      </c>
      <c r="S606" t="s">
        <v>96</v>
      </c>
      <c r="T606">
        <v>25627</v>
      </c>
      <c r="U606" t="s">
        <v>51</v>
      </c>
      <c r="V606">
        <v>4761</v>
      </c>
      <c r="W606">
        <v>5161</v>
      </c>
      <c r="X606" t="s">
        <v>1314</v>
      </c>
      <c r="Y606" t="s">
        <v>950</v>
      </c>
      <c r="Z606" t="s">
        <v>809</v>
      </c>
      <c r="AA606" t="s">
        <v>1985</v>
      </c>
      <c r="AB606">
        <v>31140</v>
      </c>
      <c r="AC606">
        <v>16893</v>
      </c>
      <c r="AD606">
        <v>6598</v>
      </c>
      <c r="AE606">
        <v>1774</v>
      </c>
      <c r="AF606">
        <v>334</v>
      </c>
      <c r="AG606">
        <v>28</v>
      </c>
      <c r="AH606">
        <v>27950</v>
      </c>
      <c r="AI606">
        <v>335</v>
      </c>
      <c r="AJ606">
        <v>1634</v>
      </c>
      <c r="AK606">
        <v>6537</v>
      </c>
      <c r="AL606">
        <v>283</v>
      </c>
      <c r="AM606">
        <v>256</v>
      </c>
      <c r="AN606" t="s">
        <v>820</v>
      </c>
      <c r="AO606">
        <f>AVERAGE(Tabla2[[#This Row],[total_kills]:[rating]])</f>
        <v>13876.578947368422</v>
      </c>
      <c r="AP606" t="str">
        <f>VLOOKUP(Tabla2[[#This Row],[KPI]],$AS$2:$AT$5,2,1)</f>
        <v>Superior</v>
      </c>
    </row>
    <row r="607" spans="1:42" x14ac:dyDescent="0.3">
      <c r="A607">
        <v>16410</v>
      </c>
      <c r="B607" t="s">
        <v>3167</v>
      </c>
      <c r="C607" t="s">
        <v>3168</v>
      </c>
      <c r="D607">
        <v>21</v>
      </c>
      <c r="E607" t="s">
        <v>467</v>
      </c>
      <c r="F607" t="s">
        <v>2692</v>
      </c>
      <c r="G607" t="s">
        <v>3169</v>
      </c>
      <c r="H607">
        <v>13680</v>
      </c>
      <c r="I607">
        <v>14720</v>
      </c>
      <c r="J607" t="s">
        <v>1995</v>
      </c>
      <c r="K607" t="s">
        <v>486</v>
      </c>
      <c r="L607" t="s">
        <v>3170</v>
      </c>
      <c r="M607">
        <v>811</v>
      </c>
      <c r="N607">
        <v>21661</v>
      </c>
      <c r="O607" t="s">
        <v>215</v>
      </c>
      <c r="P607" t="s">
        <v>235</v>
      </c>
      <c r="Q607" t="s">
        <v>167</v>
      </c>
      <c r="R607" t="s">
        <v>67</v>
      </c>
      <c r="S607" t="s">
        <v>50</v>
      </c>
      <c r="T607">
        <v>9459</v>
      </c>
      <c r="U607" t="s">
        <v>51</v>
      </c>
      <c r="V607">
        <v>1817</v>
      </c>
      <c r="W607">
        <v>2291</v>
      </c>
      <c r="X607" t="s">
        <v>109</v>
      </c>
      <c r="Y607" t="s">
        <v>1749</v>
      </c>
      <c r="Z607" t="s">
        <v>1268</v>
      </c>
      <c r="AA607" t="s">
        <v>287</v>
      </c>
      <c r="AB607">
        <v>12202</v>
      </c>
      <c r="AC607">
        <v>6229</v>
      </c>
      <c r="AD607">
        <v>2410</v>
      </c>
      <c r="AE607">
        <v>666</v>
      </c>
      <c r="AF607">
        <v>137</v>
      </c>
      <c r="AG607">
        <v>17</v>
      </c>
      <c r="AH607">
        <v>10438</v>
      </c>
      <c r="AI607">
        <v>53</v>
      </c>
      <c r="AJ607">
        <v>716</v>
      </c>
      <c r="AK607">
        <v>2212</v>
      </c>
      <c r="AL607">
        <v>273</v>
      </c>
      <c r="AM607">
        <v>37</v>
      </c>
      <c r="AN607">
        <v>1</v>
      </c>
      <c r="AO607">
        <f>AVERAGE(Tabla2[[#This Row],[total_kills]:[rating]])</f>
        <v>4991.5</v>
      </c>
      <c r="AP607" t="str">
        <f>VLOOKUP(Tabla2[[#This Row],[KPI]],$AS$2:$AT$5,2,1)</f>
        <v>Alto</v>
      </c>
    </row>
    <row r="608" spans="1:42" x14ac:dyDescent="0.3">
      <c r="A608">
        <v>7256</v>
      </c>
      <c r="B608" t="s">
        <v>815</v>
      </c>
      <c r="C608" t="s">
        <v>816</v>
      </c>
      <c r="D608">
        <v>30</v>
      </c>
      <c r="E608" t="s">
        <v>708</v>
      </c>
      <c r="F608" t="s">
        <v>3514</v>
      </c>
      <c r="G608" t="s">
        <v>817</v>
      </c>
      <c r="H608">
        <v>21063</v>
      </c>
      <c r="I608">
        <v>18628</v>
      </c>
      <c r="J608" t="s">
        <v>818</v>
      </c>
      <c r="K608" t="s">
        <v>819</v>
      </c>
      <c r="L608" t="s">
        <v>612</v>
      </c>
      <c r="M608">
        <v>1074</v>
      </c>
      <c r="N608">
        <v>28389</v>
      </c>
      <c r="O608" t="s">
        <v>283</v>
      </c>
      <c r="P608" t="s">
        <v>166</v>
      </c>
      <c r="Q608" t="s">
        <v>322</v>
      </c>
      <c r="R608" t="s">
        <v>50</v>
      </c>
      <c r="S608" t="s">
        <v>48</v>
      </c>
      <c r="T608">
        <v>14009</v>
      </c>
      <c r="U608" t="s">
        <v>51</v>
      </c>
      <c r="V608">
        <v>2233</v>
      </c>
      <c r="W608">
        <v>1803</v>
      </c>
      <c r="X608" t="s">
        <v>69</v>
      </c>
      <c r="Y608" t="s">
        <v>820</v>
      </c>
      <c r="Z608" t="s">
        <v>821</v>
      </c>
      <c r="AA608" t="s">
        <v>822</v>
      </c>
      <c r="AB608">
        <v>14380</v>
      </c>
      <c r="AC608">
        <v>8738</v>
      </c>
      <c r="AD608">
        <v>3804</v>
      </c>
      <c r="AE608">
        <v>1204</v>
      </c>
      <c r="AF608">
        <v>242</v>
      </c>
      <c r="AG608">
        <v>21</v>
      </c>
      <c r="AH608">
        <v>15140</v>
      </c>
      <c r="AI608">
        <v>215</v>
      </c>
      <c r="AJ608">
        <v>1206</v>
      </c>
      <c r="AK608">
        <v>4233</v>
      </c>
      <c r="AL608">
        <v>255</v>
      </c>
      <c r="AM608">
        <v>35</v>
      </c>
      <c r="AN608" t="s">
        <v>295</v>
      </c>
      <c r="AO608">
        <f>AVERAGE(Tabla2[[#This Row],[total_kills]:[rating]])</f>
        <v>7193.2631578947367</v>
      </c>
      <c r="AP608" t="str">
        <f>VLOOKUP(Tabla2[[#This Row],[KPI]],$AS$2:$AT$5,2,1)</f>
        <v>Superior</v>
      </c>
    </row>
    <row r="609" spans="1:42" x14ac:dyDescent="0.3">
      <c r="A609">
        <v>8350</v>
      </c>
      <c r="B609" t="s">
        <v>2042</v>
      </c>
      <c r="C609" t="s">
        <v>2043</v>
      </c>
      <c r="D609">
        <v>29</v>
      </c>
      <c r="E609" t="s">
        <v>459</v>
      </c>
      <c r="F609" t="s">
        <v>3514</v>
      </c>
      <c r="G609" t="s">
        <v>2044</v>
      </c>
      <c r="H609">
        <v>7826</v>
      </c>
      <c r="I609">
        <v>7727</v>
      </c>
      <c r="J609" t="s">
        <v>818</v>
      </c>
      <c r="K609" t="s">
        <v>1057</v>
      </c>
      <c r="L609" t="s">
        <v>122</v>
      </c>
      <c r="M609">
        <v>430</v>
      </c>
      <c r="N609">
        <v>10986</v>
      </c>
      <c r="O609" t="s">
        <v>646</v>
      </c>
      <c r="P609" t="s">
        <v>202</v>
      </c>
      <c r="Q609" t="s">
        <v>905</v>
      </c>
      <c r="R609" t="s">
        <v>96</v>
      </c>
      <c r="S609" t="s">
        <v>50</v>
      </c>
      <c r="T609">
        <v>5233</v>
      </c>
      <c r="U609" t="s">
        <v>51</v>
      </c>
      <c r="V609">
        <v>1082</v>
      </c>
      <c r="W609">
        <v>1213</v>
      </c>
      <c r="X609" t="s">
        <v>1551</v>
      </c>
      <c r="Y609" t="s">
        <v>245</v>
      </c>
      <c r="Z609" t="s">
        <v>2045</v>
      </c>
      <c r="AA609" t="s">
        <v>1030</v>
      </c>
      <c r="AB609">
        <v>5753</v>
      </c>
      <c r="AC609">
        <v>3278</v>
      </c>
      <c r="AD609">
        <v>1421</v>
      </c>
      <c r="AE609">
        <v>444</v>
      </c>
      <c r="AF609">
        <v>82</v>
      </c>
      <c r="AG609">
        <v>8</v>
      </c>
      <c r="AH609">
        <v>5631</v>
      </c>
      <c r="AI609">
        <v>320</v>
      </c>
      <c r="AJ609">
        <v>253</v>
      </c>
      <c r="AK609">
        <v>1542</v>
      </c>
      <c r="AL609">
        <v>72</v>
      </c>
      <c r="AM609">
        <v>20</v>
      </c>
      <c r="AN609" t="s">
        <v>255</v>
      </c>
      <c r="AO609">
        <f>AVERAGE(Tabla2[[#This Row],[total_kills]:[rating]])</f>
        <v>2806.3684210526317</v>
      </c>
      <c r="AP609" t="str">
        <f>VLOOKUP(Tabla2[[#This Row],[KPI]],$AS$2:$AT$5,2,1)</f>
        <v>Bajo</v>
      </c>
    </row>
    <row r="610" spans="1:42" x14ac:dyDescent="0.3">
      <c r="A610">
        <v>9261</v>
      </c>
      <c r="B610" t="s">
        <v>2072</v>
      </c>
      <c r="C610" t="s">
        <v>2073</v>
      </c>
      <c r="D610">
        <v>29</v>
      </c>
      <c r="E610" t="s">
        <v>545</v>
      </c>
      <c r="F610" t="s">
        <v>3514</v>
      </c>
      <c r="G610" t="s">
        <v>2074</v>
      </c>
      <c r="H610">
        <v>24036</v>
      </c>
      <c r="I610">
        <v>23262</v>
      </c>
      <c r="J610" t="s">
        <v>818</v>
      </c>
      <c r="K610" t="s">
        <v>531</v>
      </c>
      <c r="L610" t="s">
        <v>80</v>
      </c>
      <c r="M610">
        <v>1302</v>
      </c>
      <c r="N610">
        <v>34804</v>
      </c>
      <c r="O610" t="s">
        <v>463</v>
      </c>
      <c r="P610" t="s">
        <v>235</v>
      </c>
      <c r="Q610" t="s">
        <v>225</v>
      </c>
      <c r="R610" t="s">
        <v>96</v>
      </c>
      <c r="S610" t="s">
        <v>96</v>
      </c>
      <c r="T610">
        <v>16343</v>
      </c>
      <c r="U610" t="s">
        <v>51</v>
      </c>
      <c r="V610">
        <v>3430</v>
      </c>
      <c r="W610">
        <v>3067</v>
      </c>
      <c r="X610" t="s">
        <v>370</v>
      </c>
      <c r="Y610" t="s">
        <v>255</v>
      </c>
      <c r="Z610" t="s">
        <v>745</v>
      </c>
      <c r="AA610" t="s">
        <v>413</v>
      </c>
      <c r="AB610">
        <v>18461</v>
      </c>
      <c r="AC610">
        <v>10497</v>
      </c>
      <c r="AD610">
        <v>4294</v>
      </c>
      <c r="AE610">
        <v>1279</v>
      </c>
      <c r="AF610">
        <v>251</v>
      </c>
      <c r="AG610">
        <v>22</v>
      </c>
      <c r="AH610">
        <v>16608</v>
      </c>
      <c r="AI610">
        <v>1422</v>
      </c>
      <c r="AJ610">
        <v>904</v>
      </c>
      <c r="AK610">
        <v>4797</v>
      </c>
      <c r="AL610">
        <v>273</v>
      </c>
      <c r="AM610">
        <v>100</v>
      </c>
      <c r="AN610" t="s">
        <v>255</v>
      </c>
      <c r="AO610">
        <f>AVERAGE(Tabla2[[#This Row],[total_kills]:[rating]])</f>
        <v>8692.21052631579</v>
      </c>
      <c r="AP610" t="str">
        <f>VLOOKUP(Tabla2[[#This Row],[KPI]],$AS$2:$AT$5,2,1)</f>
        <v>Superior</v>
      </c>
    </row>
    <row r="611" spans="1:42" x14ac:dyDescent="0.3">
      <c r="A611">
        <v>8242</v>
      </c>
      <c r="B611" t="s">
        <v>2155</v>
      </c>
      <c r="C611" t="s">
        <v>2156</v>
      </c>
      <c r="D611">
        <v>27</v>
      </c>
      <c r="E611" t="s">
        <v>327</v>
      </c>
      <c r="F611" t="s">
        <v>3514</v>
      </c>
      <c r="G611" t="s">
        <v>2157</v>
      </c>
      <c r="H611">
        <v>28133</v>
      </c>
      <c r="I611">
        <v>27400</v>
      </c>
      <c r="J611" t="s">
        <v>818</v>
      </c>
      <c r="K611">
        <v>74</v>
      </c>
      <c r="L611" t="s">
        <v>275</v>
      </c>
      <c r="M611">
        <v>1520</v>
      </c>
      <c r="N611">
        <v>40860</v>
      </c>
      <c r="O611" t="s">
        <v>463</v>
      </c>
      <c r="P611" t="s">
        <v>48</v>
      </c>
      <c r="Q611" t="s">
        <v>225</v>
      </c>
      <c r="R611" t="s">
        <v>50</v>
      </c>
      <c r="S611" t="s">
        <v>67</v>
      </c>
      <c r="T611">
        <v>19130</v>
      </c>
      <c r="U611" t="s">
        <v>51</v>
      </c>
      <c r="V611">
        <v>3423</v>
      </c>
      <c r="W611">
        <v>3498</v>
      </c>
      <c r="X611" t="s">
        <v>245</v>
      </c>
      <c r="Y611" t="s">
        <v>1570</v>
      </c>
      <c r="Z611" t="s">
        <v>391</v>
      </c>
      <c r="AA611" t="s">
        <v>978</v>
      </c>
      <c r="AB611">
        <v>21730</v>
      </c>
      <c r="AC611">
        <v>12288</v>
      </c>
      <c r="AD611">
        <v>5021</v>
      </c>
      <c r="AE611">
        <v>1512</v>
      </c>
      <c r="AF611">
        <v>278</v>
      </c>
      <c r="AG611">
        <v>31</v>
      </c>
      <c r="AH611">
        <v>21543</v>
      </c>
      <c r="AI611">
        <v>142</v>
      </c>
      <c r="AJ611">
        <v>1295</v>
      </c>
      <c r="AK611">
        <v>4887</v>
      </c>
      <c r="AL611">
        <v>261</v>
      </c>
      <c r="AM611">
        <v>82</v>
      </c>
      <c r="AN611" t="s">
        <v>255</v>
      </c>
      <c r="AO611">
        <f>AVERAGE(Tabla2[[#This Row],[total_kills]:[rating]])</f>
        <v>9655.4</v>
      </c>
      <c r="AP611" t="str">
        <f>VLOOKUP(Tabla2[[#This Row],[KPI]],$AS$2:$AT$5,2,1)</f>
        <v>Superior</v>
      </c>
    </row>
    <row r="612" spans="1:42" x14ac:dyDescent="0.3">
      <c r="A612">
        <v>8082</v>
      </c>
      <c r="B612" t="s">
        <v>2554</v>
      </c>
      <c r="C612" t="s">
        <v>2555</v>
      </c>
      <c r="D612">
        <v>29</v>
      </c>
      <c r="E612" t="s">
        <v>299</v>
      </c>
      <c r="F612" t="s">
        <v>3514</v>
      </c>
      <c r="G612" t="s">
        <v>2556</v>
      </c>
      <c r="H612">
        <v>19524</v>
      </c>
      <c r="I612">
        <v>19699</v>
      </c>
      <c r="J612" t="s">
        <v>818</v>
      </c>
      <c r="K612" t="s">
        <v>2250</v>
      </c>
      <c r="L612" t="s">
        <v>80</v>
      </c>
      <c r="M612">
        <v>1093</v>
      </c>
      <c r="N612">
        <v>28528</v>
      </c>
      <c r="O612" t="s">
        <v>167</v>
      </c>
      <c r="P612" t="s">
        <v>235</v>
      </c>
      <c r="Q612" t="s">
        <v>463</v>
      </c>
      <c r="R612" t="s">
        <v>67</v>
      </c>
      <c r="S612" t="s">
        <v>67</v>
      </c>
      <c r="T612">
        <v>13330</v>
      </c>
      <c r="U612" t="s">
        <v>51</v>
      </c>
      <c r="V612">
        <v>2571</v>
      </c>
      <c r="W612">
        <v>2508</v>
      </c>
      <c r="X612" t="s">
        <v>412</v>
      </c>
      <c r="Y612" t="s">
        <v>503</v>
      </c>
      <c r="Z612" t="s">
        <v>1020</v>
      </c>
      <c r="AA612" t="s">
        <v>257</v>
      </c>
      <c r="AB612">
        <v>15198</v>
      </c>
      <c r="AC612">
        <v>8637</v>
      </c>
      <c r="AD612">
        <v>3423</v>
      </c>
      <c r="AE612">
        <v>1054</v>
      </c>
      <c r="AF612">
        <v>201</v>
      </c>
      <c r="AG612">
        <v>15</v>
      </c>
      <c r="AH612">
        <v>14216</v>
      </c>
      <c r="AI612">
        <v>230</v>
      </c>
      <c r="AJ612">
        <v>1736</v>
      </c>
      <c r="AK612">
        <v>3132</v>
      </c>
      <c r="AL612">
        <v>196</v>
      </c>
      <c r="AM612">
        <v>43</v>
      </c>
      <c r="AN612" t="s">
        <v>285</v>
      </c>
      <c r="AO612">
        <f>AVERAGE(Tabla2[[#This Row],[total_kills]:[rating]])</f>
        <v>7122.8421052631575</v>
      </c>
      <c r="AP612" t="str">
        <f>VLOOKUP(Tabla2[[#This Row],[KPI]],$AS$2:$AT$5,2,1)</f>
        <v>Superior</v>
      </c>
    </row>
    <row r="613" spans="1:42" x14ac:dyDescent="0.3">
      <c r="A613">
        <v>11816</v>
      </c>
      <c r="B613" t="s">
        <v>444</v>
      </c>
      <c r="C613" t="s">
        <v>445</v>
      </c>
      <c r="D613">
        <v>22</v>
      </c>
      <c r="E613" t="s">
        <v>446</v>
      </c>
      <c r="F613" t="s">
        <v>447</v>
      </c>
      <c r="G613" t="s">
        <v>188</v>
      </c>
      <c r="H613">
        <v>22490</v>
      </c>
      <c r="I613">
        <v>18697</v>
      </c>
      <c r="J613" t="s">
        <v>448</v>
      </c>
      <c r="K613" t="s">
        <v>424</v>
      </c>
      <c r="L613" t="s">
        <v>63</v>
      </c>
      <c r="M613">
        <v>1149</v>
      </c>
      <c r="N613">
        <v>30413</v>
      </c>
      <c r="O613" t="s">
        <v>283</v>
      </c>
      <c r="P613" t="s">
        <v>67</v>
      </c>
      <c r="Q613" t="s">
        <v>49</v>
      </c>
      <c r="R613" t="s">
        <v>135</v>
      </c>
      <c r="S613" t="s">
        <v>96</v>
      </c>
      <c r="T613">
        <v>14993</v>
      </c>
      <c r="U613" t="s">
        <v>51</v>
      </c>
      <c r="V613">
        <v>2943</v>
      </c>
      <c r="W613">
        <v>2410</v>
      </c>
      <c r="X613" t="s">
        <v>114</v>
      </c>
      <c r="Y613" t="s">
        <v>449</v>
      </c>
      <c r="Z613" t="s">
        <v>54</v>
      </c>
      <c r="AA613" t="s">
        <v>363</v>
      </c>
      <c r="AB613">
        <v>15420</v>
      </c>
      <c r="AC613">
        <v>9347</v>
      </c>
      <c r="AD613">
        <v>4109</v>
      </c>
      <c r="AE613">
        <v>1251</v>
      </c>
      <c r="AF613">
        <v>258</v>
      </c>
      <c r="AG613">
        <v>28</v>
      </c>
      <c r="AH613">
        <v>16807</v>
      </c>
      <c r="AI613">
        <v>1080</v>
      </c>
      <c r="AJ613">
        <v>738</v>
      </c>
      <c r="AK613">
        <v>3679</v>
      </c>
      <c r="AL613">
        <v>131</v>
      </c>
      <c r="AM613">
        <v>117</v>
      </c>
      <c r="AN613" t="s">
        <v>84</v>
      </c>
      <c r="AO613">
        <f>AVERAGE(Tabla2[[#This Row],[total_kills]:[rating]])</f>
        <v>7687.3684210526317</v>
      </c>
      <c r="AP613" t="str">
        <f>VLOOKUP(Tabla2[[#This Row],[KPI]],$AS$2:$AT$5,2,1)</f>
        <v>Superior</v>
      </c>
    </row>
    <row r="614" spans="1:42" x14ac:dyDescent="0.3">
      <c r="A614">
        <v>16323</v>
      </c>
      <c r="B614" t="s">
        <v>1273</v>
      </c>
      <c r="C614" t="s">
        <v>1274</v>
      </c>
      <c r="D614">
        <v>21</v>
      </c>
      <c r="E614" t="s">
        <v>299</v>
      </c>
      <c r="F614" t="s">
        <v>936</v>
      </c>
      <c r="G614" t="s">
        <v>1275</v>
      </c>
      <c r="H614">
        <v>11884</v>
      </c>
      <c r="I614">
        <v>10793</v>
      </c>
      <c r="J614" t="s">
        <v>448</v>
      </c>
      <c r="K614" t="s">
        <v>1042</v>
      </c>
      <c r="L614" t="s">
        <v>46</v>
      </c>
      <c r="M614">
        <v>657</v>
      </c>
      <c r="N614">
        <v>16993</v>
      </c>
      <c r="O614" t="s">
        <v>905</v>
      </c>
      <c r="P614" t="s">
        <v>202</v>
      </c>
      <c r="Q614" t="s">
        <v>65</v>
      </c>
      <c r="R614" t="s">
        <v>50</v>
      </c>
      <c r="S614" t="s">
        <v>67</v>
      </c>
      <c r="T614">
        <v>7934</v>
      </c>
      <c r="U614" t="s">
        <v>51</v>
      </c>
      <c r="V614">
        <v>1423</v>
      </c>
      <c r="W614">
        <v>1266</v>
      </c>
      <c r="X614" t="s">
        <v>370</v>
      </c>
      <c r="Y614" t="s">
        <v>472</v>
      </c>
      <c r="Z614" t="s">
        <v>1214</v>
      </c>
      <c r="AA614" t="s">
        <v>1276</v>
      </c>
      <c r="AB614">
        <v>9059</v>
      </c>
      <c r="AC614">
        <v>4981</v>
      </c>
      <c r="AD614">
        <v>2126</v>
      </c>
      <c r="AE614">
        <v>672</v>
      </c>
      <c r="AF614">
        <v>140</v>
      </c>
      <c r="AG614">
        <v>15</v>
      </c>
      <c r="AH614">
        <v>8605</v>
      </c>
      <c r="AI614">
        <v>606</v>
      </c>
      <c r="AJ614">
        <v>486</v>
      </c>
      <c r="AK614">
        <v>2079</v>
      </c>
      <c r="AL614">
        <v>124</v>
      </c>
      <c r="AM614">
        <v>37</v>
      </c>
      <c r="AN614" t="s">
        <v>561</v>
      </c>
      <c r="AO614">
        <f>AVERAGE(Tabla2[[#This Row],[total_kills]:[rating]])</f>
        <v>4204.2105263157891</v>
      </c>
      <c r="AP614" t="str">
        <f>VLOOKUP(Tabla2[[#This Row],[KPI]],$AS$2:$AT$5,2,1)</f>
        <v>Medio</v>
      </c>
    </row>
    <row r="615" spans="1:42" x14ac:dyDescent="0.3">
      <c r="A615">
        <v>8248</v>
      </c>
      <c r="B615" t="s">
        <v>1511</v>
      </c>
      <c r="C615" t="s">
        <v>1512</v>
      </c>
      <c r="D615">
        <v>28</v>
      </c>
      <c r="E615" t="s">
        <v>1070</v>
      </c>
      <c r="F615" t="s">
        <v>599</v>
      </c>
      <c r="G615" t="s">
        <v>1513</v>
      </c>
      <c r="H615">
        <v>25423</v>
      </c>
      <c r="I615">
        <v>24235</v>
      </c>
      <c r="J615" t="s">
        <v>448</v>
      </c>
      <c r="K615" t="s">
        <v>108</v>
      </c>
      <c r="L615" t="s">
        <v>589</v>
      </c>
      <c r="M615">
        <v>1317</v>
      </c>
      <c r="N615">
        <v>34768</v>
      </c>
      <c r="O615" t="s">
        <v>495</v>
      </c>
      <c r="P615" t="s">
        <v>235</v>
      </c>
      <c r="Q615" t="s">
        <v>905</v>
      </c>
      <c r="R615" t="s">
        <v>67</v>
      </c>
      <c r="S615" t="s">
        <v>67</v>
      </c>
      <c r="T615">
        <v>16853</v>
      </c>
      <c r="U615" t="s">
        <v>51</v>
      </c>
      <c r="V615">
        <v>4024</v>
      </c>
      <c r="W615">
        <v>3779</v>
      </c>
      <c r="X615" t="s">
        <v>590</v>
      </c>
      <c r="Y615" t="s">
        <v>590</v>
      </c>
      <c r="Z615" t="s">
        <v>718</v>
      </c>
      <c r="AA615" t="s">
        <v>994</v>
      </c>
      <c r="AB615">
        <v>17915</v>
      </c>
      <c r="AC615">
        <v>10444</v>
      </c>
      <c r="AD615">
        <v>4631</v>
      </c>
      <c r="AE615">
        <v>1446</v>
      </c>
      <c r="AF615">
        <v>299</v>
      </c>
      <c r="AG615">
        <v>33</v>
      </c>
      <c r="AH615">
        <v>19134</v>
      </c>
      <c r="AI615">
        <v>187</v>
      </c>
      <c r="AJ615">
        <v>1158</v>
      </c>
      <c r="AK615">
        <v>4483</v>
      </c>
      <c r="AL615">
        <v>292</v>
      </c>
      <c r="AM615">
        <v>237</v>
      </c>
      <c r="AN615" t="s">
        <v>407</v>
      </c>
      <c r="AO615">
        <f>AVERAGE(Tabla2[[#This Row],[total_kills]:[rating]])</f>
        <v>8982</v>
      </c>
      <c r="AP615" t="str">
        <f>VLOOKUP(Tabla2[[#This Row],[KPI]],$AS$2:$AT$5,2,1)</f>
        <v>Superior</v>
      </c>
    </row>
    <row r="616" spans="1:42" x14ac:dyDescent="0.3">
      <c r="A616">
        <v>9271</v>
      </c>
      <c r="B616" t="s">
        <v>1815</v>
      </c>
      <c r="C616" t="s">
        <v>1816</v>
      </c>
      <c r="D616">
        <v>26</v>
      </c>
      <c r="E616" t="s">
        <v>452</v>
      </c>
      <c r="F616" t="s">
        <v>537</v>
      </c>
      <c r="G616" t="s">
        <v>537</v>
      </c>
      <c r="H616">
        <v>20929</v>
      </c>
      <c r="I616">
        <v>20095</v>
      </c>
      <c r="J616" t="s">
        <v>448</v>
      </c>
      <c r="K616" t="s">
        <v>418</v>
      </c>
      <c r="L616" t="s">
        <v>612</v>
      </c>
      <c r="M616">
        <v>1121</v>
      </c>
      <c r="N616">
        <v>30114</v>
      </c>
      <c r="O616" t="s">
        <v>463</v>
      </c>
      <c r="P616" t="s">
        <v>235</v>
      </c>
      <c r="Q616" t="s">
        <v>225</v>
      </c>
      <c r="R616" t="s">
        <v>96</v>
      </c>
      <c r="S616" t="s">
        <v>96</v>
      </c>
      <c r="T616">
        <v>14037</v>
      </c>
      <c r="U616" t="s">
        <v>51</v>
      </c>
      <c r="V616">
        <v>3469</v>
      </c>
      <c r="W616">
        <v>3448</v>
      </c>
      <c r="X616" t="s">
        <v>255</v>
      </c>
      <c r="Y616" t="s">
        <v>304</v>
      </c>
      <c r="Z616" t="s">
        <v>728</v>
      </c>
      <c r="AA616" t="s">
        <v>697</v>
      </c>
      <c r="AB616">
        <v>16077</v>
      </c>
      <c r="AC616">
        <v>8857</v>
      </c>
      <c r="AD616">
        <v>3742</v>
      </c>
      <c r="AE616">
        <v>1183</v>
      </c>
      <c r="AF616">
        <v>236</v>
      </c>
      <c r="AG616">
        <v>19</v>
      </c>
      <c r="AH616">
        <v>11504</v>
      </c>
      <c r="AI616">
        <v>4069</v>
      </c>
      <c r="AJ616">
        <v>1551</v>
      </c>
      <c r="AK616">
        <v>3308</v>
      </c>
      <c r="AL616">
        <v>325</v>
      </c>
      <c r="AM616">
        <v>220</v>
      </c>
      <c r="AN616" t="s">
        <v>449</v>
      </c>
      <c r="AO616">
        <f>AVERAGE(Tabla2[[#This Row],[total_kills]:[rating]])</f>
        <v>7594.9473684210525</v>
      </c>
      <c r="AP616" t="str">
        <f>VLOOKUP(Tabla2[[#This Row],[KPI]],$AS$2:$AT$5,2,1)</f>
        <v>Superior</v>
      </c>
    </row>
    <row r="617" spans="1:42" x14ac:dyDescent="0.3">
      <c r="A617">
        <v>5386</v>
      </c>
      <c r="B617" t="s">
        <v>2110</v>
      </c>
      <c r="C617" t="s">
        <v>2111</v>
      </c>
      <c r="D617">
        <v>28</v>
      </c>
      <c r="E617" t="s">
        <v>327</v>
      </c>
      <c r="F617" t="s">
        <v>2040</v>
      </c>
      <c r="G617" t="s">
        <v>2112</v>
      </c>
      <c r="H617">
        <v>34583</v>
      </c>
      <c r="I617">
        <v>33286</v>
      </c>
      <c r="J617" t="s">
        <v>448</v>
      </c>
      <c r="K617" t="s">
        <v>178</v>
      </c>
      <c r="L617" t="s">
        <v>46</v>
      </c>
      <c r="M617">
        <v>1887</v>
      </c>
      <c r="N617">
        <v>49607</v>
      </c>
      <c r="O617" t="s">
        <v>905</v>
      </c>
      <c r="P617" t="s">
        <v>235</v>
      </c>
      <c r="Q617" t="s">
        <v>225</v>
      </c>
      <c r="R617" t="s">
        <v>96</v>
      </c>
      <c r="S617" t="s">
        <v>50</v>
      </c>
      <c r="T617">
        <v>23725</v>
      </c>
      <c r="U617" t="s">
        <v>51</v>
      </c>
      <c r="V617">
        <v>4451</v>
      </c>
      <c r="W617">
        <v>3989</v>
      </c>
      <c r="X617" t="s">
        <v>370</v>
      </c>
      <c r="Y617" t="s">
        <v>245</v>
      </c>
      <c r="Z617" t="s">
        <v>473</v>
      </c>
      <c r="AA617" t="s">
        <v>1244</v>
      </c>
      <c r="AB617">
        <v>25882</v>
      </c>
      <c r="AC617">
        <v>15411</v>
      </c>
      <c r="AD617">
        <v>6187</v>
      </c>
      <c r="AE617">
        <v>1777</v>
      </c>
      <c r="AF617">
        <v>324</v>
      </c>
      <c r="AG617">
        <v>26</v>
      </c>
      <c r="AH617">
        <v>26889</v>
      </c>
      <c r="AI617">
        <v>165</v>
      </c>
      <c r="AJ617">
        <v>1236</v>
      </c>
      <c r="AK617">
        <v>5877</v>
      </c>
      <c r="AL617">
        <v>434</v>
      </c>
      <c r="AM617">
        <v>44</v>
      </c>
      <c r="AN617" t="s">
        <v>255</v>
      </c>
      <c r="AO617">
        <f>AVERAGE(Tabla2[[#This Row],[total_kills]:[rating]])</f>
        <v>12409.473684210527</v>
      </c>
      <c r="AP617" t="str">
        <f>VLOOKUP(Tabla2[[#This Row],[KPI]],$AS$2:$AT$5,2,1)</f>
        <v>Superior</v>
      </c>
    </row>
    <row r="618" spans="1:42" x14ac:dyDescent="0.3">
      <c r="A618">
        <v>11329</v>
      </c>
      <c r="B618" t="s">
        <v>2260</v>
      </c>
      <c r="C618" t="s">
        <v>2261</v>
      </c>
      <c r="D618">
        <v>22</v>
      </c>
      <c r="E618" t="s">
        <v>104</v>
      </c>
      <c r="F618" t="s">
        <v>250</v>
      </c>
      <c r="G618" t="s">
        <v>2262</v>
      </c>
      <c r="H618">
        <v>10622</v>
      </c>
      <c r="I618">
        <v>10591</v>
      </c>
      <c r="J618" t="s">
        <v>448</v>
      </c>
      <c r="K618" t="s">
        <v>531</v>
      </c>
      <c r="L618" t="s">
        <v>224</v>
      </c>
      <c r="M618">
        <v>597</v>
      </c>
      <c r="N618">
        <v>15378</v>
      </c>
      <c r="O618" t="s">
        <v>463</v>
      </c>
      <c r="P618" t="s">
        <v>202</v>
      </c>
      <c r="Q618" t="s">
        <v>463</v>
      </c>
      <c r="R618" t="s">
        <v>67</v>
      </c>
      <c r="S618" t="s">
        <v>50</v>
      </c>
      <c r="T618">
        <v>7158</v>
      </c>
      <c r="U618" t="s">
        <v>51</v>
      </c>
      <c r="V618">
        <v>1828</v>
      </c>
      <c r="W618">
        <v>1969</v>
      </c>
      <c r="X618" t="s">
        <v>950</v>
      </c>
      <c r="Y618" t="s">
        <v>304</v>
      </c>
      <c r="Z618" t="s">
        <v>932</v>
      </c>
      <c r="AA618" t="s">
        <v>1385</v>
      </c>
      <c r="AB618">
        <v>8220</v>
      </c>
      <c r="AC618">
        <v>4575</v>
      </c>
      <c r="AD618">
        <v>1848</v>
      </c>
      <c r="AE618">
        <v>603</v>
      </c>
      <c r="AF618">
        <v>118</v>
      </c>
      <c r="AG618">
        <v>14</v>
      </c>
      <c r="AH618">
        <v>7972</v>
      </c>
      <c r="AI618">
        <v>166</v>
      </c>
      <c r="AJ618">
        <v>554</v>
      </c>
      <c r="AK618">
        <v>1700</v>
      </c>
      <c r="AL618">
        <v>155</v>
      </c>
      <c r="AM618">
        <v>106</v>
      </c>
      <c r="AN618" t="s">
        <v>464</v>
      </c>
      <c r="AO618">
        <f>AVERAGE(Tabla2[[#This Row],[total_kills]:[rating]])</f>
        <v>3903.8947368421054</v>
      </c>
      <c r="AP618" t="str">
        <f>VLOOKUP(Tabla2[[#This Row],[KPI]],$AS$2:$AT$5,2,1)</f>
        <v>Medio</v>
      </c>
    </row>
    <row r="619" spans="1:42" x14ac:dyDescent="0.3">
      <c r="A619">
        <v>9254</v>
      </c>
      <c r="B619" t="s">
        <v>2322</v>
      </c>
      <c r="C619" t="s">
        <v>2323</v>
      </c>
      <c r="D619">
        <v>25</v>
      </c>
      <c r="E619" t="s">
        <v>683</v>
      </c>
      <c r="F619" t="s">
        <v>1674</v>
      </c>
      <c r="G619" t="s">
        <v>1674</v>
      </c>
      <c r="H619">
        <v>20909</v>
      </c>
      <c r="I619">
        <v>20945</v>
      </c>
      <c r="J619" t="s">
        <v>448</v>
      </c>
      <c r="K619" t="s">
        <v>939</v>
      </c>
      <c r="L619" t="s">
        <v>949</v>
      </c>
      <c r="M619">
        <v>1158</v>
      </c>
      <c r="N619">
        <v>30745</v>
      </c>
      <c r="O619" t="s">
        <v>167</v>
      </c>
      <c r="P619" t="s">
        <v>202</v>
      </c>
      <c r="Q619" t="s">
        <v>167</v>
      </c>
      <c r="R619" t="s">
        <v>96</v>
      </c>
      <c r="S619" t="s">
        <v>135</v>
      </c>
      <c r="T619">
        <v>13971</v>
      </c>
      <c r="U619" t="s">
        <v>51</v>
      </c>
      <c r="V619">
        <v>3550</v>
      </c>
      <c r="W619">
        <v>4060</v>
      </c>
      <c r="X619" t="s">
        <v>2324</v>
      </c>
      <c r="Y619" t="s">
        <v>449</v>
      </c>
      <c r="Z619" t="s">
        <v>705</v>
      </c>
      <c r="AA619" t="s">
        <v>86</v>
      </c>
      <c r="AB619">
        <v>16774</v>
      </c>
      <c r="AC619">
        <v>8796</v>
      </c>
      <c r="AD619">
        <v>3713</v>
      </c>
      <c r="AE619">
        <v>1190</v>
      </c>
      <c r="AF619">
        <v>243</v>
      </c>
      <c r="AG619">
        <v>29</v>
      </c>
      <c r="AH619">
        <v>14769</v>
      </c>
      <c r="AI619">
        <v>532</v>
      </c>
      <c r="AJ619">
        <v>2188</v>
      </c>
      <c r="AK619">
        <v>3151</v>
      </c>
      <c r="AL619">
        <v>207</v>
      </c>
      <c r="AM619">
        <v>132</v>
      </c>
      <c r="AN619">
        <v>1</v>
      </c>
      <c r="AO619">
        <f>AVERAGE(Tabla2[[#This Row],[total_kills]:[rating]])</f>
        <v>7353.15</v>
      </c>
      <c r="AP619" t="str">
        <f>VLOOKUP(Tabla2[[#This Row],[KPI]],$AS$2:$AT$5,2,1)</f>
        <v>Superior</v>
      </c>
    </row>
    <row r="620" spans="1:42" x14ac:dyDescent="0.3">
      <c r="A620">
        <v>8598</v>
      </c>
      <c r="B620" t="s">
        <v>2863</v>
      </c>
      <c r="C620" t="s">
        <v>2864</v>
      </c>
      <c r="D620">
        <v>28</v>
      </c>
      <c r="E620" t="s">
        <v>2865</v>
      </c>
      <c r="F620" t="s">
        <v>358</v>
      </c>
      <c r="G620" t="s">
        <v>2866</v>
      </c>
      <c r="H620">
        <v>7439</v>
      </c>
      <c r="I620">
        <v>7664</v>
      </c>
      <c r="J620" t="s">
        <v>448</v>
      </c>
      <c r="K620" t="s">
        <v>1089</v>
      </c>
      <c r="L620" t="s">
        <v>589</v>
      </c>
      <c r="M620">
        <v>434</v>
      </c>
      <c r="N620">
        <v>11442</v>
      </c>
      <c r="O620" t="s">
        <v>276</v>
      </c>
      <c r="P620" t="s">
        <v>202</v>
      </c>
      <c r="Q620" t="s">
        <v>225</v>
      </c>
      <c r="R620" t="s">
        <v>96</v>
      </c>
      <c r="S620" t="s">
        <v>50</v>
      </c>
      <c r="T620">
        <v>5131</v>
      </c>
      <c r="U620" t="s">
        <v>51</v>
      </c>
      <c r="V620">
        <v>996</v>
      </c>
      <c r="W620">
        <v>983</v>
      </c>
      <c r="X620" t="s">
        <v>255</v>
      </c>
      <c r="Y620" t="s">
        <v>472</v>
      </c>
      <c r="Z620" t="s">
        <v>1020</v>
      </c>
      <c r="AA620" t="s">
        <v>1083</v>
      </c>
      <c r="AB620">
        <v>6311</v>
      </c>
      <c r="AC620">
        <v>3377</v>
      </c>
      <c r="AD620">
        <v>1282</v>
      </c>
      <c r="AE620">
        <v>399</v>
      </c>
      <c r="AF620">
        <v>64</v>
      </c>
      <c r="AG620">
        <v>9</v>
      </c>
      <c r="AH620">
        <v>5318</v>
      </c>
      <c r="AI620">
        <v>373</v>
      </c>
      <c r="AJ620">
        <v>444</v>
      </c>
      <c r="AK620">
        <v>1256</v>
      </c>
      <c r="AL620">
        <v>61</v>
      </c>
      <c r="AM620">
        <v>10</v>
      </c>
      <c r="AN620" t="s">
        <v>472</v>
      </c>
      <c r="AO620">
        <f>AVERAGE(Tabla2[[#This Row],[total_kills]:[rating]])</f>
        <v>2789.1052631578946</v>
      </c>
      <c r="AP620" t="str">
        <f>VLOOKUP(Tabla2[[#This Row],[KPI]],$AS$2:$AT$5,2,1)</f>
        <v>Bajo</v>
      </c>
    </row>
    <row r="621" spans="1:42" x14ac:dyDescent="0.3">
      <c r="A621">
        <v>10508</v>
      </c>
      <c r="B621" t="s">
        <v>2942</v>
      </c>
      <c r="C621" t="s">
        <v>2943</v>
      </c>
      <c r="D621">
        <v>25</v>
      </c>
      <c r="E621" t="s">
        <v>1012</v>
      </c>
      <c r="F621" t="s">
        <v>2944</v>
      </c>
      <c r="G621" t="s">
        <v>2374</v>
      </c>
      <c r="H621">
        <v>10346</v>
      </c>
      <c r="I621">
        <v>10867</v>
      </c>
      <c r="J621" t="s">
        <v>448</v>
      </c>
      <c r="K621" t="s">
        <v>1351</v>
      </c>
      <c r="L621" t="s">
        <v>46</v>
      </c>
      <c r="M621">
        <v>605</v>
      </c>
      <c r="N621">
        <v>15629</v>
      </c>
      <c r="O621" t="s">
        <v>322</v>
      </c>
      <c r="P621" t="s">
        <v>202</v>
      </c>
      <c r="Q621" t="s">
        <v>905</v>
      </c>
      <c r="R621" t="s">
        <v>67</v>
      </c>
      <c r="S621" t="s">
        <v>50</v>
      </c>
      <c r="T621">
        <v>7083</v>
      </c>
      <c r="U621" t="s">
        <v>51</v>
      </c>
      <c r="V621">
        <v>1359</v>
      </c>
      <c r="W621">
        <v>1483</v>
      </c>
      <c r="X621" t="s">
        <v>1314</v>
      </c>
      <c r="Y621" t="s">
        <v>1570</v>
      </c>
      <c r="Z621" t="s">
        <v>1214</v>
      </c>
      <c r="AA621" t="s">
        <v>852</v>
      </c>
      <c r="AB621">
        <v>8546</v>
      </c>
      <c r="AC621">
        <v>4587</v>
      </c>
      <c r="AD621">
        <v>1842</v>
      </c>
      <c r="AE621">
        <v>547</v>
      </c>
      <c r="AF621">
        <v>101</v>
      </c>
      <c r="AG621">
        <v>6</v>
      </c>
      <c r="AH621">
        <v>7435</v>
      </c>
      <c r="AI621">
        <v>143</v>
      </c>
      <c r="AJ621">
        <v>848</v>
      </c>
      <c r="AK621">
        <v>1805</v>
      </c>
      <c r="AL621">
        <v>123</v>
      </c>
      <c r="AM621">
        <v>8</v>
      </c>
      <c r="AN621" t="s">
        <v>472</v>
      </c>
      <c r="AO621">
        <f>AVERAGE(Tabla2[[#This Row],[total_kills]:[rating]])</f>
        <v>3861.2105263157896</v>
      </c>
      <c r="AP621" t="str">
        <f>VLOOKUP(Tabla2[[#This Row],[KPI]],$AS$2:$AT$5,2,1)</f>
        <v>Medio</v>
      </c>
    </row>
    <row r="622" spans="1:42" x14ac:dyDescent="0.3">
      <c r="A622">
        <v>7322</v>
      </c>
      <c r="B622" t="s">
        <v>1955</v>
      </c>
      <c r="C622" t="s">
        <v>1956</v>
      </c>
      <c r="D622">
        <v>29</v>
      </c>
      <c r="E622" t="s">
        <v>42</v>
      </c>
      <c r="F622" t="s">
        <v>43</v>
      </c>
      <c r="G622" t="s">
        <v>1957</v>
      </c>
      <c r="H622">
        <v>37364</v>
      </c>
      <c r="I622">
        <v>36746</v>
      </c>
      <c r="J622" t="s">
        <v>1958</v>
      </c>
      <c r="K622" t="s">
        <v>1959</v>
      </c>
      <c r="L622" t="s">
        <v>244</v>
      </c>
      <c r="M622">
        <v>2002</v>
      </c>
      <c r="N622">
        <v>52515</v>
      </c>
      <c r="O622" t="s">
        <v>646</v>
      </c>
      <c r="P622" t="s">
        <v>553</v>
      </c>
      <c r="Q622" t="s">
        <v>905</v>
      </c>
      <c r="R622" t="s">
        <v>50</v>
      </c>
      <c r="S622" t="s">
        <v>96</v>
      </c>
      <c r="T622">
        <v>24945</v>
      </c>
      <c r="U622" t="s">
        <v>51</v>
      </c>
      <c r="V622">
        <v>6157</v>
      </c>
      <c r="W622">
        <v>6582</v>
      </c>
      <c r="X622" t="s">
        <v>1570</v>
      </c>
      <c r="Y622" t="s">
        <v>407</v>
      </c>
      <c r="Z622" t="s">
        <v>1656</v>
      </c>
      <c r="AA622" t="s">
        <v>376</v>
      </c>
      <c r="AB622">
        <v>27570</v>
      </c>
      <c r="AC622">
        <v>15684</v>
      </c>
      <c r="AD622">
        <v>6668</v>
      </c>
      <c r="AE622">
        <v>2114</v>
      </c>
      <c r="AF622">
        <v>435</v>
      </c>
      <c r="AG622">
        <v>44</v>
      </c>
      <c r="AH622">
        <v>28265</v>
      </c>
      <c r="AI622">
        <v>537</v>
      </c>
      <c r="AJ622">
        <v>1750</v>
      </c>
      <c r="AK622">
        <v>6200</v>
      </c>
      <c r="AL622">
        <v>551</v>
      </c>
      <c r="AM622">
        <v>109</v>
      </c>
      <c r="AN622" t="s">
        <v>449</v>
      </c>
      <c r="AO622">
        <f>AVERAGE(Tabla2[[#This Row],[total_kills]:[rating]])</f>
        <v>13486.21052631579</v>
      </c>
      <c r="AP622" t="str">
        <f>VLOOKUP(Tabla2[[#This Row],[KPI]],$AS$2:$AT$5,2,1)</f>
        <v>Superior</v>
      </c>
    </row>
    <row r="623" spans="1:42" x14ac:dyDescent="0.3">
      <c r="A623">
        <v>17113</v>
      </c>
      <c r="B623" t="s">
        <v>1989</v>
      </c>
      <c r="C623" t="s">
        <v>1990</v>
      </c>
      <c r="D623">
        <v>20</v>
      </c>
      <c r="E623" t="s">
        <v>327</v>
      </c>
      <c r="F623" t="s">
        <v>328</v>
      </c>
      <c r="G623" t="s">
        <v>1991</v>
      </c>
      <c r="H623">
        <v>10070</v>
      </c>
      <c r="I623">
        <v>9815</v>
      </c>
      <c r="J623" t="s">
        <v>1958</v>
      </c>
      <c r="K623" t="s">
        <v>948</v>
      </c>
      <c r="L623" t="s">
        <v>80</v>
      </c>
      <c r="M623">
        <v>545</v>
      </c>
      <c r="N623">
        <v>14588</v>
      </c>
      <c r="O623" t="s">
        <v>463</v>
      </c>
      <c r="P623" t="s">
        <v>202</v>
      </c>
      <c r="Q623" t="s">
        <v>225</v>
      </c>
      <c r="R623" t="s">
        <v>96</v>
      </c>
      <c r="S623" t="s">
        <v>96</v>
      </c>
      <c r="T623">
        <v>6757</v>
      </c>
      <c r="U623" t="s">
        <v>51</v>
      </c>
      <c r="V623">
        <v>1380</v>
      </c>
      <c r="W623">
        <v>1357</v>
      </c>
      <c r="X623" t="s">
        <v>449</v>
      </c>
      <c r="Y623" t="s">
        <v>245</v>
      </c>
      <c r="Z623" t="s">
        <v>217</v>
      </c>
      <c r="AA623" t="s">
        <v>888</v>
      </c>
      <c r="AB623">
        <v>7831</v>
      </c>
      <c r="AC623">
        <v>4298</v>
      </c>
      <c r="AD623">
        <v>1753</v>
      </c>
      <c r="AE623">
        <v>569</v>
      </c>
      <c r="AF623">
        <v>126</v>
      </c>
      <c r="AG623">
        <v>11</v>
      </c>
      <c r="AH623">
        <v>7553</v>
      </c>
      <c r="AI623">
        <v>268</v>
      </c>
      <c r="AJ623">
        <v>314</v>
      </c>
      <c r="AK623">
        <v>1832</v>
      </c>
      <c r="AL623">
        <v>98</v>
      </c>
      <c r="AM623">
        <v>45</v>
      </c>
      <c r="AN623" t="s">
        <v>590</v>
      </c>
      <c r="AO623">
        <f>AVERAGE(Tabla2[[#This Row],[total_kills]:[rating]])</f>
        <v>3642.6315789473683</v>
      </c>
      <c r="AP623" t="str">
        <f>VLOOKUP(Tabla2[[#This Row],[KPI]],$AS$2:$AT$5,2,1)</f>
        <v>Medio</v>
      </c>
    </row>
    <row r="624" spans="1:42" x14ac:dyDescent="0.3">
      <c r="A624">
        <v>9660</v>
      </c>
      <c r="B624" t="s">
        <v>3015</v>
      </c>
      <c r="C624" t="s">
        <v>3016</v>
      </c>
      <c r="D624">
        <v>28</v>
      </c>
      <c r="E624" t="s">
        <v>500</v>
      </c>
      <c r="F624" t="s">
        <v>3514</v>
      </c>
      <c r="G624" t="s">
        <v>3017</v>
      </c>
      <c r="H624">
        <v>7738</v>
      </c>
      <c r="I624">
        <v>8195</v>
      </c>
      <c r="J624" t="s">
        <v>1958</v>
      </c>
      <c r="K624" t="s">
        <v>1288</v>
      </c>
      <c r="L624" t="s">
        <v>179</v>
      </c>
      <c r="M624">
        <v>449</v>
      </c>
      <c r="N624">
        <v>11544</v>
      </c>
      <c r="O624" t="s">
        <v>225</v>
      </c>
      <c r="P624" t="s">
        <v>48</v>
      </c>
      <c r="Q624" t="s">
        <v>646</v>
      </c>
      <c r="R624" t="s">
        <v>67</v>
      </c>
      <c r="S624" t="s">
        <v>50</v>
      </c>
      <c r="T624">
        <v>5339</v>
      </c>
      <c r="U624" t="s">
        <v>51</v>
      </c>
      <c r="V624">
        <v>1165</v>
      </c>
      <c r="W624">
        <v>1426</v>
      </c>
      <c r="X624" t="s">
        <v>2998</v>
      </c>
      <c r="Y624" t="s">
        <v>503</v>
      </c>
      <c r="Z624" t="s">
        <v>2489</v>
      </c>
      <c r="AA624" t="s">
        <v>739</v>
      </c>
      <c r="AB624">
        <v>6205</v>
      </c>
      <c r="AC624">
        <v>3510</v>
      </c>
      <c r="AD624">
        <v>1347</v>
      </c>
      <c r="AE624">
        <v>401</v>
      </c>
      <c r="AF624">
        <v>74</v>
      </c>
      <c r="AG624">
        <v>7</v>
      </c>
      <c r="AH624">
        <v>4844</v>
      </c>
      <c r="AI624">
        <v>587</v>
      </c>
      <c r="AJ624">
        <v>461</v>
      </c>
      <c r="AK624">
        <v>1776</v>
      </c>
      <c r="AL624">
        <v>71</v>
      </c>
      <c r="AM624">
        <v>16</v>
      </c>
      <c r="AN624" t="s">
        <v>820</v>
      </c>
      <c r="AO624">
        <f>AVERAGE(Tabla2[[#This Row],[total_kills]:[rating]])</f>
        <v>2902.8947368421054</v>
      </c>
      <c r="AP624" t="str">
        <f>VLOOKUP(Tabla2[[#This Row],[KPI]],$AS$2:$AT$5,2,1)</f>
        <v>Bajo</v>
      </c>
    </row>
    <row r="625" spans="1:42" x14ac:dyDescent="0.3">
      <c r="A625">
        <v>9017</v>
      </c>
      <c r="B625" t="s">
        <v>3344</v>
      </c>
      <c r="C625" t="s">
        <v>3345</v>
      </c>
      <c r="D625">
        <v>26</v>
      </c>
      <c r="E625" t="s">
        <v>459</v>
      </c>
      <c r="F625" t="s">
        <v>3514</v>
      </c>
      <c r="G625" t="s">
        <v>3346</v>
      </c>
      <c r="H625">
        <v>6904</v>
      </c>
      <c r="I625">
        <v>7968</v>
      </c>
      <c r="J625" t="s">
        <v>1958</v>
      </c>
      <c r="K625" t="s">
        <v>3347</v>
      </c>
      <c r="L625" t="s">
        <v>63</v>
      </c>
      <c r="M625">
        <v>437</v>
      </c>
      <c r="N625">
        <v>11092</v>
      </c>
      <c r="O625" t="s">
        <v>144</v>
      </c>
      <c r="P625" t="s">
        <v>235</v>
      </c>
      <c r="Q625" t="s">
        <v>311</v>
      </c>
      <c r="R625" t="s">
        <v>67</v>
      </c>
      <c r="S625" t="s">
        <v>96</v>
      </c>
      <c r="T625">
        <v>4777</v>
      </c>
      <c r="U625" t="s">
        <v>51</v>
      </c>
      <c r="V625">
        <v>1225</v>
      </c>
      <c r="W625">
        <v>1442</v>
      </c>
      <c r="X625" t="s">
        <v>2667</v>
      </c>
      <c r="Y625">
        <v>1</v>
      </c>
      <c r="Z625" t="s">
        <v>3255</v>
      </c>
      <c r="AA625" t="s">
        <v>789</v>
      </c>
      <c r="AB625">
        <v>6315</v>
      </c>
      <c r="AC625">
        <v>3149</v>
      </c>
      <c r="AD625">
        <v>1215</v>
      </c>
      <c r="AE625">
        <v>337</v>
      </c>
      <c r="AF625">
        <v>66</v>
      </c>
      <c r="AG625">
        <v>10</v>
      </c>
      <c r="AH625">
        <v>4741</v>
      </c>
      <c r="AI625">
        <v>301</v>
      </c>
      <c r="AJ625">
        <v>327</v>
      </c>
      <c r="AK625">
        <v>1450</v>
      </c>
      <c r="AL625">
        <v>79</v>
      </c>
      <c r="AM625">
        <v>28</v>
      </c>
      <c r="AN625" t="s">
        <v>1551</v>
      </c>
      <c r="AO625">
        <f>AVERAGE(Tabla2[[#This Row],[total_kills]:[rating]])</f>
        <v>2593.1999999999998</v>
      </c>
      <c r="AP625" t="str">
        <f>VLOOKUP(Tabla2[[#This Row],[KPI]],$AS$2:$AT$5,2,1)</f>
        <v>Bajo</v>
      </c>
    </row>
    <row r="626" spans="1:42" x14ac:dyDescent="0.3">
      <c r="A626">
        <v>6593</v>
      </c>
      <c r="B626" t="s">
        <v>2788</v>
      </c>
      <c r="C626" t="s">
        <v>2789</v>
      </c>
      <c r="D626">
        <v>28</v>
      </c>
      <c r="E626" t="s">
        <v>104</v>
      </c>
      <c r="F626" t="s">
        <v>662</v>
      </c>
      <c r="G626" t="s">
        <v>2790</v>
      </c>
      <c r="H626">
        <v>19872</v>
      </c>
      <c r="I626">
        <v>20270</v>
      </c>
      <c r="J626" t="s">
        <v>2791</v>
      </c>
      <c r="K626" t="s">
        <v>494</v>
      </c>
      <c r="L626" t="s">
        <v>398</v>
      </c>
      <c r="M626">
        <v>1158</v>
      </c>
      <c r="N626">
        <v>30259</v>
      </c>
      <c r="O626" t="s">
        <v>322</v>
      </c>
      <c r="P626" t="s">
        <v>235</v>
      </c>
      <c r="Q626" t="s">
        <v>225</v>
      </c>
      <c r="R626" t="s">
        <v>50</v>
      </c>
      <c r="S626" t="s">
        <v>96</v>
      </c>
      <c r="T626">
        <v>13677</v>
      </c>
      <c r="U626" t="s">
        <v>51</v>
      </c>
      <c r="V626">
        <v>3001</v>
      </c>
      <c r="W626">
        <v>3167</v>
      </c>
      <c r="X626" t="s">
        <v>820</v>
      </c>
      <c r="Y626" t="s">
        <v>285</v>
      </c>
      <c r="Z626" t="s">
        <v>383</v>
      </c>
      <c r="AA626" t="s">
        <v>739</v>
      </c>
      <c r="AB626">
        <v>16582</v>
      </c>
      <c r="AC626">
        <v>8913</v>
      </c>
      <c r="AD626">
        <v>3546</v>
      </c>
      <c r="AE626">
        <v>1021</v>
      </c>
      <c r="AF626">
        <v>181</v>
      </c>
      <c r="AG626">
        <v>16</v>
      </c>
      <c r="AH626">
        <v>14758</v>
      </c>
      <c r="AI626">
        <v>827</v>
      </c>
      <c r="AJ626">
        <v>1165</v>
      </c>
      <c r="AK626">
        <v>2898</v>
      </c>
      <c r="AL626">
        <v>228</v>
      </c>
      <c r="AM626">
        <v>42</v>
      </c>
      <c r="AN626" t="s">
        <v>503</v>
      </c>
      <c r="AO626">
        <f>AVERAGE(Tabla2[[#This Row],[total_kills]:[rating]])</f>
        <v>7451.6315789473683</v>
      </c>
      <c r="AP626" t="str">
        <f>VLOOKUP(Tabla2[[#This Row],[KPI]],$AS$2:$AT$5,2,1)</f>
        <v>Superior</v>
      </c>
    </row>
    <row r="627" spans="1:42" x14ac:dyDescent="0.3">
      <c r="A627">
        <v>1866</v>
      </c>
      <c r="B627" t="s">
        <v>3282</v>
      </c>
      <c r="C627" t="s">
        <v>3283</v>
      </c>
      <c r="D627">
        <v>29</v>
      </c>
      <c r="E627" t="s">
        <v>59</v>
      </c>
      <c r="F627" t="s">
        <v>1880</v>
      </c>
      <c r="G627" t="s">
        <v>3284</v>
      </c>
      <c r="H627">
        <v>6329</v>
      </c>
      <c r="I627">
        <v>7071</v>
      </c>
      <c r="J627" t="s">
        <v>2791</v>
      </c>
      <c r="K627" t="s">
        <v>2250</v>
      </c>
      <c r="L627" t="s">
        <v>425</v>
      </c>
      <c r="M627">
        <v>383</v>
      </c>
      <c r="N627">
        <v>9929</v>
      </c>
      <c r="O627" t="s">
        <v>65</v>
      </c>
      <c r="P627" t="s">
        <v>235</v>
      </c>
      <c r="Q627" t="s">
        <v>646</v>
      </c>
      <c r="R627" t="s">
        <v>66</v>
      </c>
      <c r="S627" t="s">
        <v>135</v>
      </c>
      <c r="T627">
        <v>4411</v>
      </c>
      <c r="U627" t="s">
        <v>51</v>
      </c>
      <c r="V627">
        <v>985</v>
      </c>
      <c r="W627">
        <v>1144</v>
      </c>
      <c r="X627" t="s">
        <v>64</v>
      </c>
      <c r="Y627" t="s">
        <v>503</v>
      </c>
      <c r="Z627" t="s">
        <v>2245</v>
      </c>
      <c r="AA627" t="s">
        <v>408</v>
      </c>
      <c r="AB627">
        <v>5518</v>
      </c>
      <c r="AC627">
        <v>2932</v>
      </c>
      <c r="AD627">
        <v>1119</v>
      </c>
      <c r="AE627">
        <v>287</v>
      </c>
      <c r="AF627">
        <v>68</v>
      </c>
      <c r="AG627">
        <v>5</v>
      </c>
      <c r="AH627">
        <v>4675</v>
      </c>
      <c r="AI627">
        <v>19</v>
      </c>
      <c r="AJ627">
        <v>425</v>
      </c>
      <c r="AK627">
        <v>1165</v>
      </c>
      <c r="AL627">
        <v>48</v>
      </c>
      <c r="AM627">
        <v>10</v>
      </c>
      <c r="AN627" t="s">
        <v>1749</v>
      </c>
      <c r="AO627">
        <f>AVERAGE(Tabla2[[#This Row],[total_kills]:[rating]])</f>
        <v>2448.5789473684213</v>
      </c>
      <c r="AP627" t="str">
        <f>VLOOKUP(Tabla2[[#This Row],[KPI]],$AS$2:$AT$5,2,1)</f>
        <v>Bajo</v>
      </c>
    </row>
    <row r="628" spans="1:42" x14ac:dyDescent="0.3">
      <c r="A628">
        <v>7796</v>
      </c>
      <c r="B628" t="s">
        <v>3285</v>
      </c>
      <c r="C628" t="s">
        <v>3286</v>
      </c>
      <c r="D628">
        <v>28</v>
      </c>
      <c r="E628" t="s">
        <v>75</v>
      </c>
      <c r="F628" t="s">
        <v>3514</v>
      </c>
      <c r="G628" t="s">
        <v>1113</v>
      </c>
      <c r="H628">
        <v>13258</v>
      </c>
      <c r="I628">
        <v>14973</v>
      </c>
      <c r="J628" t="s">
        <v>2791</v>
      </c>
      <c r="K628" t="s">
        <v>1834</v>
      </c>
      <c r="L628" t="s">
        <v>471</v>
      </c>
      <c r="M628">
        <v>794</v>
      </c>
      <c r="N628">
        <v>20857</v>
      </c>
      <c r="O628" t="s">
        <v>65</v>
      </c>
      <c r="P628" t="s">
        <v>202</v>
      </c>
      <c r="Q628" t="s">
        <v>311</v>
      </c>
      <c r="R628" t="s">
        <v>66</v>
      </c>
      <c r="S628" t="s">
        <v>135</v>
      </c>
      <c r="T628">
        <v>9114</v>
      </c>
      <c r="U628" t="s">
        <v>51</v>
      </c>
      <c r="V628">
        <v>2033</v>
      </c>
      <c r="W628">
        <v>2632</v>
      </c>
      <c r="X628" t="s">
        <v>81</v>
      </c>
      <c r="Y628" t="s">
        <v>1570</v>
      </c>
      <c r="Z628" t="s">
        <v>2135</v>
      </c>
      <c r="AA628" t="s">
        <v>413</v>
      </c>
      <c r="AB628">
        <v>11743</v>
      </c>
      <c r="AC628">
        <v>5968</v>
      </c>
      <c r="AD628">
        <v>2330</v>
      </c>
      <c r="AE628">
        <v>664</v>
      </c>
      <c r="AF628">
        <v>130</v>
      </c>
      <c r="AG628">
        <v>22</v>
      </c>
      <c r="AH628">
        <v>9695</v>
      </c>
      <c r="AI628">
        <v>193</v>
      </c>
      <c r="AJ628">
        <v>757</v>
      </c>
      <c r="AK628">
        <v>2390</v>
      </c>
      <c r="AL628">
        <v>174</v>
      </c>
      <c r="AM628">
        <v>63</v>
      </c>
      <c r="AN628" t="s">
        <v>1749</v>
      </c>
      <c r="AO628">
        <f>AVERAGE(Tabla2[[#This Row],[total_kills]:[rating]])</f>
        <v>5146.8421052631575</v>
      </c>
      <c r="AP628" t="str">
        <f>VLOOKUP(Tabla2[[#This Row],[KPI]],$AS$2:$AT$5,2,1)</f>
        <v>Alto</v>
      </c>
    </row>
    <row r="629" spans="1:42" x14ac:dyDescent="0.3">
      <c r="A629">
        <v>29</v>
      </c>
      <c r="B629" t="s">
        <v>584</v>
      </c>
      <c r="C629" t="s">
        <v>585</v>
      </c>
      <c r="D629">
        <v>34</v>
      </c>
      <c r="E629" t="s">
        <v>545</v>
      </c>
      <c r="F629" t="s">
        <v>3514</v>
      </c>
      <c r="G629" t="s">
        <v>586</v>
      </c>
      <c r="H629">
        <v>40979</v>
      </c>
      <c r="I629">
        <v>35331</v>
      </c>
      <c r="J629" t="s">
        <v>587</v>
      </c>
      <c r="K629" t="s">
        <v>588</v>
      </c>
      <c r="L629" t="s">
        <v>589</v>
      </c>
      <c r="M629">
        <v>2089</v>
      </c>
      <c r="N629">
        <v>54327</v>
      </c>
      <c r="O629" t="s">
        <v>180</v>
      </c>
      <c r="P629" t="s">
        <v>48</v>
      </c>
      <c r="Q629" t="s">
        <v>276</v>
      </c>
      <c r="R629" t="s">
        <v>96</v>
      </c>
      <c r="S629" t="s">
        <v>50</v>
      </c>
      <c r="T629">
        <v>27163</v>
      </c>
      <c r="U629" t="s">
        <v>51</v>
      </c>
      <c r="V629">
        <v>5897</v>
      </c>
      <c r="W629">
        <v>4745</v>
      </c>
      <c r="X629" t="s">
        <v>69</v>
      </c>
      <c r="Y629" t="s">
        <v>590</v>
      </c>
      <c r="Z629" t="s">
        <v>125</v>
      </c>
      <c r="AA629" t="s">
        <v>568</v>
      </c>
      <c r="AB629">
        <v>27164</v>
      </c>
      <c r="AC629">
        <v>16782</v>
      </c>
      <c r="AD629">
        <v>7563</v>
      </c>
      <c r="AE629">
        <v>2322</v>
      </c>
      <c r="AF629">
        <v>453</v>
      </c>
      <c r="AG629">
        <v>43</v>
      </c>
      <c r="AH629">
        <v>27542</v>
      </c>
      <c r="AI629">
        <v>4275</v>
      </c>
      <c r="AJ629">
        <v>1344</v>
      </c>
      <c r="AK629">
        <v>7336</v>
      </c>
      <c r="AL629">
        <v>395</v>
      </c>
      <c r="AM629">
        <v>151</v>
      </c>
      <c r="AN629" t="s">
        <v>561</v>
      </c>
      <c r="AO629">
        <f>AVERAGE(Tabla2[[#This Row],[total_kills]:[rating]])</f>
        <v>13994.78947368421</v>
      </c>
      <c r="AP629" t="str">
        <f>VLOOKUP(Tabla2[[#This Row],[KPI]],$AS$2:$AT$5,2,1)</f>
        <v>Superior</v>
      </c>
    </row>
    <row r="630" spans="1:42" x14ac:dyDescent="0.3">
      <c r="A630">
        <v>11654</v>
      </c>
      <c r="B630" t="s">
        <v>2298</v>
      </c>
      <c r="C630" t="s">
        <v>2299</v>
      </c>
      <c r="D630">
        <v>23</v>
      </c>
      <c r="E630" t="s">
        <v>75</v>
      </c>
      <c r="F630" t="s">
        <v>2300</v>
      </c>
      <c r="G630" t="s">
        <v>491</v>
      </c>
      <c r="H630">
        <v>23593</v>
      </c>
      <c r="I630">
        <v>23026</v>
      </c>
      <c r="J630" t="s">
        <v>587</v>
      </c>
      <c r="K630" t="s">
        <v>582</v>
      </c>
      <c r="L630" t="s">
        <v>294</v>
      </c>
      <c r="M630">
        <v>1310</v>
      </c>
      <c r="N630">
        <v>35199</v>
      </c>
      <c r="O630" t="s">
        <v>225</v>
      </c>
      <c r="P630" t="s">
        <v>202</v>
      </c>
      <c r="Q630" t="s">
        <v>276</v>
      </c>
      <c r="R630" t="s">
        <v>50</v>
      </c>
      <c r="S630" t="s">
        <v>96</v>
      </c>
      <c r="T630">
        <v>16140</v>
      </c>
      <c r="U630" t="s">
        <v>51</v>
      </c>
      <c r="V630">
        <v>3151</v>
      </c>
      <c r="W630">
        <v>3334</v>
      </c>
      <c r="X630" t="s">
        <v>820</v>
      </c>
      <c r="Y630" t="s">
        <v>472</v>
      </c>
      <c r="Z630" t="s">
        <v>1467</v>
      </c>
      <c r="AA630" t="s">
        <v>247</v>
      </c>
      <c r="AB630">
        <v>19059</v>
      </c>
      <c r="AC630">
        <v>10457</v>
      </c>
      <c r="AD630">
        <v>4203</v>
      </c>
      <c r="AE630">
        <v>1214</v>
      </c>
      <c r="AF630">
        <v>242</v>
      </c>
      <c r="AG630">
        <v>24</v>
      </c>
      <c r="AH630">
        <v>16381</v>
      </c>
      <c r="AI630">
        <v>1575</v>
      </c>
      <c r="AJ630">
        <v>1128</v>
      </c>
      <c r="AK630">
        <v>4185</v>
      </c>
      <c r="AL630">
        <v>315</v>
      </c>
      <c r="AM630">
        <v>87</v>
      </c>
      <c r="AN630" t="s">
        <v>590</v>
      </c>
      <c r="AO630">
        <f>AVERAGE(Tabla2[[#This Row],[total_kills]:[rating]])</f>
        <v>8664.3684210526317</v>
      </c>
      <c r="AP630" t="str">
        <f>VLOOKUP(Tabla2[[#This Row],[KPI]],$AS$2:$AT$5,2,1)</f>
        <v>Superior</v>
      </c>
    </row>
    <row r="631" spans="1:42" x14ac:dyDescent="0.3">
      <c r="A631">
        <v>12244</v>
      </c>
      <c r="B631" t="s">
        <v>2706</v>
      </c>
      <c r="C631" t="s">
        <v>2707</v>
      </c>
      <c r="D631">
        <v>21</v>
      </c>
      <c r="E631" t="s">
        <v>59</v>
      </c>
      <c r="F631" t="s">
        <v>2708</v>
      </c>
      <c r="G631" t="s">
        <v>2709</v>
      </c>
      <c r="H631">
        <v>7947</v>
      </c>
      <c r="I631">
        <v>7849</v>
      </c>
      <c r="J631" t="s">
        <v>587</v>
      </c>
      <c r="K631" t="s">
        <v>1089</v>
      </c>
      <c r="L631" t="s">
        <v>244</v>
      </c>
      <c r="M631">
        <v>465</v>
      </c>
      <c r="N631">
        <v>12322</v>
      </c>
      <c r="O631" t="s">
        <v>65</v>
      </c>
      <c r="P631" t="s">
        <v>202</v>
      </c>
      <c r="Q631" t="s">
        <v>65</v>
      </c>
      <c r="R631" t="s">
        <v>66</v>
      </c>
      <c r="S631" t="s">
        <v>96</v>
      </c>
      <c r="T631">
        <v>5571</v>
      </c>
      <c r="U631" t="s">
        <v>51</v>
      </c>
      <c r="V631">
        <v>1051</v>
      </c>
      <c r="W631">
        <v>1091</v>
      </c>
      <c r="X631" t="s">
        <v>472</v>
      </c>
      <c r="Y631" t="s">
        <v>820</v>
      </c>
      <c r="Z631" t="s">
        <v>1765</v>
      </c>
      <c r="AA631" t="s">
        <v>247</v>
      </c>
      <c r="AB631">
        <v>6751</v>
      </c>
      <c r="AC631">
        <v>3739</v>
      </c>
      <c r="AD631">
        <v>1364</v>
      </c>
      <c r="AE631">
        <v>398</v>
      </c>
      <c r="AF631">
        <v>64</v>
      </c>
      <c r="AG631">
        <v>6</v>
      </c>
      <c r="AH631">
        <v>5962</v>
      </c>
      <c r="AI631">
        <v>191</v>
      </c>
      <c r="AJ631">
        <v>382</v>
      </c>
      <c r="AK631">
        <v>1302</v>
      </c>
      <c r="AL631">
        <v>100</v>
      </c>
      <c r="AM631">
        <v>41</v>
      </c>
      <c r="AN631" t="s">
        <v>412</v>
      </c>
      <c r="AO631">
        <f>AVERAGE(Tabla2[[#This Row],[total_kills]:[rating]])</f>
        <v>2978.7368421052633</v>
      </c>
      <c r="AP631" t="str">
        <f>VLOOKUP(Tabla2[[#This Row],[KPI]],$AS$2:$AT$5,2,1)</f>
        <v>Bajo</v>
      </c>
    </row>
    <row r="632" spans="1:42" x14ac:dyDescent="0.3">
      <c r="A632">
        <v>205</v>
      </c>
      <c r="B632" t="s">
        <v>2911</v>
      </c>
      <c r="C632" t="s">
        <v>2912</v>
      </c>
      <c r="D632">
        <v>34</v>
      </c>
      <c r="E632" t="s">
        <v>270</v>
      </c>
      <c r="F632" t="s">
        <v>3514</v>
      </c>
      <c r="G632" t="s">
        <v>2318</v>
      </c>
      <c r="H632">
        <v>6438</v>
      </c>
      <c r="I632">
        <v>6537</v>
      </c>
      <c r="J632" t="s">
        <v>587</v>
      </c>
      <c r="K632" t="s">
        <v>2233</v>
      </c>
      <c r="L632" t="s">
        <v>471</v>
      </c>
      <c r="M632">
        <v>395</v>
      </c>
      <c r="N632">
        <v>10045</v>
      </c>
      <c r="O632" t="s">
        <v>65</v>
      </c>
      <c r="P632" t="s">
        <v>48</v>
      </c>
      <c r="Q632" t="s">
        <v>276</v>
      </c>
      <c r="R632" t="s">
        <v>67</v>
      </c>
      <c r="S632" t="s">
        <v>67</v>
      </c>
      <c r="T632">
        <v>4540</v>
      </c>
      <c r="U632" t="s">
        <v>51</v>
      </c>
      <c r="V632">
        <v>769</v>
      </c>
      <c r="W632">
        <v>751</v>
      </c>
      <c r="X632" t="s">
        <v>449</v>
      </c>
      <c r="Y632" t="s">
        <v>1314</v>
      </c>
      <c r="Z632" t="s">
        <v>1656</v>
      </c>
      <c r="AA632" t="s">
        <v>1443</v>
      </c>
      <c r="AB632">
        <v>5505</v>
      </c>
      <c r="AC632">
        <v>3058</v>
      </c>
      <c r="AD632">
        <v>1135</v>
      </c>
      <c r="AE632">
        <v>283</v>
      </c>
      <c r="AF632">
        <v>59</v>
      </c>
      <c r="AG632">
        <v>5</v>
      </c>
      <c r="AH632">
        <v>4384</v>
      </c>
      <c r="AI632">
        <v>148</v>
      </c>
      <c r="AJ632">
        <v>663</v>
      </c>
      <c r="AK632">
        <v>1142</v>
      </c>
      <c r="AL632">
        <v>53</v>
      </c>
      <c r="AM632">
        <v>54</v>
      </c>
      <c r="AN632" t="s">
        <v>255</v>
      </c>
      <c r="AO632">
        <f>AVERAGE(Tabla2[[#This Row],[total_kills]:[rating]])</f>
        <v>2419.1578947368421</v>
      </c>
      <c r="AP632" t="str">
        <f>VLOOKUP(Tabla2[[#This Row],[KPI]],$AS$2:$AT$5,2,1)</f>
        <v>Bajo</v>
      </c>
    </row>
    <row r="633" spans="1:42" x14ac:dyDescent="0.3">
      <c r="A633">
        <v>16412</v>
      </c>
      <c r="B633" t="s">
        <v>3072</v>
      </c>
      <c r="C633" t="s">
        <v>3073</v>
      </c>
      <c r="D633">
        <v>22</v>
      </c>
      <c r="E633" t="s">
        <v>467</v>
      </c>
      <c r="F633" t="s">
        <v>1888</v>
      </c>
      <c r="G633" t="s">
        <v>3074</v>
      </c>
      <c r="H633">
        <v>8650</v>
      </c>
      <c r="I633">
        <v>9125</v>
      </c>
      <c r="J633" t="s">
        <v>587</v>
      </c>
      <c r="K633">
        <v>71</v>
      </c>
      <c r="L633" t="s">
        <v>541</v>
      </c>
      <c r="M633">
        <v>497</v>
      </c>
      <c r="N633">
        <v>13334</v>
      </c>
      <c r="O633" t="s">
        <v>276</v>
      </c>
      <c r="P633" t="s">
        <v>202</v>
      </c>
      <c r="Q633" t="s">
        <v>167</v>
      </c>
      <c r="R633" t="s">
        <v>48</v>
      </c>
      <c r="S633" t="s">
        <v>67</v>
      </c>
      <c r="T633">
        <v>6029</v>
      </c>
      <c r="U633" t="s">
        <v>51</v>
      </c>
      <c r="V633">
        <v>1199</v>
      </c>
      <c r="W633">
        <v>1245</v>
      </c>
      <c r="X633" t="s">
        <v>472</v>
      </c>
      <c r="Y633" t="s">
        <v>472</v>
      </c>
      <c r="Z633" t="s">
        <v>1327</v>
      </c>
      <c r="AA633" t="s">
        <v>518</v>
      </c>
      <c r="AB633">
        <v>7305</v>
      </c>
      <c r="AC633">
        <v>3999</v>
      </c>
      <c r="AD633">
        <v>1532</v>
      </c>
      <c r="AE633">
        <v>416</v>
      </c>
      <c r="AF633">
        <v>71</v>
      </c>
      <c r="AG633">
        <v>11</v>
      </c>
      <c r="AH633">
        <v>6504</v>
      </c>
      <c r="AI633">
        <v>50</v>
      </c>
      <c r="AJ633">
        <v>648</v>
      </c>
      <c r="AK633">
        <v>1374</v>
      </c>
      <c r="AL633">
        <v>86</v>
      </c>
      <c r="AM633">
        <v>13</v>
      </c>
      <c r="AN633">
        <v>1</v>
      </c>
      <c r="AO633">
        <f>AVERAGE(Tabla2[[#This Row],[total_kills]:[rating]])</f>
        <v>2960</v>
      </c>
      <c r="AP633" t="str">
        <f>VLOOKUP(Tabla2[[#This Row],[KPI]],$AS$2:$AT$5,2,1)</f>
        <v>Bajo</v>
      </c>
    </row>
    <row r="634" spans="1:42" x14ac:dyDescent="0.3">
      <c r="A634">
        <v>12016</v>
      </c>
      <c r="B634" t="s">
        <v>3260</v>
      </c>
      <c r="C634" t="s">
        <v>3261</v>
      </c>
      <c r="D634">
        <v>27</v>
      </c>
      <c r="E634" t="s">
        <v>75</v>
      </c>
      <c r="F634" t="s">
        <v>3514</v>
      </c>
      <c r="G634" t="s">
        <v>3262</v>
      </c>
      <c r="H634">
        <v>11975</v>
      </c>
      <c r="I634">
        <v>13035</v>
      </c>
      <c r="J634" t="s">
        <v>587</v>
      </c>
      <c r="K634" t="s">
        <v>1623</v>
      </c>
      <c r="L634" t="s">
        <v>612</v>
      </c>
      <c r="M634">
        <v>734</v>
      </c>
      <c r="N634">
        <v>19717</v>
      </c>
      <c r="O634" t="s">
        <v>49</v>
      </c>
      <c r="P634" t="s">
        <v>235</v>
      </c>
      <c r="Q634" t="s">
        <v>322</v>
      </c>
      <c r="R634" t="s">
        <v>96</v>
      </c>
      <c r="S634" t="s">
        <v>96</v>
      </c>
      <c r="T634">
        <v>8475</v>
      </c>
      <c r="U634" t="s">
        <v>51</v>
      </c>
      <c r="V634">
        <v>1683</v>
      </c>
      <c r="W634">
        <v>1747</v>
      </c>
      <c r="X634" t="s">
        <v>472</v>
      </c>
      <c r="Y634" t="s">
        <v>820</v>
      </c>
      <c r="Z634" t="s">
        <v>1268</v>
      </c>
      <c r="AA634" t="s">
        <v>828</v>
      </c>
      <c r="AB634">
        <v>11242</v>
      </c>
      <c r="AC634">
        <v>5758</v>
      </c>
      <c r="AD634">
        <v>2050</v>
      </c>
      <c r="AE634">
        <v>566</v>
      </c>
      <c r="AF634">
        <v>86</v>
      </c>
      <c r="AG634">
        <v>15</v>
      </c>
      <c r="AH634">
        <v>9024</v>
      </c>
      <c r="AI634">
        <v>142</v>
      </c>
      <c r="AJ634">
        <v>720</v>
      </c>
      <c r="AK634">
        <v>1890</v>
      </c>
      <c r="AL634">
        <v>198</v>
      </c>
      <c r="AM634">
        <v>67</v>
      </c>
      <c r="AN634" t="s">
        <v>245</v>
      </c>
      <c r="AO634">
        <f>AVERAGE(Tabla2[[#This Row],[total_kills]:[rating]])</f>
        <v>4690.7368421052633</v>
      </c>
      <c r="AP634" t="str">
        <f>VLOOKUP(Tabla2[[#This Row],[KPI]],$AS$2:$AT$5,2,1)</f>
        <v>Medio</v>
      </c>
    </row>
    <row r="635" spans="1:42" x14ac:dyDescent="0.3">
      <c r="A635">
        <v>8957</v>
      </c>
      <c r="B635" t="s">
        <v>1580</v>
      </c>
      <c r="C635" t="s">
        <v>1581</v>
      </c>
      <c r="D635">
        <v>33</v>
      </c>
      <c r="E635" t="s">
        <v>209</v>
      </c>
      <c r="F635" t="s">
        <v>3514</v>
      </c>
      <c r="G635" t="s">
        <v>1582</v>
      </c>
      <c r="H635">
        <v>12939</v>
      </c>
      <c r="I635">
        <v>12240</v>
      </c>
      <c r="J635" t="s">
        <v>1583</v>
      </c>
      <c r="K635">
        <v>78</v>
      </c>
      <c r="L635" t="s">
        <v>462</v>
      </c>
      <c r="M635">
        <v>708</v>
      </c>
      <c r="N635">
        <v>17977</v>
      </c>
      <c r="O635" t="s">
        <v>311</v>
      </c>
      <c r="P635" t="s">
        <v>166</v>
      </c>
      <c r="Q635" t="s">
        <v>167</v>
      </c>
      <c r="R635" t="s">
        <v>67</v>
      </c>
      <c r="S635" t="s">
        <v>67</v>
      </c>
      <c r="T635">
        <v>8707</v>
      </c>
      <c r="U635" t="s">
        <v>51</v>
      </c>
      <c r="V635">
        <v>1950</v>
      </c>
      <c r="W635">
        <v>1928</v>
      </c>
      <c r="X635" t="s">
        <v>255</v>
      </c>
      <c r="Y635" t="s">
        <v>412</v>
      </c>
      <c r="Z635" t="s">
        <v>170</v>
      </c>
      <c r="AA635" t="s">
        <v>648</v>
      </c>
      <c r="AB635">
        <v>9270</v>
      </c>
      <c r="AC635">
        <v>5490</v>
      </c>
      <c r="AD635">
        <v>2368</v>
      </c>
      <c r="AE635">
        <v>691</v>
      </c>
      <c r="AF635">
        <v>150</v>
      </c>
      <c r="AG635">
        <v>8</v>
      </c>
      <c r="AH635">
        <v>8779</v>
      </c>
      <c r="AI635">
        <v>860</v>
      </c>
      <c r="AJ635">
        <v>796</v>
      </c>
      <c r="AK635">
        <v>2280</v>
      </c>
      <c r="AL635">
        <v>119</v>
      </c>
      <c r="AM635">
        <v>129</v>
      </c>
      <c r="AN635" t="s">
        <v>407</v>
      </c>
      <c r="AO635">
        <f>AVERAGE(Tabla2[[#This Row],[total_kills]:[rating]])</f>
        <v>4373.3500000000004</v>
      </c>
      <c r="AP635" t="str">
        <f>VLOOKUP(Tabla2[[#This Row],[KPI]],$AS$2:$AT$5,2,1)</f>
        <v>Medio</v>
      </c>
    </row>
    <row r="636" spans="1:42" x14ac:dyDescent="0.3">
      <c r="A636">
        <v>8345</v>
      </c>
      <c r="B636" t="s">
        <v>1910</v>
      </c>
      <c r="C636" t="s">
        <v>1911</v>
      </c>
      <c r="D636">
        <v>25</v>
      </c>
      <c r="E636" t="s">
        <v>75</v>
      </c>
      <c r="F636" t="s">
        <v>1912</v>
      </c>
      <c r="G636" t="s">
        <v>1913</v>
      </c>
      <c r="H636">
        <v>10281</v>
      </c>
      <c r="I636">
        <v>10192</v>
      </c>
      <c r="J636" t="s">
        <v>1583</v>
      </c>
      <c r="K636" t="s">
        <v>1363</v>
      </c>
      <c r="L636" t="s">
        <v>425</v>
      </c>
      <c r="M636">
        <v>538</v>
      </c>
      <c r="N636">
        <v>14117</v>
      </c>
      <c r="O636" t="s">
        <v>495</v>
      </c>
      <c r="P636" t="s">
        <v>235</v>
      </c>
      <c r="Q636" t="s">
        <v>311</v>
      </c>
      <c r="R636" t="s">
        <v>50</v>
      </c>
      <c r="S636" t="s">
        <v>67</v>
      </c>
      <c r="T636">
        <v>6834</v>
      </c>
      <c r="U636" t="s">
        <v>51</v>
      </c>
      <c r="V636">
        <v>1391</v>
      </c>
      <c r="W636">
        <v>1295</v>
      </c>
      <c r="X636" t="s">
        <v>464</v>
      </c>
      <c r="Y636" t="s">
        <v>255</v>
      </c>
      <c r="Z636" t="s">
        <v>705</v>
      </c>
      <c r="AA636" t="s">
        <v>408</v>
      </c>
      <c r="AB636">
        <v>7283</v>
      </c>
      <c r="AC636">
        <v>4255</v>
      </c>
      <c r="AD636">
        <v>1850</v>
      </c>
      <c r="AE636">
        <v>609</v>
      </c>
      <c r="AF636">
        <v>103</v>
      </c>
      <c r="AG636">
        <v>17</v>
      </c>
      <c r="AH636">
        <v>7841</v>
      </c>
      <c r="AI636">
        <v>75</v>
      </c>
      <c r="AJ636">
        <v>339</v>
      </c>
      <c r="AK636">
        <v>1914</v>
      </c>
      <c r="AL636">
        <v>78</v>
      </c>
      <c r="AM636">
        <v>49</v>
      </c>
      <c r="AN636" t="s">
        <v>449</v>
      </c>
      <c r="AO636">
        <f>AVERAGE(Tabla2[[#This Row],[total_kills]:[rating]])</f>
        <v>3634.7894736842104</v>
      </c>
      <c r="AP636" t="str">
        <f>VLOOKUP(Tabla2[[#This Row],[KPI]],$AS$2:$AT$5,2,1)</f>
        <v>Medio</v>
      </c>
    </row>
    <row r="637" spans="1:42" x14ac:dyDescent="0.3">
      <c r="A637">
        <v>2260</v>
      </c>
      <c r="B637" t="s">
        <v>3119</v>
      </c>
      <c r="C637" t="s">
        <v>3120</v>
      </c>
      <c r="D637">
        <v>29</v>
      </c>
      <c r="E637" t="s">
        <v>1643</v>
      </c>
      <c r="F637" t="s">
        <v>3121</v>
      </c>
      <c r="G637" t="s">
        <v>3122</v>
      </c>
      <c r="H637">
        <v>7027</v>
      </c>
      <c r="I637">
        <v>7579</v>
      </c>
      <c r="J637" t="s">
        <v>1583</v>
      </c>
      <c r="K637" t="s">
        <v>2662</v>
      </c>
      <c r="L637" t="s">
        <v>331</v>
      </c>
      <c r="M637">
        <v>422</v>
      </c>
      <c r="N637">
        <v>11051</v>
      </c>
      <c r="O637" t="s">
        <v>65</v>
      </c>
      <c r="P637" t="s">
        <v>202</v>
      </c>
      <c r="Q637" t="s">
        <v>463</v>
      </c>
      <c r="R637" t="s">
        <v>48</v>
      </c>
      <c r="S637" t="s">
        <v>67</v>
      </c>
      <c r="T637">
        <v>4797</v>
      </c>
      <c r="U637" t="s">
        <v>51</v>
      </c>
      <c r="V637">
        <v>933</v>
      </c>
      <c r="W637">
        <v>990</v>
      </c>
      <c r="X637" t="s">
        <v>1570</v>
      </c>
      <c r="Y637" t="s">
        <v>1570</v>
      </c>
      <c r="Z637" t="s">
        <v>2994</v>
      </c>
      <c r="AA637" t="s">
        <v>978</v>
      </c>
      <c r="AB637">
        <v>6254</v>
      </c>
      <c r="AC637">
        <v>3122</v>
      </c>
      <c r="AD637">
        <v>1210</v>
      </c>
      <c r="AE637">
        <v>382</v>
      </c>
      <c r="AF637">
        <v>76</v>
      </c>
      <c r="AG637">
        <v>7</v>
      </c>
      <c r="AH637">
        <v>5134</v>
      </c>
      <c r="AI637">
        <v>33</v>
      </c>
      <c r="AJ637">
        <v>432</v>
      </c>
      <c r="AK637">
        <v>1314</v>
      </c>
      <c r="AL637">
        <v>83</v>
      </c>
      <c r="AM637">
        <v>62</v>
      </c>
      <c r="AN637">
        <v>1</v>
      </c>
      <c r="AO637">
        <f>AVERAGE(Tabla2[[#This Row],[total_kills]:[rating]])</f>
        <v>2545.4499999999998</v>
      </c>
      <c r="AP637" t="str">
        <f>VLOOKUP(Tabla2[[#This Row],[KPI]],$AS$2:$AT$5,2,1)</f>
        <v>Bajo</v>
      </c>
    </row>
    <row r="638" spans="1:42" x14ac:dyDescent="0.3">
      <c r="A638">
        <v>8789</v>
      </c>
      <c r="B638" t="s">
        <v>630</v>
      </c>
      <c r="C638" t="s">
        <v>631</v>
      </c>
      <c r="D638">
        <v>26</v>
      </c>
      <c r="E638" t="s">
        <v>75</v>
      </c>
      <c r="F638" t="s">
        <v>344</v>
      </c>
      <c r="G638" t="s">
        <v>632</v>
      </c>
      <c r="H638">
        <v>20159</v>
      </c>
      <c r="I638">
        <v>17517</v>
      </c>
      <c r="J638" t="s">
        <v>633</v>
      </c>
      <c r="K638" t="s">
        <v>634</v>
      </c>
      <c r="L638" t="s">
        <v>575</v>
      </c>
      <c r="M638">
        <v>1015</v>
      </c>
      <c r="N638">
        <v>26603</v>
      </c>
      <c r="O638" t="s">
        <v>234</v>
      </c>
      <c r="P638" t="s">
        <v>202</v>
      </c>
      <c r="Q638" t="s">
        <v>322</v>
      </c>
      <c r="R638" t="s">
        <v>50</v>
      </c>
      <c r="S638" t="s">
        <v>48</v>
      </c>
      <c r="T638">
        <v>13431</v>
      </c>
      <c r="U638" t="s">
        <v>51</v>
      </c>
      <c r="V638">
        <v>3080</v>
      </c>
      <c r="W638">
        <v>2525</v>
      </c>
      <c r="X638" t="s">
        <v>114</v>
      </c>
      <c r="Y638" t="s">
        <v>295</v>
      </c>
      <c r="Z638" t="s">
        <v>635</v>
      </c>
      <c r="AA638" t="s">
        <v>534</v>
      </c>
      <c r="AB638">
        <v>13172</v>
      </c>
      <c r="AC638">
        <v>8352</v>
      </c>
      <c r="AD638">
        <v>3690</v>
      </c>
      <c r="AE638">
        <v>1148</v>
      </c>
      <c r="AF638">
        <v>222</v>
      </c>
      <c r="AG638">
        <v>19</v>
      </c>
      <c r="AH638">
        <v>15573</v>
      </c>
      <c r="AI638">
        <v>433</v>
      </c>
      <c r="AJ638">
        <v>876</v>
      </c>
      <c r="AK638">
        <v>3028</v>
      </c>
      <c r="AL638">
        <v>245</v>
      </c>
      <c r="AM638">
        <v>49</v>
      </c>
      <c r="AN638" t="s">
        <v>561</v>
      </c>
      <c r="AO638">
        <f>AVERAGE(Tabla2[[#This Row],[total_kills]:[rating]])</f>
        <v>6901.9473684210525</v>
      </c>
      <c r="AP638" t="str">
        <f>VLOOKUP(Tabla2[[#This Row],[KPI]],$AS$2:$AT$5,2,1)</f>
        <v>Alto</v>
      </c>
    </row>
    <row r="639" spans="1:42" x14ac:dyDescent="0.3">
      <c r="A639">
        <v>15940</v>
      </c>
      <c r="B639" t="s">
        <v>1341</v>
      </c>
      <c r="C639" t="s">
        <v>1342</v>
      </c>
      <c r="D639">
        <v>24</v>
      </c>
      <c r="E639" t="s">
        <v>327</v>
      </c>
      <c r="F639" t="s">
        <v>1343</v>
      </c>
      <c r="G639" t="s">
        <v>1344</v>
      </c>
      <c r="H639">
        <v>15166</v>
      </c>
      <c r="I639">
        <v>14052</v>
      </c>
      <c r="J639" t="s">
        <v>633</v>
      </c>
      <c r="K639" t="s">
        <v>1195</v>
      </c>
      <c r="L639" t="s">
        <v>294</v>
      </c>
      <c r="M639">
        <v>785</v>
      </c>
      <c r="N639">
        <v>21220</v>
      </c>
      <c r="O639" t="s">
        <v>646</v>
      </c>
      <c r="P639" t="s">
        <v>202</v>
      </c>
      <c r="Q639" t="s">
        <v>322</v>
      </c>
      <c r="R639" t="s">
        <v>66</v>
      </c>
      <c r="S639" t="s">
        <v>66</v>
      </c>
      <c r="T639">
        <v>10143</v>
      </c>
      <c r="U639" t="s">
        <v>51</v>
      </c>
      <c r="V639">
        <v>1899</v>
      </c>
      <c r="W639">
        <v>1811</v>
      </c>
      <c r="X639" t="s">
        <v>304</v>
      </c>
      <c r="Y639" t="s">
        <v>503</v>
      </c>
      <c r="Z639" t="s">
        <v>1345</v>
      </c>
      <c r="AA639" t="s">
        <v>828</v>
      </c>
      <c r="AB639">
        <v>11077</v>
      </c>
      <c r="AC639">
        <v>6398</v>
      </c>
      <c r="AD639">
        <v>2691</v>
      </c>
      <c r="AE639">
        <v>854</v>
      </c>
      <c r="AF639">
        <v>176</v>
      </c>
      <c r="AG639">
        <v>24</v>
      </c>
      <c r="AH639">
        <v>11123</v>
      </c>
      <c r="AI639">
        <v>231</v>
      </c>
      <c r="AJ639">
        <v>1151</v>
      </c>
      <c r="AK639">
        <v>2466</v>
      </c>
      <c r="AL639">
        <v>179</v>
      </c>
      <c r="AM639">
        <v>56</v>
      </c>
      <c r="AN639" t="s">
        <v>295</v>
      </c>
      <c r="AO639">
        <f>AVERAGE(Tabla2[[#This Row],[total_kills]:[rating]])</f>
        <v>5342.2105263157891</v>
      </c>
      <c r="AP639" t="str">
        <f>VLOOKUP(Tabla2[[#This Row],[KPI]],$AS$2:$AT$5,2,1)</f>
        <v>Alto</v>
      </c>
    </row>
    <row r="640" spans="1:42" x14ac:dyDescent="0.3">
      <c r="A640">
        <v>14388</v>
      </c>
      <c r="B640" t="s">
        <v>2840</v>
      </c>
      <c r="C640" t="s">
        <v>2841</v>
      </c>
      <c r="D640">
        <v>23</v>
      </c>
      <c r="E640" t="s">
        <v>379</v>
      </c>
      <c r="F640" t="s">
        <v>621</v>
      </c>
      <c r="G640" t="s">
        <v>2842</v>
      </c>
      <c r="H640">
        <v>9244</v>
      </c>
      <c r="I640">
        <v>9465</v>
      </c>
      <c r="J640" t="s">
        <v>633</v>
      </c>
      <c r="K640" t="s">
        <v>862</v>
      </c>
      <c r="L640" t="s">
        <v>949</v>
      </c>
      <c r="M640">
        <v>529</v>
      </c>
      <c r="N640">
        <v>14315</v>
      </c>
      <c r="O640" t="s">
        <v>276</v>
      </c>
      <c r="P640" t="s">
        <v>48</v>
      </c>
      <c r="Q640" t="s">
        <v>322</v>
      </c>
      <c r="R640" t="s">
        <v>50</v>
      </c>
      <c r="S640" t="s">
        <v>96</v>
      </c>
      <c r="T640">
        <v>6371</v>
      </c>
      <c r="U640" t="s">
        <v>51</v>
      </c>
      <c r="V640">
        <v>1252</v>
      </c>
      <c r="W640">
        <v>1303</v>
      </c>
      <c r="X640" t="s">
        <v>472</v>
      </c>
      <c r="Y640" t="s">
        <v>820</v>
      </c>
      <c r="Z640" t="s">
        <v>932</v>
      </c>
      <c r="AA640" t="s">
        <v>1244</v>
      </c>
      <c r="AB640">
        <v>7944</v>
      </c>
      <c r="AC640">
        <v>4163</v>
      </c>
      <c r="AD640">
        <v>1642</v>
      </c>
      <c r="AE640">
        <v>476</v>
      </c>
      <c r="AF640">
        <v>81</v>
      </c>
      <c r="AG640">
        <v>9</v>
      </c>
      <c r="AH640">
        <v>6426</v>
      </c>
      <c r="AI640">
        <v>477</v>
      </c>
      <c r="AJ640">
        <v>707</v>
      </c>
      <c r="AK640">
        <v>1510</v>
      </c>
      <c r="AL640">
        <v>126</v>
      </c>
      <c r="AM640">
        <v>34</v>
      </c>
      <c r="AN640" t="s">
        <v>255</v>
      </c>
      <c r="AO640">
        <f>AVERAGE(Tabla2[[#This Row],[total_kills]:[rating]])</f>
        <v>3477.5789473684213</v>
      </c>
      <c r="AP640" t="str">
        <f>VLOOKUP(Tabla2[[#This Row],[KPI]],$AS$2:$AT$5,2,1)</f>
        <v>Medio</v>
      </c>
    </row>
    <row r="641" spans="1:42" x14ac:dyDescent="0.3">
      <c r="A641">
        <v>10114</v>
      </c>
      <c r="B641" t="s">
        <v>3287</v>
      </c>
      <c r="C641" t="s">
        <v>3288</v>
      </c>
      <c r="D641">
        <v>22</v>
      </c>
      <c r="E641" t="s">
        <v>452</v>
      </c>
      <c r="F641" t="s">
        <v>2869</v>
      </c>
      <c r="G641" t="s">
        <v>3289</v>
      </c>
      <c r="H641">
        <v>7931</v>
      </c>
      <c r="I641">
        <v>8874</v>
      </c>
      <c r="J641" t="s">
        <v>633</v>
      </c>
      <c r="K641" t="s">
        <v>2067</v>
      </c>
      <c r="L641" t="s">
        <v>1170</v>
      </c>
      <c r="M641">
        <v>476</v>
      </c>
      <c r="N641">
        <v>12674</v>
      </c>
      <c r="O641" t="s">
        <v>215</v>
      </c>
      <c r="P641" t="s">
        <v>202</v>
      </c>
      <c r="Q641" t="s">
        <v>905</v>
      </c>
      <c r="R641" t="s">
        <v>50</v>
      </c>
      <c r="S641" t="s">
        <v>50</v>
      </c>
      <c r="T641">
        <v>5543</v>
      </c>
      <c r="U641" t="s">
        <v>51</v>
      </c>
      <c r="V641">
        <v>1132</v>
      </c>
      <c r="W641">
        <v>1279</v>
      </c>
      <c r="X641" t="s">
        <v>1551</v>
      </c>
      <c r="Y641" t="s">
        <v>820</v>
      </c>
      <c r="Z641" t="s">
        <v>1268</v>
      </c>
      <c r="AA641" t="s">
        <v>1101</v>
      </c>
      <c r="AB641">
        <v>7131</v>
      </c>
      <c r="AC641">
        <v>3696</v>
      </c>
      <c r="AD641">
        <v>1403</v>
      </c>
      <c r="AE641">
        <v>352</v>
      </c>
      <c r="AF641">
        <v>87</v>
      </c>
      <c r="AG641">
        <v>5</v>
      </c>
      <c r="AH641">
        <v>4971</v>
      </c>
      <c r="AI641">
        <v>749</v>
      </c>
      <c r="AJ641">
        <v>494</v>
      </c>
      <c r="AK641">
        <v>1588</v>
      </c>
      <c r="AL641">
        <v>124</v>
      </c>
      <c r="AM641">
        <v>22</v>
      </c>
      <c r="AN641" t="s">
        <v>1749</v>
      </c>
      <c r="AO641">
        <f>AVERAGE(Tabla2[[#This Row],[total_kills]:[rating]])</f>
        <v>3080.5789473684213</v>
      </c>
      <c r="AP641" t="str">
        <f>VLOOKUP(Tabla2[[#This Row],[KPI]],$AS$2:$AT$5,2,1)</f>
        <v>Bajo</v>
      </c>
    </row>
    <row r="642" spans="1:42" x14ac:dyDescent="0.3">
      <c r="A642">
        <v>1883</v>
      </c>
      <c r="B642" t="s">
        <v>2246</v>
      </c>
      <c r="C642" t="s">
        <v>2247</v>
      </c>
      <c r="D642">
        <v>28</v>
      </c>
      <c r="E642" t="s">
        <v>196</v>
      </c>
      <c r="F642" t="s">
        <v>3514</v>
      </c>
      <c r="G642" t="s">
        <v>2248</v>
      </c>
      <c r="H642">
        <v>10395</v>
      </c>
      <c r="I642">
        <v>10029</v>
      </c>
      <c r="J642" t="s">
        <v>2249</v>
      </c>
      <c r="K642" t="s">
        <v>2250</v>
      </c>
      <c r="L642" t="s">
        <v>398</v>
      </c>
      <c r="M642">
        <v>589</v>
      </c>
      <c r="N642">
        <v>15307</v>
      </c>
      <c r="O642" t="s">
        <v>167</v>
      </c>
      <c r="P642" t="s">
        <v>235</v>
      </c>
      <c r="Q642" t="s">
        <v>322</v>
      </c>
      <c r="R642" t="s">
        <v>96</v>
      </c>
      <c r="S642" t="s">
        <v>50</v>
      </c>
      <c r="T642">
        <v>7188</v>
      </c>
      <c r="U642" t="s">
        <v>51</v>
      </c>
      <c r="V642">
        <v>1352</v>
      </c>
      <c r="W642">
        <v>1374</v>
      </c>
      <c r="X642" t="s">
        <v>245</v>
      </c>
      <c r="Y642" t="s">
        <v>472</v>
      </c>
      <c r="Z642" t="s">
        <v>286</v>
      </c>
      <c r="AA642" t="s">
        <v>518</v>
      </c>
      <c r="AB642">
        <v>8119</v>
      </c>
      <c r="AC642">
        <v>4701</v>
      </c>
      <c r="AD642">
        <v>1868</v>
      </c>
      <c r="AE642">
        <v>522</v>
      </c>
      <c r="AF642">
        <v>93</v>
      </c>
      <c r="AG642">
        <v>4</v>
      </c>
      <c r="AH642">
        <v>8082</v>
      </c>
      <c r="AI642">
        <v>62</v>
      </c>
      <c r="AJ642">
        <v>369</v>
      </c>
      <c r="AK642">
        <v>1733</v>
      </c>
      <c r="AL642">
        <v>133</v>
      </c>
      <c r="AM642">
        <v>38</v>
      </c>
      <c r="AN642">
        <v>1</v>
      </c>
      <c r="AO642">
        <f>AVERAGE(Tabla2[[#This Row],[total_kills]:[rating]])</f>
        <v>3597.95</v>
      </c>
      <c r="AP642" t="str">
        <f>VLOOKUP(Tabla2[[#This Row],[KPI]],$AS$2:$AT$5,2,1)</f>
        <v>Medio</v>
      </c>
    </row>
    <row r="643" spans="1:42" x14ac:dyDescent="0.3">
      <c r="A643">
        <v>16563</v>
      </c>
      <c r="B643" t="s">
        <v>3335</v>
      </c>
      <c r="C643" t="s">
        <v>3336</v>
      </c>
      <c r="D643">
        <v>25</v>
      </c>
      <c r="E643" t="s">
        <v>59</v>
      </c>
      <c r="F643" t="s">
        <v>2183</v>
      </c>
      <c r="G643" t="s">
        <v>3337</v>
      </c>
      <c r="H643">
        <v>8241</v>
      </c>
      <c r="I643">
        <v>9303</v>
      </c>
      <c r="J643" t="s">
        <v>2249</v>
      </c>
      <c r="K643" t="s">
        <v>2346</v>
      </c>
      <c r="L643" t="s">
        <v>3170</v>
      </c>
      <c r="M643">
        <v>509</v>
      </c>
      <c r="N643">
        <v>13561</v>
      </c>
      <c r="O643" t="s">
        <v>49</v>
      </c>
      <c r="P643" t="s">
        <v>235</v>
      </c>
      <c r="Q643" t="s">
        <v>463</v>
      </c>
      <c r="R643" t="s">
        <v>50</v>
      </c>
      <c r="S643" t="s">
        <v>96</v>
      </c>
      <c r="T643">
        <v>5828</v>
      </c>
      <c r="U643" t="s">
        <v>51</v>
      </c>
      <c r="V643">
        <v>1091</v>
      </c>
      <c r="W643">
        <v>1364</v>
      </c>
      <c r="X643" t="s">
        <v>94</v>
      </c>
      <c r="Y643" t="s">
        <v>1906</v>
      </c>
      <c r="Z643" t="s">
        <v>391</v>
      </c>
      <c r="AA643" t="s">
        <v>1805</v>
      </c>
      <c r="AB643">
        <v>7733</v>
      </c>
      <c r="AC643">
        <v>3946</v>
      </c>
      <c r="AD643">
        <v>1433</v>
      </c>
      <c r="AE643">
        <v>371</v>
      </c>
      <c r="AF643">
        <v>74</v>
      </c>
      <c r="AG643">
        <v>4</v>
      </c>
      <c r="AH643">
        <v>6217</v>
      </c>
      <c r="AI643">
        <v>48</v>
      </c>
      <c r="AJ643">
        <v>469</v>
      </c>
      <c r="AK643">
        <v>1316</v>
      </c>
      <c r="AL643">
        <v>190</v>
      </c>
      <c r="AM643">
        <v>30</v>
      </c>
      <c r="AN643" t="s">
        <v>472</v>
      </c>
      <c r="AO643">
        <f>AVERAGE(Tabla2[[#This Row],[total_kills]:[rating]])</f>
        <v>3248.8421052631579</v>
      </c>
      <c r="AP643" t="str">
        <f>VLOOKUP(Tabla2[[#This Row],[KPI]],$AS$2:$AT$5,2,1)</f>
        <v>Bajo</v>
      </c>
    </row>
    <row r="644" spans="1:42" x14ac:dyDescent="0.3">
      <c r="A644">
        <v>2476</v>
      </c>
      <c r="B644" t="s">
        <v>3163</v>
      </c>
      <c r="C644" t="s">
        <v>3164</v>
      </c>
      <c r="D644">
        <v>28</v>
      </c>
      <c r="E644" t="s">
        <v>895</v>
      </c>
      <c r="F644" t="s">
        <v>3514</v>
      </c>
      <c r="G644" t="s">
        <v>3165</v>
      </c>
      <c r="H644">
        <v>17861</v>
      </c>
      <c r="I644">
        <v>19098</v>
      </c>
      <c r="J644" t="s">
        <v>3166</v>
      </c>
      <c r="K644" t="s">
        <v>2171</v>
      </c>
      <c r="L644" t="s">
        <v>1146</v>
      </c>
      <c r="M644">
        <v>1073</v>
      </c>
      <c r="N644">
        <v>27920</v>
      </c>
      <c r="O644" t="s">
        <v>65</v>
      </c>
      <c r="P644" t="s">
        <v>166</v>
      </c>
      <c r="Q644" t="s">
        <v>167</v>
      </c>
      <c r="R644" t="s">
        <v>48</v>
      </c>
      <c r="S644" t="s">
        <v>50</v>
      </c>
      <c r="T644">
        <v>12451</v>
      </c>
      <c r="U644" t="s">
        <v>51</v>
      </c>
      <c r="V644">
        <v>2562</v>
      </c>
      <c r="W644">
        <v>2936</v>
      </c>
      <c r="X644" t="s">
        <v>2324</v>
      </c>
      <c r="Y644" t="s">
        <v>820</v>
      </c>
      <c r="Z644" t="s">
        <v>183</v>
      </c>
      <c r="AA644" t="s">
        <v>1244</v>
      </c>
      <c r="AB644">
        <v>15469</v>
      </c>
      <c r="AC644">
        <v>8302</v>
      </c>
      <c r="AD644">
        <v>3081</v>
      </c>
      <c r="AE644">
        <v>904</v>
      </c>
      <c r="AF644">
        <v>150</v>
      </c>
      <c r="AG644">
        <v>14</v>
      </c>
      <c r="AH644">
        <v>13022</v>
      </c>
      <c r="AI644">
        <v>149</v>
      </c>
      <c r="AJ644">
        <v>1395</v>
      </c>
      <c r="AK644">
        <v>3022</v>
      </c>
      <c r="AL644">
        <v>285</v>
      </c>
      <c r="AM644">
        <v>18</v>
      </c>
      <c r="AN644" t="s">
        <v>950</v>
      </c>
      <c r="AO644">
        <f>AVERAGE(Tabla2[[#This Row],[total_kills]:[rating]])</f>
        <v>6826.9473684210525</v>
      </c>
      <c r="AP644" t="str">
        <f>VLOOKUP(Tabla2[[#This Row],[KPI]],$AS$2:$AT$5,2,1)</f>
        <v>Alto</v>
      </c>
    </row>
    <row r="645" spans="1:42" x14ac:dyDescent="0.3">
      <c r="A645">
        <v>9172</v>
      </c>
      <c r="B645" t="s">
        <v>268</v>
      </c>
      <c r="C645" t="s">
        <v>269</v>
      </c>
      <c r="D645">
        <v>25</v>
      </c>
      <c r="E645" t="s">
        <v>270</v>
      </c>
      <c r="F645" t="s">
        <v>271</v>
      </c>
      <c r="G645" t="s">
        <v>272</v>
      </c>
      <c r="H645">
        <v>14756</v>
      </c>
      <c r="I645">
        <v>12329</v>
      </c>
      <c r="J645" t="s">
        <v>273</v>
      </c>
      <c r="K645" t="s">
        <v>274</v>
      </c>
      <c r="L645" t="s">
        <v>275</v>
      </c>
      <c r="M645">
        <v>727</v>
      </c>
      <c r="N645">
        <v>18859</v>
      </c>
      <c r="O645" t="s">
        <v>123</v>
      </c>
      <c r="P645" t="s">
        <v>48</v>
      </c>
      <c r="Q645" t="s">
        <v>276</v>
      </c>
      <c r="R645" t="s">
        <v>96</v>
      </c>
      <c r="S645" t="s">
        <v>50</v>
      </c>
      <c r="T645">
        <v>9608</v>
      </c>
      <c r="U645" t="s">
        <v>51</v>
      </c>
      <c r="V645">
        <v>2189</v>
      </c>
      <c r="W645">
        <v>1915</v>
      </c>
      <c r="X645" t="s">
        <v>111</v>
      </c>
      <c r="Y645" t="s">
        <v>277</v>
      </c>
      <c r="Z645" t="s">
        <v>278</v>
      </c>
      <c r="AA645" t="s">
        <v>279</v>
      </c>
      <c r="AB645">
        <v>9251</v>
      </c>
      <c r="AC645">
        <v>5822</v>
      </c>
      <c r="AD645">
        <v>2662</v>
      </c>
      <c r="AE645">
        <v>912</v>
      </c>
      <c r="AF645">
        <v>186</v>
      </c>
      <c r="AG645">
        <v>26</v>
      </c>
      <c r="AH645">
        <v>10598</v>
      </c>
      <c r="AI645">
        <v>371</v>
      </c>
      <c r="AJ645">
        <v>1087</v>
      </c>
      <c r="AK645">
        <v>2569</v>
      </c>
      <c r="AL645">
        <v>113</v>
      </c>
      <c r="AM645">
        <v>47</v>
      </c>
      <c r="AN645" t="s">
        <v>111</v>
      </c>
      <c r="AO645">
        <f>AVERAGE(Tabla2[[#This Row],[total_kills]:[rating]])</f>
        <v>4948.7894736842109</v>
      </c>
      <c r="AP645" t="str">
        <f>VLOOKUP(Tabla2[[#This Row],[KPI]],$AS$2:$AT$5,2,1)</f>
        <v>Alto</v>
      </c>
    </row>
    <row r="646" spans="1:42" x14ac:dyDescent="0.3">
      <c r="A646">
        <v>9136</v>
      </c>
      <c r="B646" t="s">
        <v>555</v>
      </c>
      <c r="C646" t="s">
        <v>556</v>
      </c>
      <c r="D646">
        <v>24</v>
      </c>
      <c r="E646" t="s">
        <v>459</v>
      </c>
      <c r="F646" t="s">
        <v>557</v>
      </c>
      <c r="G646" t="s">
        <v>558</v>
      </c>
      <c r="H646">
        <v>23029</v>
      </c>
      <c r="I646">
        <v>20248</v>
      </c>
      <c r="J646" t="s">
        <v>273</v>
      </c>
      <c r="K646" t="s">
        <v>559</v>
      </c>
      <c r="L646" t="s">
        <v>143</v>
      </c>
      <c r="M646">
        <v>1164</v>
      </c>
      <c r="N646">
        <v>30296</v>
      </c>
      <c r="O646" t="s">
        <v>234</v>
      </c>
      <c r="P646" t="s">
        <v>48</v>
      </c>
      <c r="Q646" t="s">
        <v>225</v>
      </c>
      <c r="R646" t="s">
        <v>50</v>
      </c>
      <c r="S646" t="s">
        <v>48</v>
      </c>
      <c r="T646">
        <v>15137</v>
      </c>
      <c r="U646" t="s">
        <v>51</v>
      </c>
      <c r="V646">
        <v>3096</v>
      </c>
      <c r="W646">
        <v>2783</v>
      </c>
      <c r="X646" t="s">
        <v>362</v>
      </c>
      <c r="Y646" t="s">
        <v>449</v>
      </c>
      <c r="Z646" t="s">
        <v>324</v>
      </c>
      <c r="AA646" t="s">
        <v>560</v>
      </c>
      <c r="AB646">
        <v>15159</v>
      </c>
      <c r="AC646">
        <v>9359</v>
      </c>
      <c r="AD646">
        <v>4034</v>
      </c>
      <c r="AE646">
        <v>1406</v>
      </c>
      <c r="AF646">
        <v>306</v>
      </c>
      <c r="AG646">
        <v>32</v>
      </c>
      <c r="AH646">
        <v>17813</v>
      </c>
      <c r="AI646">
        <v>348</v>
      </c>
      <c r="AJ646">
        <v>647</v>
      </c>
      <c r="AK646">
        <v>4110</v>
      </c>
      <c r="AL646">
        <v>131</v>
      </c>
      <c r="AM646">
        <v>40</v>
      </c>
      <c r="AN646" t="s">
        <v>561</v>
      </c>
      <c r="AO646">
        <f>AVERAGE(Tabla2[[#This Row],[total_kills]:[rating]])</f>
        <v>7849.3684210526317</v>
      </c>
      <c r="AP646" t="str">
        <f>VLOOKUP(Tabla2[[#This Row],[KPI]],$AS$2:$AT$5,2,1)</f>
        <v>Superior</v>
      </c>
    </row>
    <row r="647" spans="1:42" x14ac:dyDescent="0.3">
      <c r="A647">
        <v>14148</v>
      </c>
      <c r="B647" t="s">
        <v>1646</v>
      </c>
      <c r="C647" t="s">
        <v>1647</v>
      </c>
      <c r="D647">
        <v>23</v>
      </c>
      <c r="E647" t="s">
        <v>196</v>
      </c>
      <c r="F647" t="s">
        <v>1396</v>
      </c>
      <c r="G647" t="s">
        <v>1648</v>
      </c>
      <c r="H647">
        <v>14978</v>
      </c>
      <c r="I647">
        <v>13998</v>
      </c>
      <c r="J647" t="s">
        <v>273</v>
      </c>
      <c r="K647" t="s">
        <v>1119</v>
      </c>
      <c r="L647" t="s">
        <v>80</v>
      </c>
      <c r="M647">
        <v>825</v>
      </c>
      <c r="N647">
        <v>21810</v>
      </c>
      <c r="O647" t="s">
        <v>463</v>
      </c>
      <c r="P647" t="s">
        <v>202</v>
      </c>
      <c r="Q647" t="s">
        <v>65</v>
      </c>
      <c r="R647" t="s">
        <v>50</v>
      </c>
      <c r="S647" t="s">
        <v>67</v>
      </c>
      <c r="T647">
        <v>10109</v>
      </c>
      <c r="U647" t="s">
        <v>51</v>
      </c>
      <c r="V647">
        <v>2046</v>
      </c>
      <c r="W647">
        <v>1897</v>
      </c>
      <c r="X647" t="s">
        <v>277</v>
      </c>
      <c r="Y647" t="s">
        <v>285</v>
      </c>
      <c r="Z647" t="s">
        <v>576</v>
      </c>
      <c r="AA647" t="s">
        <v>852</v>
      </c>
      <c r="AB647">
        <v>11701</v>
      </c>
      <c r="AC647">
        <v>6437</v>
      </c>
      <c r="AD647">
        <v>2663</v>
      </c>
      <c r="AE647">
        <v>836</v>
      </c>
      <c r="AF647">
        <v>158</v>
      </c>
      <c r="AG647">
        <v>15</v>
      </c>
      <c r="AH647">
        <v>11236</v>
      </c>
      <c r="AI647">
        <v>326</v>
      </c>
      <c r="AJ647">
        <v>865</v>
      </c>
      <c r="AK647">
        <v>2357</v>
      </c>
      <c r="AL647">
        <v>174</v>
      </c>
      <c r="AM647">
        <v>65</v>
      </c>
      <c r="AN647" t="s">
        <v>295</v>
      </c>
      <c r="AO647">
        <f>AVERAGE(Tabla2[[#This Row],[total_kills]:[rating]])</f>
        <v>5394.5263157894733</v>
      </c>
      <c r="AP647" t="str">
        <f>VLOOKUP(Tabla2[[#This Row],[KPI]],$AS$2:$AT$5,2,1)</f>
        <v>Alto</v>
      </c>
    </row>
    <row r="648" spans="1:42" x14ac:dyDescent="0.3">
      <c r="A648">
        <v>11576</v>
      </c>
      <c r="B648" t="s">
        <v>1753</v>
      </c>
      <c r="C648" t="s">
        <v>1754</v>
      </c>
      <c r="D648">
        <v>31</v>
      </c>
      <c r="E648" t="s">
        <v>209</v>
      </c>
      <c r="F648" t="s">
        <v>1755</v>
      </c>
      <c r="G648" t="s">
        <v>1756</v>
      </c>
      <c r="H648">
        <v>9880</v>
      </c>
      <c r="I648">
        <v>9388</v>
      </c>
      <c r="J648" t="s">
        <v>273</v>
      </c>
      <c r="K648">
        <v>76</v>
      </c>
      <c r="L648" t="s">
        <v>462</v>
      </c>
      <c r="M648">
        <v>549</v>
      </c>
      <c r="N648">
        <v>14214</v>
      </c>
      <c r="O648" t="s">
        <v>905</v>
      </c>
      <c r="P648" t="s">
        <v>235</v>
      </c>
      <c r="Q648" t="s">
        <v>322</v>
      </c>
      <c r="R648" t="s">
        <v>67</v>
      </c>
      <c r="S648" t="s">
        <v>67</v>
      </c>
      <c r="T648">
        <v>6683</v>
      </c>
      <c r="U648" t="s">
        <v>51</v>
      </c>
      <c r="V648">
        <v>1193</v>
      </c>
      <c r="W648">
        <v>1134</v>
      </c>
      <c r="X648" t="s">
        <v>304</v>
      </c>
      <c r="Y648" t="s">
        <v>820</v>
      </c>
      <c r="Z648" t="s">
        <v>391</v>
      </c>
      <c r="AA648" t="s">
        <v>287</v>
      </c>
      <c r="AB648">
        <v>7531</v>
      </c>
      <c r="AC648">
        <v>4269</v>
      </c>
      <c r="AD648">
        <v>1767</v>
      </c>
      <c r="AE648">
        <v>523</v>
      </c>
      <c r="AF648">
        <v>112</v>
      </c>
      <c r="AG648">
        <v>12</v>
      </c>
      <c r="AH648">
        <v>7524</v>
      </c>
      <c r="AI648">
        <v>108</v>
      </c>
      <c r="AJ648">
        <v>442</v>
      </c>
      <c r="AK648">
        <v>1736</v>
      </c>
      <c r="AL648">
        <v>90</v>
      </c>
      <c r="AM648">
        <v>6</v>
      </c>
      <c r="AN648" t="s">
        <v>277</v>
      </c>
      <c r="AO648">
        <f>AVERAGE(Tabla2[[#This Row],[total_kills]:[rating]])</f>
        <v>3361.85</v>
      </c>
      <c r="AP648" t="str">
        <f>VLOOKUP(Tabla2[[#This Row],[KPI]],$AS$2:$AT$5,2,1)</f>
        <v>Medio</v>
      </c>
    </row>
    <row r="649" spans="1:42" x14ac:dyDescent="0.3">
      <c r="A649">
        <v>545</v>
      </c>
      <c r="B649" t="s">
        <v>2347</v>
      </c>
      <c r="C649" t="s">
        <v>2348</v>
      </c>
      <c r="D649">
        <v>33</v>
      </c>
      <c r="E649" t="s">
        <v>545</v>
      </c>
      <c r="F649" t="s">
        <v>2349</v>
      </c>
      <c r="G649" t="s">
        <v>2350</v>
      </c>
      <c r="H649">
        <v>20585</v>
      </c>
      <c r="I649">
        <v>20184</v>
      </c>
      <c r="J649" t="s">
        <v>273</v>
      </c>
      <c r="K649" t="s">
        <v>916</v>
      </c>
      <c r="L649" t="s">
        <v>46</v>
      </c>
      <c r="M649">
        <v>1170</v>
      </c>
      <c r="N649">
        <v>30550</v>
      </c>
      <c r="O649" t="s">
        <v>225</v>
      </c>
      <c r="P649" t="s">
        <v>202</v>
      </c>
      <c r="Q649" t="s">
        <v>322</v>
      </c>
      <c r="R649" t="s">
        <v>66</v>
      </c>
      <c r="S649" t="s">
        <v>66</v>
      </c>
      <c r="T649">
        <v>14035</v>
      </c>
      <c r="U649" t="s">
        <v>51</v>
      </c>
      <c r="V649">
        <v>3049</v>
      </c>
      <c r="W649">
        <v>3120</v>
      </c>
      <c r="X649" t="s">
        <v>245</v>
      </c>
      <c r="Y649">
        <v>1</v>
      </c>
      <c r="Z649" t="s">
        <v>324</v>
      </c>
      <c r="AA649" t="s">
        <v>408</v>
      </c>
      <c r="AB649">
        <v>16515</v>
      </c>
      <c r="AC649">
        <v>9047</v>
      </c>
      <c r="AD649">
        <v>3700</v>
      </c>
      <c r="AE649">
        <v>1054</v>
      </c>
      <c r="AF649">
        <v>217</v>
      </c>
      <c r="AG649">
        <v>17</v>
      </c>
      <c r="AH649">
        <v>15077</v>
      </c>
      <c r="AI649">
        <v>356</v>
      </c>
      <c r="AJ649">
        <v>1300</v>
      </c>
      <c r="AK649">
        <v>3507</v>
      </c>
      <c r="AL649">
        <v>308</v>
      </c>
      <c r="AM649">
        <v>64</v>
      </c>
      <c r="AN649">
        <v>1</v>
      </c>
      <c r="AO649">
        <f>AVERAGE(Tabla2[[#This Row],[total_kills]:[rating]])</f>
        <v>6850.333333333333</v>
      </c>
      <c r="AP649" t="str">
        <f>VLOOKUP(Tabla2[[#This Row],[KPI]],$AS$2:$AT$5,2,1)</f>
        <v>Alto</v>
      </c>
    </row>
    <row r="650" spans="1:42" x14ac:dyDescent="0.3">
      <c r="A650">
        <v>15349</v>
      </c>
      <c r="B650" t="s">
        <v>2962</v>
      </c>
      <c r="C650" t="s">
        <v>2963</v>
      </c>
      <c r="D650">
        <v>24</v>
      </c>
      <c r="E650" t="s">
        <v>196</v>
      </c>
      <c r="F650" t="s">
        <v>319</v>
      </c>
      <c r="G650" t="s">
        <v>2630</v>
      </c>
      <c r="H650">
        <v>11970</v>
      </c>
      <c r="I650">
        <v>12487</v>
      </c>
      <c r="J650" t="s">
        <v>273</v>
      </c>
      <c r="K650" t="s">
        <v>2171</v>
      </c>
      <c r="L650" t="s">
        <v>575</v>
      </c>
      <c r="M650">
        <v>692</v>
      </c>
      <c r="N650">
        <v>18642</v>
      </c>
      <c r="O650" t="s">
        <v>65</v>
      </c>
      <c r="P650" t="s">
        <v>202</v>
      </c>
      <c r="Q650" t="s">
        <v>225</v>
      </c>
      <c r="R650" t="s">
        <v>48</v>
      </c>
      <c r="S650" t="s">
        <v>67</v>
      </c>
      <c r="T650">
        <v>8218</v>
      </c>
      <c r="U650" t="s">
        <v>51</v>
      </c>
      <c r="V650">
        <v>1805</v>
      </c>
      <c r="W650">
        <v>2023</v>
      </c>
      <c r="X650" t="s">
        <v>1551</v>
      </c>
      <c r="Y650" t="s">
        <v>503</v>
      </c>
      <c r="Z650" t="s">
        <v>554</v>
      </c>
      <c r="AA650" t="s">
        <v>739</v>
      </c>
      <c r="AB650">
        <v>10424</v>
      </c>
      <c r="AC650">
        <v>5349</v>
      </c>
      <c r="AD650">
        <v>2133</v>
      </c>
      <c r="AE650">
        <v>603</v>
      </c>
      <c r="AF650">
        <v>119</v>
      </c>
      <c r="AG650">
        <v>14</v>
      </c>
      <c r="AH650">
        <v>8670</v>
      </c>
      <c r="AI650">
        <v>486</v>
      </c>
      <c r="AJ650">
        <v>742</v>
      </c>
      <c r="AK650">
        <v>1926</v>
      </c>
      <c r="AL650">
        <v>157</v>
      </c>
      <c r="AM650">
        <v>33</v>
      </c>
      <c r="AN650" t="s">
        <v>449</v>
      </c>
      <c r="AO650">
        <f>AVERAGE(Tabla2[[#This Row],[total_kills]:[rating]])</f>
        <v>4552.2631578947367</v>
      </c>
      <c r="AP650" t="str">
        <f>VLOOKUP(Tabla2[[#This Row],[KPI]],$AS$2:$AT$5,2,1)</f>
        <v>Medio</v>
      </c>
    </row>
    <row r="651" spans="1:42" x14ac:dyDescent="0.3">
      <c r="A651">
        <v>15639</v>
      </c>
      <c r="B651" t="s">
        <v>2988</v>
      </c>
      <c r="C651" t="s">
        <v>2989</v>
      </c>
      <c r="D651">
        <v>24</v>
      </c>
      <c r="E651" t="s">
        <v>545</v>
      </c>
      <c r="F651" t="s">
        <v>878</v>
      </c>
      <c r="G651" t="s">
        <v>2990</v>
      </c>
      <c r="H651">
        <v>9192</v>
      </c>
      <c r="I651">
        <v>9440</v>
      </c>
      <c r="J651" t="s">
        <v>273</v>
      </c>
      <c r="K651" t="s">
        <v>2067</v>
      </c>
      <c r="L651" t="s">
        <v>949</v>
      </c>
      <c r="M651">
        <v>547</v>
      </c>
      <c r="N651">
        <v>14700</v>
      </c>
      <c r="O651" t="s">
        <v>215</v>
      </c>
      <c r="P651" t="s">
        <v>202</v>
      </c>
      <c r="Q651" t="s">
        <v>65</v>
      </c>
      <c r="R651" t="s">
        <v>50</v>
      </c>
      <c r="S651" t="s">
        <v>50</v>
      </c>
      <c r="T651">
        <v>6418</v>
      </c>
      <c r="U651" t="s">
        <v>51</v>
      </c>
      <c r="V651">
        <v>1168</v>
      </c>
      <c r="W651">
        <v>1261</v>
      </c>
      <c r="X651" t="s">
        <v>950</v>
      </c>
      <c r="Y651" t="s">
        <v>1314</v>
      </c>
      <c r="Z651" t="s">
        <v>1765</v>
      </c>
      <c r="AA651" t="s">
        <v>474</v>
      </c>
      <c r="AB651">
        <v>8282</v>
      </c>
      <c r="AC651">
        <v>4293</v>
      </c>
      <c r="AD651">
        <v>1574</v>
      </c>
      <c r="AE651">
        <v>459</v>
      </c>
      <c r="AF651">
        <v>86</v>
      </c>
      <c r="AG651">
        <v>6</v>
      </c>
      <c r="AH651">
        <v>6312</v>
      </c>
      <c r="AI651">
        <v>466</v>
      </c>
      <c r="AJ651">
        <v>609</v>
      </c>
      <c r="AK651">
        <v>1683</v>
      </c>
      <c r="AL651">
        <v>128</v>
      </c>
      <c r="AM651">
        <v>27</v>
      </c>
      <c r="AN651" t="s">
        <v>255</v>
      </c>
      <c r="AO651">
        <f>AVERAGE(Tabla2[[#This Row],[total_kills]:[rating]])</f>
        <v>3507.9473684210525</v>
      </c>
      <c r="AP651" t="str">
        <f>VLOOKUP(Tabla2[[#This Row],[KPI]],$AS$2:$AT$5,2,1)</f>
        <v>Medio</v>
      </c>
    </row>
    <row r="652" spans="1:42" x14ac:dyDescent="0.3">
      <c r="A652">
        <v>13666</v>
      </c>
      <c r="B652" t="s">
        <v>1147</v>
      </c>
      <c r="C652" t="s">
        <v>1148</v>
      </c>
      <c r="D652">
        <v>20</v>
      </c>
      <c r="E652" t="s">
        <v>545</v>
      </c>
      <c r="F652" t="s">
        <v>197</v>
      </c>
      <c r="G652" t="s">
        <v>1149</v>
      </c>
      <c r="H652">
        <v>19311</v>
      </c>
      <c r="I652">
        <v>17799</v>
      </c>
      <c r="J652" t="s">
        <v>1150</v>
      </c>
      <c r="K652">
        <v>79</v>
      </c>
      <c r="L652" t="s">
        <v>949</v>
      </c>
      <c r="M652">
        <v>1000</v>
      </c>
      <c r="N652">
        <v>26548</v>
      </c>
      <c r="O652" t="s">
        <v>495</v>
      </c>
      <c r="P652" t="s">
        <v>202</v>
      </c>
      <c r="Q652" t="s">
        <v>225</v>
      </c>
      <c r="R652" t="s">
        <v>96</v>
      </c>
      <c r="S652" t="s">
        <v>50</v>
      </c>
      <c r="T652">
        <v>12730</v>
      </c>
      <c r="U652" t="s">
        <v>51</v>
      </c>
      <c r="V652">
        <v>3236</v>
      </c>
      <c r="W652">
        <v>3143</v>
      </c>
      <c r="X652" t="s">
        <v>412</v>
      </c>
      <c r="Y652" t="s">
        <v>277</v>
      </c>
      <c r="Z652" t="s">
        <v>554</v>
      </c>
      <c r="AA652" t="s">
        <v>113</v>
      </c>
      <c r="AB652">
        <v>13818</v>
      </c>
      <c r="AC652">
        <v>7876</v>
      </c>
      <c r="AD652">
        <v>3428</v>
      </c>
      <c r="AE652">
        <v>1150</v>
      </c>
      <c r="AF652">
        <v>251</v>
      </c>
      <c r="AG652">
        <v>25</v>
      </c>
      <c r="AH652">
        <v>14471</v>
      </c>
      <c r="AI652">
        <v>262</v>
      </c>
      <c r="AJ652">
        <v>1234</v>
      </c>
      <c r="AK652">
        <v>3065</v>
      </c>
      <c r="AL652">
        <v>271</v>
      </c>
      <c r="AM652">
        <v>56</v>
      </c>
      <c r="AN652" t="s">
        <v>370</v>
      </c>
      <c r="AO652">
        <f>AVERAGE(Tabla2[[#This Row],[total_kills]:[rating]])</f>
        <v>6487.65</v>
      </c>
      <c r="AP652" t="str">
        <f>VLOOKUP(Tabla2[[#This Row],[KPI]],$AS$2:$AT$5,2,1)</f>
        <v>Alto</v>
      </c>
    </row>
    <row r="653" spans="1:42" x14ac:dyDescent="0.3">
      <c r="A653">
        <v>19232</v>
      </c>
      <c r="B653" t="s">
        <v>2490</v>
      </c>
      <c r="C653" t="s">
        <v>2491</v>
      </c>
      <c r="D653">
        <v>23</v>
      </c>
      <c r="E653" t="s">
        <v>75</v>
      </c>
      <c r="F653" t="s">
        <v>3514</v>
      </c>
      <c r="G653" t="s">
        <v>2492</v>
      </c>
      <c r="H653">
        <v>10080</v>
      </c>
      <c r="I653">
        <v>10371</v>
      </c>
      <c r="J653" t="s">
        <v>1150</v>
      </c>
      <c r="K653" t="s">
        <v>253</v>
      </c>
      <c r="L653" t="s">
        <v>224</v>
      </c>
      <c r="M653">
        <v>523</v>
      </c>
      <c r="N653">
        <v>14183</v>
      </c>
      <c r="O653" t="s">
        <v>646</v>
      </c>
      <c r="P653" t="s">
        <v>235</v>
      </c>
      <c r="Q653" t="s">
        <v>495</v>
      </c>
      <c r="R653" t="s">
        <v>50</v>
      </c>
      <c r="S653" t="s">
        <v>50</v>
      </c>
      <c r="T653">
        <v>6731</v>
      </c>
      <c r="U653" t="s">
        <v>51</v>
      </c>
      <c r="V653">
        <v>1765</v>
      </c>
      <c r="W653">
        <v>1889</v>
      </c>
      <c r="X653" t="s">
        <v>950</v>
      </c>
      <c r="Y653" t="s">
        <v>464</v>
      </c>
      <c r="Z653" t="s">
        <v>1358</v>
      </c>
      <c r="AA653" t="s">
        <v>542</v>
      </c>
      <c r="AB653">
        <v>7452</v>
      </c>
      <c r="AC653">
        <v>4219</v>
      </c>
      <c r="AD653">
        <v>1802</v>
      </c>
      <c r="AE653">
        <v>590</v>
      </c>
      <c r="AF653">
        <v>113</v>
      </c>
      <c r="AG653">
        <v>7</v>
      </c>
      <c r="AH653">
        <v>7797</v>
      </c>
      <c r="AI653">
        <v>93</v>
      </c>
      <c r="AJ653">
        <v>343</v>
      </c>
      <c r="AK653">
        <v>1735</v>
      </c>
      <c r="AL653">
        <v>112</v>
      </c>
      <c r="AM653">
        <v>33</v>
      </c>
      <c r="AN653" t="s">
        <v>304</v>
      </c>
      <c r="AO653">
        <f>AVERAGE(Tabla2[[#This Row],[total_kills]:[rating]])</f>
        <v>3675.6842105263158</v>
      </c>
      <c r="AP653" t="str">
        <f>VLOOKUP(Tabla2[[#This Row],[KPI]],$AS$2:$AT$5,2,1)</f>
        <v>Medio</v>
      </c>
    </row>
    <row r="654" spans="1:42" x14ac:dyDescent="0.3">
      <c r="A654">
        <v>8125</v>
      </c>
      <c r="B654" t="s">
        <v>2503</v>
      </c>
      <c r="C654" t="s">
        <v>2504</v>
      </c>
      <c r="D654">
        <v>27</v>
      </c>
      <c r="E654" t="s">
        <v>75</v>
      </c>
      <c r="F654" t="s">
        <v>3514</v>
      </c>
      <c r="G654" t="s">
        <v>2505</v>
      </c>
      <c r="H654">
        <v>23864</v>
      </c>
      <c r="I654">
        <v>24414</v>
      </c>
      <c r="J654" t="s">
        <v>1150</v>
      </c>
      <c r="K654" t="s">
        <v>989</v>
      </c>
      <c r="L654">
        <v>4</v>
      </c>
      <c r="M654">
        <v>1315</v>
      </c>
      <c r="N654">
        <v>34605</v>
      </c>
      <c r="O654" t="s">
        <v>463</v>
      </c>
      <c r="P654" t="s">
        <v>235</v>
      </c>
      <c r="Q654" t="s">
        <v>646</v>
      </c>
      <c r="R654" t="s">
        <v>67</v>
      </c>
      <c r="S654" t="s">
        <v>50</v>
      </c>
      <c r="T654">
        <v>15984</v>
      </c>
      <c r="U654" t="s">
        <v>51</v>
      </c>
      <c r="V654">
        <v>4185</v>
      </c>
      <c r="W654">
        <v>4566</v>
      </c>
      <c r="X654" t="s">
        <v>1314</v>
      </c>
      <c r="Y654" t="s">
        <v>304</v>
      </c>
      <c r="Z654" t="s">
        <v>653</v>
      </c>
      <c r="AA654" t="s">
        <v>305</v>
      </c>
      <c r="AB654">
        <v>18621</v>
      </c>
      <c r="AC654">
        <v>10133</v>
      </c>
      <c r="AD654">
        <v>4180</v>
      </c>
      <c r="AE654">
        <v>1343</v>
      </c>
      <c r="AF654">
        <v>298</v>
      </c>
      <c r="AG654">
        <v>30</v>
      </c>
      <c r="AH654">
        <v>18597</v>
      </c>
      <c r="AI654">
        <v>225</v>
      </c>
      <c r="AJ654">
        <v>776</v>
      </c>
      <c r="AK654">
        <v>3982</v>
      </c>
      <c r="AL654">
        <v>269</v>
      </c>
      <c r="AM654">
        <v>54</v>
      </c>
      <c r="AN654" t="s">
        <v>285</v>
      </c>
      <c r="AO654">
        <f>AVERAGE(Tabla2[[#This Row],[total_kills]:[rating]])</f>
        <v>8372.25</v>
      </c>
      <c r="AP654" t="str">
        <f>VLOOKUP(Tabla2[[#This Row],[KPI]],$AS$2:$AT$5,2,1)</f>
        <v>Superior</v>
      </c>
    </row>
    <row r="655" spans="1:42" x14ac:dyDescent="0.3">
      <c r="A655">
        <v>19705</v>
      </c>
      <c r="B655" t="s">
        <v>2574</v>
      </c>
      <c r="C655" t="s">
        <v>2575</v>
      </c>
      <c r="D655">
        <v>20</v>
      </c>
      <c r="E655" t="s">
        <v>459</v>
      </c>
      <c r="F655" t="s">
        <v>1892</v>
      </c>
      <c r="G655" t="s">
        <v>2576</v>
      </c>
      <c r="H655">
        <v>8082</v>
      </c>
      <c r="I655">
        <v>8123</v>
      </c>
      <c r="J655" t="s">
        <v>1150</v>
      </c>
      <c r="K655" t="s">
        <v>1288</v>
      </c>
      <c r="L655">
        <v>5</v>
      </c>
      <c r="M655">
        <v>454</v>
      </c>
      <c r="N655">
        <v>12086</v>
      </c>
      <c r="O655" t="s">
        <v>225</v>
      </c>
      <c r="P655" t="s">
        <v>202</v>
      </c>
      <c r="Q655" t="s">
        <v>225</v>
      </c>
      <c r="R655" t="s">
        <v>50</v>
      </c>
      <c r="S655" t="s">
        <v>67</v>
      </c>
      <c r="T655">
        <v>5488</v>
      </c>
      <c r="U655" t="s">
        <v>51</v>
      </c>
      <c r="V655">
        <v>1007</v>
      </c>
      <c r="W655">
        <v>1069</v>
      </c>
      <c r="X655" t="s">
        <v>1570</v>
      </c>
      <c r="Y655" t="s">
        <v>1570</v>
      </c>
      <c r="Z655" t="s">
        <v>2481</v>
      </c>
      <c r="AA655" t="s">
        <v>1276</v>
      </c>
      <c r="AB655">
        <v>6598</v>
      </c>
      <c r="AC655">
        <v>3498</v>
      </c>
      <c r="AD655">
        <v>1484</v>
      </c>
      <c r="AE655">
        <v>416</v>
      </c>
      <c r="AF655">
        <v>82</v>
      </c>
      <c r="AG655">
        <v>8</v>
      </c>
      <c r="AH655">
        <v>6099</v>
      </c>
      <c r="AI655">
        <v>62</v>
      </c>
      <c r="AJ655">
        <v>464</v>
      </c>
      <c r="AK655">
        <v>1344</v>
      </c>
      <c r="AL655">
        <v>118</v>
      </c>
      <c r="AM655">
        <v>26</v>
      </c>
      <c r="AN655" t="s">
        <v>449</v>
      </c>
      <c r="AO655">
        <f>AVERAGE(Tabla2[[#This Row],[total_kills]:[rating]])</f>
        <v>2825.65</v>
      </c>
      <c r="AP655" t="str">
        <f>VLOOKUP(Tabla2[[#This Row],[KPI]],$AS$2:$AT$5,2,1)</f>
        <v>Bajo</v>
      </c>
    </row>
    <row r="656" spans="1:42" x14ac:dyDescent="0.3">
      <c r="A656">
        <v>1485</v>
      </c>
      <c r="B656" t="s">
        <v>2596</v>
      </c>
      <c r="C656" t="s">
        <v>2597</v>
      </c>
      <c r="D656">
        <v>28</v>
      </c>
      <c r="E656" t="s">
        <v>1070</v>
      </c>
      <c r="F656" t="s">
        <v>3514</v>
      </c>
      <c r="G656" t="s">
        <v>2598</v>
      </c>
      <c r="H656">
        <v>17632</v>
      </c>
      <c r="I656">
        <v>17802</v>
      </c>
      <c r="J656" t="s">
        <v>1150</v>
      </c>
      <c r="K656" t="s">
        <v>862</v>
      </c>
      <c r="L656" t="s">
        <v>214</v>
      </c>
      <c r="M656">
        <v>998</v>
      </c>
      <c r="N656">
        <v>26140</v>
      </c>
      <c r="O656" t="s">
        <v>225</v>
      </c>
      <c r="P656" t="s">
        <v>202</v>
      </c>
      <c r="Q656" t="s">
        <v>167</v>
      </c>
      <c r="R656" t="s">
        <v>50</v>
      </c>
      <c r="S656" t="s">
        <v>96</v>
      </c>
      <c r="T656">
        <v>12006</v>
      </c>
      <c r="U656" t="s">
        <v>51</v>
      </c>
      <c r="V656">
        <v>2289</v>
      </c>
      <c r="W656">
        <v>2494</v>
      </c>
      <c r="X656" t="s">
        <v>1314</v>
      </c>
      <c r="Y656" t="s">
        <v>820</v>
      </c>
      <c r="Z656" t="s">
        <v>1268</v>
      </c>
      <c r="AA656" t="s">
        <v>828</v>
      </c>
      <c r="AB656">
        <v>14134</v>
      </c>
      <c r="AC656">
        <v>7734</v>
      </c>
      <c r="AD656">
        <v>3164</v>
      </c>
      <c r="AE656">
        <v>906</v>
      </c>
      <c r="AF656">
        <v>175</v>
      </c>
      <c r="AG656">
        <v>27</v>
      </c>
      <c r="AH656">
        <v>12187</v>
      </c>
      <c r="AI656">
        <v>846</v>
      </c>
      <c r="AJ656">
        <v>1070</v>
      </c>
      <c r="AK656">
        <v>3357</v>
      </c>
      <c r="AL656">
        <v>140</v>
      </c>
      <c r="AM656">
        <v>45</v>
      </c>
      <c r="AN656" t="s">
        <v>245</v>
      </c>
      <c r="AO656">
        <f>AVERAGE(Tabla2[[#This Row],[total_kills]:[rating]])</f>
        <v>6481.3684210526317</v>
      </c>
      <c r="AP656" t="str">
        <f>VLOOKUP(Tabla2[[#This Row],[KPI]],$AS$2:$AT$5,2,1)</f>
        <v>Alto</v>
      </c>
    </row>
    <row r="657" spans="1:42" x14ac:dyDescent="0.3">
      <c r="A657">
        <v>356</v>
      </c>
      <c r="B657" t="s">
        <v>3221</v>
      </c>
      <c r="C657" t="s">
        <v>3222</v>
      </c>
      <c r="D657">
        <v>32</v>
      </c>
      <c r="E657" t="s">
        <v>683</v>
      </c>
      <c r="F657" t="s">
        <v>1644</v>
      </c>
      <c r="G657" t="s">
        <v>1644</v>
      </c>
      <c r="H657">
        <v>14525</v>
      </c>
      <c r="I657">
        <v>15799</v>
      </c>
      <c r="J657" t="s">
        <v>1150</v>
      </c>
      <c r="K657" t="s">
        <v>3068</v>
      </c>
      <c r="L657" t="s">
        <v>1146</v>
      </c>
      <c r="M657">
        <v>889</v>
      </c>
      <c r="N657">
        <v>23396</v>
      </c>
      <c r="O657" t="s">
        <v>144</v>
      </c>
      <c r="P657" t="s">
        <v>166</v>
      </c>
      <c r="Q657" t="s">
        <v>167</v>
      </c>
      <c r="R657" t="s">
        <v>50</v>
      </c>
      <c r="S657" t="s">
        <v>66</v>
      </c>
      <c r="T657">
        <v>10152</v>
      </c>
      <c r="U657" t="s">
        <v>51</v>
      </c>
      <c r="V657">
        <v>2159</v>
      </c>
      <c r="W657">
        <v>2448</v>
      </c>
      <c r="X657" t="s">
        <v>2315</v>
      </c>
      <c r="Y657" t="s">
        <v>820</v>
      </c>
      <c r="Z657" t="s">
        <v>653</v>
      </c>
      <c r="AA657" t="s">
        <v>1244</v>
      </c>
      <c r="AB657">
        <v>13244</v>
      </c>
      <c r="AC657">
        <v>6776</v>
      </c>
      <c r="AD657">
        <v>2531</v>
      </c>
      <c r="AE657">
        <v>702</v>
      </c>
      <c r="AF657">
        <v>136</v>
      </c>
      <c r="AG657">
        <v>7</v>
      </c>
      <c r="AH657">
        <v>10315</v>
      </c>
      <c r="AI657">
        <v>788</v>
      </c>
      <c r="AJ657">
        <v>485</v>
      </c>
      <c r="AK657">
        <v>2711</v>
      </c>
      <c r="AL657">
        <v>225</v>
      </c>
      <c r="AM657">
        <v>37</v>
      </c>
      <c r="AN657" t="s">
        <v>1314</v>
      </c>
      <c r="AO657">
        <f>AVERAGE(Tabla2[[#This Row],[total_kills]:[rating]])</f>
        <v>5648.6842105263158</v>
      </c>
      <c r="AP657" t="str">
        <f>VLOOKUP(Tabla2[[#This Row],[KPI]],$AS$2:$AT$5,2,1)</f>
        <v>Alto</v>
      </c>
    </row>
    <row r="658" spans="1:42" x14ac:dyDescent="0.3">
      <c r="A658">
        <v>9348</v>
      </c>
      <c r="B658" t="s">
        <v>3304</v>
      </c>
      <c r="C658" t="s">
        <v>3305</v>
      </c>
      <c r="D658">
        <v>26</v>
      </c>
      <c r="E658" t="s">
        <v>59</v>
      </c>
      <c r="F658" t="s">
        <v>3306</v>
      </c>
      <c r="G658" t="s">
        <v>3307</v>
      </c>
      <c r="H658">
        <v>11789</v>
      </c>
      <c r="I658">
        <v>13256</v>
      </c>
      <c r="J658" t="s">
        <v>1150</v>
      </c>
      <c r="K658" t="s">
        <v>2614</v>
      </c>
      <c r="L658" t="s">
        <v>575</v>
      </c>
      <c r="M658">
        <v>729</v>
      </c>
      <c r="N658">
        <v>19205</v>
      </c>
      <c r="O658" t="s">
        <v>49</v>
      </c>
      <c r="P658" t="s">
        <v>202</v>
      </c>
      <c r="Q658" t="s">
        <v>463</v>
      </c>
      <c r="R658" t="s">
        <v>96</v>
      </c>
      <c r="S658" t="s">
        <v>135</v>
      </c>
      <c r="T658">
        <v>8272</v>
      </c>
      <c r="U658" t="s">
        <v>51</v>
      </c>
      <c r="V658">
        <v>1649</v>
      </c>
      <c r="W658">
        <v>2148</v>
      </c>
      <c r="X658" t="s">
        <v>81</v>
      </c>
      <c r="Y658" t="s">
        <v>1749</v>
      </c>
      <c r="Z658" t="s">
        <v>932</v>
      </c>
      <c r="AA658" t="s">
        <v>518</v>
      </c>
      <c r="AB658">
        <v>10933</v>
      </c>
      <c r="AC658">
        <v>5531</v>
      </c>
      <c r="AD658">
        <v>2099</v>
      </c>
      <c r="AE658">
        <v>523</v>
      </c>
      <c r="AF658">
        <v>104</v>
      </c>
      <c r="AG658">
        <v>15</v>
      </c>
      <c r="AH658">
        <v>8072</v>
      </c>
      <c r="AI658">
        <v>361</v>
      </c>
      <c r="AJ658">
        <v>914</v>
      </c>
      <c r="AK658">
        <v>2215</v>
      </c>
      <c r="AL658">
        <v>180</v>
      </c>
      <c r="AM658">
        <v>70</v>
      </c>
      <c r="AN658" t="s">
        <v>1906</v>
      </c>
      <c r="AO658">
        <f>AVERAGE(Tabla2[[#This Row],[total_kills]:[rating]])</f>
        <v>4635</v>
      </c>
      <c r="AP658" t="str">
        <f>VLOOKUP(Tabla2[[#This Row],[KPI]],$AS$2:$AT$5,2,1)</f>
        <v>Medio</v>
      </c>
    </row>
    <row r="659" spans="1:42" x14ac:dyDescent="0.3">
      <c r="A659">
        <v>203</v>
      </c>
      <c r="B659" t="s">
        <v>1970</v>
      </c>
      <c r="C659" t="s">
        <v>1971</v>
      </c>
      <c r="D659">
        <v>31</v>
      </c>
      <c r="E659" t="s">
        <v>459</v>
      </c>
      <c r="F659" t="s">
        <v>3514</v>
      </c>
      <c r="G659" t="s">
        <v>1972</v>
      </c>
      <c r="H659">
        <v>14720</v>
      </c>
      <c r="I659">
        <v>14236</v>
      </c>
      <c r="J659" t="s">
        <v>1973</v>
      </c>
      <c r="K659" t="s">
        <v>692</v>
      </c>
      <c r="L659">
        <v>5</v>
      </c>
      <c r="M659">
        <v>813</v>
      </c>
      <c r="N659">
        <v>21021</v>
      </c>
      <c r="O659" t="s">
        <v>905</v>
      </c>
      <c r="P659" t="s">
        <v>166</v>
      </c>
      <c r="Q659" t="s">
        <v>167</v>
      </c>
      <c r="R659" t="s">
        <v>50</v>
      </c>
      <c r="S659" t="s">
        <v>50</v>
      </c>
      <c r="T659">
        <v>9942</v>
      </c>
      <c r="U659" t="s">
        <v>51</v>
      </c>
      <c r="V659">
        <v>2024</v>
      </c>
      <c r="W659">
        <v>2050</v>
      </c>
      <c r="X659" t="s">
        <v>285</v>
      </c>
      <c r="Y659" t="s">
        <v>285</v>
      </c>
      <c r="Z659" t="s">
        <v>192</v>
      </c>
      <c r="AA659" t="s">
        <v>413</v>
      </c>
      <c r="AB659">
        <v>11079</v>
      </c>
      <c r="AC659">
        <v>6359</v>
      </c>
      <c r="AD659">
        <v>2595</v>
      </c>
      <c r="AE659">
        <v>827</v>
      </c>
      <c r="AF659">
        <v>147</v>
      </c>
      <c r="AG659">
        <v>14</v>
      </c>
      <c r="AH659">
        <v>10979</v>
      </c>
      <c r="AI659">
        <v>286</v>
      </c>
      <c r="AJ659">
        <v>662</v>
      </c>
      <c r="AK659">
        <v>2520</v>
      </c>
      <c r="AL659">
        <v>242</v>
      </c>
      <c r="AM659">
        <v>44</v>
      </c>
      <c r="AN659" t="s">
        <v>449</v>
      </c>
      <c r="AO659">
        <f>AVERAGE(Tabla2[[#This Row],[total_kills]:[rating]])</f>
        <v>5028.25</v>
      </c>
      <c r="AP659" t="str">
        <f>VLOOKUP(Tabla2[[#This Row],[KPI]],$AS$2:$AT$5,2,1)</f>
        <v>Alto</v>
      </c>
    </row>
    <row r="660" spans="1:42" x14ac:dyDescent="0.3">
      <c r="A660">
        <v>10052</v>
      </c>
      <c r="B660" t="s">
        <v>2526</v>
      </c>
      <c r="C660" t="s">
        <v>2527</v>
      </c>
      <c r="D660">
        <v>30</v>
      </c>
      <c r="E660" t="s">
        <v>1144</v>
      </c>
      <c r="F660" t="s">
        <v>1361</v>
      </c>
      <c r="G660" t="s">
        <v>2528</v>
      </c>
      <c r="H660">
        <v>10410</v>
      </c>
      <c r="I660">
        <v>10620</v>
      </c>
      <c r="J660" t="s">
        <v>1973</v>
      </c>
      <c r="K660" t="s">
        <v>1195</v>
      </c>
      <c r="L660" t="s">
        <v>575</v>
      </c>
      <c r="M660">
        <v>574</v>
      </c>
      <c r="N660">
        <v>15207</v>
      </c>
      <c r="O660" t="s">
        <v>167</v>
      </c>
      <c r="P660" t="s">
        <v>166</v>
      </c>
      <c r="Q660" t="s">
        <v>905</v>
      </c>
      <c r="R660" t="s">
        <v>96</v>
      </c>
      <c r="S660" t="s">
        <v>66</v>
      </c>
      <c r="T660">
        <v>6993</v>
      </c>
      <c r="U660" t="s">
        <v>51</v>
      </c>
      <c r="V660">
        <v>1682</v>
      </c>
      <c r="W660">
        <v>1764</v>
      </c>
      <c r="X660" t="s">
        <v>820</v>
      </c>
      <c r="Y660" t="s">
        <v>412</v>
      </c>
      <c r="Z660" t="s">
        <v>237</v>
      </c>
      <c r="AA660" t="s">
        <v>789</v>
      </c>
      <c r="AB660">
        <v>8214</v>
      </c>
      <c r="AC660">
        <v>4443</v>
      </c>
      <c r="AD660">
        <v>1835</v>
      </c>
      <c r="AE660">
        <v>575</v>
      </c>
      <c r="AF660">
        <v>128</v>
      </c>
      <c r="AG660">
        <v>12</v>
      </c>
      <c r="AH660">
        <v>7718</v>
      </c>
      <c r="AI660">
        <v>90</v>
      </c>
      <c r="AJ660">
        <v>660</v>
      </c>
      <c r="AK660">
        <v>1804</v>
      </c>
      <c r="AL660">
        <v>119</v>
      </c>
      <c r="AM660">
        <v>37</v>
      </c>
      <c r="AN660" t="s">
        <v>285</v>
      </c>
      <c r="AO660">
        <f>AVERAGE(Tabla2[[#This Row],[total_kills]:[rating]])</f>
        <v>3836.0526315789475</v>
      </c>
      <c r="AP660" t="str">
        <f>VLOOKUP(Tabla2[[#This Row],[KPI]],$AS$2:$AT$5,2,1)</f>
        <v>Medio</v>
      </c>
    </row>
    <row r="661" spans="1:42" x14ac:dyDescent="0.3">
      <c r="A661">
        <v>8488</v>
      </c>
      <c r="B661" t="s">
        <v>2677</v>
      </c>
      <c r="C661" t="s">
        <v>2678</v>
      </c>
      <c r="D661">
        <v>24</v>
      </c>
      <c r="E661" t="s">
        <v>337</v>
      </c>
      <c r="F661" t="s">
        <v>550</v>
      </c>
      <c r="G661" t="s">
        <v>2679</v>
      </c>
      <c r="H661">
        <v>20408</v>
      </c>
      <c r="I661">
        <v>20563</v>
      </c>
      <c r="J661" t="s">
        <v>1973</v>
      </c>
      <c r="K661">
        <v>73</v>
      </c>
      <c r="L661" t="s">
        <v>201</v>
      </c>
      <c r="M661">
        <v>1162</v>
      </c>
      <c r="N661">
        <v>30813</v>
      </c>
      <c r="O661" t="s">
        <v>322</v>
      </c>
      <c r="P661" t="s">
        <v>48</v>
      </c>
      <c r="Q661" t="s">
        <v>225</v>
      </c>
      <c r="R661" t="s">
        <v>50</v>
      </c>
      <c r="S661" t="s">
        <v>96</v>
      </c>
      <c r="T661">
        <v>14064</v>
      </c>
      <c r="U661" t="s">
        <v>51</v>
      </c>
      <c r="V661">
        <v>3157</v>
      </c>
      <c r="W661">
        <v>3102</v>
      </c>
      <c r="X661" t="s">
        <v>449</v>
      </c>
      <c r="Y661" t="s">
        <v>255</v>
      </c>
      <c r="Z661" t="s">
        <v>383</v>
      </c>
      <c r="AA661" t="s">
        <v>560</v>
      </c>
      <c r="AB661">
        <v>16749</v>
      </c>
      <c r="AC661">
        <v>9236</v>
      </c>
      <c r="AD661">
        <v>3554</v>
      </c>
      <c r="AE661">
        <v>1054</v>
      </c>
      <c r="AF661">
        <v>199</v>
      </c>
      <c r="AG661">
        <v>21</v>
      </c>
      <c r="AH661">
        <v>14484</v>
      </c>
      <c r="AI661">
        <v>822</v>
      </c>
      <c r="AJ661">
        <v>1060</v>
      </c>
      <c r="AK661">
        <v>3747</v>
      </c>
      <c r="AL661">
        <v>255</v>
      </c>
      <c r="AM661">
        <v>108</v>
      </c>
      <c r="AN661" t="s">
        <v>245</v>
      </c>
      <c r="AO661">
        <f>AVERAGE(Tabla2[[#This Row],[total_kills]:[rating]])</f>
        <v>7231.55</v>
      </c>
      <c r="AP661" t="str">
        <f>VLOOKUP(Tabla2[[#This Row],[KPI]],$AS$2:$AT$5,2,1)</f>
        <v>Superior</v>
      </c>
    </row>
    <row r="662" spans="1:42" x14ac:dyDescent="0.3">
      <c r="A662">
        <v>15569</v>
      </c>
      <c r="B662" t="s">
        <v>2719</v>
      </c>
      <c r="C662" t="s">
        <v>2720</v>
      </c>
      <c r="D662">
        <v>19</v>
      </c>
      <c r="E662" t="s">
        <v>545</v>
      </c>
      <c r="F662" t="s">
        <v>1340</v>
      </c>
      <c r="G662" t="s">
        <v>1600</v>
      </c>
      <c r="H662">
        <v>8232</v>
      </c>
      <c r="I662">
        <v>8537</v>
      </c>
      <c r="J662" t="s">
        <v>1973</v>
      </c>
      <c r="K662" t="s">
        <v>989</v>
      </c>
      <c r="L662" t="s">
        <v>1146</v>
      </c>
      <c r="M662">
        <v>451</v>
      </c>
      <c r="N662">
        <v>12082</v>
      </c>
      <c r="O662" t="s">
        <v>167</v>
      </c>
      <c r="P662" t="s">
        <v>235</v>
      </c>
      <c r="Q662" t="s">
        <v>646</v>
      </c>
      <c r="R662" t="s">
        <v>50</v>
      </c>
      <c r="S662" t="s">
        <v>96</v>
      </c>
      <c r="T662">
        <v>5554</v>
      </c>
      <c r="U662" t="s">
        <v>51</v>
      </c>
      <c r="V662">
        <v>1469</v>
      </c>
      <c r="W662">
        <v>1640</v>
      </c>
      <c r="X662" t="s">
        <v>1906</v>
      </c>
      <c r="Y662" t="s">
        <v>304</v>
      </c>
      <c r="Z662" t="s">
        <v>2167</v>
      </c>
      <c r="AA662" t="s">
        <v>1385</v>
      </c>
      <c r="AB662">
        <v>6528</v>
      </c>
      <c r="AC662">
        <v>3543</v>
      </c>
      <c r="AD662">
        <v>1446</v>
      </c>
      <c r="AE662">
        <v>473</v>
      </c>
      <c r="AF662">
        <v>82</v>
      </c>
      <c r="AG662">
        <v>10</v>
      </c>
      <c r="AH662">
        <v>6394</v>
      </c>
      <c r="AI662">
        <v>28</v>
      </c>
      <c r="AJ662">
        <v>345</v>
      </c>
      <c r="AK662">
        <v>1340</v>
      </c>
      <c r="AL662">
        <v>120</v>
      </c>
      <c r="AM662">
        <v>31</v>
      </c>
      <c r="AN662" t="s">
        <v>304</v>
      </c>
      <c r="AO662">
        <f>AVERAGE(Tabla2[[#This Row],[total_kills]:[rating]])</f>
        <v>3068.6842105263158</v>
      </c>
      <c r="AP662" t="str">
        <f>VLOOKUP(Tabla2[[#This Row],[KPI]],$AS$2:$AT$5,2,1)</f>
        <v>Bajo</v>
      </c>
    </row>
    <row r="663" spans="1:42" x14ac:dyDescent="0.3">
      <c r="A663">
        <v>11737</v>
      </c>
      <c r="B663" t="s">
        <v>1766</v>
      </c>
      <c r="C663" t="s">
        <v>1767</v>
      </c>
      <c r="D663">
        <v>26</v>
      </c>
      <c r="E663" t="s">
        <v>459</v>
      </c>
      <c r="F663" t="s">
        <v>3514</v>
      </c>
      <c r="G663" t="s">
        <v>1768</v>
      </c>
      <c r="H663">
        <v>7573</v>
      </c>
      <c r="I663">
        <v>7418</v>
      </c>
      <c r="J663" t="s">
        <v>1769</v>
      </c>
      <c r="K663" t="s">
        <v>639</v>
      </c>
      <c r="L663" t="s">
        <v>93</v>
      </c>
      <c r="M663">
        <v>406</v>
      </c>
      <c r="N663">
        <v>10568</v>
      </c>
      <c r="O663" t="s">
        <v>311</v>
      </c>
      <c r="P663" t="s">
        <v>202</v>
      </c>
      <c r="Q663" t="s">
        <v>905</v>
      </c>
      <c r="R663" t="s">
        <v>50</v>
      </c>
      <c r="S663" t="s">
        <v>67</v>
      </c>
      <c r="T663">
        <v>5029</v>
      </c>
      <c r="U663" t="s">
        <v>51</v>
      </c>
      <c r="V663">
        <v>956</v>
      </c>
      <c r="W663">
        <v>919</v>
      </c>
      <c r="X663" t="s">
        <v>407</v>
      </c>
      <c r="Y663" t="s">
        <v>503</v>
      </c>
      <c r="Z663" t="s">
        <v>718</v>
      </c>
      <c r="AA663" t="s">
        <v>739</v>
      </c>
      <c r="AB663">
        <v>5539</v>
      </c>
      <c r="AC663">
        <v>3155</v>
      </c>
      <c r="AD663">
        <v>1329</v>
      </c>
      <c r="AE663">
        <v>431</v>
      </c>
      <c r="AF663">
        <v>103</v>
      </c>
      <c r="AG663">
        <v>11</v>
      </c>
      <c r="AH663">
        <v>5265</v>
      </c>
      <c r="AI663">
        <v>178</v>
      </c>
      <c r="AJ663">
        <v>631</v>
      </c>
      <c r="AK663">
        <v>1419</v>
      </c>
      <c r="AL663">
        <v>87</v>
      </c>
      <c r="AM663">
        <v>13</v>
      </c>
      <c r="AN663" t="s">
        <v>590</v>
      </c>
      <c r="AO663">
        <f>AVERAGE(Tabla2[[#This Row],[total_kills]:[rating]])</f>
        <v>2685.7894736842104</v>
      </c>
      <c r="AP663" t="str">
        <f>VLOOKUP(Tabla2[[#This Row],[KPI]],$AS$2:$AT$5,2,1)</f>
        <v>Bajo</v>
      </c>
    </row>
    <row r="664" spans="1:42" x14ac:dyDescent="0.3">
      <c r="A664">
        <v>11538</v>
      </c>
      <c r="B664" t="s">
        <v>2168</v>
      </c>
      <c r="C664" t="s">
        <v>2169</v>
      </c>
      <c r="D664">
        <v>25</v>
      </c>
      <c r="E664" t="s">
        <v>299</v>
      </c>
      <c r="F664" t="s">
        <v>3514</v>
      </c>
      <c r="G664" t="s">
        <v>2170</v>
      </c>
      <c r="H664">
        <v>7054</v>
      </c>
      <c r="I664">
        <v>6771</v>
      </c>
      <c r="J664" t="s">
        <v>1769</v>
      </c>
      <c r="K664" t="s">
        <v>2171</v>
      </c>
      <c r="L664" t="s">
        <v>331</v>
      </c>
      <c r="M664">
        <v>400</v>
      </c>
      <c r="N664">
        <v>10511</v>
      </c>
      <c r="O664" t="s">
        <v>225</v>
      </c>
      <c r="P664" t="s">
        <v>48</v>
      </c>
      <c r="Q664" t="s">
        <v>65</v>
      </c>
      <c r="R664" t="s">
        <v>50</v>
      </c>
      <c r="S664" t="s">
        <v>202</v>
      </c>
      <c r="T664">
        <v>4838</v>
      </c>
      <c r="U664" t="s">
        <v>51</v>
      </c>
      <c r="V664">
        <v>681</v>
      </c>
      <c r="W664">
        <v>652</v>
      </c>
      <c r="X664" t="s">
        <v>407</v>
      </c>
      <c r="Y664" t="s">
        <v>1551</v>
      </c>
      <c r="Z664" t="s">
        <v>1571</v>
      </c>
      <c r="AA664" t="s">
        <v>2172</v>
      </c>
      <c r="AB664">
        <v>5673</v>
      </c>
      <c r="AC664">
        <v>3145</v>
      </c>
      <c r="AD664">
        <v>1253</v>
      </c>
      <c r="AE664">
        <v>365</v>
      </c>
      <c r="AF664">
        <v>67</v>
      </c>
      <c r="AG664">
        <v>8</v>
      </c>
      <c r="AH664">
        <v>5151</v>
      </c>
      <c r="AI664">
        <v>25</v>
      </c>
      <c r="AJ664">
        <v>343</v>
      </c>
      <c r="AK664">
        <v>1454</v>
      </c>
      <c r="AL664">
        <v>87</v>
      </c>
      <c r="AM664">
        <v>11</v>
      </c>
      <c r="AN664" t="s">
        <v>407</v>
      </c>
      <c r="AO664">
        <f>AVERAGE(Tabla2[[#This Row],[total_kills]:[rating]])</f>
        <v>2552.0526315789475</v>
      </c>
      <c r="AP664" t="str">
        <f>VLOOKUP(Tabla2[[#This Row],[KPI]],$AS$2:$AT$5,2,1)</f>
        <v>Bajo</v>
      </c>
    </row>
    <row r="665" spans="1:42" x14ac:dyDescent="0.3">
      <c r="A665">
        <v>10590</v>
      </c>
      <c r="B665" t="s">
        <v>2241</v>
      </c>
      <c r="C665" t="s">
        <v>2242</v>
      </c>
      <c r="D665">
        <v>27</v>
      </c>
      <c r="E665" t="s">
        <v>75</v>
      </c>
      <c r="F665" t="s">
        <v>2243</v>
      </c>
      <c r="G665" t="s">
        <v>2244</v>
      </c>
      <c r="H665">
        <v>13225</v>
      </c>
      <c r="I665">
        <v>13084</v>
      </c>
      <c r="J665" t="s">
        <v>1769</v>
      </c>
      <c r="K665" t="s">
        <v>939</v>
      </c>
      <c r="L665" t="s">
        <v>63</v>
      </c>
      <c r="M665">
        <v>729</v>
      </c>
      <c r="N665">
        <v>19059</v>
      </c>
      <c r="O665" t="s">
        <v>463</v>
      </c>
      <c r="P665" t="s">
        <v>48</v>
      </c>
      <c r="Q665" t="s">
        <v>463</v>
      </c>
      <c r="R665" t="s">
        <v>96</v>
      </c>
      <c r="S665" t="s">
        <v>96</v>
      </c>
      <c r="T665">
        <v>8982</v>
      </c>
      <c r="U665" t="s">
        <v>51</v>
      </c>
      <c r="V665">
        <v>1735</v>
      </c>
      <c r="W665">
        <v>1795</v>
      </c>
      <c r="X665" t="s">
        <v>503</v>
      </c>
      <c r="Y665" t="s">
        <v>472</v>
      </c>
      <c r="Z665" t="s">
        <v>2245</v>
      </c>
      <c r="AA665" t="s">
        <v>1244</v>
      </c>
      <c r="AB665">
        <v>10077</v>
      </c>
      <c r="AC665">
        <v>5769</v>
      </c>
      <c r="AD665">
        <v>2358</v>
      </c>
      <c r="AE665">
        <v>694</v>
      </c>
      <c r="AF665">
        <v>147</v>
      </c>
      <c r="AG665">
        <v>14</v>
      </c>
      <c r="AH665">
        <v>9374</v>
      </c>
      <c r="AI665">
        <v>474</v>
      </c>
      <c r="AJ665">
        <v>1024</v>
      </c>
      <c r="AK665">
        <v>2261</v>
      </c>
      <c r="AL665">
        <v>101</v>
      </c>
      <c r="AM665">
        <v>12</v>
      </c>
      <c r="AN665">
        <v>1</v>
      </c>
      <c r="AO665">
        <f>AVERAGE(Tabla2[[#This Row],[total_kills]:[rating]])</f>
        <v>4545.75</v>
      </c>
      <c r="AP665" t="str">
        <f>VLOOKUP(Tabla2[[#This Row],[KPI]],$AS$2:$AT$5,2,1)</f>
        <v>Medio</v>
      </c>
    </row>
    <row r="666" spans="1:42" x14ac:dyDescent="0.3">
      <c r="A666">
        <v>15778</v>
      </c>
      <c r="B666" t="s">
        <v>3263</v>
      </c>
      <c r="C666" t="s">
        <v>3264</v>
      </c>
      <c r="D666">
        <v>25</v>
      </c>
      <c r="E666" t="s">
        <v>1422</v>
      </c>
      <c r="F666" t="s">
        <v>1251</v>
      </c>
      <c r="G666" t="s">
        <v>3265</v>
      </c>
      <c r="H666">
        <v>6135</v>
      </c>
      <c r="I666">
        <v>6739</v>
      </c>
      <c r="J666" t="s">
        <v>1769</v>
      </c>
      <c r="K666" t="s">
        <v>2773</v>
      </c>
      <c r="L666" t="s">
        <v>975</v>
      </c>
      <c r="M666">
        <v>380</v>
      </c>
      <c r="N666">
        <v>10090</v>
      </c>
      <c r="O666" t="s">
        <v>49</v>
      </c>
      <c r="P666" t="s">
        <v>235</v>
      </c>
      <c r="Q666" t="s">
        <v>225</v>
      </c>
      <c r="R666" t="s">
        <v>50</v>
      </c>
      <c r="S666" t="s">
        <v>96</v>
      </c>
      <c r="T666">
        <v>4275</v>
      </c>
      <c r="U666" t="s">
        <v>51</v>
      </c>
      <c r="V666">
        <v>763</v>
      </c>
      <c r="W666">
        <v>941</v>
      </c>
      <c r="X666" t="s">
        <v>165</v>
      </c>
      <c r="Y666" t="s">
        <v>1551</v>
      </c>
      <c r="Z666" t="s">
        <v>653</v>
      </c>
      <c r="AA666" t="s">
        <v>2131</v>
      </c>
      <c r="AB666">
        <v>5815</v>
      </c>
      <c r="AC666">
        <v>2828</v>
      </c>
      <c r="AD666">
        <v>1096</v>
      </c>
      <c r="AE666">
        <v>294</v>
      </c>
      <c r="AF666">
        <v>52</v>
      </c>
      <c r="AG666">
        <v>5</v>
      </c>
      <c r="AH666">
        <v>4552</v>
      </c>
      <c r="AI666">
        <v>49</v>
      </c>
      <c r="AJ666">
        <v>324</v>
      </c>
      <c r="AK666">
        <v>1075</v>
      </c>
      <c r="AL666">
        <v>146</v>
      </c>
      <c r="AM666">
        <v>15</v>
      </c>
      <c r="AN666" t="s">
        <v>245</v>
      </c>
      <c r="AO666">
        <f>AVERAGE(Tabla2[[#This Row],[total_kills]:[rating]])</f>
        <v>2398.6315789473683</v>
      </c>
      <c r="AP666" t="str">
        <f>VLOOKUP(Tabla2[[#This Row],[KPI]],$AS$2:$AT$5,2,1)</f>
        <v>Bajo</v>
      </c>
    </row>
    <row r="667" spans="1:42" x14ac:dyDescent="0.3">
      <c r="A667">
        <v>9410</v>
      </c>
      <c r="B667" t="s">
        <v>2163</v>
      </c>
      <c r="C667" t="s">
        <v>2164</v>
      </c>
      <c r="D667">
        <v>28</v>
      </c>
      <c r="E667" t="s">
        <v>841</v>
      </c>
      <c r="F667" t="s">
        <v>3514</v>
      </c>
      <c r="G667" t="s">
        <v>2165</v>
      </c>
      <c r="H667">
        <v>16112</v>
      </c>
      <c r="I667">
        <v>15955</v>
      </c>
      <c r="J667" t="s">
        <v>2166</v>
      </c>
      <c r="K667" t="s">
        <v>723</v>
      </c>
      <c r="L667" t="s">
        <v>331</v>
      </c>
      <c r="M667">
        <v>855</v>
      </c>
      <c r="N667">
        <v>22891</v>
      </c>
      <c r="O667" t="s">
        <v>905</v>
      </c>
      <c r="P667" t="s">
        <v>48</v>
      </c>
      <c r="Q667" t="s">
        <v>905</v>
      </c>
      <c r="R667" t="s">
        <v>96</v>
      </c>
      <c r="S667" t="s">
        <v>96</v>
      </c>
      <c r="T667">
        <v>10860</v>
      </c>
      <c r="U667" t="s">
        <v>51</v>
      </c>
      <c r="V667">
        <v>2554</v>
      </c>
      <c r="W667">
        <v>2734</v>
      </c>
      <c r="X667" t="s">
        <v>950</v>
      </c>
      <c r="Y667" t="s">
        <v>412</v>
      </c>
      <c r="Z667" t="s">
        <v>2167</v>
      </c>
      <c r="AA667" t="s">
        <v>436</v>
      </c>
      <c r="AB667">
        <v>12031</v>
      </c>
      <c r="AC667">
        <v>6917</v>
      </c>
      <c r="AD667">
        <v>2851</v>
      </c>
      <c r="AE667">
        <v>892</v>
      </c>
      <c r="AF667">
        <v>183</v>
      </c>
      <c r="AG667">
        <v>17</v>
      </c>
      <c r="AH667">
        <v>10221</v>
      </c>
      <c r="AI667">
        <v>2073</v>
      </c>
      <c r="AJ667">
        <v>816</v>
      </c>
      <c r="AK667">
        <v>2795</v>
      </c>
      <c r="AL667">
        <v>152</v>
      </c>
      <c r="AM667">
        <v>100</v>
      </c>
      <c r="AN667" t="s">
        <v>255</v>
      </c>
      <c r="AO667">
        <f>AVERAGE(Tabla2[[#This Row],[total_kills]:[rating]])</f>
        <v>5842.5789473684208</v>
      </c>
      <c r="AP667" t="str">
        <f>VLOOKUP(Tabla2[[#This Row],[KPI]],$AS$2:$AT$5,2,1)</f>
        <v>Alto</v>
      </c>
    </row>
    <row r="668" spans="1:42" x14ac:dyDescent="0.3">
      <c r="A668">
        <v>9245</v>
      </c>
      <c r="B668" t="s">
        <v>2265</v>
      </c>
      <c r="C668" t="s">
        <v>2266</v>
      </c>
      <c r="D668">
        <v>28</v>
      </c>
      <c r="E668" t="s">
        <v>403</v>
      </c>
      <c r="F668" t="s">
        <v>2267</v>
      </c>
      <c r="G668" t="s">
        <v>904</v>
      </c>
      <c r="H668">
        <v>8757</v>
      </c>
      <c r="I668">
        <v>8659</v>
      </c>
      <c r="J668" t="s">
        <v>2166</v>
      </c>
      <c r="K668" t="s">
        <v>1183</v>
      </c>
      <c r="L668" t="s">
        <v>541</v>
      </c>
      <c r="M668">
        <v>488</v>
      </c>
      <c r="N668">
        <v>12467</v>
      </c>
      <c r="O668" t="s">
        <v>905</v>
      </c>
      <c r="P668" t="s">
        <v>235</v>
      </c>
      <c r="Q668" t="s">
        <v>463</v>
      </c>
      <c r="R668" t="s">
        <v>50</v>
      </c>
      <c r="S668" t="s">
        <v>67</v>
      </c>
      <c r="T668">
        <v>5981</v>
      </c>
      <c r="U668" t="s">
        <v>51</v>
      </c>
      <c r="V668">
        <v>1109</v>
      </c>
      <c r="W668">
        <v>1080</v>
      </c>
      <c r="X668" t="s">
        <v>412</v>
      </c>
      <c r="Y668" t="s">
        <v>503</v>
      </c>
      <c r="Z668" t="s">
        <v>286</v>
      </c>
      <c r="AA668" t="s">
        <v>1101</v>
      </c>
      <c r="AB668">
        <v>6486</v>
      </c>
      <c r="AC668">
        <v>3862</v>
      </c>
      <c r="AD668">
        <v>1551</v>
      </c>
      <c r="AE668">
        <v>487</v>
      </c>
      <c r="AF668">
        <v>73</v>
      </c>
      <c r="AG668">
        <v>8</v>
      </c>
      <c r="AH668">
        <v>6618</v>
      </c>
      <c r="AI668">
        <v>61</v>
      </c>
      <c r="AJ668">
        <v>387</v>
      </c>
      <c r="AK668">
        <v>1602</v>
      </c>
      <c r="AL668">
        <v>86</v>
      </c>
      <c r="AM668">
        <v>26</v>
      </c>
      <c r="AN668">
        <v>1</v>
      </c>
      <c r="AO668">
        <f>AVERAGE(Tabla2[[#This Row],[total_kills]:[rating]])</f>
        <v>2989.45</v>
      </c>
      <c r="AP668" t="str">
        <f>VLOOKUP(Tabla2[[#This Row],[KPI]],$AS$2:$AT$5,2,1)</f>
        <v>Bajo</v>
      </c>
    </row>
    <row r="669" spans="1:42" x14ac:dyDescent="0.3">
      <c r="A669">
        <v>10397</v>
      </c>
      <c r="B669" t="s">
        <v>2329</v>
      </c>
      <c r="C669" t="s">
        <v>2330</v>
      </c>
      <c r="D669">
        <v>27</v>
      </c>
      <c r="E669" t="s">
        <v>1070</v>
      </c>
      <c r="F669" t="s">
        <v>3514</v>
      </c>
      <c r="G669" t="s">
        <v>2128</v>
      </c>
      <c r="H669">
        <v>11785</v>
      </c>
      <c r="I669">
        <v>11718</v>
      </c>
      <c r="J669" t="s">
        <v>2166</v>
      </c>
      <c r="K669">
        <v>74</v>
      </c>
      <c r="L669" t="s">
        <v>46</v>
      </c>
      <c r="M669">
        <v>653</v>
      </c>
      <c r="N669">
        <v>17335</v>
      </c>
      <c r="O669" t="s">
        <v>167</v>
      </c>
      <c r="P669" t="s">
        <v>202</v>
      </c>
      <c r="Q669" t="s">
        <v>167</v>
      </c>
      <c r="R669" t="s">
        <v>67</v>
      </c>
      <c r="S669" t="s">
        <v>67</v>
      </c>
      <c r="T669">
        <v>7946</v>
      </c>
      <c r="U669" t="s">
        <v>51</v>
      </c>
      <c r="V669">
        <v>1800</v>
      </c>
      <c r="W669">
        <v>1951</v>
      </c>
      <c r="X669" t="s">
        <v>1314</v>
      </c>
      <c r="Y669">
        <v>1</v>
      </c>
      <c r="Z669" t="s">
        <v>932</v>
      </c>
      <c r="AA669" t="s">
        <v>547</v>
      </c>
      <c r="AB669">
        <v>9389</v>
      </c>
      <c r="AC669">
        <v>5042</v>
      </c>
      <c r="AD669">
        <v>2143</v>
      </c>
      <c r="AE669">
        <v>603</v>
      </c>
      <c r="AF669">
        <v>142</v>
      </c>
      <c r="AG669">
        <v>16</v>
      </c>
      <c r="AH669">
        <v>8101</v>
      </c>
      <c r="AI669">
        <v>753</v>
      </c>
      <c r="AJ669">
        <v>791</v>
      </c>
      <c r="AK669">
        <v>1996</v>
      </c>
      <c r="AL669">
        <v>146</v>
      </c>
      <c r="AM669">
        <v>29</v>
      </c>
      <c r="AN669">
        <v>1</v>
      </c>
      <c r="AO669">
        <f>AVERAGE(Tabla2[[#This Row],[total_kills]:[rating]])</f>
        <v>3746.1363636363635</v>
      </c>
      <c r="AP669" t="str">
        <f>VLOOKUP(Tabla2[[#This Row],[KPI]],$AS$2:$AT$5,2,1)</f>
        <v>Medio</v>
      </c>
    </row>
    <row r="670" spans="1:42" x14ac:dyDescent="0.3">
      <c r="A670">
        <v>4679</v>
      </c>
      <c r="B670" t="s">
        <v>1043</v>
      </c>
      <c r="C670" t="s">
        <v>1044</v>
      </c>
      <c r="D670">
        <v>26</v>
      </c>
      <c r="E670" t="s">
        <v>299</v>
      </c>
      <c r="F670" t="s">
        <v>812</v>
      </c>
      <c r="G670" t="s">
        <v>1045</v>
      </c>
      <c r="H670">
        <v>21807</v>
      </c>
      <c r="I670">
        <v>19460</v>
      </c>
      <c r="J670" t="s">
        <v>1046</v>
      </c>
      <c r="K670" t="s">
        <v>1047</v>
      </c>
      <c r="L670" t="s">
        <v>282</v>
      </c>
      <c r="M670">
        <v>1183</v>
      </c>
      <c r="N670">
        <v>30912</v>
      </c>
      <c r="O670" t="s">
        <v>646</v>
      </c>
      <c r="P670" t="s">
        <v>202</v>
      </c>
      <c r="Q670" t="s">
        <v>215</v>
      </c>
      <c r="R670" t="s">
        <v>96</v>
      </c>
      <c r="S670" t="s">
        <v>67</v>
      </c>
      <c r="T670">
        <v>14500</v>
      </c>
      <c r="U670" t="s">
        <v>51</v>
      </c>
      <c r="V670">
        <v>2560</v>
      </c>
      <c r="W670">
        <v>2226</v>
      </c>
      <c r="X670" t="s">
        <v>84</v>
      </c>
      <c r="Y670" t="s">
        <v>472</v>
      </c>
      <c r="Z670" t="s">
        <v>391</v>
      </c>
      <c r="AA670" t="s">
        <v>287</v>
      </c>
      <c r="AB670">
        <v>16412</v>
      </c>
      <c r="AC670">
        <v>9085</v>
      </c>
      <c r="AD670">
        <v>3860</v>
      </c>
      <c r="AE670">
        <v>1248</v>
      </c>
      <c r="AF670">
        <v>283</v>
      </c>
      <c r="AG670">
        <v>24</v>
      </c>
      <c r="AH670">
        <v>15721</v>
      </c>
      <c r="AI670">
        <v>764</v>
      </c>
      <c r="AJ670">
        <v>1152</v>
      </c>
      <c r="AK670">
        <v>3795</v>
      </c>
      <c r="AL670">
        <v>386</v>
      </c>
      <c r="AM670">
        <v>33</v>
      </c>
      <c r="AN670" t="s">
        <v>464</v>
      </c>
      <c r="AO670">
        <f>AVERAGE(Tabla2[[#This Row],[total_kills]:[rating]])</f>
        <v>7653.2105263157891</v>
      </c>
      <c r="AP670" t="str">
        <f>VLOOKUP(Tabla2[[#This Row],[KPI]],$AS$2:$AT$5,2,1)</f>
        <v>Superior</v>
      </c>
    </row>
    <row r="671" spans="1:42" x14ac:dyDescent="0.3">
      <c r="A671">
        <v>8349</v>
      </c>
      <c r="B671" t="s">
        <v>1131</v>
      </c>
      <c r="C671" t="s">
        <v>1132</v>
      </c>
      <c r="D671">
        <v>28</v>
      </c>
      <c r="E671" t="s">
        <v>500</v>
      </c>
      <c r="F671" t="s">
        <v>3514</v>
      </c>
      <c r="G671" t="s">
        <v>76</v>
      </c>
      <c r="H671">
        <v>12588</v>
      </c>
      <c r="I671">
        <v>11277</v>
      </c>
      <c r="J671" t="s">
        <v>1046</v>
      </c>
      <c r="K671" t="s">
        <v>178</v>
      </c>
      <c r="L671" t="s">
        <v>80</v>
      </c>
      <c r="M671">
        <v>676</v>
      </c>
      <c r="N671">
        <v>17460</v>
      </c>
      <c r="O671" t="s">
        <v>311</v>
      </c>
      <c r="P671" t="s">
        <v>235</v>
      </c>
      <c r="Q671" t="s">
        <v>276</v>
      </c>
      <c r="R671" t="s">
        <v>96</v>
      </c>
      <c r="S671" t="s">
        <v>67</v>
      </c>
      <c r="T671">
        <v>8458</v>
      </c>
      <c r="U671" t="s">
        <v>51</v>
      </c>
      <c r="V671">
        <v>1734</v>
      </c>
      <c r="W671">
        <v>1522</v>
      </c>
      <c r="X671" t="s">
        <v>111</v>
      </c>
      <c r="Y671" t="s">
        <v>449</v>
      </c>
      <c r="Z671" t="s">
        <v>112</v>
      </c>
      <c r="AA671" t="s">
        <v>724</v>
      </c>
      <c r="AB671">
        <v>9002</v>
      </c>
      <c r="AC671">
        <v>5336</v>
      </c>
      <c r="AD671">
        <v>2301</v>
      </c>
      <c r="AE671">
        <v>663</v>
      </c>
      <c r="AF671">
        <v>149</v>
      </c>
      <c r="AG671">
        <v>9</v>
      </c>
      <c r="AH671">
        <v>9072</v>
      </c>
      <c r="AI671">
        <v>319</v>
      </c>
      <c r="AJ671">
        <v>771</v>
      </c>
      <c r="AK671">
        <v>2242</v>
      </c>
      <c r="AL671">
        <v>182</v>
      </c>
      <c r="AM671">
        <v>21</v>
      </c>
      <c r="AN671" t="s">
        <v>464</v>
      </c>
      <c r="AO671">
        <f>AVERAGE(Tabla2[[#This Row],[total_kills]:[rating]])</f>
        <v>4409.5789473684208</v>
      </c>
      <c r="AP671" t="str">
        <f>VLOOKUP(Tabla2[[#This Row],[KPI]],$AS$2:$AT$5,2,1)</f>
        <v>Medio</v>
      </c>
    </row>
    <row r="672" spans="1:42" x14ac:dyDescent="0.3">
      <c r="A672">
        <v>8394</v>
      </c>
      <c r="B672" t="s">
        <v>1504</v>
      </c>
      <c r="C672" t="s">
        <v>1505</v>
      </c>
      <c r="D672">
        <v>24</v>
      </c>
      <c r="E672" t="s">
        <v>196</v>
      </c>
      <c r="F672" t="s">
        <v>1093</v>
      </c>
      <c r="G672" t="s">
        <v>1506</v>
      </c>
      <c r="H672">
        <v>28608</v>
      </c>
      <c r="I672">
        <v>26504</v>
      </c>
      <c r="J672" t="s">
        <v>1046</v>
      </c>
      <c r="K672" t="s">
        <v>424</v>
      </c>
      <c r="L672" t="s">
        <v>80</v>
      </c>
      <c r="M672">
        <v>1530</v>
      </c>
      <c r="N672">
        <v>40253</v>
      </c>
      <c r="O672" t="s">
        <v>646</v>
      </c>
      <c r="P672" t="s">
        <v>235</v>
      </c>
      <c r="Q672" t="s">
        <v>322</v>
      </c>
      <c r="R672" t="s">
        <v>96</v>
      </c>
      <c r="S672" t="s">
        <v>50</v>
      </c>
      <c r="T672">
        <v>19286</v>
      </c>
      <c r="U672" t="s">
        <v>51</v>
      </c>
      <c r="V672">
        <v>3937</v>
      </c>
      <c r="W672">
        <v>4085</v>
      </c>
      <c r="X672" t="s">
        <v>472</v>
      </c>
      <c r="Y672" t="s">
        <v>285</v>
      </c>
      <c r="Z672" t="s">
        <v>809</v>
      </c>
      <c r="AA672" t="s">
        <v>746</v>
      </c>
      <c r="AB672">
        <v>20967</v>
      </c>
      <c r="AC672">
        <v>12196</v>
      </c>
      <c r="AD672">
        <v>5229</v>
      </c>
      <c r="AE672">
        <v>1544</v>
      </c>
      <c r="AF672">
        <v>293</v>
      </c>
      <c r="AG672">
        <v>24</v>
      </c>
      <c r="AH672">
        <v>22141</v>
      </c>
      <c r="AI672">
        <v>195</v>
      </c>
      <c r="AJ672">
        <v>1006</v>
      </c>
      <c r="AK672">
        <v>4923</v>
      </c>
      <c r="AL672">
        <v>363</v>
      </c>
      <c r="AM672">
        <v>33</v>
      </c>
      <c r="AN672" t="s">
        <v>407</v>
      </c>
      <c r="AO672">
        <f>AVERAGE(Tabla2[[#This Row],[total_kills]:[rating]])</f>
        <v>10164.052631578947</v>
      </c>
      <c r="AP672" t="str">
        <f>VLOOKUP(Tabla2[[#This Row],[KPI]],$AS$2:$AT$5,2,1)</f>
        <v>Superior</v>
      </c>
    </row>
    <row r="673" spans="1:42" x14ac:dyDescent="0.3">
      <c r="A673">
        <v>5287</v>
      </c>
      <c r="B673" t="s">
        <v>1945</v>
      </c>
      <c r="C673" t="s">
        <v>1946</v>
      </c>
      <c r="D673">
        <v>28</v>
      </c>
      <c r="E673" t="s">
        <v>196</v>
      </c>
      <c r="F673" t="s">
        <v>878</v>
      </c>
      <c r="G673" t="s">
        <v>1947</v>
      </c>
      <c r="H673">
        <v>26979</v>
      </c>
      <c r="I673">
        <v>25643</v>
      </c>
      <c r="J673" t="s">
        <v>1046</v>
      </c>
      <c r="K673" t="s">
        <v>948</v>
      </c>
      <c r="L673" t="s">
        <v>224</v>
      </c>
      <c r="M673">
        <v>1494</v>
      </c>
      <c r="N673">
        <v>39305</v>
      </c>
      <c r="O673" t="s">
        <v>463</v>
      </c>
      <c r="P673" t="s">
        <v>235</v>
      </c>
      <c r="Q673" t="s">
        <v>276</v>
      </c>
      <c r="R673" t="s">
        <v>96</v>
      </c>
      <c r="S673" t="s">
        <v>50</v>
      </c>
      <c r="T673">
        <v>18462</v>
      </c>
      <c r="U673" t="s">
        <v>51</v>
      </c>
      <c r="V673">
        <v>3543</v>
      </c>
      <c r="W673">
        <v>3302</v>
      </c>
      <c r="X673" t="s">
        <v>464</v>
      </c>
      <c r="Y673" t="s">
        <v>245</v>
      </c>
      <c r="Z673" t="s">
        <v>256</v>
      </c>
      <c r="AA673" t="s">
        <v>1101</v>
      </c>
      <c r="AB673">
        <v>20843</v>
      </c>
      <c r="AC673">
        <v>11970</v>
      </c>
      <c r="AD673">
        <v>4814</v>
      </c>
      <c r="AE673">
        <v>1383</v>
      </c>
      <c r="AF673">
        <v>267</v>
      </c>
      <c r="AG673">
        <v>28</v>
      </c>
      <c r="AH673">
        <v>20105</v>
      </c>
      <c r="AI673">
        <v>309</v>
      </c>
      <c r="AJ673">
        <v>1579</v>
      </c>
      <c r="AK673">
        <v>4619</v>
      </c>
      <c r="AL673">
        <v>357</v>
      </c>
      <c r="AM673">
        <v>46</v>
      </c>
      <c r="AN673" t="s">
        <v>449</v>
      </c>
      <c r="AO673">
        <f>AVERAGE(Tabla2[[#This Row],[total_kills]:[rating]])</f>
        <v>9739.3684210526317</v>
      </c>
      <c r="AP673" t="str">
        <f>VLOOKUP(Tabla2[[#This Row],[KPI]],$AS$2:$AT$5,2,1)</f>
        <v>Superior</v>
      </c>
    </row>
    <row r="674" spans="1:42" x14ac:dyDescent="0.3">
      <c r="A674">
        <v>9257</v>
      </c>
      <c r="B674" t="s">
        <v>2388</v>
      </c>
      <c r="C674" t="s">
        <v>2389</v>
      </c>
      <c r="D674">
        <v>28</v>
      </c>
      <c r="E674" t="s">
        <v>545</v>
      </c>
      <c r="F674" t="s">
        <v>3514</v>
      </c>
      <c r="G674" t="s">
        <v>2390</v>
      </c>
      <c r="H674">
        <v>20728</v>
      </c>
      <c r="I674">
        <v>20548</v>
      </c>
      <c r="J674" t="s">
        <v>1046</v>
      </c>
      <c r="K674">
        <v>77</v>
      </c>
      <c r="L674" t="s">
        <v>294</v>
      </c>
      <c r="M674">
        <v>1135</v>
      </c>
      <c r="N674">
        <v>30119</v>
      </c>
      <c r="O674" t="s">
        <v>463</v>
      </c>
      <c r="P674" t="s">
        <v>235</v>
      </c>
      <c r="Q674" t="s">
        <v>167</v>
      </c>
      <c r="R674" t="s">
        <v>96</v>
      </c>
      <c r="S674" t="s">
        <v>96</v>
      </c>
      <c r="T674">
        <v>14171</v>
      </c>
      <c r="U674" t="s">
        <v>51</v>
      </c>
      <c r="V674">
        <v>3160</v>
      </c>
      <c r="W674">
        <v>3144</v>
      </c>
      <c r="X674" t="s">
        <v>255</v>
      </c>
      <c r="Y674" t="s">
        <v>449</v>
      </c>
      <c r="Z674" t="s">
        <v>554</v>
      </c>
      <c r="AA674" t="s">
        <v>844</v>
      </c>
      <c r="AB674">
        <v>15948</v>
      </c>
      <c r="AC674">
        <v>9094</v>
      </c>
      <c r="AD674">
        <v>3848</v>
      </c>
      <c r="AE674">
        <v>1006</v>
      </c>
      <c r="AF674">
        <v>196</v>
      </c>
      <c r="AG674">
        <v>27</v>
      </c>
      <c r="AH674">
        <v>15233</v>
      </c>
      <c r="AI674">
        <v>561</v>
      </c>
      <c r="AJ674">
        <v>1134</v>
      </c>
      <c r="AK674">
        <v>3537</v>
      </c>
      <c r="AL674">
        <v>218</v>
      </c>
      <c r="AM674">
        <v>87</v>
      </c>
      <c r="AN674" t="s">
        <v>285</v>
      </c>
      <c r="AO674">
        <f>AVERAGE(Tabla2[[#This Row],[total_kills]:[rating]])</f>
        <v>7198.55</v>
      </c>
      <c r="AP674" t="str">
        <f>VLOOKUP(Tabla2[[#This Row],[KPI]],$AS$2:$AT$5,2,1)</f>
        <v>Superior</v>
      </c>
    </row>
    <row r="675" spans="1:42" x14ac:dyDescent="0.3">
      <c r="A675">
        <v>5351</v>
      </c>
      <c r="B675" t="s">
        <v>3199</v>
      </c>
      <c r="C675" t="s">
        <v>3200</v>
      </c>
      <c r="D675">
        <v>25</v>
      </c>
      <c r="E675" t="s">
        <v>895</v>
      </c>
      <c r="F675" t="s">
        <v>1040</v>
      </c>
      <c r="G675" t="s">
        <v>3201</v>
      </c>
      <c r="H675">
        <v>9544</v>
      </c>
      <c r="I675">
        <v>10260</v>
      </c>
      <c r="J675" t="s">
        <v>1046</v>
      </c>
      <c r="K675" t="s">
        <v>3202</v>
      </c>
      <c r="L675" t="s">
        <v>425</v>
      </c>
      <c r="M675">
        <v>565</v>
      </c>
      <c r="N675">
        <v>15044</v>
      </c>
      <c r="O675" t="s">
        <v>215</v>
      </c>
      <c r="P675" t="s">
        <v>48</v>
      </c>
      <c r="Q675" t="s">
        <v>167</v>
      </c>
      <c r="R675" t="s">
        <v>67</v>
      </c>
      <c r="S675" t="s">
        <v>50</v>
      </c>
      <c r="T675">
        <v>6723</v>
      </c>
      <c r="U675" t="s">
        <v>51</v>
      </c>
      <c r="V675">
        <v>1186</v>
      </c>
      <c r="W675">
        <v>1415</v>
      </c>
      <c r="X675" t="s">
        <v>47</v>
      </c>
      <c r="Y675" t="s">
        <v>1906</v>
      </c>
      <c r="Z675" t="s">
        <v>1467</v>
      </c>
      <c r="AA675" t="s">
        <v>1276</v>
      </c>
      <c r="AB675">
        <v>8321</v>
      </c>
      <c r="AC675">
        <v>4502</v>
      </c>
      <c r="AD675">
        <v>1699</v>
      </c>
      <c r="AE675">
        <v>451</v>
      </c>
      <c r="AF675">
        <v>64</v>
      </c>
      <c r="AG675">
        <v>7</v>
      </c>
      <c r="AH675">
        <v>7203</v>
      </c>
      <c r="AI675">
        <v>96</v>
      </c>
      <c r="AJ675">
        <v>597</v>
      </c>
      <c r="AK675">
        <v>1545</v>
      </c>
      <c r="AL675">
        <v>97</v>
      </c>
      <c r="AM675">
        <v>30</v>
      </c>
      <c r="AN675" t="s">
        <v>1314</v>
      </c>
      <c r="AO675">
        <f>AVERAGE(Tabla2[[#This Row],[total_kills]:[rating]])</f>
        <v>3649.9473684210525</v>
      </c>
      <c r="AP675" t="str">
        <f>VLOOKUP(Tabla2[[#This Row],[KPI]],$AS$2:$AT$5,2,1)</f>
        <v>Medio</v>
      </c>
    </row>
    <row r="676" spans="1:42" x14ac:dyDescent="0.3">
      <c r="A676">
        <v>16693</v>
      </c>
      <c r="B676" t="s">
        <v>1205</v>
      </c>
      <c r="C676" t="s">
        <v>1206</v>
      </c>
      <c r="D676">
        <v>19</v>
      </c>
      <c r="E676" t="s">
        <v>700</v>
      </c>
      <c r="F676" t="s">
        <v>130</v>
      </c>
      <c r="G676" t="s">
        <v>1207</v>
      </c>
      <c r="H676">
        <v>7461</v>
      </c>
      <c r="I676">
        <v>6945</v>
      </c>
      <c r="J676" t="s">
        <v>1208</v>
      </c>
      <c r="K676" t="s">
        <v>1209</v>
      </c>
      <c r="L676">
        <v>6</v>
      </c>
      <c r="M676">
        <v>387</v>
      </c>
      <c r="N676">
        <v>10352</v>
      </c>
      <c r="O676" t="s">
        <v>311</v>
      </c>
      <c r="P676" t="s">
        <v>235</v>
      </c>
      <c r="Q676" t="s">
        <v>225</v>
      </c>
      <c r="R676" t="s">
        <v>67</v>
      </c>
      <c r="S676" t="s">
        <v>67</v>
      </c>
      <c r="T676">
        <v>4913</v>
      </c>
      <c r="U676" t="s">
        <v>51</v>
      </c>
      <c r="V676">
        <v>1216</v>
      </c>
      <c r="W676">
        <v>1285</v>
      </c>
      <c r="X676" t="s">
        <v>820</v>
      </c>
      <c r="Y676" t="s">
        <v>304</v>
      </c>
      <c r="Z676" t="s">
        <v>391</v>
      </c>
      <c r="AA676" t="s">
        <v>994</v>
      </c>
      <c r="AB676">
        <v>5439</v>
      </c>
      <c r="AC676">
        <v>3070</v>
      </c>
      <c r="AD676">
        <v>1282</v>
      </c>
      <c r="AE676">
        <v>433</v>
      </c>
      <c r="AF676">
        <v>112</v>
      </c>
      <c r="AG676">
        <v>16</v>
      </c>
      <c r="AH676">
        <v>5493</v>
      </c>
      <c r="AI676">
        <v>83</v>
      </c>
      <c r="AJ676">
        <v>466</v>
      </c>
      <c r="AK676">
        <v>1294</v>
      </c>
      <c r="AL676">
        <v>126</v>
      </c>
      <c r="AM676">
        <v>20</v>
      </c>
      <c r="AN676" t="s">
        <v>370</v>
      </c>
      <c r="AO676">
        <f>AVERAGE(Tabla2[[#This Row],[total_kills]:[rating]])</f>
        <v>2519.9499999999998</v>
      </c>
      <c r="AP676" t="str">
        <f>VLOOKUP(Tabla2[[#This Row],[KPI]],$AS$2:$AT$5,2,1)</f>
        <v>Bajo</v>
      </c>
    </row>
    <row r="677" spans="1:42" x14ac:dyDescent="0.3">
      <c r="A677">
        <v>16820</v>
      </c>
      <c r="B677" t="s">
        <v>2158</v>
      </c>
      <c r="C677" t="s">
        <v>2159</v>
      </c>
      <c r="D677">
        <v>19</v>
      </c>
      <c r="E677" t="s">
        <v>327</v>
      </c>
      <c r="F677" t="s">
        <v>328</v>
      </c>
      <c r="G677" t="s">
        <v>1991</v>
      </c>
      <c r="H677">
        <v>9756</v>
      </c>
      <c r="I677">
        <v>9698</v>
      </c>
      <c r="J677" t="s">
        <v>1208</v>
      </c>
      <c r="K677" t="s">
        <v>515</v>
      </c>
      <c r="L677" t="s">
        <v>164</v>
      </c>
      <c r="M677">
        <v>518</v>
      </c>
      <c r="N677">
        <v>13917</v>
      </c>
      <c r="O677" t="s">
        <v>905</v>
      </c>
      <c r="P677" t="s">
        <v>202</v>
      </c>
      <c r="Q677" t="s">
        <v>905</v>
      </c>
      <c r="R677" t="s">
        <v>50</v>
      </c>
      <c r="S677" t="s">
        <v>96</v>
      </c>
      <c r="T677">
        <v>6526</v>
      </c>
      <c r="U677" t="s">
        <v>51</v>
      </c>
      <c r="V677">
        <v>1617</v>
      </c>
      <c r="W677">
        <v>1679</v>
      </c>
      <c r="X677" t="s">
        <v>472</v>
      </c>
      <c r="Y677" t="s">
        <v>304</v>
      </c>
      <c r="Z677" t="s">
        <v>443</v>
      </c>
      <c r="AA677" t="s">
        <v>376</v>
      </c>
      <c r="AB677">
        <v>7391</v>
      </c>
      <c r="AC677">
        <v>4098</v>
      </c>
      <c r="AD677">
        <v>1769</v>
      </c>
      <c r="AE677">
        <v>532</v>
      </c>
      <c r="AF677">
        <v>111</v>
      </c>
      <c r="AG677">
        <v>16</v>
      </c>
      <c r="AH677">
        <v>7548</v>
      </c>
      <c r="AI677">
        <v>104</v>
      </c>
      <c r="AJ677">
        <v>392</v>
      </c>
      <c r="AK677">
        <v>1613</v>
      </c>
      <c r="AL677">
        <v>93</v>
      </c>
      <c r="AM677">
        <v>50</v>
      </c>
      <c r="AN677" t="s">
        <v>590</v>
      </c>
      <c r="AO677">
        <f>AVERAGE(Tabla2[[#This Row],[total_kills]:[rating]])</f>
        <v>3548.8421052631579</v>
      </c>
      <c r="AP677" t="str">
        <f>VLOOKUP(Tabla2[[#This Row],[KPI]],$AS$2:$AT$5,2,1)</f>
        <v>Medio</v>
      </c>
    </row>
    <row r="678" spans="1:42" x14ac:dyDescent="0.3">
      <c r="A678">
        <v>10443</v>
      </c>
      <c r="B678" t="s">
        <v>2310</v>
      </c>
      <c r="C678" t="s">
        <v>2311</v>
      </c>
      <c r="D678">
        <v>23</v>
      </c>
      <c r="E678" t="s">
        <v>196</v>
      </c>
      <c r="F678" t="s">
        <v>3514</v>
      </c>
      <c r="G678" t="s">
        <v>992</v>
      </c>
      <c r="H678">
        <v>10081</v>
      </c>
      <c r="I678">
        <v>9816</v>
      </c>
      <c r="J678" t="s">
        <v>1208</v>
      </c>
      <c r="K678" t="s">
        <v>1842</v>
      </c>
      <c r="L678" t="s">
        <v>462</v>
      </c>
      <c r="M678">
        <v>582</v>
      </c>
      <c r="N678">
        <v>15218</v>
      </c>
      <c r="O678" t="s">
        <v>322</v>
      </c>
      <c r="P678" t="s">
        <v>50</v>
      </c>
      <c r="Q678" t="s">
        <v>276</v>
      </c>
      <c r="R678" t="s">
        <v>96</v>
      </c>
      <c r="S678" t="s">
        <v>50</v>
      </c>
      <c r="T678">
        <v>6901</v>
      </c>
      <c r="U678" t="s">
        <v>51</v>
      </c>
      <c r="V678">
        <v>1126</v>
      </c>
      <c r="W678">
        <v>1165</v>
      </c>
      <c r="X678" t="s">
        <v>503</v>
      </c>
      <c r="Y678" t="s">
        <v>1749</v>
      </c>
      <c r="Z678" t="s">
        <v>237</v>
      </c>
      <c r="AA678" t="s">
        <v>1636</v>
      </c>
      <c r="AB678">
        <v>8317</v>
      </c>
      <c r="AC678">
        <v>4487</v>
      </c>
      <c r="AD678">
        <v>1779</v>
      </c>
      <c r="AE678">
        <v>520</v>
      </c>
      <c r="AF678">
        <v>99</v>
      </c>
      <c r="AG678">
        <v>16</v>
      </c>
      <c r="AH678">
        <v>7285</v>
      </c>
      <c r="AI678">
        <v>335</v>
      </c>
      <c r="AJ678">
        <v>556</v>
      </c>
      <c r="AK678">
        <v>1779</v>
      </c>
      <c r="AL678">
        <v>115</v>
      </c>
      <c r="AM678">
        <v>27</v>
      </c>
      <c r="AN678">
        <v>1</v>
      </c>
      <c r="AO678">
        <f>AVERAGE(Tabla2[[#This Row],[total_kills]:[rating]])</f>
        <v>3510.25</v>
      </c>
      <c r="AP678" t="str">
        <f>VLOOKUP(Tabla2[[#This Row],[KPI]],$AS$2:$AT$5,2,1)</f>
        <v>Medio</v>
      </c>
    </row>
    <row r="679" spans="1:42" x14ac:dyDescent="0.3">
      <c r="A679">
        <v>8327</v>
      </c>
      <c r="B679" t="s">
        <v>2584</v>
      </c>
      <c r="C679" t="s">
        <v>2585</v>
      </c>
      <c r="D679">
        <v>27</v>
      </c>
      <c r="E679" t="s">
        <v>327</v>
      </c>
      <c r="F679" t="s">
        <v>1740</v>
      </c>
      <c r="G679" t="s">
        <v>1740</v>
      </c>
      <c r="H679">
        <v>37890</v>
      </c>
      <c r="I679">
        <v>38534</v>
      </c>
      <c r="J679" t="s">
        <v>1208</v>
      </c>
      <c r="K679" t="s">
        <v>540</v>
      </c>
      <c r="L679" t="s">
        <v>658</v>
      </c>
      <c r="M679">
        <v>2101</v>
      </c>
      <c r="N679">
        <v>55976</v>
      </c>
      <c r="O679" t="s">
        <v>167</v>
      </c>
      <c r="P679" t="s">
        <v>235</v>
      </c>
      <c r="Q679" t="s">
        <v>463</v>
      </c>
      <c r="R679" t="s">
        <v>50</v>
      </c>
      <c r="S679" t="s">
        <v>96</v>
      </c>
      <c r="T679">
        <v>25598</v>
      </c>
      <c r="U679" t="s">
        <v>51</v>
      </c>
      <c r="V679">
        <v>6157</v>
      </c>
      <c r="W679">
        <v>6666</v>
      </c>
      <c r="X679" t="s">
        <v>1314</v>
      </c>
      <c r="Y679" t="s">
        <v>449</v>
      </c>
      <c r="Z679" t="s">
        <v>324</v>
      </c>
      <c r="AA679" t="s">
        <v>279</v>
      </c>
      <c r="AB679">
        <v>30378</v>
      </c>
      <c r="AC679">
        <v>16343</v>
      </c>
      <c r="AD679">
        <v>6712</v>
      </c>
      <c r="AE679">
        <v>2086</v>
      </c>
      <c r="AF679">
        <v>421</v>
      </c>
      <c r="AG679">
        <v>36</v>
      </c>
      <c r="AH679">
        <v>25905</v>
      </c>
      <c r="AI679">
        <v>2937</v>
      </c>
      <c r="AJ679">
        <v>2130</v>
      </c>
      <c r="AK679">
        <v>6304</v>
      </c>
      <c r="AL679">
        <v>611</v>
      </c>
      <c r="AM679">
        <v>97</v>
      </c>
      <c r="AN679" t="s">
        <v>245</v>
      </c>
      <c r="AO679">
        <f>AVERAGE(Tabla2[[#This Row],[total_kills]:[rating]])</f>
        <v>14046.421052631578</v>
      </c>
      <c r="AP679" t="str">
        <f>VLOOKUP(Tabla2[[#This Row],[KPI]],$AS$2:$AT$5,2,1)</f>
        <v>Superior</v>
      </c>
    </row>
    <row r="680" spans="1:42" x14ac:dyDescent="0.3">
      <c r="A680">
        <v>10784</v>
      </c>
      <c r="B680" t="s">
        <v>2743</v>
      </c>
      <c r="C680" t="s">
        <v>2744</v>
      </c>
      <c r="D680">
        <v>24</v>
      </c>
      <c r="E680" t="s">
        <v>545</v>
      </c>
      <c r="F680" t="s">
        <v>914</v>
      </c>
      <c r="G680" t="s">
        <v>2745</v>
      </c>
      <c r="H680">
        <v>23216</v>
      </c>
      <c r="I680">
        <v>23547</v>
      </c>
      <c r="J680" t="s">
        <v>1208</v>
      </c>
      <c r="K680" t="s">
        <v>601</v>
      </c>
      <c r="L680" t="s">
        <v>224</v>
      </c>
      <c r="M680">
        <v>1298</v>
      </c>
      <c r="N680">
        <v>35053</v>
      </c>
      <c r="O680" t="s">
        <v>322</v>
      </c>
      <c r="P680" t="s">
        <v>202</v>
      </c>
      <c r="Q680" t="s">
        <v>225</v>
      </c>
      <c r="R680" t="s">
        <v>50</v>
      </c>
      <c r="S680" t="s">
        <v>50</v>
      </c>
      <c r="T680">
        <v>15940</v>
      </c>
      <c r="U680" t="s">
        <v>51</v>
      </c>
      <c r="V680">
        <v>3166</v>
      </c>
      <c r="W680">
        <v>3538</v>
      </c>
      <c r="X680" t="s">
        <v>1551</v>
      </c>
      <c r="Y680" t="s">
        <v>820</v>
      </c>
      <c r="Z680" t="s">
        <v>1462</v>
      </c>
      <c r="AA680" t="s">
        <v>518</v>
      </c>
      <c r="AB680">
        <v>19113</v>
      </c>
      <c r="AC680">
        <v>10287</v>
      </c>
      <c r="AD680">
        <v>4274</v>
      </c>
      <c r="AE680">
        <v>1156</v>
      </c>
      <c r="AF680">
        <v>202</v>
      </c>
      <c r="AG680">
        <v>21</v>
      </c>
      <c r="AH680">
        <v>16941</v>
      </c>
      <c r="AI680">
        <v>323</v>
      </c>
      <c r="AJ680">
        <v>1431</v>
      </c>
      <c r="AK680">
        <v>4136</v>
      </c>
      <c r="AL680">
        <v>393</v>
      </c>
      <c r="AM680">
        <v>57</v>
      </c>
      <c r="AN680" t="s">
        <v>412</v>
      </c>
      <c r="AO680">
        <f>AVERAGE(Tabla2[[#This Row],[total_kills]:[rating]])</f>
        <v>8636.4210526315783</v>
      </c>
      <c r="AP680" t="str">
        <f>VLOOKUP(Tabla2[[#This Row],[KPI]],$AS$2:$AT$5,2,1)</f>
        <v>Superior</v>
      </c>
    </row>
    <row r="681" spans="1:42" x14ac:dyDescent="0.3">
      <c r="A681">
        <v>10892</v>
      </c>
      <c r="B681" t="s">
        <v>1477</v>
      </c>
      <c r="C681" t="s">
        <v>1478</v>
      </c>
      <c r="D681">
        <v>24</v>
      </c>
      <c r="E681" t="s">
        <v>1479</v>
      </c>
      <c r="F681" t="s">
        <v>3514</v>
      </c>
      <c r="G681" t="s">
        <v>1480</v>
      </c>
      <c r="H681">
        <v>16750</v>
      </c>
      <c r="I681">
        <v>15402</v>
      </c>
      <c r="J681" t="s">
        <v>1481</v>
      </c>
      <c r="K681">
        <v>79</v>
      </c>
      <c r="L681" t="s">
        <v>658</v>
      </c>
      <c r="M681">
        <v>926</v>
      </c>
      <c r="N681">
        <v>23830</v>
      </c>
      <c r="O681" t="s">
        <v>905</v>
      </c>
      <c r="P681" t="s">
        <v>166</v>
      </c>
      <c r="Q681" t="s">
        <v>276</v>
      </c>
      <c r="R681" t="s">
        <v>67</v>
      </c>
      <c r="S681" t="s">
        <v>48</v>
      </c>
      <c r="T681">
        <v>11318</v>
      </c>
      <c r="U681" t="s">
        <v>51</v>
      </c>
      <c r="V681">
        <v>2422</v>
      </c>
      <c r="W681">
        <v>2286</v>
      </c>
      <c r="X681" t="s">
        <v>590</v>
      </c>
      <c r="Y681" t="s">
        <v>255</v>
      </c>
      <c r="Z681" t="s">
        <v>137</v>
      </c>
      <c r="AA681" t="s">
        <v>739</v>
      </c>
      <c r="AB681">
        <v>12512</v>
      </c>
      <c r="AC681">
        <v>7185</v>
      </c>
      <c r="AD681">
        <v>3027</v>
      </c>
      <c r="AE681">
        <v>923</v>
      </c>
      <c r="AF681">
        <v>173</v>
      </c>
      <c r="AG681">
        <v>10</v>
      </c>
      <c r="AH681">
        <v>12507</v>
      </c>
      <c r="AI681">
        <v>304</v>
      </c>
      <c r="AJ681">
        <v>689</v>
      </c>
      <c r="AK681">
        <v>2994</v>
      </c>
      <c r="AL681">
        <v>246</v>
      </c>
      <c r="AM681">
        <v>81</v>
      </c>
      <c r="AN681" t="s">
        <v>370</v>
      </c>
      <c r="AO681">
        <f>AVERAGE(Tabla2[[#This Row],[total_kills]:[rating]])</f>
        <v>5683.2</v>
      </c>
      <c r="AP681" t="str">
        <f>VLOOKUP(Tabla2[[#This Row],[KPI]],$AS$2:$AT$5,2,1)</f>
        <v>Alto</v>
      </c>
    </row>
    <row r="682" spans="1:42" x14ac:dyDescent="0.3">
      <c r="A682">
        <v>17936</v>
      </c>
      <c r="B682" t="s">
        <v>2635</v>
      </c>
      <c r="C682" t="s">
        <v>2636</v>
      </c>
      <c r="D682">
        <v>20</v>
      </c>
      <c r="E682" t="s">
        <v>545</v>
      </c>
      <c r="F682" t="s">
        <v>2637</v>
      </c>
      <c r="G682" t="s">
        <v>2638</v>
      </c>
      <c r="H682">
        <v>7342</v>
      </c>
      <c r="I682">
        <v>7546</v>
      </c>
      <c r="J682" t="s">
        <v>1481</v>
      </c>
      <c r="K682" t="s">
        <v>916</v>
      </c>
      <c r="L682" t="s">
        <v>541</v>
      </c>
      <c r="M682">
        <v>398</v>
      </c>
      <c r="N682">
        <v>10734</v>
      </c>
      <c r="O682" t="s">
        <v>167</v>
      </c>
      <c r="P682" t="s">
        <v>202</v>
      </c>
      <c r="Q682" t="s">
        <v>905</v>
      </c>
      <c r="R682" t="s">
        <v>66</v>
      </c>
      <c r="S682" t="s">
        <v>66</v>
      </c>
      <c r="T682">
        <v>4946</v>
      </c>
      <c r="U682" t="s">
        <v>51</v>
      </c>
      <c r="V682">
        <v>1062</v>
      </c>
      <c r="W682">
        <v>1196</v>
      </c>
      <c r="X682" t="s">
        <v>1551</v>
      </c>
      <c r="Y682" t="s">
        <v>245</v>
      </c>
      <c r="Z682" t="s">
        <v>1571</v>
      </c>
      <c r="AA682" t="s">
        <v>933</v>
      </c>
      <c r="AB682">
        <v>5788</v>
      </c>
      <c r="AC682">
        <v>3142</v>
      </c>
      <c r="AD682">
        <v>1305</v>
      </c>
      <c r="AE682">
        <v>414</v>
      </c>
      <c r="AF682">
        <v>77</v>
      </c>
      <c r="AG682">
        <v>8</v>
      </c>
      <c r="AH682">
        <v>5525</v>
      </c>
      <c r="AI682">
        <v>235</v>
      </c>
      <c r="AJ682">
        <v>231</v>
      </c>
      <c r="AK682">
        <v>1260</v>
      </c>
      <c r="AL682">
        <v>67</v>
      </c>
      <c r="AM682">
        <v>45</v>
      </c>
      <c r="AN682" t="s">
        <v>449</v>
      </c>
      <c r="AO682">
        <f>AVERAGE(Tabla2[[#This Row],[total_kills]:[rating]])</f>
        <v>2701.1052631578946</v>
      </c>
      <c r="AP682" t="str">
        <f>VLOOKUP(Tabla2[[#This Row],[KPI]],$AS$2:$AT$5,2,1)</f>
        <v>Bajo</v>
      </c>
    </row>
    <row r="683" spans="1:42" x14ac:dyDescent="0.3">
      <c r="A683">
        <v>19733</v>
      </c>
      <c r="B683" t="s">
        <v>2509</v>
      </c>
      <c r="C683" t="s">
        <v>2510</v>
      </c>
      <c r="D683">
        <v>21</v>
      </c>
      <c r="E683" t="s">
        <v>59</v>
      </c>
      <c r="F683" t="s">
        <v>2511</v>
      </c>
      <c r="G683" t="s">
        <v>2512</v>
      </c>
      <c r="H683">
        <v>7138</v>
      </c>
      <c r="I683">
        <v>7124</v>
      </c>
      <c r="J683" t="s">
        <v>2513</v>
      </c>
      <c r="K683" t="s">
        <v>480</v>
      </c>
      <c r="L683" t="s">
        <v>1146</v>
      </c>
      <c r="M683">
        <v>400</v>
      </c>
      <c r="N683">
        <v>10507</v>
      </c>
      <c r="O683" t="s">
        <v>167</v>
      </c>
      <c r="P683" t="s">
        <v>235</v>
      </c>
      <c r="Q683" t="s">
        <v>167</v>
      </c>
      <c r="R683" t="s">
        <v>50</v>
      </c>
      <c r="S683" t="s">
        <v>96</v>
      </c>
      <c r="T683">
        <v>4894</v>
      </c>
      <c r="U683" t="s">
        <v>51</v>
      </c>
      <c r="V683">
        <v>1262</v>
      </c>
      <c r="W683">
        <v>1230</v>
      </c>
      <c r="X683" t="s">
        <v>412</v>
      </c>
      <c r="Y683" t="s">
        <v>464</v>
      </c>
      <c r="Z683" t="s">
        <v>1165</v>
      </c>
      <c r="AA683" t="s">
        <v>1385</v>
      </c>
      <c r="AB683">
        <v>5613</v>
      </c>
      <c r="AC683">
        <v>3179</v>
      </c>
      <c r="AD683">
        <v>1269</v>
      </c>
      <c r="AE683">
        <v>370</v>
      </c>
      <c r="AF683">
        <v>69</v>
      </c>
      <c r="AG683">
        <v>7</v>
      </c>
      <c r="AH683">
        <v>5104</v>
      </c>
      <c r="AI683">
        <v>479</v>
      </c>
      <c r="AJ683">
        <v>300</v>
      </c>
      <c r="AK683">
        <v>1144</v>
      </c>
      <c r="AL683">
        <v>99</v>
      </c>
      <c r="AM683">
        <v>54</v>
      </c>
      <c r="AN683" t="s">
        <v>464</v>
      </c>
      <c r="AO683">
        <f>AVERAGE(Tabla2[[#This Row],[total_kills]:[rating]])</f>
        <v>2644.3157894736842</v>
      </c>
      <c r="AP683" t="str">
        <f>VLOOKUP(Tabla2[[#This Row],[KPI]],$AS$2:$AT$5,2,1)</f>
        <v>Bajo</v>
      </c>
    </row>
    <row r="684" spans="1:42" x14ac:dyDescent="0.3">
      <c r="A684">
        <v>7938</v>
      </c>
      <c r="B684" t="s">
        <v>157</v>
      </c>
      <c r="C684" t="s">
        <v>158</v>
      </c>
      <c r="D684">
        <v>26</v>
      </c>
      <c r="E684" t="s">
        <v>159</v>
      </c>
      <c r="F684" t="s">
        <v>160</v>
      </c>
      <c r="G684" t="s">
        <v>161</v>
      </c>
      <c r="H684">
        <v>37879</v>
      </c>
      <c r="I684">
        <v>31623</v>
      </c>
      <c r="J684" t="s">
        <v>162</v>
      </c>
      <c r="K684" t="s">
        <v>163</v>
      </c>
      <c r="L684" t="s">
        <v>164</v>
      </c>
      <c r="M684">
        <v>1772</v>
      </c>
      <c r="N684">
        <v>46706</v>
      </c>
      <c r="O684" t="s">
        <v>165</v>
      </c>
      <c r="P684" t="s">
        <v>166</v>
      </c>
      <c r="Q684" t="s">
        <v>167</v>
      </c>
      <c r="R684" t="s">
        <v>50</v>
      </c>
      <c r="S684" t="s">
        <v>50</v>
      </c>
      <c r="T684">
        <v>24117</v>
      </c>
      <c r="U684" t="s">
        <v>51</v>
      </c>
      <c r="V684">
        <v>6449</v>
      </c>
      <c r="W684">
        <v>5003</v>
      </c>
      <c r="X684" t="s">
        <v>168</v>
      </c>
      <c r="Y684" t="s">
        <v>169</v>
      </c>
      <c r="Z684" t="s">
        <v>170</v>
      </c>
      <c r="AA684" t="s">
        <v>171</v>
      </c>
      <c r="AB684">
        <v>22589</v>
      </c>
      <c r="AC684">
        <v>14081</v>
      </c>
      <c r="AD684">
        <v>6997</v>
      </c>
      <c r="AE684">
        <v>2414</v>
      </c>
      <c r="AF684">
        <v>564</v>
      </c>
      <c r="AG684">
        <v>61</v>
      </c>
      <c r="AH684">
        <v>30174</v>
      </c>
      <c r="AI684">
        <v>355</v>
      </c>
      <c r="AJ684">
        <v>857</v>
      </c>
      <c r="AK684">
        <v>6127</v>
      </c>
      <c r="AL684">
        <v>394</v>
      </c>
      <c r="AM684">
        <v>50</v>
      </c>
      <c r="AN684" t="s">
        <v>172</v>
      </c>
      <c r="AO684">
        <f>AVERAGE(Tabla2[[#This Row],[total_kills]:[rating]])</f>
        <v>12537.473684210527</v>
      </c>
      <c r="AP684" t="str">
        <f>VLOOKUP(Tabla2[[#This Row],[KPI]],$AS$2:$AT$5,2,1)</f>
        <v>Superior</v>
      </c>
    </row>
    <row r="685" spans="1:42" x14ac:dyDescent="0.3">
      <c r="A685">
        <v>10827</v>
      </c>
      <c r="B685" t="s">
        <v>2683</v>
      </c>
      <c r="C685" t="s">
        <v>2684</v>
      </c>
      <c r="D685">
        <v>24</v>
      </c>
      <c r="E685" t="s">
        <v>104</v>
      </c>
      <c r="F685" t="s">
        <v>1125</v>
      </c>
      <c r="G685" t="s">
        <v>2685</v>
      </c>
      <c r="H685">
        <v>12697</v>
      </c>
      <c r="I685">
        <v>12807</v>
      </c>
      <c r="J685" t="s">
        <v>162</v>
      </c>
      <c r="K685" t="s">
        <v>2686</v>
      </c>
      <c r="L685">
        <v>3</v>
      </c>
      <c r="M685">
        <v>732</v>
      </c>
      <c r="N685">
        <v>18994</v>
      </c>
      <c r="O685" t="s">
        <v>225</v>
      </c>
      <c r="P685" t="s">
        <v>202</v>
      </c>
      <c r="Q685" t="s">
        <v>225</v>
      </c>
      <c r="R685" t="s">
        <v>67</v>
      </c>
      <c r="S685" t="s">
        <v>67</v>
      </c>
      <c r="T685">
        <v>8756</v>
      </c>
      <c r="U685" t="s">
        <v>51</v>
      </c>
      <c r="V685">
        <v>1729</v>
      </c>
      <c r="W685">
        <v>1778</v>
      </c>
      <c r="X685" t="s">
        <v>503</v>
      </c>
      <c r="Y685" t="s">
        <v>503</v>
      </c>
      <c r="Z685" t="s">
        <v>1165</v>
      </c>
      <c r="AA685" t="s">
        <v>783</v>
      </c>
      <c r="AB685">
        <v>10238</v>
      </c>
      <c r="AC685">
        <v>5726</v>
      </c>
      <c r="AD685">
        <v>2267</v>
      </c>
      <c r="AE685">
        <v>624</v>
      </c>
      <c r="AF685">
        <v>130</v>
      </c>
      <c r="AG685">
        <v>9</v>
      </c>
      <c r="AH685">
        <v>8676</v>
      </c>
      <c r="AI685">
        <v>590</v>
      </c>
      <c r="AJ685">
        <v>987</v>
      </c>
      <c r="AK685">
        <v>2311</v>
      </c>
      <c r="AL685">
        <v>140</v>
      </c>
      <c r="AM685">
        <v>33</v>
      </c>
      <c r="AN685" t="s">
        <v>449</v>
      </c>
      <c r="AO685">
        <f>AVERAGE(Tabla2[[#This Row],[total_kills]:[rating]])</f>
        <v>4461.3500000000004</v>
      </c>
      <c r="AP685" t="str">
        <f>VLOOKUP(Tabla2[[#This Row],[KPI]],$AS$2:$AT$5,2,1)</f>
        <v>Medio</v>
      </c>
    </row>
    <row r="686" spans="1:42" x14ac:dyDescent="0.3">
      <c r="A686">
        <v>11891</v>
      </c>
      <c r="B686" t="s">
        <v>2814</v>
      </c>
      <c r="C686" t="s">
        <v>2815</v>
      </c>
      <c r="D686">
        <v>25</v>
      </c>
      <c r="E686" t="s">
        <v>327</v>
      </c>
      <c r="F686" t="s">
        <v>2473</v>
      </c>
      <c r="G686" t="s">
        <v>2816</v>
      </c>
      <c r="H686">
        <v>22976</v>
      </c>
      <c r="I686">
        <v>23369</v>
      </c>
      <c r="J686" t="s">
        <v>162</v>
      </c>
      <c r="K686" t="s">
        <v>1234</v>
      </c>
      <c r="L686" t="s">
        <v>782</v>
      </c>
      <c r="M686">
        <v>1312</v>
      </c>
      <c r="N686">
        <v>35125</v>
      </c>
      <c r="O686" t="s">
        <v>276</v>
      </c>
      <c r="P686" t="s">
        <v>202</v>
      </c>
      <c r="Q686" t="s">
        <v>225</v>
      </c>
      <c r="R686" t="s">
        <v>96</v>
      </c>
      <c r="S686" t="s">
        <v>96</v>
      </c>
      <c r="T686">
        <v>15974</v>
      </c>
      <c r="U686" t="s">
        <v>51</v>
      </c>
      <c r="V686">
        <v>2796</v>
      </c>
      <c r="W686">
        <v>2915</v>
      </c>
      <c r="X686" t="s">
        <v>472</v>
      </c>
      <c r="Y686" t="s">
        <v>950</v>
      </c>
      <c r="Z686" t="s">
        <v>795</v>
      </c>
      <c r="AA686" t="s">
        <v>1572</v>
      </c>
      <c r="AB686">
        <v>19151</v>
      </c>
      <c r="AC686">
        <v>10531</v>
      </c>
      <c r="AD686">
        <v>4139</v>
      </c>
      <c r="AE686">
        <v>1066</v>
      </c>
      <c r="AF686">
        <v>221</v>
      </c>
      <c r="AG686">
        <v>17</v>
      </c>
      <c r="AH686">
        <v>17039</v>
      </c>
      <c r="AI686">
        <v>679</v>
      </c>
      <c r="AJ686">
        <v>1177</v>
      </c>
      <c r="AK686">
        <v>3651</v>
      </c>
      <c r="AL686">
        <v>399</v>
      </c>
      <c r="AM686">
        <v>54</v>
      </c>
      <c r="AN686" t="s">
        <v>449</v>
      </c>
      <c r="AO686">
        <f>AVERAGE(Tabla2[[#This Row],[total_kills]:[rating]])</f>
        <v>8557.4210526315783</v>
      </c>
      <c r="AP686" t="str">
        <f>VLOOKUP(Tabla2[[#This Row],[KPI]],$AS$2:$AT$5,2,1)</f>
        <v>Superior</v>
      </c>
    </row>
    <row r="687" spans="1:42" x14ac:dyDescent="0.3">
      <c r="A687">
        <v>9882</v>
      </c>
      <c r="B687" t="s">
        <v>3351</v>
      </c>
      <c r="C687" t="s">
        <v>3352</v>
      </c>
      <c r="D687">
        <v>26</v>
      </c>
      <c r="E687" t="s">
        <v>459</v>
      </c>
      <c r="F687" t="s">
        <v>3514</v>
      </c>
      <c r="G687" t="s">
        <v>749</v>
      </c>
      <c r="H687">
        <v>7017</v>
      </c>
      <c r="I687">
        <v>7995</v>
      </c>
      <c r="J687" t="s">
        <v>162</v>
      </c>
      <c r="K687" t="s">
        <v>2614</v>
      </c>
      <c r="L687" t="s">
        <v>201</v>
      </c>
      <c r="M687">
        <v>435</v>
      </c>
      <c r="N687">
        <v>11470</v>
      </c>
      <c r="O687" t="s">
        <v>49</v>
      </c>
      <c r="P687" t="s">
        <v>235</v>
      </c>
      <c r="Q687" t="s">
        <v>905</v>
      </c>
      <c r="R687" t="s">
        <v>50</v>
      </c>
      <c r="S687" t="s">
        <v>66</v>
      </c>
      <c r="T687">
        <v>4945</v>
      </c>
      <c r="U687" t="s">
        <v>51</v>
      </c>
      <c r="V687">
        <v>1005</v>
      </c>
      <c r="W687">
        <v>1254</v>
      </c>
      <c r="X687" t="s">
        <v>94</v>
      </c>
      <c r="Y687" t="s">
        <v>1314</v>
      </c>
      <c r="Z687" t="s">
        <v>1462</v>
      </c>
      <c r="AA687" t="s">
        <v>828</v>
      </c>
      <c r="AB687">
        <v>6525</v>
      </c>
      <c r="AC687">
        <v>3338</v>
      </c>
      <c r="AD687">
        <v>1221</v>
      </c>
      <c r="AE687">
        <v>314</v>
      </c>
      <c r="AF687">
        <v>65</v>
      </c>
      <c r="AG687">
        <v>7</v>
      </c>
      <c r="AH687">
        <v>4929</v>
      </c>
      <c r="AI687">
        <v>103</v>
      </c>
      <c r="AJ687">
        <v>476</v>
      </c>
      <c r="AK687">
        <v>1421</v>
      </c>
      <c r="AL687">
        <v>86</v>
      </c>
      <c r="AM687">
        <v>23</v>
      </c>
      <c r="AN687" t="s">
        <v>1551</v>
      </c>
      <c r="AO687">
        <f>AVERAGE(Tabla2[[#This Row],[total_kills]:[rating]])</f>
        <v>2769.9473684210525</v>
      </c>
      <c r="AP687" t="str">
        <f>VLOOKUP(Tabla2[[#This Row],[KPI]],$AS$2:$AT$5,2,1)</f>
        <v>Bajo</v>
      </c>
    </row>
    <row r="688" spans="1:42" x14ac:dyDescent="0.3">
      <c r="A688">
        <v>14684</v>
      </c>
      <c r="B688" t="s">
        <v>2090</v>
      </c>
      <c r="C688" t="s">
        <v>2091</v>
      </c>
      <c r="D688">
        <v>23</v>
      </c>
      <c r="E688" t="s">
        <v>327</v>
      </c>
      <c r="F688" t="s">
        <v>3514</v>
      </c>
      <c r="G688" t="s">
        <v>2092</v>
      </c>
      <c r="H688">
        <v>15232</v>
      </c>
      <c r="I688">
        <v>14642</v>
      </c>
      <c r="J688" t="s">
        <v>2093</v>
      </c>
      <c r="K688">
        <v>77</v>
      </c>
      <c r="L688">
        <v>6</v>
      </c>
      <c r="M688">
        <v>819</v>
      </c>
      <c r="N688">
        <v>22194</v>
      </c>
      <c r="O688" t="s">
        <v>463</v>
      </c>
      <c r="P688" t="s">
        <v>166</v>
      </c>
      <c r="Q688" t="s">
        <v>322</v>
      </c>
      <c r="R688" t="s">
        <v>50</v>
      </c>
      <c r="S688" t="s">
        <v>50</v>
      </c>
      <c r="T688">
        <v>10418</v>
      </c>
      <c r="U688" t="s">
        <v>51</v>
      </c>
      <c r="V688">
        <v>1996</v>
      </c>
      <c r="W688">
        <v>1933</v>
      </c>
      <c r="X688" t="s">
        <v>412</v>
      </c>
      <c r="Y688" t="s">
        <v>503</v>
      </c>
      <c r="Z688" t="s">
        <v>1467</v>
      </c>
      <c r="AA688" t="s">
        <v>852</v>
      </c>
      <c r="AB688">
        <v>11776</v>
      </c>
      <c r="AC688">
        <v>6741</v>
      </c>
      <c r="AD688">
        <v>2707</v>
      </c>
      <c r="AE688">
        <v>818</v>
      </c>
      <c r="AF688">
        <v>137</v>
      </c>
      <c r="AG688">
        <v>15</v>
      </c>
      <c r="AH688">
        <v>11629</v>
      </c>
      <c r="AI688">
        <v>173</v>
      </c>
      <c r="AJ688">
        <v>772</v>
      </c>
      <c r="AK688">
        <v>2397</v>
      </c>
      <c r="AL688">
        <v>283</v>
      </c>
      <c r="AM688">
        <v>41</v>
      </c>
      <c r="AN688" t="s">
        <v>277</v>
      </c>
      <c r="AO688">
        <f>AVERAGE(Tabla2[[#This Row],[total_kills]:[rating]])</f>
        <v>4990.7619047619046</v>
      </c>
      <c r="AP688" t="str">
        <f>VLOOKUP(Tabla2[[#This Row],[KPI]],$AS$2:$AT$5,2,1)</f>
        <v>Alto</v>
      </c>
    </row>
    <row r="689" spans="1:42" x14ac:dyDescent="0.3">
      <c r="A689">
        <v>11926</v>
      </c>
      <c r="B689" t="s">
        <v>2360</v>
      </c>
      <c r="C689" t="s">
        <v>2361</v>
      </c>
      <c r="D689">
        <v>23</v>
      </c>
      <c r="E689" t="s">
        <v>742</v>
      </c>
      <c r="F689" t="s">
        <v>2208</v>
      </c>
      <c r="G689" t="s">
        <v>1023</v>
      </c>
      <c r="H689">
        <v>19676</v>
      </c>
      <c r="I689">
        <v>19236</v>
      </c>
      <c r="J689" t="s">
        <v>2093</v>
      </c>
      <c r="K689" t="s">
        <v>1089</v>
      </c>
      <c r="L689" t="s">
        <v>275</v>
      </c>
      <c r="M689">
        <v>1096</v>
      </c>
      <c r="N689">
        <v>29290</v>
      </c>
      <c r="O689" t="s">
        <v>225</v>
      </c>
      <c r="P689" t="s">
        <v>67</v>
      </c>
      <c r="Q689" t="s">
        <v>322</v>
      </c>
      <c r="R689" t="s">
        <v>96</v>
      </c>
      <c r="S689" t="s">
        <v>96</v>
      </c>
      <c r="T689">
        <v>13506</v>
      </c>
      <c r="U689" t="s">
        <v>51</v>
      </c>
      <c r="V689">
        <v>2672</v>
      </c>
      <c r="W689">
        <v>2676</v>
      </c>
      <c r="X689">
        <v>1</v>
      </c>
      <c r="Y689" t="s">
        <v>503</v>
      </c>
      <c r="Z689" t="s">
        <v>1121</v>
      </c>
      <c r="AA689" t="s">
        <v>1244</v>
      </c>
      <c r="AB689">
        <v>15784</v>
      </c>
      <c r="AC689">
        <v>8776</v>
      </c>
      <c r="AD689">
        <v>3517</v>
      </c>
      <c r="AE689">
        <v>1003</v>
      </c>
      <c r="AF689">
        <v>193</v>
      </c>
      <c r="AG689">
        <v>17</v>
      </c>
      <c r="AH689">
        <v>14219</v>
      </c>
      <c r="AI689">
        <v>386</v>
      </c>
      <c r="AJ689">
        <v>1537</v>
      </c>
      <c r="AK689">
        <v>3355</v>
      </c>
      <c r="AL689">
        <v>169</v>
      </c>
      <c r="AM689">
        <v>54</v>
      </c>
      <c r="AN689" t="s">
        <v>407</v>
      </c>
      <c r="AO689">
        <f>AVERAGE(Tabla2[[#This Row],[total_kills]:[rating]])</f>
        <v>6858.15</v>
      </c>
      <c r="AP689" t="str">
        <f>VLOOKUP(Tabla2[[#This Row],[KPI]],$AS$2:$AT$5,2,1)</f>
        <v>Alto</v>
      </c>
    </row>
    <row r="690" spans="1:42" x14ac:dyDescent="0.3">
      <c r="A690">
        <v>12710</v>
      </c>
      <c r="B690" t="s">
        <v>2417</v>
      </c>
      <c r="C690" t="s">
        <v>2418</v>
      </c>
      <c r="D690">
        <v>21</v>
      </c>
      <c r="E690" t="s">
        <v>500</v>
      </c>
      <c r="F690" t="s">
        <v>3514</v>
      </c>
      <c r="G690" t="s">
        <v>2419</v>
      </c>
      <c r="H690">
        <v>8389</v>
      </c>
      <c r="I690">
        <v>8436</v>
      </c>
      <c r="J690" t="s">
        <v>2420</v>
      </c>
      <c r="K690" t="s">
        <v>1062</v>
      </c>
      <c r="L690" t="s">
        <v>462</v>
      </c>
      <c r="M690">
        <v>464</v>
      </c>
      <c r="N690">
        <v>12098</v>
      </c>
      <c r="O690" t="s">
        <v>463</v>
      </c>
      <c r="P690" t="s">
        <v>235</v>
      </c>
      <c r="Q690" t="s">
        <v>905</v>
      </c>
      <c r="R690" t="s">
        <v>67</v>
      </c>
      <c r="S690" t="s">
        <v>67</v>
      </c>
      <c r="T690">
        <v>5676</v>
      </c>
      <c r="U690" t="s">
        <v>51</v>
      </c>
      <c r="V690">
        <v>1188</v>
      </c>
      <c r="W690">
        <v>1355</v>
      </c>
      <c r="X690" t="s">
        <v>2315</v>
      </c>
      <c r="Y690" t="s">
        <v>503</v>
      </c>
      <c r="Z690" t="s">
        <v>745</v>
      </c>
      <c r="AA690" t="s">
        <v>933</v>
      </c>
      <c r="AB690">
        <v>6422</v>
      </c>
      <c r="AC690">
        <v>3613</v>
      </c>
      <c r="AD690">
        <v>1527</v>
      </c>
      <c r="AE690">
        <v>432</v>
      </c>
      <c r="AF690">
        <v>94</v>
      </c>
      <c r="AG690">
        <v>10</v>
      </c>
      <c r="AH690">
        <v>5997</v>
      </c>
      <c r="AI690">
        <v>375</v>
      </c>
      <c r="AJ690">
        <v>398</v>
      </c>
      <c r="AK690">
        <v>1551</v>
      </c>
      <c r="AL690">
        <v>66</v>
      </c>
      <c r="AM690">
        <v>18</v>
      </c>
      <c r="AN690" t="s">
        <v>304</v>
      </c>
      <c r="AO690">
        <f>AVERAGE(Tabla2[[#This Row],[total_kills]:[rating]])</f>
        <v>3058.3684210526317</v>
      </c>
      <c r="AP690" t="str">
        <f>VLOOKUP(Tabla2[[#This Row],[KPI]],$AS$2:$AT$5,2,1)</f>
        <v>Bajo</v>
      </c>
    </row>
    <row r="691" spans="1:42" x14ac:dyDescent="0.3">
      <c r="A691">
        <v>11110</v>
      </c>
      <c r="B691" t="s">
        <v>3322</v>
      </c>
      <c r="C691" t="s">
        <v>3323</v>
      </c>
      <c r="D691">
        <v>28</v>
      </c>
      <c r="E691" t="s">
        <v>545</v>
      </c>
      <c r="F691" t="s">
        <v>878</v>
      </c>
      <c r="G691" t="s">
        <v>3324</v>
      </c>
      <c r="H691">
        <v>14225</v>
      </c>
      <c r="I691">
        <v>16231</v>
      </c>
      <c r="J691" t="s">
        <v>2420</v>
      </c>
      <c r="K691" t="s">
        <v>3202</v>
      </c>
      <c r="L691" t="s">
        <v>282</v>
      </c>
      <c r="M691">
        <v>872</v>
      </c>
      <c r="N691">
        <v>23212</v>
      </c>
      <c r="O691" t="s">
        <v>49</v>
      </c>
      <c r="P691" t="s">
        <v>235</v>
      </c>
      <c r="Q691" t="s">
        <v>905</v>
      </c>
      <c r="R691" t="s">
        <v>50</v>
      </c>
      <c r="S691" t="s">
        <v>96</v>
      </c>
      <c r="T691">
        <v>9839</v>
      </c>
      <c r="U691" t="s">
        <v>51</v>
      </c>
      <c r="V691">
        <v>2009</v>
      </c>
      <c r="W691">
        <v>2403</v>
      </c>
      <c r="X691" t="s">
        <v>47</v>
      </c>
      <c r="Y691" t="s">
        <v>950</v>
      </c>
      <c r="Z691" t="s">
        <v>473</v>
      </c>
      <c r="AA691" t="s">
        <v>1083</v>
      </c>
      <c r="AB691">
        <v>13373</v>
      </c>
      <c r="AC691">
        <v>6490</v>
      </c>
      <c r="AD691">
        <v>2485</v>
      </c>
      <c r="AE691">
        <v>710</v>
      </c>
      <c r="AF691">
        <v>135</v>
      </c>
      <c r="AG691">
        <v>19</v>
      </c>
      <c r="AH691">
        <v>9688</v>
      </c>
      <c r="AI691">
        <v>277</v>
      </c>
      <c r="AJ691">
        <v>1079</v>
      </c>
      <c r="AK691">
        <v>2827</v>
      </c>
      <c r="AL691">
        <v>247</v>
      </c>
      <c r="AM691">
        <v>138</v>
      </c>
      <c r="AN691" t="s">
        <v>1570</v>
      </c>
      <c r="AO691">
        <f>AVERAGE(Tabla2[[#This Row],[total_kills]:[rating]])</f>
        <v>5592.5789473684208</v>
      </c>
      <c r="AP691" t="str">
        <f>VLOOKUP(Tabla2[[#This Row],[KPI]],$AS$2:$AT$5,2,1)</f>
        <v>Alto</v>
      </c>
    </row>
    <row r="692" spans="1:42" x14ac:dyDescent="0.3">
      <c r="A692">
        <v>15120</v>
      </c>
      <c r="B692" t="s">
        <v>3342</v>
      </c>
      <c r="C692" t="s">
        <v>3343</v>
      </c>
      <c r="D692">
        <v>27</v>
      </c>
      <c r="E692" t="s">
        <v>42</v>
      </c>
      <c r="F692" t="s">
        <v>3514</v>
      </c>
      <c r="G692" t="s">
        <v>1608</v>
      </c>
      <c r="H692">
        <v>8657</v>
      </c>
      <c r="I692">
        <v>9850</v>
      </c>
      <c r="J692" t="s">
        <v>2420</v>
      </c>
      <c r="K692" t="s">
        <v>1623</v>
      </c>
      <c r="L692" t="s">
        <v>331</v>
      </c>
      <c r="M692">
        <v>542</v>
      </c>
      <c r="N692">
        <v>14411</v>
      </c>
      <c r="O692" t="s">
        <v>134</v>
      </c>
      <c r="P692" t="s">
        <v>166</v>
      </c>
      <c r="Q692" t="s">
        <v>167</v>
      </c>
      <c r="R692" t="s">
        <v>67</v>
      </c>
      <c r="S692" t="s">
        <v>96</v>
      </c>
      <c r="T692">
        <v>6064</v>
      </c>
      <c r="U692" t="s">
        <v>51</v>
      </c>
      <c r="V692">
        <v>1342</v>
      </c>
      <c r="W692">
        <v>1647</v>
      </c>
      <c r="X692" t="s">
        <v>165</v>
      </c>
      <c r="Y692" t="s">
        <v>1570</v>
      </c>
      <c r="Z692" t="s">
        <v>2130</v>
      </c>
      <c r="AA692" t="s">
        <v>1244</v>
      </c>
      <c r="AB692">
        <v>8347</v>
      </c>
      <c r="AC692">
        <v>4066</v>
      </c>
      <c r="AD692">
        <v>1489</v>
      </c>
      <c r="AE692">
        <v>433</v>
      </c>
      <c r="AF692">
        <v>66</v>
      </c>
      <c r="AG692">
        <v>10</v>
      </c>
      <c r="AH692">
        <v>6106</v>
      </c>
      <c r="AI692">
        <v>70</v>
      </c>
      <c r="AJ692">
        <v>677</v>
      </c>
      <c r="AK692">
        <v>1643</v>
      </c>
      <c r="AL692">
        <v>145</v>
      </c>
      <c r="AM692">
        <v>25</v>
      </c>
      <c r="AN692" t="s">
        <v>503</v>
      </c>
      <c r="AO692">
        <f>AVERAGE(Tabla2[[#This Row],[total_kills]:[rating]])</f>
        <v>3452.1052631578946</v>
      </c>
      <c r="AP692" t="str">
        <f>VLOOKUP(Tabla2[[#This Row],[KPI]],$AS$2:$AT$5,2,1)</f>
        <v>Medio</v>
      </c>
    </row>
    <row r="693" spans="1:42" x14ac:dyDescent="0.3">
      <c r="A693">
        <v>13779</v>
      </c>
      <c r="B693" t="s">
        <v>3420</v>
      </c>
      <c r="C693" t="s">
        <v>3421</v>
      </c>
      <c r="D693">
        <v>28</v>
      </c>
      <c r="E693" t="s">
        <v>75</v>
      </c>
      <c r="F693" t="s">
        <v>2208</v>
      </c>
      <c r="G693" t="s">
        <v>3422</v>
      </c>
      <c r="H693">
        <v>9261</v>
      </c>
      <c r="I693">
        <v>11566</v>
      </c>
      <c r="J693" t="s">
        <v>2420</v>
      </c>
      <c r="K693" t="s">
        <v>3046</v>
      </c>
      <c r="L693">
        <v>4</v>
      </c>
      <c r="M693">
        <v>608</v>
      </c>
      <c r="N693">
        <v>15891</v>
      </c>
      <c r="O693" t="s">
        <v>284</v>
      </c>
      <c r="P693" t="s">
        <v>202</v>
      </c>
      <c r="Q693" t="s">
        <v>495</v>
      </c>
      <c r="R693" t="s">
        <v>50</v>
      </c>
      <c r="S693" t="s">
        <v>135</v>
      </c>
      <c r="T693">
        <v>6535</v>
      </c>
      <c r="U693" t="s">
        <v>51</v>
      </c>
      <c r="V693">
        <v>1544</v>
      </c>
      <c r="W693">
        <v>2226</v>
      </c>
      <c r="X693" t="s">
        <v>463</v>
      </c>
      <c r="Y693" t="s">
        <v>1314</v>
      </c>
      <c r="Z693" t="s">
        <v>1020</v>
      </c>
      <c r="AA693" t="s">
        <v>1030</v>
      </c>
      <c r="AB693">
        <v>9356</v>
      </c>
      <c r="AC693">
        <v>4413</v>
      </c>
      <c r="AD693">
        <v>1600</v>
      </c>
      <c r="AE693">
        <v>446</v>
      </c>
      <c r="AF693">
        <v>70</v>
      </c>
      <c r="AG693">
        <v>6</v>
      </c>
      <c r="AH693">
        <v>6199</v>
      </c>
      <c r="AI693">
        <v>93</v>
      </c>
      <c r="AJ693">
        <v>1340</v>
      </c>
      <c r="AK693">
        <v>1499</v>
      </c>
      <c r="AL693">
        <v>101</v>
      </c>
      <c r="AM693">
        <v>54</v>
      </c>
      <c r="AN693" t="s">
        <v>1906</v>
      </c>
      <c r="AO693">
        <f>AVERAGE(Tabla2[[#This Row],[total_kills]:[rating]])</f>
        <v>3640.6</v>
      </c>
      <c r="AP693" t="str">
        <f>VLOOKUP(Tabla2[[#This Row],[KPI]],$AS$2:$AT$5,2,1)</f>
        <v>Medio</v>
      </c>
    </row>
    <row r="694" spans="1:42" x14ac:dyDescent="0.3">
      <c r="A694">
        <v>16080</v>
      </c>
      <c r="B694" t="s">
        <v>1161</v>
      </c>
      <c r="C694" t="s">
        <v>1162</v>
      </c>
      <c r="D694">
        <v>24</v>
      </c>
      <c r="E694" t="s">
        <v>327</v>
      </c>
      <c r="F694" t="s">
        <v>701</v>
      </c>
      <c r="G694" t="s">
        <v>1163</v>
      </c>
      <c r="H694">
        <v>15852</v>
      </c>
      <c r="I694">
        <v>14609</v>
      </c>
      <c r="J694" t="s">
        <v>1164</v>
      </c>
      <c r="K694" t="s">
        <v>574</v>
      </c>
      <c r="L694" t="s">
        <v>612</v>
      </c>
      <c r="M694">
        <v>813</v>
      </c>
      <c r="N694">
        <v>21781</v>
      </c>
      <c r="O694" t="s">
        <v>495</v>
      </c>
      <c r="P694" t="s">
        <v>235</v>
      </c>
      <c r="Q694" t="s">
        <v>225</v>
      </c>
      <c r="R694" t="s">
        <v>96</v>
      </c>
      <c r="S694" t="s">
        <v>96</v>
      </c>
      <c r="T694">
        <v>10475</v>
      </c>
      <c r="U694" t="s">
        <v>51</v>
      </c>
      <c r="V694">
        <v>2383</v>
      </c>
      <c r="W694">
        <v>2329</v>
      </c>
      <c r="X694" t="s">
        <v>449</v>
      </c>
      <c r="Y694" t="s">
        <v>407</v>
      </c>
      <c r="Z694" t="s">
        <v>1165</v>
      </c>
      <c r="AA694" t="s">
        <v>384</v>
      </c>
      <c r="AB694">
        <v>11306</v>
      </c>
      <c r="AC694">
        <v>6514</v>
      </c>
      <c r="AD694">
        <v>2789</v>
      </c>
      <c r="AE694">
        <v>954</v>
      </c>
      <c r="AF694">
        <v>192</v>
      </c>
      <c r="AG694">
        <v>26</v>
      </c>
      <c r="AH694">
        <v>11434</v>
      </c>
      <c r="AI694">
        <v>539</v>
      </c>
      <c r="AJ694">
        <v>861</v>
      </c>
      <c r="AK694">
        <v>2778</v>
      </c>
      <c r="AL694">
        <v>225</v>
      </c>
      <c r="AM694">
        <v>39</v>
      </c>
      <c r="AN694" t="s">
        <v>370</v>
      </c>
      <c r="AO694">
        <f>AVERAGE(Tabla2[[#This Row],[total_kills]:[rating]])</f>
        <v>5573.6315789473683</v>
      </c>
      <c r="AP694" t="str">
        <f>VLOOKUP(Tabla2[[#This Row],[KPI]],$AS$2:$AT$5,2,1)</f>
        <v>Alto</v>
      </c>
    </row>
    <row r="695" spans="1:42" x14ac:dyDescent="0.3">
      <c r="A695">
        <v>16314</v>
      </c>
      <c r="B695" t="s">
        <v>1261</v>
      </c>
      <c r="C695" t="s">
        <v>1262</v>
      </c>
      <c r="D695">
        <v>24</v>
      </c>
      <c r="E695" t="s">
        <v>104</v>
      </c>
      <c r="F695" t="s">
        <v>3514</v>
      </c>
      <c r="G695" t="s">
        <v>1263</v>
      </c>
      <c r="H695">
        <v>11087</v>
      </c>
      <c r="I695">
        <v>10300</v>
      </c>
      <c r="J695" t="s">
        <v>1164</v>
      </c>
      <c r="K695" t="s">
        <v>1130</v>
      </c>
      <c r="L695" t="s">
        <v>658</v>
      </c>
      <c r="M695">
        <v>581</v>
      </c>
      <c r="N695">
        <v>15327</v>
      </c>
      <c r="O695" t="s">
        <v>311</v>
      </c>
      <c r="P695" t="s">
        <v>235</v>
      </c>
      <c r="Q695" t="s">
        <v>225</v>
      </c>
      <c r="R695" t="s">
        <v>96</v>
      </c>
      <c r="S695" t="s">
        <v>50</v>
      </c>
      <c r="T695">
        <v>7366</v>
      </c>
      <c r="U695" t="s">
        <v>51</v>
      </c>
      <c r="V695">
        <v>1735</v>
      </c>
      <c r="W695">
        <v>1631</v>
      </c>
      <c r="X695" t="s">
        <v>590</v>
      </c>
      <c r="Y695" t="s">
        <v>590</v>
      </c>
      <c r="Z695" t="s">
        <v>728</v>
      </c>
      <c r="AA695" t="s">
        <v>882</v>
      </c>
      <c r="AB695">
        <v>7961</v>
      </c>
      <c r="AC695">
        <v>4630</v>
      </c>
      <c r="AD695">
        <v>1933</v>
      </c>
      <c r="AE695">
        <v>644</v>
      </c>
      <c r="AF695">
        <v>136</v>
      </c>
      <c r="AG695">
        <v>23</v>
      </c>
      <c r="AH695">
        <v>8327</v>
      </c>
      <c r="AI695">
        <v>113</v>
      </c>
      <c r="AJ695">
        <v>724</v>
      </c>
      <c r="AK695">
        <v>1736</v>
      </c>
      <c r="AL695">
        <v>188</v>
      </c>
      <c r="AM695">
        <v>31</v>
      </c>
      <c r="AN695" t="s">
        <v>362</v>
      </c>
      <c r="AO695">
        <f>AVERAGE(Tabla2[[#This Row],[total_kills]:[rating]])</f>
        <v>3919.6315789473683</v>
      </c>
      <c r="AP695" t="str">
        <f>VLOOKUP(Tabla2[[#This Row],[KPI]],$AS$2:$AT$5,2,1)</f>
        <v>Medio</v>
      </c>
    </row>
    <row r="696" spans="1:42" x14ac:dyDescent="0.3">
      <c r="A696">
        <v>8875</v>
      </c>
      <c r="B696" t="s">
        <v>2531</v>
      </c>
      <c r="C696" t="s">
        <v>2532</v>
      </c>
      <c r="D696">
        <v>27</v>
      </c>
      <c r="E696" t="s">
        <v>196</v>
      </c>
      <c r="F696" t="s">
        <v>709</v>
      </c>
      <c r="G696" t="s">
        <v>2533</v>
      </c>
      <c r="H696">
        <v>16756</v>
      </c>
      <c r="I696">
        <v>16884</v>
      </c>
      <c r="J696" t="s">
        <v>1164</v>
      </c>
      <c r="K696" t="s">
        <v>1529</v>
      </c>
      <c r="L696" t="s">
        <v>46</v>
      </c>
      <c r="M696">
        <v>964</v>
      </c>
      <c r="N696">
        <v>25326</v>
      </c>
      <c r="O696" t="s">
        <v>322</v>
      </c>
      <c r="P696" t="s">
        <v>48</v>
      </c>
      <c r="Q696" t="s">
        <v>225</v>
      </c>
      <c r="R696" t="s">
        <v>50</v>
      </c>
      <c r="S696" t="s">
        <v>50</v>
      </c>
      <c r="T696">
        <v>11274</v>
      </c>
      <c r="U696" t="s">
        <v>51</v>
      </c>
      <c r="V696">
        <v>2370</v>
      </c>
      <c r="W696">
        <v>2666</v>
      </c>
      <c r="X696" t="s">
        <v>1551</v>
      </c>
      <c r="Y696" t="s">
        <v>472</v>
      </c>
      <c r="Z696" t="s">
        <v>391</v>
      </c>
      <c r="AA696" t="s">
        <v>363</v>
      </c>
      <c r="AB696">
        <v>14052</v>
      </c>
      <c r="AC696">
        <v>7151</v>
      </c>
      <c r="AD696">
        <v>2994</v>
      </c>
      <c r="AE696">
        <v>922</v>
      </c>
      <c r="AF696">
        <v>185</v>
      </c>
      <c r="AG696">
        <v>22</v>
      </c>
      <c r="AH696">
        <v>12899</v>
      </c>
      <c r="AI696">
        <v>96</v>
      </c>
      <c r="AJ696">
        <v>888</v>
      </c>
      <c r="AK696">
        <v>2648</v>
      </c>
      <c r="AL696">
        <v>193</v>
      </c>
      <c r="AM696">
        <v>63</v>
      </c>
      <c r="AN696" t="s">
        <v>285</v>
      </c>
      <c r="AO696">
        <f>AVERAGE(Tabla2[[#This Row],[total_kills]:[rating]])</f>
        <v>6229.105263157895</v>
      </c>
      <c r="AP696" t="str">
        <f>VLOOKUP(Tabla2[[#This Row],[KPI]],$AS$2:$AT$5,2,1)</f>
        <v>Alto</v>
      </c>
    </row>
    <row r="697" spans="1:42" x14ac:dyDescent="0.3">
      <c r="A697">
        <v>7168</v>
      </c>
      <c r="B697" t="s">
        <v>1847</v>
      </c>
      <c r="C697" t="s">
        <v>1848</v>
      </c>
      <c r="D697">
        <v>28</v>
      </c>
      <c r="E697" t="s">
        <v>42</v>
      </c>
      <c r="F697" t="s">
        <v>188</v>
      </c>
      <c r="G697" t="s">
        <v>1849</v>
      </c>
      <c r="H697">
        <v>37156</v>
      </c>
      <c r="I697">
        <v>35837</v>
      </c>
      <c r="J697" t="s">
        <v>1850</v>
      </c>
      <c r="K697" t="s">
        <v>480</v>
      </c>
      <c r="L697" t="s">
        <v>93</v>
      </c>
      <c r="M697">
        <v>2051</v>
      </c>
      <c r="N697">
        <v>53635</v>
      </c>
      <c r="O697" t="s">
        <v>463</v>
      </c>
      <c r="P697" t="s">
        <v>166</v>
      </c>
      <c r="Q697" t="s">
        <v>225</v>
      </c>
      <c r="R697" t="s">
        <v>50</v>
      </c>
      <c r="S697" t="s">
        <v>66</v>
      </c>
      <c r="T697">
        <v>24791</v>
      </c>
      <c r="U697" t="s">
        <v>51</v>
      </c>
      <c r="V697">
        <v>5699</v>
      </c>
      <c r="W697">
        <v>6017</v>
      </c>
      <c r="X697" t="s">
        <v>820</v>
      </c>
      <c r="Y697" t="s">
        <v>255</v>
      </c>
      <c r="Z697" t="s">
        <v>443</v>
      </c>
      <c r="AA697" t="s">
        <v>577</v>
      </c>
      <c r="AB697">
        <v>28844</v>
      </c>
      <c r="AC697">
        <v>15565</v>
      </c>
      <c r="AD697">
        <v>6718</v>
      </c>
      <c r="AE697">
        <v>2012</v>
      </c>
      <c r="AF697">
        <v>441</v>
      </c>
      <c r="AG697">
        <v>55</v>
      </c>
      <c r="AH697">
        <v>26354</v>
      </c>
      <c r="AI697">
        <v>1429</v>
      </c>
      <c r="AJ697">
        <v>1717</v>
      </c>
      <c r="AK697">
        <v>6915</v>
      </c>
      <c r="AL697">
        <v>333</v>
      </c>
      <c r="AM697">
        <v>454</v>
      </c>
      <c r="AN697" t="s">
        <v>449</v>
      </c>
      <c r="AO697">
        <f>AVERAGE(Tabla2[[#This Row],[total_kills]:[rating]])</f>
        <v>13474.894736842105</v>
      </c>
      <c r="AP697" t="str">
        <f>VLOOKUP(Tabla2[[#This Row],[KPI]],$AS$2:$AT$5,2,1)</f>
        <v>Superior</v>
      </c>
    </row>
    <row r="698" spans="1:42" x14ac:dyDescent="0.3">
      <c r="A698">
        <v>17402</v>
      </c>
      <c r="B698" t="s">
        <v>2027</v>
      </c>
      <c r="C698" t="s">
        <v>2028</v>
      </c>
      <c r="D698">
        <v>22</v>
      </c>
      <c r="E698" t="s">
        <v>299</v>
      </c>
      <c r="F698" t="s">
        <v>3514</v>
      </c>
      <c r="G698" t="s">
        <v>651</v>
      </c>
      <c r="H698">
        <v>6857</v>
      </c>
      <c r="I698">
        <v>6734</v>
      </c>
      <c r="J698" t="s">
        <v>1850</v>
      </c>
      <c r="K698" t="s">
        <v>948</v>
      </c>
      <c r="L698" t="s">
        <v>398</v>
      </c>
      <c r="M698">
        <v>379</v>
      </c>
      <c r="N698">
        <v>9815</v>
      </c>
      <c r="O698" t="s">
        <v>905</v>
      </c>
      <c r="P698" t="s">
        <v>235</v>
      </c>
      <c r="Q698" t="s">
        <v>463</v>
      </c>
      <c r="R698" t="s">
        <v>96</v>
      </c>
      <c r="S698" t="s">
        <v>96</v>
      </c>
      <c r="T698">
        <v>4581</v>
      </c>
      <c r="U698" t="s">
        <v>51</v>
      </c>
      <c r="V698">
        <v>960</v>
      </c>
      <c r="W698">
        <v>1032</v>
      </c>
      <c r="X698" t="s">
        <v>950</v>
      </c>
      <c r="Y698" t="s">
        <v>245</v>
      </c>
      <c r="Z698" t="s">
        <v>508</v>
      </c>
      <c r="AA698" t="s">
        <v>2029</v>
      </c>
      <c r="AB698">
        <v>5234</v>
      </c>
      <c r="AC698">
        <v>2873</v>
      </c>
      <c r="AD698">
        <v>1235</v>
      </c>
      <c r="AE698">
        <v>388</v>
      </c>
      <c r="AF698">
        <v>75</v>
      </c>
      <c r="AG698">
        <v>10</v>
      </c>
      <c r="AH698">
        <v>4345</v>
      </c>
      <c r="AI698">
        <v>66</v>
      </c>
      <c r="AJ698">
        <v>1258</v>
      </c>
      <c r="AK698">
        <v>1091</v>
      </c>
      <c r="AL698">
        <v>80</v>
      </c>
      <c r="AM698">
        <v>31</v>
      </c>
      <c r="AN698" t="s">
        <v>590</v>
      </c>
      <c r="AO698">
        <f>AVERAGE(Tabla2[[#This Row],[total_kills]:[rating]])</f>
        <v>2476</v>
      </c>
      <c r="AP698" t="str">
        <f>VLOOKUP(Tabla2[[#This Row],[KPI]],$AS$2:$AT$5,2,1)</f>
        <v>Bajo</v>
      </c>
    </row>
    <row r="699" spans="1:42" x14ac:dyDescent="0.3">
      <c r="A699">
        <v>16859</v>
      </c>
      <c r="B699" t="s">
        <v>2035</v>
      </c>
      <c r="C699" t="s">
        <v>2036</v>
      </c>
      <c r="D699">
        <v>24</v>
      </c>
      <c r="E699" t="s">
        <v>446</v>
      </c>
      <c r="F699" t="s">
        <v>1065</v>
      </c>
      <c r="G699" t="s">
        <v>2037</v>
      </c>
      <c r="H699">
        <v>11901</v>
      </c>
      <c r="I699">
        <v>11490</v>
      </c>
      <c r="J699" t="s">
        <v>1850</v>
      </c>
      <c r="K699">
        <v>75</v>
      </c>
      <c r="L699" t="s">
        <v>46</v>
      </c>
      <c r="M699">
        <v>657</v>
      </c>
      <c r="N699">
        <v>17509</v>
      </c>
      <c r="O699" t="s">
        <v>167</v>
      </c>
      <c r="P699" t="s">
        <v>48</v>
      </c>
      <c r="Q699" t="s">
        <v>322</v>
      </c>
      <c r="R699" t="s">
        <v>66</v>
      </c>
      <c r="S699" t="s">
        <v>96</v>
      </c>
      <c r="T699">
        <v>8061</v>
      </c>
      <c r="U699" t="s">
        <v>51</v>
      </c>
      <c r="V699">
        <v>1769</v>
      </c>
      <c r="W699">
        <v>1781</v>
      </c>
      <c r="X699" t="s">
        <v>285</v>
      </c>
      <c r="Y699">
        <v>1</v>
      </c>
      <c r="Z699" t="s">
        <v>1467</v>
      </c>
      <c r="AA699" t="s">
        <v>933</v>
      </c>
      <c r="AB699">
        <v>9448</v>
      </c>
      <c r="AC699">
        <v>5175</v>
      </c>
      <c r="AD699">
        <v>2106</v>
      </c>
      <c r="AE699">
        <v>624</v>
      </c>
      <c r="AF699">
        <v>138</v>
      </c>
      <c r="AG699">
        <v>18</v>
      </c>
      <c r="AH699">
        <v>8639</v>
      </c>
      <c r="AI699">
        <v>259</v>
      </c>
      <c r="AJ699">
        <v>607</v>
      </c>
      <c r="AK699">
        <v>2222</v>
      </c>
      <c r="AL699">
        <v>151</v>
      </c>
      <c r="AM699">
        <v>63</v>
      </c>
      <c r="AN699" t="s">
        <v>590</v>
      </c>
      <c r="AO699">
        <f>AVERAGE(Tabla2[[#This Row],[total_kills]:[rating]])</f>
        <v>3937.8095238095239</v>
      </c>
      <c r="AP699" t="str">
        <f>VLOOKUP(Tabla2[[#This Row],[KPI]],$AS$2:$AT$5,2,1)</f>
        <v>Medio</v>
      </c>
    </row>
    <row r="700" spans="1:42" x14ac:dyDescent="0.3">
      <c r="A700">
        <v>12094</v>
      </c>
      <c r="B700">
        <v>1962</v>
      </c>
      <c r="C700" t="s">
        <v>2097</v>
      </c>
      <c r="D700">
        <v>26</v>
      </c>
      <c r="E700" t="s">
        <v>1012</v>
      </c>
      <c r="F700" t="s">
        <v>1013</v>
      </c>
      <c r="G700" t="s">
        <v>2098</v>
      </c>
      <c r="H700">
        <v>10684</v>
      </c>
      <c r="I700">
        <v>10684</v>
      </c>
      <c r="J700" t="s">
        <v>1850</v>
      </c>
      <c r="K700" t="s">
        <v>368</v>
      </c>
      <c r="L700" t="s">
        <v>331</v>
      </c>
      <c r="M700">
        <v>579</v>
      </c>
      <c r="N700">
        <v>15075</v>
      </c>
      <c r="O700" t="s">
        <v>646</v>
      </c>
      <c r="P700" t="s">
        <v>202</v>
      </c>
      <c r="Q700" t="s">
        <v>646</v>
      </c>
      <c r="R700" t="s">
        <v>67</v>
      </c>
      <c r="S700" t="s">
        <v>50</v>
      </c>
      <c r="T700">
        <v>7093</v>
      </c>
      <c r="U700" t="s">
        <v>51</v>
      </c>
      <c r="V700">
        <v>1747</v>
      </c>
      <c r="W700">
        <v>1793</v>
      </c>
      <c r="X700" t="s">
        <v>503</v>
      </c>
      <c r="Y700" t="s">
        <v>304</v>
      </c>
      <c r="Z700" t="s">
        <v>932</v>
      </c>
      <c r="AA700" t="s">
        <v>86</v>
      </c>
      <c r="AB700">
        <v>7982</v>
      </c>
      <c r="AC700">
        <v>4448</v>
      </c>
      <c r="AD700">
        <v>1863</v>
      </c>
      <c r="AE700">
        <v>631</v>
      </c>
      <c r="AF700">
        <v>138</v>
      </c>
      <c r="AG700">
        <v>13</v>
      </c>
      <c r="AH700">
        <v>8025</v>
      </c>
      <c r="AI700">
        <v>125</v>
      </c>
      <c r="AJ700">
        <v>541</v>
      </c>
      <c r="AK700">
        <v>1883</v>
      </c>
      <c r="AL700">
        <v>110</v>
      </c>
      <c r="AM700">
        <v>16</v>
      </c>
      <c r="AN700" t="s">
        <v>464</v>
      </c>
      <c r="AO700">
        <f>AVERAGE(Tabla2[[#This Row],[total_kills]:[rating]])</f>
        <v>3864.7368421052633</v>
      </c>
      <c r="AP700" t="str">
        <f>VLOOKUP(Tabla2[[#This Row],[KPI]],$AS$2:$AT$5,2,1)</f>
        <v>Medio</v>
      </c>
    </row>
    <row r="701" spans="1:42" x14ac:dyDescent="0.3">
      <c r="A701">
        <v>13982</v>
      </c>
      <c r="B701" t="s">
        <v>1781</v>
      </c>
      <c r="C701" t="s">
        <v>1782</v>
      </c>
      <c r="D701">
        <v>22</v>
      </c>
      <c r="E701" t="s">
        <v>75</v>
      </c>
      <c r="F701" t="s">
        <v>344</v>
      </c>
      <c r="G701" t="s">
        <v>1783</v>
      </c>
      <c r="H701">
        <v>22323</v>
      </c>
      <c r="I701">
        <v>21240</v>
      </c>
      <c r="J701" t="s">
        <v>1784</v>
      </c>
      <c r="K701" t="s">
        <v>418</v>
      </c>
      <c r="L701" t="s">
        <v>93</v>
      </c>
      <c r="M701">
        <v>1211</v>
      </c>
      <c r="N701">
        <v>32174</v>
      </c>
      <c r="O701" t="s">
        <v>463</v>
      </c>
      <c r="P701" t="s">
        <v>202</v>
      </c>
      <c r="Q701" t="s">
        <v>322</v>
      </c>
      <c r="R701" t="s">
        <v>96</v>
      </c>
      <c r="S701" t="s">
        <v>96</v>
      </c>
      <c r="T701">
        <v>15071</v>
      </c>
      <c r="U701" t="s">
        <v>51</v>
      </c>
      <c r="V701">
        <v>3308</v>
      </c>
      <c r="W701">
        <v>3025</v>
      </c>
      <c r="X701" t="s">
        <v>295</v>
      </c>
      <c r="Y701" t="s">
        <v>449</v>
      </c>
      <c r="Z701" t="s">
        <v>728</v>
      </c>
      <c r="AA701" t="s">
        <v>648</v>
      </c>
      <c r="AB701">
        <v>17103</v>
      </c>
      <c r="AC701">
        <v>9577</v>
      </c>
      <c r="AD701">
        <v>4023</v>
      </c>
      <c r="AE701">
        <v>1217</v>
      </c>
      <c r="AF701">
        <v>221</v>
      </c>
      <c r="AG701">
        <v>33</v>
      </c>
      <c r="AH701">
        <v>17361</v>
      </c>
      <c r="AI701">
        <v>111</v>
      </c>
      <c r="AJ701">
        <v>920</v>
      </c>
      <c r="AK701">
        <v>3616</v>
      </c>
      <c r="AL701">
        <v>297</v>
      </c>
      <c r="AM701">
        <v>83</v>
      </c>
      <c r="AN701" t="s">
        <v>277</v>
      </c>
      <c r="AO701">
        <f>AVERAGE(Tabla2[[#This Row],[total_kills]:[rating]])</f>
        <v>8048.105263157895</v>
      </c>
      <c r="AP701" t="str">
        <f>VLOOKUP(Tabla2[[#This Row],[KPI]],$AS$2:$AT$5,2,1)</f>
        <v>Superior</v>
      </c>
    </row>
    <row r="702" spans="1:42" x14ac:dyDescent="0.3">
      <c r="A702">
        <v>8891</v>
      </c>
      <c r="B702" t="s">
        <v>2010</v>
      </c>
      <c r="C702" t="s">
        <v>2011</v>
      </c>
      <c r="D702">
        <v>23</v>
      </c>
      <c r="E702" t="s">
        <v>196</v>
      </c>
      <c r="F702" t="s">
        <v>1376</v>
      </c>
      <c r="G702" t="s">
        <v>2012</v>
      </c>
      <c r="H702">
        <v>13169</v>
      </c>
      <c r="I702">
        <v>12634</v>
      </c>
      <c r="J702" t="s">
        <v>1784</v>
      </c>
      <c r="K702">
        <v>76</v>
      </c>
      <c r="L702" t="s">
        <v>244</v>
      </c>
      <c r="M702">
        <v>720</v>
      </c>
      <c r="N702">
        <v>19311</v>
      </c>
      <c r="O702" t="s">
        <v>167</v>
      </c>
      <c r="P702" t="s">
        <v>235</v>
      </c>
      <c r="Q702" t="s">
        <v>276</v>
      </c>
      <c r="R702" t="s">
        <v>50</v>
      </c>
      <c r="S702" t="s">
        <v>67</v>
      </c>
      <c r="T702">
        <v>9005</v>
      </c>
      <c r="U702" t="s">
        <v>51</v>
      </c>
      <c r="V702">
        <v>1664</v>
      </c>
      <c r="W702">
        <v>1619</v>
      </c>
      <c r="X702" t="s">
        <v>412</v>
      </c>
      <c r="Y702" t="s">
        <v>472</v>
      </c>
      <c r="Z702" t="s">
        <v>1121</v>
      </c>
      <c r="AA702" t="s">
        <v>978</v>
      </c>
      <c r="AB702">
        <v>10306</v>
      </c>
      <c r="AC702">
        <v>5882</v>
      </c>
      <c r="AD702">
        <v>2272</v>
      </c>
      <c r="AE702">
        <v>681</v>
      </c>
      <c r="AF702">
        <v>150</v>
      </c>
      <c r="AG702">
        <v>20</v>
      </c>
      <c r="AH702">
        <v>10012</v>
      </c>
      <c r="AI702">
        <v>286</v>
      </c>
      <c r="AJ702">
        <v>402</v>
      </c>
      <c r="AK702">
        <v>2269</v>
      </c>
      <c r="AL702">
        <v>215</v>
      </c>
      <c r="AM702">
        <v>39</v>
      </c>
      <c r="AN702" t="s">
        <v>255</v>
      </c>
      <c r="AO702">
        <f>AVERAGE(Tabla2[[#This Row],[total_kills]:[rating]])</f>
        <v>4536.6000000000004</v>
      </c>
      <c r="AP702" t="str">
        <f>VLOOKUP(Tabla2[[#This Row],[KPI]],$AS$2:$AT$5,2,1)</f>
        <v>Medio</v>
      </c>
    </row>
    <row r="703" spans="1:42" x14ac:dyDescent="0.3">
      <c r="A703">
        <v>11161</v>
      </c>
      <c r="B703" t="s">
        <v>2824</v>
      </c>
      <c r="C703" t="s">
        <v>2825</v>
      </c>
      <c r="D703">
        <v>27</v>
      </c>
      <c r="E703" t="s">
        <v>209</v>
      </c>
      <c r="F703" t="s">
        <v>2826</v>
      </c>
      <c r="G703" t="s">
        <v>2827</v>
      </c>
      <c r="H703">
        <v>7210</v>
      </c>
      <c r="I703">
        <v>7560</v>
      </c>
      <c r="J703" t="s">
        <v>1784</v>
      </c>
      <c r="K703" t="s">
        <v>1499</v>
      </c>
      <c r="L703" t="s">
        <v>179</v>
      </c>
      <c r="M703">
        <v>415</v>
      </c>
      <c r="N703">
        <v>10684</v>
      </c>
      <c r="O703" t="s">
        <v>225</v>
      </c>
      <c r="P703" t="s">
        <v>202</v>
      </c>
      <c r="Q703" t="s">
        <v>646</v>
      </c>
      <c r="R703" t="s">
        <v>96</v>
      </c>
      <c r="S703" t="s">
        <v>50</v>
      </c>
      <c r="T703">
        <v>4894</v>
      </c>
      <c r="U703" t="s">
        <v>51</v>
      </c>
      <c r="V703">
        <v>996</v>
      </c>
      <c r="W703">
        <v>1044</v>
      </c>
      <c r="X703" t="s">
        <v>820</v>
      </c>
      <c r="Y703" t="s">
        <v>503</v>
      </c>
      <c r="Z703" t="s">
        <v>745</v>
      </c>
      <c r="AA703" t="s">
        <v>739</v>
      </c>
      <c r="AB703">
        <v>5790</v>
      </c>
      <c r="AC703">
        <v>3143</v>
      </c>
      <c r="AD703">
        <v>1286</v>
      </c>
      <c r="AE703">
        <v>375</v>
      </c>
      <c r="AF703">
        <v>80</v>
      </c>
      <c r="AG703">
        <v>10</v>
      </c>
      <c r="AH703">
        <v>4743</v>
      </c>
      <c r="AI703">
        <v>568</v>
      </c>
      <c r="AJ703">
        <v>534</v>
      </c>
      <c r="AK703">
        <v>1305</v>
      </c>
      <c r="AL703">
        <v>53</v>
      </c>
      <c r="AM703">
        <v>29</v>
      </c>
      <c r="AN703" t="s">
        <v>255</v>
      </c>
      <c r="AO703">
        <f>AVERAGE(Tabla2[[#This Row],[total_kills]:[rating]])</f>
        <v>2669.4210526315787</v>
      </c>
      <c r="AP703" t="str">
        <f>VLOOKUP(Tabla2[[#This Row],[KPI]],$AS$2:$AT$5,2,1)</f>
        <v>Bajo</v>
      </c>
    </row>
    <row r="704" spans="1:42" x14ac:dyDescent="0.3">
      <c r="A704">
        <v>10367</v>
      </c>
      <c r="B704" t="s">
        <v>3063</v>
      </c>
      <c r="C704" t="s">
        <v>3064</v>
      </c>
      <c r="D704">
        <v>26</v>
      </c>
      <c r="E704" t="s">
        <v>708</v>
      </c>
      <c r="F704" t="s">
        <v>3514</v>
      </c>
      <c r="G704" t="s">
        <v>1745</v>
      </c>
      <c r="H704">
        <v>7387</v>
      </c>
      <c r="I704">
        <v>7858</v>
      </c>
      <c r="J704" t="s">
        <v>1784</v>
      </c>
      <c r="K704" t="s">
        <v>1494</v>
      </c>
      <c r="L704" t="s">
        <v>390</v>
      </c>
      <c r="M704">
        <v>426</v>
      </c>
      <c r="N704">
        <v>11214</v>
      </c>
      <c r="O704" t="s">
        <v>322</v>
      </c>
      <c r="P704" t="s">
        <v>235</v>
      </c>
      <c r="Q704" t="s">
        <v>905</v>
      </c>
      <c r="R704" t="s">
        <v>48</v>
      </c>
      <c r="S704" t="s">
        <v>67</v>
      </c>
      <c r="T704">
        <v>5084</v>
      </c>
      <c r="U704" t="s">
        <v>51</v>
      </c>
      <c r="V704">
        <v>1096</v>
      </c>
      <c r="W704">
        <v>1175</v>
      </c>
      <c r="X704" t="s">
        <v>950</v>
      </c>
      <c r="Y704" t="s">
        <v>245</v>
      </c>
      <c r="Z704" t="s">
        <v>2434</v>
      </c>
      <c r="AA704" t="s">
        <v>739</v>
      </c>
      <c r="AB704">
        <v>6130</v>
      </c>
      <c r="AC704">
        <v>3313</v>
      </c>
      <c r="AD704">
        <v>1325</v>
      </c>
      <c r="AE704">
        <v>368</v>
      </c>
      <c r="AF704">
        <v>70</v>
      </c>
      <c r="AG704">
        <v>8</v>
      </c>
      <c r="AH704">
        <v>5276</v>
      </c>
      <c r="AI704">
        <v>129</v>
      </c>
      <c r="AJ704">
        <v>680</v>
      </c>
      <c r="AK704">
        <v>1243</v>
      </c>
      <c r="AL704">
        <v>57</v>
      </c>
      <c r="AM704">
        <v>17</v>
      </c>
      <c r="AN704" t="s">
        <v>820</v>
      </c>
      <c r="AO704">
        <f>AVERAGE(Tabla2[[#This Row],[total_kills]:[rating]])</f>
        <v>2781.8947368421054</v>
      </c>
      <c r="AP704" t="str">
        <f>VLOOKUP(Tabla2[[#This Row],[KPI]],$AS$2:$AT$5,2,1)</f>
        <v>Bajo</v>
      </c>
    </row>
    <row r="705" spans="1:42" x14ac:dyDescent="0.3">
      <c r="A705">
        <v>1206</v>
      </c>
      <c r="B705" t="s">
        <v>3249</v>
      </c>
      <c r="C705" t="s">
        <v>3250</v>
      </c>
      <c r="D705">
        <v>33</v>
      </c>
      <c r="E705" t="s">
        <v>318</v>
      </c>
      <c r="F705" t="s">
        <v>320</v>
      </c>
      <c r="G705" t="s">
        <v>320</v>
      </c>
      <c r="H705">
        <v>17984</v>
      </c>
      <c r="I705">
        <v>19997</v>
      </c>
      <c r="J705" t="s">
        <v>1784</v>
      </c>
      <c r="K705" t="s">
        <v>1234</v>
      </c>
      <c r="L705" t="s">
        <v>1352</v>
      </c>
      <c r="M705">
        <v>1069</v>
      </c>
      <c r="N705">
        <v>28053</v>
      </c>
      <c r="O705" t="s">
        <v>65</v>
      </c>
      <c r="P705" t="s">
        <v>166</v>
      </c>
      <c r="Q705" t="s">
        <v>646</v>
      </c>
      <c r="R705" t="s">
        <v>67</v>
      </c>
      <c r="S705" t="s">
        <v>96</v>
      </c>
      <c r="T705">
        <v>12427</v>
      </c>
      <c r="U705" t="s">
        <v>51</v>
      </c>
      <c r="V705">
        <v>2371</v>
      </c>
      <c r="W705">
        <v>2870</v>
      </c>
      <c r="X705" t="s">
        <v>2425</v>
      </c>
      <c r="Y705" t="s">
        <v>1314</v>
      </c>
      <c r="Z705" t="s">
        <v>473</v>
      </c>
      <c r="AA705" t="s">
        <v>2053</v>
      </c>
      <c r="AB705">
        <v>15626</v>
      </c>
      <c r="AC705">
        <v>8127</v>
      </c>
      <c r="AD705">
        <v>3242</v>
      </c>
      <c r="AE705">
        <v>874</v>
      </c>
      <c r="AF705">
        <v>171</v>
      </c>
      <c r="AG705">
        <v>13</v>
      </c>
      <c r="AH705">
        <v>13044</v>
      </c>
      <c r="AI705">
        <v>217</v>
      </c>
      <c r="AJ705">
        <v>977</v>
      </c>
      <c r="AK705">
        <v>3446</v>
      </c>
      <c r="AL705">
        <v>301</v>
      </c>
      <c r="AM705">
        <v>40</v>
      </c>
      <c r="AN705" t="s">
        <v>1314</v>
      </c>
      <c r="AO705">
        <f>AVERAGE(Tabla2[[#This Row],[total_kills]:[rating]])</f>
        <v>6886.7894736842109</v>
      </c>
      <c r="AP705" t="str">
        <f>VLOOKUP(Tabla2[[#This Row],[KPI]],$AS$2:$AT$5,2,1)</f>
        <v>Alto</v>
      </c>
    </row>
    <row r="706" spans="1:42" x14ac:dyDescent="0.3">
      <c r="A706">
        <v>2644</v>
      </c>
      <c r="B706" t="s">
        <v>1546</v>
      </c>
      <c r="C706" t="s">
        <v>1547</v>
      </c>
      <c r="D706">
        <v>32</v>
      </c>
      <c r="E706" t="s">
        <v>459</v>
      </c>
      <c r="F706" t="s">
        <v>3514</v>
      </c>
      <c r="G706" t="s">
        <v>1548</v>
      </c>
      <c r="H706">
        <v>16611</v>
      </c>
      <c r="I706">
        <v>15079</v>
      </c>
      <c r="J706" t="s">
        <v>1549</v>
      </c>
      <c r="K706" t="s">
        <v>1550</v>
      </c>
      <c r="L706">
        <v>5</v>
      </c>
      <c r="M706">
        <v>937</v>
      </c>
      <c r="N706">
        <v>24398</v>
      </c>
      <c r="O706" t="s">
        <v>167</v>
      </c>
      <c r="P706" t="s">
        <v>235</v>
      </c>
      <c r="Q706" t="s">
        <v>144</v>
      </c>
      <c r="R706" t="s">
        <v>50</v>
      </c>
      <c r="S706" t="s">
        <v>67</v>
      </c>
      <c r="T706">
        <v>11321</v>
      </c>
      <c r="U706" t="s">
        <v>51</v>
      </c>
      <c r="V706">
        <v>1560</v>
      </c>
      <c r="W706">
        <v>1391</v>
      </c>
      <c r="X706" t="s">
        <v>370</v>
      </c>
      <c r="Y706" t="s">
        <v>1551</v>
      </c>
      <c r="Z706" t="s">
        <v>955</v>
      </c>
      <c r="AA706" t="s">
        <v>1552</v>
      </c>
      <c r="AB706">
        <v>13077</v>
      </c>
      <c r="AC706">
        <v>7327</v>
      </c>
      <c r="AD706">
        <v>2944</v>
      </c>
      <c r="AE706">
        <v>859</v>
      </c>
      <c r="AF706">
        <v>172</v>
      </c>
      <c r="AG706">
        <v>19</v>
      </c>
      <c r="AH706">
        <v>12322</v>
      </c>
      <c r="AI706">
        <v>242</v>
      </c>
      <c r="AJ706">
        <v>565</v>
      </c>
      <c r="AK706">
        <v>2929</v>
      </c>
      <c r="AL706">
        <v>249</v>
      </c>
      <c r="AM706">
        <v>336</v>
      </c>
      <c r="AN706" t="s">
        <v>407</v>
      </c>
      <c r="AO706">
        <f>AVERAGE(Tabla2[[#This Row],[total_kills]:[rating]])</f>
        <v>5617.15</v>
      </c>
      <c r="AP706" t="str">
        <f>VLOOKUP(Tabla2[[#This Row],[KPI]],$AS$2:$AT$5,2,1)</f>
        <v>Alto</v>
      </c>
    </row>
    <row r="707" spans="1:42" x14ac:dyDescent="0.3">
      <c r="A707">
        <v>13179</v>
      </c>
      <c r="B707" t="s">
        <v>2979</v>
      </c>
      <c r="C707" t="s">
        <v>2980</v>
      </c>
      <c r="D707">
        <v>22</v>
      </c>
      <c r="E707" t="s">
        <v>459</v>
      </c>
      <c r="F707" t="s">
        <v>2981</v>
      </c>
      <c r="G707" t="s">
        <v>2982</v>
      </c>
      <c r="H707">
        <v>8255</v>
      </c>
      <c r="I707">
        <v>8776</v>
      </c>
      <c r="J707" t="s">
        <v>1549</v>
      </c>
      <c r="K707" t="s">
        <v>800</v>
      </c>
      <c r="L707" t="s">
        <v>331</v>
      </c>
      <c r="M707">
        <v>466</v>
      </c>
      <c r="N707">
        <v>12168</v>
      </c>
      <c r="O707" t="s">
        <v>167</v>
      </c>
      <c r="P707" t="s">
        <v>48</v>
      </c>
      <c r="Q707" t="s">
        <v>311</v>
      </c>
      <c r="R707" t="s">
        <v>67</v>
      </c>
      <c r="S707" t="s">
        <v>50</v>
      </c>
      <c r="T707">
        <v>5641</v>
      </c>
      <c r="U707" t="s">
        <v>51</v>
      </c>
      <c r="V707">
        <v>1249</v>
      </c>
      <c r="W707">
        <v>1432</v>
      </c>
      <c r="X707" t="s">
        <v>2324</v>
      </c>
      <c r="Y707" t="s">
        <v>245</v>
      </c>
      <c r="Z707" t="s">
        <v>1121</v>
      </c>
      <c r="AA707" t="s">
        <v>648</v>
      </c>
      <c r="AB707">
        <v>6527</v>
      </c>
      <c r="AC707">
        <v>3659</v>
      </c>
      <c r="AD707">
        <v>1449</v>
      </c>
      <c r="AE707">
        <v>442</v>
      </c>
      <c r="AF707">
        <v>83</v>
      </c>
      <c r="AG707">
        <v>8</v>
      </c>
      <c r="AH707">
        <v>6067</v>
      </c>
      <c r="AI707">
        <v>200</v>
      </c>
      <c r="AJ707">
        <v>450</v>
      </c>
      <c r="AK707">
        <v>1444</v>
      </c>
      <c r="AL707">
        <v>97</v>
      </c>
      <c r="AM707">
        <v>15</v>
      </c>
      <c r="AN707" t="s">
        <v>255</v>
      </c>
      <c r="AO707">
        <f>AVERAGE(Tabla2[[#This Row],[total_kills]:[rating]])</f>
        <v>3075.1578947368421</v>
      </c>
      <c r="AP707" t="str">
        <f>VLOOKUP(Tabla2[[#This Row],[KPI]],$AS$2:$AT$5,2,1)</f>
        <v>Bajo</v>
      </c>
    </row>
    <row r="708" spans="1:42" x14ac:dyDescent="0.3">
      <c r="A708">
        <v>7942</v>
      </c>
      <c r="B708" t="s">
        <v>3024</v>
      </c>
      <c r="C708" t="s">
        <v>3025</v>
      </c>
      <c r="D708">
        <v>26</v>
      </c>
      <c r="E708" t="s">
        <v>742</v>
      </c>
      <c r="F708" t="s">
        <v>3026</v>
      </c>
      <c r="G708" t="s">
        <v>3027</v>
      </c>
      <c r="H708">
        <v>7217</v>
      </c>
      <c r="I708">
        <v>7623</v>
      </c>
      <c r="J708" t="s">
        <v>1549</v>
      </c>
      <c r="K708">
        <v>72</v>
      </c>
      <c r="L708" t="s">
        <v>214</v>
      </c>
      <c r="M708">
        <v>419</v>
      </c>
      <c r="N708">
        <v>10917</v>
      </c>
      <c r="O708" t="s">
        <v>322</v>
      </c>
      <c r="P708" t="s">
        <v>202</v>
      </c>
      <c r="Q708" t="s">
        <v>905</v>
      </c>
      <c r="R708" t="s">
        <v>50</v>
      </c>
      <c r="S708" t="s">
        <v>67</v>
      </c>
      <c r="T708">
        <v>4997</v>
      </c>
      <c r="U708" t="s">
        <v>51</v>
      </c>
      <c r="V708">
        <v>836</v>
      </c>
      <c r="W708">
        <v>938</v>
      </c>
      <c r="X708" t="s">
        <v>1551</v>
      </c>
      <c r="Y708" t="s">
        <v>1749</v>
      </c>
      <c r="Z708" t="s">
        <v>809</v>
      </c>
      <c r="AA708" t="s">
        <v>978</v>
      </c>
      <c r="AB708">
        <v>5920</v>
      </c>
      <c r="AC708">
        <v>3312</v>
      </c>
      <c r="AD708">
        <v>1251</v>
      </c>
      <c r="AE708">
        <v>345</v>
      </c>
      <c r="AF708">
        <v>82</v>
      </c>
      <c r="AG708">
        <v>7</v>
      </c>
      <c r="AH708">
        <v>5542</v>
      </c>
      <c r="AI708">
        <v>53</v>
      </c>
      <c r="AJ708">
        <v>167</v>
      </c>
      <c r="AK708">
        <v>1394</v>
      </c>
      <c r="AL708">
        <v>65</v>
      </c>
      <c r="AM708">
        <v>8</v>
      </c>
      <c r="AN708" t="s">
        <v>820</v>
      </c>
      <c r="AO708">
        <f>AVERAGE(Tabla2[[#This Row],[total_kills]:[rating]])</f>
        <v>2558.25</v>
      </c>
      <c r="AP708" t="str">
        <f>VLOOKUP(Tabla2[[#This Row],[KPI]],$AS$2:$AT$5,2,1)</f>
        <v>Bajo</v>
      </c>
    </row>
    <row r="709" spans="1:42" x14ac:dyDescent="0.3">
      <c r="A709">
        <v>14161</v>
      </c>
      <c r="B709" t="s">
        <v>3032</v>
      </c>
      <c r="C709" t="s">
        <v>3033</v>
      </c>
      <c r="D709">
        <v>26</v>
      </c>
      <c r="E709" t="s">
        <v>75</v>
      </c>
      <c r="F709" t="s">
        <v>1497</v>
      </c>
      <c r="G709" t="s">
        <v>3034</v>
      </c>
      <c r="H709">
        <v>8423</v>
      </c>
      <c r="I709">
        <v>9077</v>
      </c>
      <c r="J709" t="s">
        <v>1549</v>
      </c>
      <c r="K709" t="s">
        <v>531</v>
      </c>
      <c r="L709" t="s">
        <v>949</v>
      </c>
      <c r="M709">
        <v>461</v>
      </c>
      <c r="N709">
        <v>12365</v>
      </c>
      <c r="O709" t="s">
        <v>167</v>
      </c>
      <c r="P709" t="s">
        <v>202</v>
      </c>
      <c r="Q709" t="s">
        <v>495</v>
      </c>
      <c r="R709" t="s">
        <v>96</v>
      </c>
      <c r="S709" t="s">
        <v>66</v>
      </c>
      <c r="T709">
        <v>5714</v>
      </c>
      <c r="U709" t="s">
        <v>51</v>
      </c>
      <c r="V709">
        <v>1358</v>
      </c>
      <c r="W709">
        <v>1697</v>
      </c>
      <c r="X709" t="s">
        <v>94</v>
      </c>
      <c r="Y709" t="s">
        <v>285</v>
      </c>
      <c r="Z709" t="s">
        <v>1462</v>
      </c>
      <c r="AA709" t="s">
        <v>969</v>
      </c>
      <c r="AB709">
        <v>6651</v>
      </c>
      <c r="AC709">
        <v>3667</v>
      </c>
      <c r="AD709">
        <v>1486</v>
      </c>
      <c r="AE709">
        <v>469</v>
      </c>
      <c r="AF709">
        <v>83</v>
      </c>
      <c r="AG709">
        <v>9</v>
      </c>
      <c r="AH709">
        <v>6251</v>
      </c>
      <c r="AI709">
        <v>76</v>
      </c>
      <c r="AJ709">
        <v>536</v>
      </c>
      <c r="AK709">
        <v>1427</v>
      </c>
      <c r="AL709">
        <v>127</v>
      </c>
      <c r="AM709">
        <v>25</v>
      </c>
      <c r="AN709">
        <v>1</v>
      </c>
      <c r="AO709">
        <f>AVERAGE(Tabla2[[#This Row],[total_kills]:[rating]])</f>
        <v>2995.15</v>
      </c>
      <c r="AP709" t="str">
        <f>VLOOKUP(Tabla2[[#This Row],[KPI]],$AS$2:$AT$5,2,1)</f>
        <v>Bajo</v>
      </c>
    </row>
    <row r="710" spans="1:42" x14ac:dyDescent="0.3">
      <c r="A710">
        <v>14202</v>
      </c>
      <c r="B710" t="s">
        <v>3294</v>
      </c>
      <c r="C710" t="s">
        <v>3295</v>
      </c>
      <c r="D710">
        <v>22</v>
      </c>
      <c r="E710" t="s">
        <v>187</v>
      </c>
      <c r="F710" t="s">
        <v>2881</v>
      </c>
      <c r="G710" t="s">
        <v>3296</v>
      </c>
      <c r="H710">
        <v>5994</v>
      </c>
      <c r="I710">
        <v>6599</v>
      </c>
      <c r="J710" t="s">
        <v>1549</v>
      </c>
      <c r="K710">
        <v>65</v>
      </c>
      <c r="L710" t="s">
        <v>80</v>
      </c>
      <c r="M710">
        <v>379</v>
      </c>
      <c r="N710">
        <v>10205</v>
      </c>
      <c r="O710" t="s">
        <v>95</v>
      </c>
      <c r="P710" t="s">
        <v>67</v>
      </c>
      <c r="Q710" t="s">
        <v>276</v>
      </c>
      <c r="R710" t="s">
        <v>50</v>
      </c>
      <c r="S710" t="s">
        <v>50</v>
      </c>
      <c r="T710">
        <v>4253</v>
      </c>
      <c r="U710" t="s">
        <v>51</v>
      </c>
      <c r="V710">
        <v>624</v>
      </c>
      <c r="W710">
        <v>732</v>
      </c>
      <c r="X710" t="s">
        <v>2667</v>
      </c>
      <c r="Y710" t="s">
        <v>2667</v>
      </c>
      <c r="Z710" t="s">
        <v>399</v>
      </c>
      <c r="AA710" t="s">
        <v>3297</v>
      </c>
      <c r="AB710">
        <v>5952</v>
      </c>
      <c r="AC710">
        <v>2898</v>
      </c>
      <c r="AD710">
        <v>1034</v>
      </c>
      <c r="AE710">
        <v>265</v>
      </c>
      <c r="AF710">
        <v>47</v>
      </c>
      <c r="AG710">
        <v>9</v>
      </c>
      <c r="AH710">
        <v>4447</v>
      </c>
      <c r="AI710">
        <v>28</v>
      </c>
      <c r="AJ710">
        <v>446</v>
      </c>
      <c r="AK710">
        <v>993</v>
      </c>
      <c r="AL710">
        <v>77</v>
      </c>
      <c r="AM710">
        <v>24</v>
      </c>
      <c r="AN710" t="s">
        <v>1570</v>
      </c>
      <c r="AO710">
        <f>AVERAGE(Tabla2[[#This Row],[total_kills]:[rating]])</f>
        <v>2253.5500000000002</v>
      </c>
      <c r="AP710" t="str">
        <f>VLOOKUP(Tabla2[[#This Row],[KPI]],$AS$2:$AT$5,2,1)</f>
        <v>Bajo</v>
      </c>
    </row>
    <row r="711" spans="1:42" x14ac:dyDescent="0.3">
      <c r="A711">
        <v>14932</v>
      </c>
      <c r="B711" t="s">
        <v>845</v>
      </c>
      <c r="C711" t="s">
        <v>846</v>
      </c>
      <c r="D711">
        <v>22</v>
      </c>
      <c r="E711" t="s">
        <v>708</v>
      </c>
      <c r="F711" t="s">
        <v>709</v>
      </c>
      <c r="G711" t="s">
        <v>847</v>
      </c>
      <c r="H711">
        <v>26565</v>
      </c>
      <c r="I711">
        <v>23485</v>
      </c>
      <c r="J711" t="s">
        <v>848</v>
      </c>
      <c r="K711" t="s">
        <v>424</v>
      </c>
      <c r="L711" t="s">
        <v>541</v>
      </c>
      <c r="M711">
        <v>1348</v>
      </c>
      <c r="N711">
        <v>36024</v>
      </c>
      <c r="O711" t="s">
        <v>283</v>
      </c>
      <c r="P711" t="s">
        <v>48</v>
      </c>
      <c r="Q711" t="s">
        <v>276</v>
      </c>
      <c r="R711" t="s">
        <v>50</v>
      </c>
      <c r="S711" t="s">
        <v>48</v>
      </c>
      <c r="T711">
        <v>17746</v>
      </c>
      <c r="U711" t="s">
        <v>51</v>
      </c>
      <c r="V711">
        <v>3768</v>
      </c>
      <c r="W711">
        <v>3265</v>
      </c>
      <c r="X711" t="s">
        <v>84</v>
      </c>
      <c r="Y711" t="s">
        <v>407</v>
      </c>
      <c r="Z711" t="s">
        <v>705</v>
      </c>
      <c r="AA711" t="s">
        <v>408</v>
      </c>
      <c r="AB711">
        <v>18278</v>
      </c>
      <c r="AC711">
        <v>11127</v>
      </c>
      <c r="AD711">
        <v>4793</v>
      </c>
      <c r="AE711">
        <v>1492</v>
      </c>
      <c r="AF711">
        <v>294</v>
      </c>
      <c r="AG711">
        <v>40</v>
      </c>
      <c r="AH711">
        <v>18498</v>
      </c>
      <c r="AI711">
        <v>1861</v>
      </c>
      <c r="AJ711">
        <v>1465</v>
      </c>
      <c r="AK711">
        <v>4474</v>
      </c>
      <c r="AL711">
        <v>262</v>
      </c>
      <c r="AM711">
        <v>75</v>
      </c>
      <c r="AN711" t="s">
        <v>98</v>
      </c>
      <c r="AO711">
        <f>AVERAGE(Tabla2[[#This Row],[total_kills]:[rating]])</f>
        <v>9203.1578947368416</v>
      </c>
      <c r="AP711" t="str">
        <f>VLOOKUP(Tabla2[[#This Row],[KPI]],$AS$2:$AT$5,2,1)</f>
        <v>Superior</v>
      </c>
    </row>
    <row r="712" spans="1:42" x14ac:dyDescent="0.3">
      <c r="A712">
        <v>14737</v>
      </c>
      <c r="B712" t="s">
        <v>1010</v>
      </c>
      <c r="C712" t="s">
        <v>1011</v>
      </c>
      <c r="D712">
        <v>19</v>
      </c>
      <c r="E712" t="s">
        <v>1012</v>
      </c>
      <c r="F712" t="s">
        <v>1013</v>
      </c>
      <c r="G712" t="s">
        <v>1014</v>
      </c>
      <c r="H712">
        <v>8277</v>
      </c>
      <c r="I712">
        <v>7541</v>
      </c>
      <c r="J712" t="s">
        <v>848</v>
      </c>
      <c r="K712" t="s">
        <v>948</v>
      </c>
      <c r="L712" t="s">
        <v>462</v>
      </c>
      <c r="M712">
        <v>436</v>
      </c>
      <c r="N712">
        <v>11379</v>
      </c>
      <c r="O712" t="s">
        <v>495</v>
      </c>
      <c r="P712" t="s">
        <v>67</v>
      </c>
      <c r="Q712" t="s">
        <v>322</v>
      </c>
      <c r="R712" t="s">
        <v>50</v>
      </c>
      <c r="S712" t="s">
        <v>202</v>
      </c>
      <c r="T712">
        <v>5478</v>
      </c>
      <c r="U712" t="s">
        <v>51</v>
      </c>
      <c r="V712">
        <v>1205</v>
      </c>
      <c r="W712">
        <v>1041</v>
      </c>
      <c r="X712" t="s">
        <v>206</v>
      </c>
      <c r="Y712" t="s">
        <v>407</v>
      </c>
      <c r="Z712" t="s">
        <v>246</v>
      </c>
      <c r="AA712" t="s">
        <v>789</v>
      </c>
      <c r="AB712">
        <v>5901</v>
      </c>
      <c r="AC712">
        <v>3430</v>
      </c>
      <c r="AD712">
        <v>1451</v>
      </c>
      <c r="AE712">
        <v>459</v>
      </c>
      <c r="AF712">
        <v>122</v>
      </c>
      <c r="AG712">
        <v>16</v>
      </c>
      <c r="AH712">
        <v>5662</v>
      </c>
      <c r="AI712">
        <v>862</v>
      </c>
      <c r="AJ712">
        <v>273</v>
      </c>
      <c r="AK712">
        <v>1427</v>
      </c>
      <c r="AL712">
        <v>60</v>
      </c>
      <c r="AM712">
        <v>16</v>
      </c>
      <c r="AN712" t="s">
        <v>362</v>
      </c>
      <c r="AO712">
        <f>AVERAGE(Tabla2[[#This Row],[total_kills]:[rating]])</f>
        <v>2896.6315789473683</v>
      </c>
      <c r="AP712" t="str">
        <f>VLOOKUP(Tabla2[[#This Row],[KPI]],$AS$2:$AT$5,2,1)</f>
        <v>Bajo</v>
      </c>
    </row>
    <row r="713" spans="1:42" x14ac:dyDescent="0.3">
      <c r="A713">
        <v>2241</v>
      </c>
      <c r="B713" t="s">
        <v>2514</v>
      </c>
      <c r="C713" t="s">
        <v>2515</v>
      </c>
      <c r="D713">
        <v>30</v>
      </c>
      <c r="E713" t="s">
        <v>1643</v>
      </c>
      <c r="F713" t="s">
        <v>1644</v>
      </c>
      <c r="G713" t="s">
        <v>2387</v>
      </c>
      <c r="H713">
        <v>20149</v>
      </c>
      <c r="I713">
        <v>20180</v>
      </c>
      <c r="J713" t="s">
        <v>848</v>
      </c>
      <c r="K713" t="s">
        <v>494</v>
      </c>
      <c r="L713" t="s">
        <v>46</v>
      </c>
      <c r="M713">
        <v>1129</v>
      </c>
      <c r="N713">
        <v>29540</v>
      </c>
      <c r="O713" t="s">
        <v>167</v>
      </c>
      <c r="P713" t="s">
        <v>202</v>
      </c>
      <c r="Q713" t="s">
        <v>167</v>
      </c>
      <c r="R713" t="s">
        <v>50</v>
      </c>
      <c r="S713" t="s">
        <v>67</v>
      </c>
      <c r="T713">
        <v>13745</v>
      </c>
      <c r="U713" t="s">
        <v>51</v>
      </c>
      <c r="V713">
        <v>2813</v>
      </c>
      <c r="W713">
        <v>2563</v>
      </c>
      <c r="X713" t="s">
        <v>561</v>
      </c>
      <c r="Y713">
        <v>1</v>
      </c>
      <c r="Z713" t="s">
        <v>635</v>
      </c>
      <c r="AA713" t="s">
        <v>933</v>
      </c>
      <c r="AB713">
        <v>15795</v>
      </c>
      <c r="AC713">
        <v>8857</v>
      </c>
      <c r="AD713">
        <v>3619</v>
      </c>
      <c r="AE713">
        <v>1055</v>
      </c>
      <c r="AF713">
        <v>194</v>
      </c>
      <c r="AG713">
        <v>20</v>
      </c>
      <c r="AH713">
        <v>15379</v>
      </c>
      <c r="AI713">
        <v>435</v>
      </c>
      <c r="AJ713">
        <v>878</v>
      </c>
      <c r="AK713">
        <v>3245</v>
      </c>
      <c r="AL713">
        <v>181</v>
      </c>
      <c r="AM713">
        <v>79</v>
      </c>
      <c r="AN713" t="s">
        <v>285</v>
      </c>
      <c r="AO713">
        <f>AVERAGE(Tabla2[[#This Row],[total_kills]:[rating]])</f>
        <v>6992.85</v>
      </c>
      <c r="AP713" t="str">
        <f>VLOOKUP(Tabla2[[#This Row],[KPI]],$AS$2:$AT$5,2,1)</f>
        <v>Superior</v>
      </c>
    </row>
    <row r="714" spans="1:42" x14ac:dyDescent="0.3">
      <c r="A714">
        <v>14176</v>
      </c>
      <c r="B714" t="s">
        <v>2974</v>
      </c>
      <c r="C714" t="s">
        <v>2975</v>
      </c>
      <c r="D714">
        <v>19</v>
      </c>
      <c r="E714" t="s">
        <v>42</v>
      </c>
      <c r="F714" t="s">
        <v>43</v>
      </c>
      <c r="G714" t="s">
        <v>43</v>
      </c>
      <c r="H714">
        <v>7663</v>
      </c>
      <c r="I714">
        <v>8064</v>
      </c>
      <c r="J714" t="s">
        <v>848</v>
      </c>
      <c r="K714" t="s">
        <v>2976</v>
      </c>
      <c r="L714" t="s">
        <v>122</v>
      </c>
      <c r="M714">
        <v>458</v>
      </c>
      <c r="N714">
        <v>12112</v>
      </c>
      <c r="O714" t="s">
        <v>215</v>
      </c>
      <c r="P714" t="s">
        <v>67</v>
      </c>
      <c r="Q714" t="s">
        <v>225</v>
      </c>
      <c r="R714" t="s">
        <v>48</v>
      </c>
      <c r="S714" t="s">
        <v>67</v>
      </c>
      <c r="T714">
        <v>5226</v>
      </c>
      <c r="U714" t="s">
        <v>51</v>
      </c>
      <c r="V714">
        <v>1087</v>
      </c>
      <c r="W714">
        <v>1274</v>
      </c>
      <c r="X714" t="s">
        <v>2667</v>
      </c>
      <c r="Y714" t="s">
        <v>1570</v>
      </c>
      <c r="Z714" t="s">
        <v>795</v>
      </c>
      <c r="AA714" t="s">
        <v>518</v>
      </c>
      <c r="AB714">
        <v>6886</v>
      </c>
      <c r="AC714">
        <v>3422</v>
      </c>
      <c r="AD714">
        <v>1283</v>
      </c>
      <c r="AE714">
        <v>419</v>
      </c>
      <c r="AF714">
        <v>92</v>
      </c>
      <c r="AG714">
        <v>10</v>
      </c>
      <c r="AH714">
        <v>5677</v>
      </c>
      <c r="AI714">
        <v>55</v>
      </c>
      <c r="AJ714">
        <v>595</v>
      </c>
      <c r="AK714">
        <v>1261</v>
      </c>
      <c r="AL714">
        <v>80</v>
      </c>
      <c r="AM714">
        <v>10</v>
      </c>
      <c r="AN714">
        <v>1</v>
      </c>
      <c r="AO714">
        <f>AVERAGE(Tabla2[[#This Row],[total_kills]:[rating]])</f>
        <v>2783.75</v>
      </c>
      <c r="AP714" t="str">
        <f>VLOOKUP(Tabla2[[#This Row],[KPI]],$AS$2:$AT$5,2,1)</f>
        <v>Bajo</v>
      </c>
    </row>
    <row r="715" spans="1:42" x14ac:dyDescent="0.3">
      <c r="A715">
        <v>11039</v>
      </c>
      <c r="B715" t="s">
        <v>2924</v>
      </c>
      <c r="C715" t="s">
        <v>2925</v>
      </c>
      <c r="D715">
        <v>25</v>
      </c>
      <c r="E715" t="s">
        <v>459</v>
      </c>
      <c r="F715" t="s">
        <v>825</v>
      </c>
      <c r="G715" t="s">
        <v>2926</v>
      </c>
      <c r="H715">
        <v>7819</v>
      </c>
      <c r="I715">
        <v>8168</v>
      </c>
      <c r="J715" t="s">
        <v>2927</v>
      </c>
      <c r="K715" t="s">
        <v>692</v>
      </c>
      <c r="L715" t="s">
        <v>462</v>
      </c>
      <c r="M715">
        <v>438</v>
      </c>
      <c r="N715">
        <v>11485</v>
      </c>
      <c r="O715" t="s">
        <v>167</v>
      </c>
      <c r="P715" t="s">
        <v>202</v>
      </c>
      <c r="Q715" t="s">
        <v>646</v>
      </c>
      <c r="R715" t="s">
        <v>50</v>
      </c>
      <c r="S715" t="s">
        <v>67</v>
      </c>
      <c r="T715">
        <v>5420</v>
      </c>
      <c r="U715" t="s">
        <v>51</v>
      </c>
      <c r="V715">
        <v>1047</v>
      </c>
      <c r="W715">
        <v>1155</v>
      </c>
      <c r="X715" t="s">
        <v>1749</v>
      </c>
      <c r="Y715" t="s">
        <v>820</v>
      </c>
      <c r="Z715" t="s">
        <v>324</v>
      </c>
      <c r="AA715" t="s">
        <v>1379</v>
      </c>
      <c r="AB715">
        <v>6065</v>
      </c>
      <c r="AC715">
        <v>3552</v>
      </c>
      <c r="AD715">
        <v>1419</v>
      </c>
      <c r="AE715">
        <v>372</v>
      </c>
      <c r="AF715">
        <v>72</v>
      </c>
      <c r="AG715">
        <v>5</v>
      </c>
      <c r="AH715">
        <v>5737</v>
      </c>
      <c r="AI715">
        <v>250</v>
      </c>
      <c r="AJ715">
        <v>442</v>
      </c>
      <c r="AK715">
        <v>1318</v>
      </c>
      <c r="AL715">
        <v>74</v>
      </c>
      <c r="AM715">
        <v>44</v>
      </c>
      <c r="AN715" t="s">
        <v>255</v>
      </c>
      <c r="AO715">
        <f>AVERAGE(Tabla2[[#This Row],[total_kills]:[rating]])</f>
        <v>2888.5263157894738</v>
      </c>
      <c r="AP715" t="str">
        <f>VLOOKUP(Tabla2[[#This Row],[KPI]],$AS$2:$AT$5,2,1)</f>
        <v>Bajo</v>
      </c>
    </row>
    <row r="716" spans="1:42" x14ac:dyDescent="0.3">
      <c r="A716">
        <v>7943</v>
      </c>
      <c r="B716" t="s">
        <v>3075</v>
      </c>
      <c r="C716" t="s">
        <v>3076</v>
      </c>
      <c r="D716">
        <v>27</v>
      </c>
      <c r="E716" t="s">
        <v>742</v>
      </c>
      <c r="F716" t="s">
        <v>1859</v>
      </c>
      <c r="G716" t="s">
        <v>1860</v>
      </c>
      <c r="H716">
        <v>7217</v>
      </c>
      <c r="I716">
        <v>7588</v>
      </c>
      <c r="J716" t="s">
        <v>2927</v>
      </c>
      <c r="K716" t="s">
        <v>2346</v>
      </c>
      <c r="L716" t="s">
        <v>275</v>
      </c>
      <c r="M716">
        <v>431</v>
      </c>
      <c r="N716">
        <v>11262</v>
      </c>
      <c r="O716" t="s">
        <v>65</v>
      </c>
      <c r="P716" t="s">
        <v>48</v>
      </c>
      <c r="Q716" t="s">
        <v>225</v>
      </c>
      <c r="R716" t="s">
        <v>66</v>
      </c>
      <c r="S716" t="s">
        <v>96</v>
      </c>
      <c r="T716">
        <v>5052</v>
      </c>
      <c r="U716" t="s">
        <v>51</v>
      </c>
      <c r="V716">
        <v>841</v>
      </c>
      <c r="W716">
        <v>936</v>
      </c>
      <c r="X716" t="s">
        <v>1906</v>
      </c>
      <c r="Y716" t="s">
        <v>1906</v>
      </c>
      <c r="Z716" t="s">
        <v>3077</v>
      </c>
      <c r="AA716" t="s">
        <v>2364</v>
      </c>
      <c r="AB716">
        <v>6210</v>
      </c>
      <c r="AC716">
        <v>3387</v>
      </c>
      <c r="AD716">
        <v>1256</v>
      </c>
      <c r="AE716">
        <v>326</v>
      </c>
      <c r="AF716">
        <v>76</v>
      </c>
      <c r="AG716">
        <v>7</v>
      </c>
      <c r="AH716">
        <v>5372</v>
      </c>
      <c r="AI716">
        <v>40</v>
      </c>
      <c r="AJ716">
        <v>396</v>
      </c>
      <c r="AK716">
        <v>1330</v>
      </c>
      <c r="AL716">
        <v>74</v>
      </c>
      <c r="AM716">
        <v>15</v>
      </c>
      <c r="AN716" t="s">
        <v>1570</v>
      </c>
      <c r="AO716">
        <f>AVERAGE(Tabla2[[#This Row],[total_kills]:[rating]])</f>
        <v>2727.1578947368421</v>
      </c>
      <c r="AP716" t="str">
        <f>VLOOKUP(Tabla2[[#This Row],[KPI]],$AS$2:$AT$5,2,1)</f>
        <v>Bajo</v>
      </c>
    </row>
    <row r="717" spans="1:42" x14ac:dyDescent="0.3">
      <c r="A717">
        <v>1146</v>
      </c>
      <c r="B717" t="s">
        <v>1770</v>
      </c>
      <c r="C717" t="s">
        <v>1771</v>
      </c>
      <c r="D717">
        <v>31</v>
      </c>
      <c r="E717" t="s">
        <v>545</v>
      </c>
      <c r="F717" t="s">
        <v>3514</v>
      </c>
      <c r="G717" t="s">
        <v>1772</v>
      </c>
      <c r="H717">
        <v>29842</v>
      </c>
      <c r="I717">
        <v>28702</v>
      </c>
      <c r="J717" t="s">
        <v>1773</v>
      </c>
      <c r="K717" t="s">
        <v>531</v>
      </c>
      <c r="L717">
        <v>4</v>
      </c>
      <c r="M717">
        <v>1575</v>
      </c>
      <c r="N717">
        <v>41834</v>
      </c>
      <c r="O717" t="s">
        <v>646</v>
      </c>
      <c r="P717" t="s">
        <v>48</v>
      </c>
      <c r="Q717" t="s">
        <v>463</v>
      </c>
      <c r="R717" t="s">
        <v>96</v>
      </c>
      <c r="S717" t="s">
        <v>50</v>
      </c>
      <c r="T717">
        <v>20154</v>
      </c>
      <c r="U717" t="s">
        <v>51</v>
      </c>
      <c r="V717">
        <v>4356</v>
      </c>
      <c r="W717">
        <v>3997</v>
      </c>
      <c r="X717" t="s">
        <v>295</v>
      </c>
      <c r="Y717" t="s">
        <v>412</v>
      </c>
      <c r="Z717" t="s">
        <v>718</v>
      </c>
      <c r="AA717" t="s">
        <v>1774</v>
      </c>
      <c r="AB717">
        <v>21680</v>
      </c>
      <c r="AC717">
        <v>12864</v>
      </c>
      <c r="AD717">
        <v>5312</v>
      </c>
      <c r="AE717">
        <v>1607</v>
      </c>
      <c r="AF717">
        <v>335</v>
      </c>
      <c r="AG717">
        <v>36</v>
      </c>
      <c r="AH717">
        <v>20505</v>
      </c>
      <c r="AI717">
        <v>2668</v>
      </c>
      <c r="AJ717">
        <v>912</v>
      </c>
      <c r="AK717">
        <v>5385</v>
      </c>
      <c r="AL717">
        <v>339</v>
      </c>
      <c r="AM717">
        <v>82</v>
      </c>
      <c r="AN717" t="s">
        <v>412</v>
      </c>
      <c r="AO717">
        <f>AVERAGE(Tabla2[[#This Row],[total_kills]:[rating]])</f>
        <v>10109.450000000001</v>
      </c>
      <c r="AP717" t="str">
        <f>VLOOKUP(Tabla2[[#This Row],[KPI]],$AS$2:$AT$5,2,1)</f>
        <v>Superior</v>
      </c>
    </row>
    <row r="718" spans="1:42" x14ac:dyDescent="0.3">
      <c r="A718">
        <v>19236</v>
      </c>
      <c r="B718" t="s">
        <v>1792</v>
      </c>
      <c r="C718" t="s">
        <v>1793</v>
      </c>
      <c r="D718">
        <v>20</v>
      </c>
      <c r="E718" t="s">
        <v>75</v>
      </c>
      <c r="F718" t="s">
        <v>491</v>
      </c>
      <c r="G718" t="s">
        <v>1794</v>
      </c>
      <c r="H718">
        <v>10006</v>
      </c>
      <c r="I718">
        <v>9327</v>
      </c>
      <c r="J718" t="s">
        <v>1773</v>
      </c>
      <c r="K718" t="s">
        <v>920</v>
      </c>
      <c r="L718" t="s">
        <v>612</v>
      </c>
      <c r="M718">
        <v>546</v>
      </c>
      <c r="N718">
        <v>14716</v>
      </c>
      <c r="O718" t="s">
        <v>167</v>
      </c>
      <c r="P718" t="s">
        <v>48</v>
      </c>
      <c r="Q718" t="s">
        <v>215</v>
      </c>
      <c r="R718" t="s">
        <v>96</v>
      </c>
      <c r="S718" t="s">
        <v>96</v>
      </c>
      <c r="T718">
        <v>6844</v>
      </c>
      <c r="U718" t="s">
        <v>51</v>
      </c>
      <c r="V718">
        <v>1332</v>
      </c>
      <c r="W718">
        <v>1385</v>
      </c>
      <c r="X718" t="s">
        <v>472</v>
      </c>
      <c r="Y718" t="s">
        <v>472</v>
      </c>
      <c r="Z718" t="s">
        <v>137</v>
      </c>
      <c r="AA718" t="s">
        <v>852</v>
      </c>
      <c r="AB718">
        <v>7872</v>
      </c>
      <c r="AC718">
        <v>4405</v>
      </c>
      <c r="AD718">
        <v>1823</v>
      </c>
      <c r="AE718">
        <v>521</v>
      </c>
      <c r="AF718">
        <v>83</v>
      </c>
      <c r="AG718">
        <v>12</v>
      </c>
      <c r="AH718">
        <v>7744</v>
      </c>
      <c r="AI718">
        <v>206</v>
      </c>
      <c r="AJ718">
        <v>250</v>
      </c>
      <c r="AK718">
        <v>1668</v>
      </c>
      <c r="AL718">
        <v>150</v>
      </c>
      <c r="AM718">
        <v>21</v>
      </c>
      <c r="AN718" t="s">
        <v>464</v>
      </c>
      <c r="AO718">
        <f>AVERAGE(Tabla2[[#This Row],[total_kills]:[rating]])</f>
        <v>3626.8947368421054</v>
      </c>
      <c r="AP718" t="str">
        <f>VLOOKUP(Tabla2[[#This Row],[KPI]],$AS$2:$AT$5,2,1)</f>
        <v>Medio</v>
      </c>
    </row>
    <row r="719" spans="1:42" x14ac:dyDescent="0.3">
      <c r="A719">
        <v>16495</v>
      </c>
      <c r="B719" t="s">
        <v>2485</v>
      </c>
      <c r="C719" t="s">
        <v>2486</v>
      </c>
      <c r="D719">
        <v>24</v>
      </c>
      <c r="E719" t="s">
        <v>187</v>
      </c>
      <c r="F719" t="s">
        <v>2487</v>
      </c>
      <c r="G719" t="s">
        <v>2488</v>
      </c>
      <c r="H719">
        <v>9068</v>
      </c>
      <c r="I719">
        <v>9143</v>
      </c>
      <c r="J719" t="s">
        <v>1773</v>
      </c>
      <c r="K719" t="s">
        <v>989</v>
      </c>
      <c r="L719" t="s">
        <v>224</v>
      </c>
      <c r="M719">
        <v>489</v>
      </c>
      <c r="N719">
        <v>13011</v>
      </c>
      <c r="O719" t="s">
        <v>905</v>
      </c>
      <c r="P719" t="s">
        <v>235</v>
      </c>
      <c r="Q719" t="s">
        <v>905</v>
      </c>
      <c r="R719" t="s">
        <v>67</v>
      </c>
      <c r="S719" t="s">
        <v>48</v>
      </c>
      <c r="T719">
        <v>6166</v>
      </c>
      <c r="U719" t="s">
        <v>51</v>
      </c>
      <c r="V719">
        <v>1594</v>
      </c>
      <c r="W719">
        <v>1607</v>
      </c>
      <c r="X719" t="s">
        <v>285</v>
      </c>
      <c r="Y719" t="s">
        <v>464</v>
      </c>
      <c r="Z719" t="s">
        <v>2489</v>
      </c>
      <c r="AA719" t="s">
        <v>126</v>
      </c>
      <c r="AB719">
        <v>6845</v>
      </c>
      <c r="AC719">
        <v>3940</v>
      </c>
      <c r="AD719">
        <v>1664</v>
      </c>
      <c r="AE719">
        <v>459</v>
      </c>
      <c r="AF719">
        <v>92</v>
      </c>
      <c r="AG719">
        <v>11</v>
      </c>
      <c r="AH719">
        <v>6517</v>
      </c>
      <c r="AI719">
        <v>435</v>
      </c>
      <c r="AJ719">
        <v>385</v>
      </c>
      <c r="AK719">
        <v>1628</v>
      </c>
      <c r="AL719">
        <v>108</v>
      </c>
      <c r="AM719">
        <v>30</v>
      </c>
      <c r="AN719" t="s">
        <v>590</v>
      </c>
      <c r="AO719">
        <f>AVERAGE(Tabla2[[#This Row],[total_kills]:[rating]])</f>
        <v>3325.8947368421054</v>
      </c>
      <c r="AP719" t="str">
        <f>VLOOKUP(Tabla2[[#This Row],[KPI]],$AS$2:$AT$5,2,1)</f>
        <v>Medio</v>
      </c>
    </row>
    <row r="720" spans="1:42" x14ac:dyDescent="0.3">
      <c r="A720">
        <v>13992</v>
      </c>
      <c r="B720" t="s">
        <v>2608</v>
      </c>
      <c r="C720" t="s">
        <v>2609</v>
      </c>
      <c r="D720">
        <v>23</v>
      </c>
      <c r="E720" t="s">
        <v>467</v>
      </c>
      <c r="F720" t="s">
        <v>3514</v>
      </c>
      <c r="G720" t="s">
        <v>2610</v>
      </c>
      <c r="H720">
        <v>7076</v>
      </c>
      <c r="I720">
        <v>7242</v>
      </c>
      <c r="J720" t="s">
        <v>1773</v>
      </c>
      <c r="K720">
        <v>75</v>
      </c>
      <c r="L720" t="s">
        <v>224</v>
      </c>
      <c r="M720">
        <v>400</v>
      </c>
      <c r="N720">
        <v>10329</v>
      </c>
      <c r="O720" t="s">
        <v>463</v>
      </c>
      <c r="P720" t="s">
        <v>235</v>
      </c>
      <c r="Q720" t="s">
        <v>905</v>
      </c>
      <c r="R720" t="s">
        <v>48</v>
      </c>
      <c r="S720" t="s">
        <v>67</v>
      </c>
      <c r="T720">
        <v>4763</v>
      </c>
      <c r="U720" t="s">
        <v>51</v>
      </c>
      <c r="V720">
        <v>1001</v>
      </c>
      <c r="W720">
        <v>1083</v>
      </c>
      <c r="X720" t="s">
        <v>1314</v>
      </c>
      <c r="Y720" t="s">
        <v>245</v>
      </c>
      <c r="Z720" t="s">
        <v>838</v>
      </c>
      <c r="AA720" t="s">
        <v>746</v>
      </c>
      <c r="AB720">
        <v>5566</v>
      </c>
      <c r="AC720">
        <v>3000</v>
      </c>
      <c r="AD720">
        <v>1304</v>
      </c>
      <c r="AE720">
        <v>373</v>
      </c>
      <c r="AF720">
        <v>81</v>
      </c>
      <c r="AG720">
        <v>5</v>
      </c>
      <c r="AH720">
        <v>5327</v>
      </c>
      <c r="AI720">
        <v>29</v>
      </c>
      <c r="AJ720">
        <v>425</v>
      </c>
      <c r="AK720">
        <v>1238</v>
      </c>
      <c r="AL720">
        <v>66</v>
      </c>
      <c r="AM720">
        <v>5</v>
      </c>
      <c r="AN720" t="s">
        <v>407</v>
      </c>
      <c r="AO720">
        <f>AVERAGE(Tabla2[[#This Row],[total_kills]:[rating]])</f>
        <v>2469.4</v>
      </c>
      <c r="AP720" t="str">
        <f>VLOOKUP(Tabla2[[#This Row],[KPI]],$AS$2:$AT$5,2,1)</f>
        <v>Bajo</v>
      </c>
    </row>
    <row r="721" spans="1:42" x14ac:dyDescent="0.3">
      <c r="A721">
        <v>1064</v>
      </c>
      <c r="B721" t="s">
        <v>3179</v>
      </c>
      <c r="C721" t="s">
        <v>3180</v>
      </c>
      <c r="D721">
        <v>30</v>
      </c>
      <c r="E721" t="s">
        <v>708</v>
      </c>
      <c r="F721" t="s">
        <v>3044</v>
      </c>
      <c r="G721" t="s">
        <v>3181</v>
      </c>
      <c r="H721">
        <v>20610</v>
      </c>
      <c r="I721">
        <v>22423</v>
      </c>
      <c r="J721" t="s">
        <v>1773</v>
      </c>
      <c r="K721" t="s">
        <v>1435</v>
      </c>
      <c r="L721" t="s">
        <v>93</v>
      </c>
      <c r="M721">
        <v>1209</v>
      </c>
      <c r="N721">
        <v>31542</v>
      </c>
      <c r="O721" t="s">
        <v>276</v>
      </c>
      <c r="P721" t="s">
        <v>202</v>
      </c>
      <c r="Q721" t="s">
        <v>646</v>
      </c>
      <c r="R721" t="s">
        <v>67</v>
      </c>
      <c r="S721" t="s">
        <v>50</v>
      </c>
      <c r="T721">
        <v>14188</v>
      </c>
      <c r="U721" t="s">
        <v>51</v>
      </c>
      <c r="V721">
        <v>2911</v>
      </c>
      <c r="W721">
        <v>3167</v>
      </c>
      <c r="X721" t="s">
        <v>1314</v>
      </c>
      <c r="Y721" t="s">
        <v>472</v>
      </c>
      <c r="Z721" t="s">
        <v>932</v>
      </c>
      <c r="AA721" t="s">
        <v>363</v>
      </c>
      <c r="AB721">
        <v>17354</v>
      </c>
      <c r="AC721">
        <v>9294</v>
      </c>
      <c r="AD721">
        <v>3619</v>
      </c>
      <c r="AE721">
        <v>1053</v>
      </c>
      <c r="AF721">
        <v>204</v>
      </c>
      <c r="AG721">
        <v>18</v>
      </c>
      <c r="AH721">
        <v>15161</v>
      </c>
      <c r="AI721">
        <v>730</v>
      </c>
      <c r="AJ721">
        <v>904</v>
      </c>
      <c r="AK721">
        <v>3541</v>
      </c>
      <c r="AL721">
        <v>277</v>
      </c>
      <c r="AM721">
        <v>32</v>
      </c>
      <c r="AN721" t="s">
        <v>950</v>
      </c>
      <c r="AO721">
        <f>AVERAGE(Tabla2[[#This Row],[total_kills]:[rating]])</f>
        <v>7801.9473684210525</v>
      </c>
      <c r="AP721" t="str">
        <f>VLOOKUP(Tabla2[[#This Row],[KPI]],$AS$2:$AT$5,2,1)</f>
        <v>Superior</v>
      </c>
    </row>
    <row r="722" spans="1:42" x14ac:dyDescent="0.3">
      <c r="A722">
        <v>9521</v>
      </c>
      <c r="B722" t="s">
        <v>1668</v>
      </c>
      <c r="C722" t="s">
        <v>1669</v>
      </c>
      <c r="D722">
        <v>23</v>
      </c>
      <c r="E722" t="s">
        <v>403</v>
      </c>
      <c r="F722" t="s">
        <v>271</v>
      </c>
      <c r="G722" t="s">
        <v>1670</v>
      </c>
      <c r="H722">
        <v>15000</v>
      </c>
      <c r="I722">
        <v>14372</v>
      </c>
      <c r="J722" t="s">
        <v>1671</v>
      </c>
      <c r="K722">
        <v>80</v>
      </c>
      <c r="L722" t="s">
        <v>46</v>
      </c>
      <c r="M722">
        <v>801</v>
      </c>
      <c r="N722">
        <v>21013</v>
      </c>
      <c r="O722" t="s">
        <v>646</v>
      </c>
      <c r="P722" t="s">
        <v>166</v>
      </c>
      <c r="Q722" t="s">
        <v>167</v>
      </c>
      <c r="R722" t="s">
        <v>50</v>
      </c>
      <c r="S722" t="s">
        <v>50</v>
      </c>
      <c r="T722">
        <v>10039</v>
      </c>
      <c r="U722" t="s">
        <v>51</v>
      </c>
      <c r="V722">
        <v>2381</v>
      </c>
      <c r="W722">
        <v>2396</v>
      </c>
      <c r="X722" t="s">
        <v>285</v>
      </c>
      <c r="Y722" t="s">
        <v>407</v>
      </c>
      <c r="Z722" t="s">
        <v>508</v>
      </c>
      <c r="AA722" t="s">
        <v>969</v>
      </c>
      <c r="AB722">
        <v>10974</v>
      </c>
      <c r="AC722">
        <v>6297</v>
      </c>
      <c r="AD722">
        <v>2722</v>
      </c>
      <c r="AE722">
        <v>838</v>
      </c>
      <c r="AF722">
        <v>165</v>
      </c>
      <c r="AG722">
        <v>17</v>
      </c>
      <c r="AH722">
        <v>11252</v>
      </c>
      <c r="AI722">
        <v>340</v>
      </c>
      <c r="AJ722">
        <v>684</v>
      </c>
      <c r="AK722">
        <v>2567</v>
      </c>
      <c r="AL722">
        <v>148</v>
      </c>
      <c r="AM722">
        <v>51</v>
      </c>
      <c r="AN722" t="s">
        <v>412</v>
      </c>
      <c r="AO722">
        <f>AVERAGE(Tabla2[[#This Row],[total_kills]:[rating]])</f>
        <v>5106.8500000000004</v>
      </c>
      <c r="AP722" t="str">
        <f>VLOOKUP(Tabla2[[#This Row],[KPI]],$AS$2:$AT$5,2,1)</f>
        <v>Alto</v>
      </c>
    </row>
    <row r="723" spans="1:42" x14ac:dyDescent="0.3">
      <c r="A723">
        <v>7594</v>
      </c>
      <c r="B723" t="s">
        <v>1813</v>
      </c>
      <c r="C723" t="s">
        <v>1814</v>
      </c>
      <c r="D723">
        <v>25</v>
      </c>
      <c r="E723" t="s">
        <v>75</v>
      </c>
      <c r="F723" t="s">
        <v>90</v>
      </c>
      <c r="G723" t="s">
        <v>60</v>
      </c>
      <c r="H723">
        <v>29923</v>
      </c>
      <c r="I723">
        <v>28568</v>
      </c>
      <c r="J723" t="s">
        <v>1671</v>
      </c>
      <c r="K723">
        <v>75</v>
      </c>
      <c r="L723" t="s">
        <v>80</v>
      </c>
      <c r="M723">
        <v>1627</v>
      </c>
      <c r="N723">
        <v>42977</v>
      </c>
      <c r="O723" t="s">
        <v>905</v>
      </c>
      <c r="P723" t="s">
        <v>235</v>
      </c>
      <c r="Q723" t="s">
        <v>322</v>
      </c>
      <c r="R723" t="s">
        <v>96</v>
      </c>
      <c r="S723" t="s">
        <v>96</v>
      </c>
      <c r="T723">
        <v>20241</v>
      </c>
      <c r="U723" t="s">
        <v>51</v>
      </c>
      <c r="V723">
        <v>3966</v>
      </c>
      <c r="W723">
        <v>4020</v>
      </c>
      <c r="X723" t="s">
        <v>285</v>
      </c>
      <c r="Y723" t="s">
        <v>503</v>
      </c>
      <c r="Z723" t="s">
        <v>217</v>
      </c>
      <c r="AA723" t="s">
        <v>1244</v>
      </c>
      <c r="AB723">
        <v>22736</v>
      </c>
      <c r="AC723">
        <v>12967</v>
      </c>
      <c r="AD723">
        <v>5306</v>
      </c>
      <c r="AE723">
        <v>1590</v>
      </c>
      <c r="AF723">
        <v>343</v>
      </c>
      <c r="AG723">
        <v>35</v>
      </c>
      <c r="AH723">
        <v>21090</v>
      </c>
      <c r="AI723">
        <v>1754</v>
      </c>
      <c r="AJ723">
        <v>1628</v>
      </c>
      <c r="AK723">
        <v>5124</v>
      </c>
      <c r="AL723">
        <v>290</v>
      </c>
      <c r="AM723">
        <v>90</v>
      </c>
      <c r="AN723" t="s">
        <v>449</v>
      </c>
      <c r="AO723">
        <f>AVERAGE(Tabla2[[#This Row],[total_kills]:[rating]])</f>
        <v>10217.5</v>
      </c>
      <c r="AP723" t="str">
        <f>VLOOKUP(Tabla2[[#This Row],[KPI]],$AS$2:$AT$5,2,1)</f>
        <v>Superior</v>
      </c>
    </row>
    <row r="724" spans="1:42" x14ac:dyDescent="0.3">
      <c r="A724">
        <v>9811</v>
      </c>
      <c r="B724" t="s">
        <v>2046</v>
      </c>
      <c r="C724" t="s">
        <v>2047</v>
      </c>
      <c r="D724">
        <v>24</v>
      </c>
      <c r="E724" t="s">
        <v>545</v>
      </c>
      <c r="F724" t="s">
        <v>1065</v>
      </c>
      <c r="G724" t="s">
        <v>2048</v>
      </c>
      <c r="H724">
        <v>24862</v>
      </c>
      <c r="I724">
        <v>24630</v>
      </c>
      <c r="J724" t="s">
        <v>1671</v>
      </c>
      <c r="K724" t="s">
        <v>200</v>
      </c>
      <c r="L724" t="s">
        <v>687</v>
      </c>
      <c r="M724">
        <v>1310</v>
      </c>
      <c r="N724">
        <v>35095</v>
      </c>
      <c r="O724" t="s">
        <v>646</v>
      </c>
      <c r="P724" t="s">
        <v>166</v>
      </c>
      <c r="Q724" t="s">
        <v>905</v>
      </c>
      <c r="R724" t="s">
        <v>50</v>
      </c>
      <c r="S724" t="s">
        <v>96</v>
      </c>
      <c r="T724">
        <v>16590</v>
      </c>
      <c r="U724" t="s">
        <v>51</v>
      </c>
      <c r="V724">
        <v>4195</v>
      </c>
      <c r="W724">
        <v>4187</v>
      </c>
      <c r="X724">
        <v>1</v>
      </c>
      <c r="Y724" t="s">
        <v>464</v>
      </c>
      <c r="Z724" t="s">
        <v>1467</v>
      </c>
      <c r="AA724" t="s">
        <v>305</v>
      </c>
      <c r="AB724">
        <v>18505</v>
      </c>
      <c r="AC724">
        <v>10393</v>
      </c>
      <c r="AD724">
        <v>4478</v>
      </c>
      <c r="AE724">
        <v>1393</v>
      </c>
      <c r="AF724">
        <v>296</v>
      </c>
      <c r="AG724">
        <v>30</v>
      </c>
      <c r="AH724">
        <v>16674</v>
      </c>
      <c r="AI724">
        <v>1495</v>
      </c>
      <c r="AJ724">
        <v>1786</v>
      </c>
      <c r="AK724">
        <v>4512</v>
      </c>
      <c r="AL724">
        <v>352</v>
      </c>
      <c r="AM724">
        <v>89</v>
      </c>
      <c r="AN724" t="s">
        <v>255</v>
      </c>
      <c r="AO724">
        <f>AVERAGE(Tabla2[[#This Row],[total_kills]:[rating]])</f>
        <v>8543.65</v>
      </c>
      <c r="AP724" t="str">
        <f>VLOOKUP(Tabla2[[#This Row],[KPI]],$AS$2:$AT$5,2,1)</f>
        <v>Superior</v>
      </c>
    </row>
    <row r="725" spans="1:42" x14ac:dyDescent="0.3">
      <c r="A725">
        <v>9960</v>
      </c>
      <c r="B725" t="s">
        <v>377</v>
      </c>
      <c r="C725" t="s">
        <v>378</v>
      </c>
      <c r="D725">
        <v>20</v>
      </c>
      <c r="E725" t="s">
        <v>379</v>
      </c>
      <c r="F725" t="s">
        <v>188</v>
      </c>
      <c r="G725" t="s">
        <v>380</v>
      </c>
      <c r="H725">
        <v>24136</v>
      </c>
      <c r="I725">
        <v>20574</v>
      </c>
      <c r="J725" t="s">
        <v>381</v>
      </c>
      <c r="K725" t="s">
        <v>382</v>
      </c>
      <c r="L725" t="s">
        <v>244</v>
      </c>
      <c r="M725">
        <v>1218</v>
      </c>
      <c r="N725">
        <v>31866</v>
      </c>
      <c r="O725" t="s">
        <v>234</v>
      </c>
      <c r="P725" t="s">
        <v>202</v>
      </c>
      <c r="Q725" t="s">
        <v>276</v>
      </c>
      <c r="R725" t="s">
        <v>96</v>
      </c>
      <c r="S725" t="s">
        <v>67</v>
      </c>
      <c r="T725">
        <v>15834</v>
      </c>
      <c r="U725" t="s">
        <v>51</v>
      </c>
      <c r="V725">
        <v>3463</v>
      </c>
      <c r="W725">
        <v>3098</v>
      </c>
      <c r="X725" t="s">
        <v>370</v>
      </c>
      <c r="Y725" t="s">
        <v>304</v>
      </c>
      <c r="Z725" t="s">
        <v>383</v>
      </c>
      <c r="AA725" t="s">
        <v>384</v>
      </c>
      <c r="AB725">
        <v>16032</v>
      </c>
      <c r="AC725">
        <v>9799</v>
      </c>
      <c r="AD725">
        <v>4184</v>
      </c>
      <c r="AE725">
        <v>1471</v>
      </c>
      <c r="AF725">
        <v>344</v>
      </c>
      <c r="AG725">
        <v>36</v>
      </c>
      <c r="AH725">
        <v>17384</v>
      </c>
      <c r="AI725">
        <v>1178</v>
      </c>
      <c r="AJ725">
        <v>849</v>
      </c>
      <c r="AK725">
        <v>4379</v>
      </c>
      <c r="AL725">
        <v>333</v>
      </c>
      <c r="AM725">
        <v>100</v>
      </c>
      <c r="AN725" t="s">
        <v>370</v>
      </c>
      <c r="AO725">
        <f>AVERAGE(Tabla2[[#This Row],[total_kills]:[rating]])</f>
        <v>8225.1578947368416</v>
      </c>
      <c r="AP725" t="str">
        <f>VLOOKUP(Tabla2[[#This Row],[KPI]],$AS$2:$AT$5,2,1)</f>
        <v>Superior</v>
      </c>
    </row>
    <row r="726" spans="1:42" x14ac:dyDescent="0.3">
      <c r="A726">
        <v>16948</v>
      </c>
      <c r="B726" t="s">
        <v>1663</v>
      </c>
      <c r="C726" t="s">
        <v>1664</v>
      </c>
      <c r="D726">
        <v>24</v>
      </c>
      <c r="E726" t="s">
        <v>75</v>
      </c>
      <c r="F726" t="s">
        <v>90</v>
      </c>
      <c r="G726" t="s">
        <v>90</v>
      </c>
      <c r="H726">
        <v>9492</v>
      </c>
      <c r="I726">
        <v>9060</v>
      </c>
      <c r="J726" t="s">
        <v>381</v>
      </c>
      <c r="K726" t="s">
        <v>819</v>
      </c>
      <c r="L726" t="s">
        <v>201</v>
      </c>
      <c r="M726">
        <v>508</v>
      </c>
      <c r="N726">
        <v>13542</v>
      </c>
      <c r="O726" t="s">
        <v>905</v>
      </c>
      <c r="P726" t="s">
        <v>235</v>
      </c>
      <c r="Q726" t="s">
        <v>225</v>
      </c>
      <c r="R726" t="s">
        <v>50</v>
      </c>
      <c r="S726" t="s">
        <v>66</v>
      </c>
      <c r="T726">
        <v>6354</v>
      </c>
      <c r="U726" t="s">
        <v>51</v>
      </c>
      <c r="V726">
        <v>1621</v>
      </c>
      <c r="W726">
        <v>1733</v>
      </c>
      <c r="X726" t="s">
        <v>1570</v>
      </c>
      <c r="Y726" t="s">
        <v>304</v>
      </c>
      <c r="Z726" t="s">
        <v>821</v>
      </c>
      <c r="AA726" t="s">
        <v>376</v>
      </c>
      <c r="AB726">
        <v>7188</v>
      </c>
      <c r="AC726">
        <v>4022</v>
      </c>
      <c r="AD726">
        <v>1681</v>
      </c>
      <c r="AE726">
        <v>512</v>
      </c>
      <c r="AF726">
        <v>123</v>
      </c>
      <c r="AG726">
        <v>16</v>
      </c>
      <c r="AH726">
        <v>7288</v>
      </c>
      <c r="AI726">
        <v>42</v>
      </c>
      <c r="AJ726">
        <v>417</v>
      </c>
      <c r="AK726">
        <v>1645</v>
      </c>
      <c r="AL726">
        <v>89</v>
      </c>
      <c r="AM726">
        <v>45</v>
      </c>
      <c r="AN726" t="s">
        <v>362</v>
      </c>
      <c r="AO726">
        <f>AVERAGE(Tabla2[[#This Row],[total_kills]:[rating]])</f>
        <v>3440.9473684210525</v>
      </c>
      <c r="AP726" t="str">
        <f>VLOOKUP(Tabla2[[#This Row],[KPI]],$AS$2:$AT$5,2,1)</f>
        <v>Medio</v>
      </c>
    </row>
    <row r="727" spans="1:42" x14ac:dyDescent="0.3">
      <c r="A727">
        <v>10611</v>
      </c>
      <c r="B727" t="s">
        <v>2656</v>
      </c>
      <c r="C727" t="s">
        <v>2657</v>
      </c>
      <c r="D727">
        <v>24</v>
      </c>
      <c r="E727" t="s">
        <v>758</v>
      </c>
      <c r="F727" t="s">
        <v>1544</v>
      </c>
      <c r="G727" t="s">
        <v>2658</v>
      </c>
      <c r="H727">
        <v>12715</v>
      </c>
      <c r="I727">
        <v>13196</v>
      </c>
      <c r="J727" t="s">
        <v>381</v>
      </c>
      <c r="K727">
        <v>76</v>
      </c>
      <c r="L727" t="s">
        <v>589</v>
      </c>
      <c r="M727">
        <v>712</v>
      </c>
      <c r="N727">
        <v>18356</v>
      </c>
      <c r="O727" t="s">
        <v>463</v>
      </c>
      <c r="P727" t="s">
        <v>202</v>
      </c>
      <c r="Q727" t="s">
        <v>311</v>
      </c>
      <c r="R727" t="s">
        <v>67</v>
      </c>
      <c r="S727" t="s">
        <v>50</v>
      </c>
      <c r="T727">
        <v>8505</v>
      </c>
      <c r="U727" t="s">
        <v>51</v>
      </c>
      <c r="V727">
        <v>2197</v>
      </c>
      <c r="W727">
        <v>2549</v>
      </c>
      <c r="X727" t="s">
        <v>64</v>
      </c>
      <c r="Y727" t="s">
        <v>412</v>
      </c>
      <c r="Z727" t="s">
        <v>217</v>
      </c>
      <c r="AA727" t="s">
        <v>994</v>
      </c>
      <c r="AB727">
        <v>9851</v>
      </c>
      <c r="AC727">
        <v>5324</v>
      </c>
      <c r="AD727">
        <v>2324</v>
      </c>
      <c r="AE727">
        <v>698</v>
      </c>
      <c r="AF727">
        <v>146</v>
      </c>
      <c r="AG727">
        <v>13</v>
      </c>
      <c r="AH727">
        <v>9887</v>
      </c>
      <c r="AI727">
        <v>286</v>
      </c>
      <c r="AJ727">
        <v>346</v>
      </c>
      <c r="AK727">
        <v>2072</v>
      </c>
      <c r="AL727">
        <v>118</v>
      </c>
      <c r="AM727">
        <v>30</v>
      </c>
      <c r="AN727" t="s">
        <v>245</v>
      </c>
      <c r="AO727">
        <f>AVERAGE(Tabla2[[#This Row],[total_kills]:[rating]])</f>
        <v>4470.05</v>
      </c>
      <c r="AP727" t="str">
        <f>VLOOKUP(Tabla2[[#This Row],[KPI]],$AS$2:$AT$5,2,1)</f>
        <v>Medio</v>
      </c>
    </row>
    <row r="728" spans="1:42" x14ac:dyDescent="0.3">
      <c r="A728">
        <v>3732</v>
      </c>
      <c r="B728" t="s">
        <v>1734</v>
      </c>
      <c r="C728" t="s">
        <v>1735</v>
      </c>
      <c r="D728">
        <v>19</v>
      </c>
      <c r="E728" t="s">
        <v>327</v>
      </c>
      <c r="F728" t="s">
        <v>130</v>
      </c>
      <c r="G728" t="s">
        <v>1736</v>
      </c>
      <c r="H728">
        <v>11580</v>
      </c>
      <c r="I728">
        <v>11225</v>
      </c>
      <c r="J728" t="s">
        <v>1737</v>
      </c>
      <c r="K728" t="s">
        <v>1195</v>
      </c>
      <c r="L728" t="s">
        <v>244</v>
      </c>
      <c r="M728">
        <v>608</v>
      </c>
      <c r="N728">
        <v>16549</v>
      </c>
      <c r="O728" t="s">
        <v>905</v>
      </c>
      <c r="P728" t="s">
        <v>202</v>
      </c>
      <c r="Q728" t="s">
        <v>167</v>
      </c>
      <c r="R728" t="s">
        <v>96</v>
      </c>
      <c r="S728" t="s">
        <v>96</v>
      </c>
      <c r="T728">
        <v>7687</v>
      </c>
      <c r="U728" t="s">
        <v>51</v>
      </c>
      <c r="V728">
        <v>1680</v>
      </c>
      <c r="W728">
        <v>1820</v>
      </c>
      <c r="X728" t="s">
        <v>1314</v>
      </c>
      <c r="Y728" t="s">
        <v>285</v>
      </c>
      <c r="Z728" t="s">
        <v>1490</v>
      </c>
      <c r="AA728" t="s">
        <v>933</v>
      </c>
      <c r="AB728">
        <v>8862</v>
      </c>
      <c r="AC728">
        <v>4814</v>
      </c>
      <c r="AD728">
        <v>2049</v>
      </c>
      <c r="AE728">
        <v>644</v>
      </c>
      <c r="AF728">
        <v>164</v>
      </c>
      <c r="AG728">
        <v>16</v>
      </c>
      <c r="AH728">
        <v>8612</v>
      </c>
      <c r="AI728">
        <v>366</v>
      </c>
      <c r="AJ728">
        <v>378</v>
      </c>
      <c r="AK728">
        <v>2085</v>
      </c>
      <c r="AL728">
        <v>151</v>
      </c>
      <c r="AM728">
        <v>48</v>
      </c>
      <c r="AN728" t="s">
        <v>464</v>
      </c>
      <c r="AO728">
        <f>AVERAGE(Tabla2[[#This Row],[total_kills]:[rating]])</f>
        <v>4175.6842105263158</v>
      </c>
      <c r="AP728" t="str">
        <f>VLOOKUP(Tabla2[[#This Row],[KPI]],$AS$2:$AT$5,2,1)</f>
        <v>Medio</v>
      </c>
    </row>
    <row r="729" spans="1:42" x14ac:dyDescent="0.3">
      <c r="A729">
        <v>15117</v>
      </c>
      <c r="B729" t="s">
        <v>2756</v>
      </c>
      <c r="C729" t="s">
        <v>2757</v>
      </c>
      <c r="D729">
        <v>21</v>
      </c>
      <c r="E729" t="s">
        <v>792</v>
      </c>
      <c r="F729" t="s">
        <v>981</v>
      </c>
      <c r="G729" t="s">
        <v>2758</v>
      </c>
      <c r="H729">
        <v>14980</v>
      </c>
      <c r="I729">
        <v>15598</v>
      </c>
      <c r="J729" t="s">
        <v>1737</v>
      </c>
      <c r="K729" t="s">
        <v>1494</v>
      </c>
      <c r="L729" t="s">
        <v>575</v>
      </c>
      <c r="M729">
        <v>832</v>
      </c>
      <c r="N729">
        <v>22130</v>
      </c>
      <c r="O729" t="s">
        <v>167</v>
      </c>
      <c r="P729" t="s">
        <v>202</v>
      </c>
      <c r="Q729" t="s">
        <v>905</v>
      </c>
      <c r="R729" t="s">
        <v>67</v>
      </c>
      <c r="S729" t="s">
        <v>96</v>
      </c>
      <c r="T729">
        <v>10089</v>
      </c>
      <c r="U729" t="s">
        <v>51</v>
      </c>
      <c r="V729">
        <v>2408</v>
      </c>
      <c r="W729">
        <v>2720</v>
      </c>
      <c r="X729" t="s">
        <v>1551</v>
      </c>
      <c r="Y729" t="s">
        <v>255</v>
      </c>
      <c r="Z729" t="s">
        <v>554</v>
      </c>
      <c r="AA729" t="s">
        <v>969</v>
      </c>
      <c r="AB729">
        <v>12041</v>
      </c>
      <c r="AC729">
        <v>6409</v>
      </c>
      <c r="AD729">
        <v>2652</v>
      </c>
      <c r="AE729">
        <v>861</v>
      </c>
      <c r="AF729">
        <v>151</v>
      </c>
      <c r="AG729">
        <v>16</v>
      </c>
      <c r="AH729">
        <v>10575</v>
      </c>
      <c r="AI729">
        <v>985</v>
      </c>
      <c r="AJ729">
        <v>704</v>
      </c>
      <c r="AK729">
        <v>2483</v>
      </c>
      <c r="AL729">
        <v>218</v>
      </c>
      <c r="AM729">
        <v>66</v>
      </c>
      <c r="AN729" t="s">
        <v>412</v>
      </c>
      <c r="AO729">
        <f>AVERAGE(Tabla2[[#This Row],[total_kills]:[rating]])</f>
        <v>5574.6315789473683</v>
      </c>
      <c r="AP729" t="str">
        <f>VLOOKUP(Tabla2[[#This Row],[KPI]],$AS$2:$AT$5,2,1)</f>
        <v>Alto</v>
      </c>
    </row>
    <row r="730" spans="1:42" x14ac:dyDescent="0.3">
      <c r="A730">
        <v>16731</v>
      </c>
      <c r="B730" t="s">
        <v>3353</v>
      </c>
      <c r="C730" t="s">
        <v>3354</v>
      </c>
      <c r="D730">
        <v>21</v>
      </c>
      <c r="E730" t="s">
        <v>196</v>
      </c>
      <c r="F730" t="s">
        <v>1488</v>
      </c>
      <c r="G730" t="s">
        <v>3355</v>
      </c>
      <c r="H730">
        <v>6411</v>
      </c>
      <c r="I730">
        <v>7554</v>
      </c>
      <c r="J730" t="s">
        <v>1737</v>
      </c>
      <c r="K730" t="s">
        <v>1905</v>
      </c>
      <c r="L730" t="s">
        <v>80</v>
      </c>
      <c r="M730">
        <v>379</v>
      </c>
      <c r="N730">
        <v>10111</v>
      </c>
      <c r="O730" t="s">
        <v>215</v>
      </c>
      <c r="P730" t="s">
        <v>202</v>
      </c>
      <c r="Q730" t="s">
        <v>180</v>
      </c>
      <c r="R730" t="s">
        <v>67</v>
      </c>
      <c r="S730" t="s">
        <v>96</v>
      </c>
      <c r="T730">
        <v>4371</v>
      </c>
      <c r="U730" t="s">
        <v>51</v>
      </c>
      <c r="V730">
        <v>1106</v>
      </c>
      <c r="W730">
        <v>1481</v>
      </c>
      <c r="X730" t="s">
        <v>180</v>
      </c>
      <c r="Y730" t="s">
        <v>503</v>
      </c>
      <c r="Z730" t="s">
        <v>2167</v>
      </c>
      <c r="AA730" t="s">
        <v>697</v>
      </c>
      <c r="AB730">
        <v>5740</v>
      </c>
      <c r="AC730">
        <v>2819</v>
      </c>
      <c r="AD730">
        <v>1151</v>
      </c>
      <c r="AE730">
        <v>322</v>
      </c>
      <c r="AF730">
        <v>71</v>
      </c>
      <c r="AG730">
        <v>8</v>
      </c>
      <c r="AH730">
        <v>4862</v>
      </c>
      <c r="AI730">
        <v>51</v>
      </c>
      <c r="AJ730">
        <v>443</v>
      </c>
      <c r="AK730">
        <v>986</v>
      </c>
      <c r="AL730">
        <v>54</v>
      </c>
      <c r="AM730">
        <v>34</v>
      </c>
      <c r="AN730" t="s">
        <v>1570</v>
      </c>
      <c r="AO730">
        <f>AVERAGE(Tabla2[[#This Row],[total_kills]:[rating]])</f>
        <v>2523.8947368421054</v>
      </c>
      <c r="AP730" t="str">
        <f>VLOOKUP(Tabla2[[#This Row],[KPI]],$AS$2:$AT$5,2,1)</f>
        <v>Bajo</v>
      </c>
    </row>
    <row r="731" spans="1:42" x14ac:dyDescent="0.3">
      <c r="A731">
        <v>12004</v>
      </c>
      <c r="B731" t="s">
        <v>2079</v>
      </c>
      <c r="C731" t="s">
        <v>2080</v>
      </c>
      <c r="D731">
        <v>20</v>
      </c>
      <c r="E731" t="s">
        <v>75</v>
      </c>
      <c r="F731" t="s">
        <v>483</v>
      </c>
      <c r="G731" t="s">
        <v>2081</v>
      </c>
      <c r="H731">
        <v>7015</v>
      </c>
      <c r="I731">
        <v>6742</v>
      </c>
      <c r="J731" t="s">
        <v>2082</v>
      </c>
      <c r="K731">
        <v>75</v>
      </c>
      <c r="L731" t="s">
        <v>612</v>
      </c>
      <c r="M731">
        <v>387</v>
      </c>
      <c r="N731">
        <v>10293</v>
      </c>
      <c r="O731" t="s">
        <v>167</v>
      </c>
      <c r="P731" t="s">
        <v>67</v>
      </c>
      <c r="Q731" t="s">
        <v>322</v>
      </c>
      <c r="R731" t="s">
        <v>96</v>
      </c>
      <c r="S731" t="s">
        <v>50</v>
      </c>
      <c r="T731">
        <v>4790</v>
      </c>
      <c r="U731" t="s">
        <v>51</v>
      </c>
      <c r="V731">
        <v>831</v>
      </c>
      <c r="W731">
        <v>829</v>
      </c>
      <c r="X731">
        <v>1</v>
      </c>
      <c r="Y731" t="s">
        <v>1570</v>
      </c>
      <c r="Z731" t="s">
        <v>2083</v>
      </c>
      <c r="AA731" t="s">
        <v>2084</v>
      </c>
      <c r="AB731">
        <v>5503</v>
      </c>
      <c r="AC731">
        <v>3092</v>
      </c>
      <c r="AD731">
        <v>1265</v>
      </c>
      <c r="AE731">
        <v>348</v>
      </c>
      <c r="AF731">
        <v>76</v>
      </c>
      <c r="AG731">
        <v>9</v>
      </c>
      <c r="AH731">
        <v>5231</v>
      </c>
      <c r="AI731">
        <v>123</v>
      </c>
      <c r="AJ731">
        <v>383</v>
      </c>
      <c r="AK731">
        <v>1208</v>
      </c>
      <c r="AL731">
        <v>60</v>
      </c>
      <c r="AM731">
        <v>23</v>
      </c>
      <c r="AN731" t="s">
        <v>407</v>
      </c>
      <c r="AO731">
        <f>AVERAGE(Tabla2[[#This Row],[total_kills]:[rating]])</f>
        <v>2299.2380952380954</v>
      </c>
      <c r="AP731" t="str">
        <f>VLOOKUP(Tabla2[[#This Row],[KPI]],$AS$2:$AT$5,2,1)</f>
        <v>Bajo</v>
      </c>
    </row>
    <row r="732" spans="1:42" x14ac:dyDescent="0.3">
      <c r="A732">
        <v>11515</v>
      </c>
      <c r="B732" t="s">
        <v>2279</v>
      </c>
      <c r="C732" t="s">
        <v>2280</v>
      </c>
      <c r="D732">
        <v>25</v>
      </c>
      <c r="E732" t="s">
        <v>59</v>
      </c>
      <c r="F732" t="s">
        <v>1699</v>
      </c>
      <c r="G732" t="s">
        <v>2281</v>
      </c>
      <c r="H732">
        <v>10785</v>
      </c>
      <c r="I732">
        <v>10728</v>
      </c>
      <c r="J732" t="s">
        <v>2082</v>
      </c>
      <c r="K732" t="s">
        <v>723</v>
      </c>
      <c r="L732" t="s">
        <v>425</v>
      </c>
      <c r="M732">
        <v>598</v>
      </c>
      <c r="N732">
        <v>15627</v>
      </c>
      <c r="O732" t="s">
        <v>463</v>
      </c>
      <c r="P732" t="s">
        <v>202</v>
      </c>
      <c r="Q732" t="s">
        <v>463</v>
      </c>
      <c r="R732" t="s">
        <v>50</v>
      </c>
      <c r="S732" t="s">
        <v>67</v>
      </c>
      <c r="T732">
        <v>7316</v>
      </c>
      <c r="U732" t="s">
        <v>51</v>
      </c>
      <c r="V732">
        <v>1522</v>
      </c>
      <c r="W732">
        <v>1482</v>
      </c>
      <c r="X732" t="s">
        <v>412</v>
      </c>
      <c r="Y732">
        <v>1</v>
      </c>
      <c r="Z732" t="s">
        <v>1327</v>
      </c>
      <c r="AA732" t="s">
        <v>724</v>
      </c>
      <c r="AB732">
        <v>8311</v>
      </c>
      <c r="AC732">
        <v>4710</v>
      </c>
      <c r="AD732">
        <v>1905</v>
      </c>
      <c r="AE732">
        <v>557</v>
      </c>
      <c r="AF732">
        <v>126</v>
      </c>
      <c r="AG732">
        <v>18</v>
      </c>
      <c r="AH732">
        <v>7491</v>
      </c>
      <c r="AI732">
        <v>618</v>
      </c>
      <c r="AJ732">
        <v>509</v>
      </c>
      <c r="AK732">
        <v>2103</v>
      </c>
      <c r="AL732">
        <v>63</v>
      </c>
      <c r="AM732">
        <v>34</v>
      </c>
      <c r="AN732" t="s">
        <v>304</v>
      </c>
      <c r="AO732">
        <f>AVERAGE(Tabla2[[#This Row],[total_kills]:[rating]])</f>
        <v>3725.2</v>
      </c>
      <c r="AP732" t="str">
        <f>VLOOKUP(Tabla2[[#This Row],[KPI]],$AS$2:$AT$5,2,1)</f>
        <v>Medio</v>
      </c>
    </row>
    <row r="733" spans="1:42" x14ac:dyDescent="0.3">
      <c r="A733">
        <v>9819</v>
      </c>
      <c r="B733" t="s">
        <v>2651</v>
      </c>
      <c r="C733" t="s">
        <v>2652</v>
      </c>
      <c r="D733">
        <v>26</v>
      </c>
      <c r="E733" t="s">
        <v>452</v>
      </c>
      <c r="F733" t="s">
        <v>537</v>
      </c>
      <c r="G733" t="s">
        <v>1438</v>
      </c>
      <c r="H733">
        <v>11512</v>
      </c>
      <c r="I733">
        <v>11696</v>
      </c>
      <c r="J733" t="s">
        <v>2082</v>
      </c>
      <c r="K733" t="s">
        <v>916</v>
      </c>
      <c r="L733" t="s">
        <v>1170</v>
      </c>
      <c r="M733">
        <v>648</v>
      </c>
      <c r="N733">
        <v>17287</v>
      </c>
      <c r="O733" t="s">
        <v>225</v>
      </c>
      <c r="P733" t="s">
        <v>235</v>
      </c>
      <c r="Q733" t="s">
        <v>167</v>
      </c>
      <c r="R733" t="s">
        <v>96</v>
      </c>
      <c r="S733" t="s">
        <v>96</v>
      </c>
      <c r="T733">
        <v>7772</v>
      </c>
      <c r="U733" t="s">
        <v>51</v>
      </c>
      <c r="V733">
        <v>1718</v>
      </c>
      <c r="W733">
        <v>1991</v>
      </c>
      <c r="X733" t="s">
        <v>64</v>
      </c>
      <c r="Y733" t="s">
        <v>503</v>
      </c>
      <c r="Z733" t="s">
        <v>391</v>
      </c>
      <c r="AA733" t="s">
        <v>724</v>
      </c>
      <c r="AB733">
        <v>9515</v>
      </c>
      <c r="AC733">
        <v>4902</v>
      </c>
      <c r="AD733">
        <v>2139</v>
      </c>
      <c r="AE733">
        <v>606</v>
      </c>
      <c r="AF733">
        <v>111</v>
      </c>
      <c r="AG733">
        <v>14</v>
      </c>
      <c r="AH733">
        <v>8061</v>
      </c>
      <c r="AI733">
        <v>715</v>
      </c>
      <c r="AJ733">
        <v>579</v>
      </c>
      <c r="AK733">
        <v>2001</v>
      </c>
      <c r="AL733">
        <v>124</v>
      </c>
      <c r="AM733">
        <v>75</v>
      </c>
      <c r="AN733" t="s">
        <v>245</v>
      </c>
      <c r="AO733">
        <f>AVERAGE(Tabla2[[#This Row],[total_kills]:[rating]])</f>
        <v>4287.6842105263158</v>
      </c>
      <c r="AP733" t="str">
        <f>VLOOKUP(Tabla2[[#This Row],[KPI]],$AS$2:$AT$5,2,1)</f>
        <v>Medio</v>
      </c>
    </row>
    <row r="734" spans="1:42" x14ac:dyDescent="0.3">
      <c r="A734">
        <v>19038</v>
      </c>
      <c r="B734" t="s">
        <v>2969</v>
      </c>
      <c r="C734" t="s">
        <v>2970</v>
      </c>
      <c r="D734">
        <v>21</v>
      </c>
      <c r="E734" t="s">
        <v>196</v>
      </c>
      <c r="F734" t="s">
        <v>1488</v>
      </c>
      <c r="G734" t="s">
        <v>1488</v>
      </c>
      <c r="H734">
        <v>7572</v>
      </c>
      <c r="I734">
        <v>7962</v>
      </c>
      <c r="J734" t="s">
        <v>2082</v>
      </c>
      <c r="K734" t="s">
        <v>524</v>
      </c>
      <c r="L734" t="s">
        <v>294</v>
      </c>
      <c r="M734">
        <v>424</v>
      </c>
      <c r="N734">
        <v>11470</v>
      </c>
      <c r="O734" t="s">
        <v>322</v>
      </c>
      <c r="P734" t="s">
        <v>67</v>
      </c>
      <c r="Q734" t="s">
        <v>463</v>
      </c>
      <c r="R734" t="s">
        <v>96</v>
      </c>
      <c r="S734" t="s">
        <v>50</v>
      </c>
      <c r="T734">
        <v>5184</v>
      </c>
      <c r="U734" t="s">
        <v>51</v>
      </c>
      <c r="V734">
        <v>1179</v>
      </c>
      <c r="W734">
        <v>1319</v>
      </c>
      <c r="X734" t="s">
        <v>1551</v>
      </c>
      <c r="Y734" t="s">
        <v>285</v>
      </c>
      <c r="Z734" t="s">
        <v>473</v>
      </c>
      <c r="AA734" t="s">
        <v>568</v>
      </c>
      <c r="AB734">
        <v>6286</v>
      </c>
      <c r="AC734">
        <v>3357</v>
      </c>
      <c r="AD734">
        <v>1348</v>
      </c>
      <c r="AE734">
        <v>402</v>
      </c>
      <c r="AF734">
        <v>72</v>
      </c>
      <c r="AG734">
        <v>5</v>
      </c>
      <c r="AH734">
        <v>5684</v>
      </c>
      <c r="AI734">
        <v>290</v>
      </c>
      <c r="AJ734">
        <v>402</v>
      </c>
      <c r="AK734">
        <v>1091</v>
      </c>
      <c r="AL734">
        <v>101</v>
      </c>
      <c r="AM734">
        <v>28</v>
      </c>
      <c r="AN734" t="s">
        <v>285</v>
      </c>
      <c r="AO734">
        <f>AVERAGE(Tabla2[[#This Row],[total_kills]:[rating]])</f>
        <v>2851.3684210526317</v>
      </c>
      <c r="AP734" t="str">
        <f>VLOOKUP(Tabla2[[#This Row],[KPI]],$AS$2:$AT$5,2,1)</f>
        <v>Bajo</v>
      </c>
    </row>
    <row r="735" spans="1:42" x14ac:dyDescent="0.3">
      <c r="A735">
        <v>11199</v>
      </c>
      <c r="B735" t="s">
        <v>2983</v>
      </c>
      <c r="C735" t="s">
        <v>2984</v>
      </c>
      <c r="D735">
        <v>24</v>
      </c>
      <c r="E735" t="s">
        <v>337</v>
      </c>
      <c r="F735" t="s">
        <v>550</v>
      </c>
      <c r="G735" t="s">
        <v>550</v>
      </c>
      <c r="H735">
        <v>12582</v>
      </c>
      <c r="I735">
        <v>13207</v>
      </c>
      <c r="J735" t="s">
        <v>2082</v>
      </c>
      <c r="K735">
        <v>71</v>
      </c>
      <c r="L735" t="s">
        <v>164</v>
      </c>
      <c r="M735">
        <v>730</v>
      </c>
      <c r="N735">
        <v>19608</v>
      </c>
      <c r="O735" t="s">
        <v>65</v>
      </c>
      <c r="P735" t="s">
        <v>202</v>
      </c>
      <c r="Q735" t="s">
        <v>225</v>
      </c>
      <c r="R735" t="s">
        <v>67</v>
      </c>
      <c r="S735" t="s">
        <v>135</v>
      </c>
      <c r="T735">
        <v>8615</v>
      </c>
      <c r="U735" t="s">
        <v>51</v>
      </c>
      <c r="V735">
        <v>1959</v>
      </c>
      <c r="W735">
        <v>2302</v>
      </c>
      <c r="X735" t="s">
        <v>2667</v>
      </c>
      <c r="Y735" t="s">
        <v>503</v>
      </c>
      <c r="Z735" t="s">
        <v>1121</v>
      </c>
      <c r="AA735" t="s">
        <v>739</v>
      </c>
      <c r="AB735">
        <v>10993</v>
      </c>
      <c r="AC735">
        <v>5628</v>
      </c>
      <c r="AD735">
        <v>2167</v>
      </c>
      <c r="AE735">
        <v>677</v>
      </c>
      <c r="AF735">
        <v>126</v>
      </c>
      <c r="AG735">
        <v>17</v>
      </c>
      <c r="AH735">
        <v>9122</v>
      </c>
      <c r="AI735">
        <v>26</v>
      </c>
      <c r="AJ735">
        <v>1243</v>
      </c>
      <c r="AK735">
        <v>2026</v>
      </c>
      <c r="AL735">
        <v>179</v>
      </c>
      <c r="AM735">
        <v>19</v>
      </c>
      <c r="AN735" t="s">
        <v>255</v>
      </c>
      <c r="AO735">
        <f>AVERAGE(Tabla2[[#This Row],[total_kills]:[rating]])</f>
        <v>4564.8500000000004</v>
      </c>
      <c r="AP735" t="str">
        <f>VLOOKUP(Tabla2[[#This Row],[KPI]],$AS$2:$AT$5,2,1)</f>
        <v>Medio</v>
      </c>
    </row>
    <row r="736" spans="1:42" x14ac:dyDescent="0.3">
      <c r="A736">
        <v>10372</v>
      </c>
      <c r="B736" t="s">
        <v>2495</v>
      </c>
      <c r="C736" t="s">
        <v>2496</v>
      </c>
      <c r="D736">
        <v>22</v>
      </c>
      <c r="E736" t="s">
        <v>459</v>
      </c>
      <c r="F736" t="s">
        <v>3514</v>
      </c>
      <c r="G736" t="s">
        <v>2497</v>
      </c>
      <c r="H736">
        <v>10006</v>
      </c>
      <c r="I736">
        <v>10311</v>
      </c>
      <c r="J736" t="s">
        <v>2498</v>
      </c>
      <c r="K736" t="s">
        <v>178</v>
      </c>
      <c r="L736" t="s">
        <v>63</v>
      </c>
      <c r="M736">
        <v>549</v>
      </c>
      <c r="N736">
        <v>14235</v>
      </c>
      <c r="O736" t="s">
        <v>905</v>
      </c>
      <c r="P736" t="s">
        <v>48</v>
      </c>
      <c r="Q736" t="s">
        <v>311</v>
      </c>
      <c r="R736" t="s">
        <v>67</v>
      </c>
      <c r="S736" t="s">
        <v>67</v>
      </c>
      <c r="T736">
        <v>6668</v>
      </c>
      <c r="U736" t="s">
        <v>51</v>
      </c>
      <c r="V736">
        <v>1561</v>
      </c>
      <c r="W736">
        <v>1756</v>
      </c>
      <c r="X736" t="s">
        <v>1551</v>
      </c>
      <c r="Y736" t="s">
        <v>255</v>
      </c>
      <c r="Z736" t="s">
        <v>399</v>
      </c>
      <c r="AA736" t="s">
        <v>267</v>
      </c>
      <c r="AB736">
        <v>7567</v>
      </c>
      <c r="AC736">
        <v>4184</v>
      </c>
      <c r="AD736">
        <v>1777</v>
      </c>
      <c r="AE736">
        <v>575</v>
      </c>
      <c r="AF736">
        <v>117</v>
      </c>
      <c r="AG736">
        <v>15</v>
      </c>
      <c r="AH736">
        <v>7189</v>
      </c>
      <c r="AI736">
        <v>271</v>
      </c>
      <c r="AJ736">
        <v>625</v>
      </c>
      <c r="AK736">
        <v>1836</v>
      </c>
      <c r="AL736">
        <v>74</v>
      </c>
      <c r="AM736">
        <v>31</v>
      </c>
      <c r="AN736" t="s">
        <v>285</v>
      </c>
      <c r="AO736">
        <f>AVERAGE(Tabla2[[#This Row],[total_kills]:[rating]])</f>
        <v>3649.8421052631579</v>
      </c>
      <c r="AP736" t="str">
        <f>VLOOKUP(Tabla2[[#This Row],[KPI]],$AS$2:$AT$5,2,1)</f>
        <v>Medio</v>
      </c>
    </row>
    <row r="737" spans="1:42" x14ac:dyDescent="0.3">
      <c r="A737">
        <v>12161</v>
      </c>
      <c r="B737" t="s">
        <v>3021</v>
      </c>
      <c r="C737" t="s">
        <v>3022</v>
      </c>
      <c r="D737">
        <v>22</v>
      </c>
      <c r="E737" t="s">
        <v>1144</v>
      </c>
      <c r="F737" t="s">
        <v>3514</v>
      </c>
      <c r="G737" t="s">
        <v>3023</v>
      </c>
      <c r="H737">
        <v>12720</v>
      </c>
      <c r="I737">
        <v>13088</v>
      </c>
      <c r="J737" t="s">
        <v>2498</v>
      </c>
      <c r="K737" t="s">
        <v>1905</v>
      </c>
      <c r="L737" t="s">
        <v>80</v>
      </c>
      <c r="M737">
        <v>763</v>
      </c>
      <c r="N737">
        <v>20020</v>
      </c>
      <c r="O737" t="s">
        <v>65</v>
      </c>
      <c r="P737" t="s">
        <v>235</v>
      </c>
      <c r="Q737" t="s">
        <v>276</v>
      </c>
      <c r="R737" t="s">
        <v>50</v>
      </c>
      <c r="S737" t="s">
        <v>96</v>
      </c>
      <c r="T737">
        <v>8963</v>
      </c>
      <c r="U737" t="s">
        <v>51</v>
      </c>
      <c r="V737">
        <v>1649</v>
      </c>
      <c r="W737">
        <v>1742</v>
      </c>
      <c r="X737" t="s">
        <v>820</v>
      </c>
      <c r="Y737" t="s">
        <v>950</v>
      </c>
      <c r="Z737" t="s">
        <v>473</v>
      </c>
      <c r="AA737" t="s">
        <v>2631</v>
      </c>
      <c r="AB737">
        <v>11057</v>
      </c>
      <c r="AC737">
        <v>6035</v>
      </c>
      <c r="AD737">
        <v>2211</v>
      </c>
      <c r="AE737">
        <v>614</v>
      </c>
      <c r="AF737">
        <v>94</v>
      </c>
      <c r="AG737">
        <v>9</v>
      </c>
      <c r="AH737">
        <v>9341</v>
      </c>
      <c r="AI737">
        <v>79</v>
      </c>
      <c r="AJ737">
        <v>963</v>
      </c>
      <c r="AK737">
        <v>2172</v>
      </c>
      <c r="AL737">
        <v>163</v>
      </c>
      <c r="AM737">
        <v>25</v>
      </c>
      <c r="AN737" t="s">
        <v>255</v>
      </c>
      <c r="AO737">
        <f>AVERAGE(Tabla2[[#This Row],[total_kills]:[rating]])</f>
        <v>4826.7368421052633</v>
      </c>
      <c r="AP737" t="str">
        <f>VLOOKUP(Tabla2[[#This Row],[KPI]],$AS$2:$AT$5,2,1)</f>
        <v>Alto</v>
      </c>
    </row>
    <row r="738" spans="1:42" x14ac:dyDescent="0.3">
      <c r="A738">
        <v>12708</v>
      </c>
      <c r="B738" t="s">
        <v>1248</v>
      </c>
      <c r="C738" t="s">
        <v>1249</v>
      </c>
      <c r="D738">
        <v>22</v>
      </c>
      <c r="E738" t="s">
        <v>1250</v>
      </c>
      <c r="F738" t="s">
        <v>1251</v>
      </c>
      <c r="G738" t="s">
        <v>1252</v>
      </c>
      <c r="H738">
        <v>7748</v>
      </c>
      <c r="I738">
        <v>7499</v>
      </c>
      <c r="J738" t="s">
        <v>1253</v>
      </c>
      <c r="K738">
        <v>82</v>
      </c>
      <c r="L738" t="s">
        <v>541</v>
      </c>
      <c r="M738">
        <v>382</v>
      </c>
      <c r="N738">
        <v>10192</v>
      </c>
      <c r="O738" t="s">
        <v>234</v>
      </c>
      <c r="P738" t="s">
        <v>202</v>
      </c>
      <c r="Q738" t="s">
        <v>283</v>
      </c>
      <c r="R738" t="s">
        <v>50</v>
      </c>
      <c r="S738" t="s">
        <v>50</v>
      </c>
      <c r="T738">
        <v>5017</v>
      </c>
      <c r="U738" t="s">
        <v>51</v>
      </c>
      <c r="V738">
        <v>1231</v>
      </c>
      <c r="W738">
        <v>1237</v>
      </c>
      <c r="X738">
        <v>1</v>
      </c>
      <c r="Y738" t="s">
        <v>464</v>
      </c>
      <c r="Z738" t="s">
        <v>324</v>
      </c>
      <c r="AA738" t="s">
        <v>315</v>
      </c>
      <c r="AB738">
        <v>5175</v>
      </c>
      <c r="AC738">
        <v>3057</v>
      </c>
      <c r="AD738">
        <v>1328</v>
      </c>
      <c r="AE738">
        <v>510</v>
      </c>
      <c r="AF738">
        <v>105</v>
      </c>
      <c r="AG738">
        <v>17</v>
      </c>
      <c r="AH738">
        <v>5414</v>
      </c>
      <c r="AI738">
        <v>548</v>
      </c>
      <c r="AJ738">
        <v>180</v>
      </c>
      <c r="AK738">
        <v>1525</v>
      </c>
      <c r="AL738">
        <v>84</v>
      </c>
      <c r="AM738">
        <v>16</v>
      </c>
      <c r="AN738" t="s">
        <v>561</v>
      </c>
      <c r="AO738">
        <f>AVERAGE(Tabla2[[#This Row],[total_kills]:[rating]])</f>
        <v>2445.1428571428573</v>
      </c>
      <c r="AP738" t="str">
        <f>VLOOKUP(Tabla2[[#This Row],[KPI]],$AS$2:$AT$5,2,1)</f>
        <v>Bajo</v>
      </c>
    </row>
    <row r="739" spans="1:42" x14ac:dyDescent="0.3">
      <c r="A739">
        <v>14394</v>
      </c>
      <c r="B739" t="s">
        <v>2007</v>
      </c>
      <c r="C739" t="s">
        <v>2008</v>
      </c>
      <c r="D739">
        <v>23</v>
      </c>
      <c r="E739" t="s">
        <v>104</v>
      </c>
      <c r="F739" t="s">
        <v>866</v>
      </c>
      <c r="G739" t="s">
        <v>2009</v>
      </c>
      <c r="H739">
        <v>13764</v>
      </c>
      <c r="I739">
        <v>13382</v>
      </c>
      <c r="J739" t="s">
        <v>1253</v>
      </c>
      <c r="K739" t="s">
        <v>480</v>
      </c>
      <c r="L739" t="s">
        <v>275</v>
      </c>
      <c r="M739">
        <v>750</v>
      </c>
      <c r="N739">
        <v>19746</v>
      </c>
      <c r="O739" t="s">
        <v>905</v>
      </c>
      <c r="P739" t="s">
        <v>235</v>
      </c>
      <c r="Q739" t="s">
        <v>167</v>
      </c>
      <c r="R739" t="s">
        <v>50</v>
      </c>
      <c r="S739" t="s">
        <v>67</v>
      </c>
      <c r="T739">
        <v>9307</v>
      </c>
      <c r="U739" t="s">
        <v>51</v>
      </c>
      <c r="V739">
        <v>2160</v>
      </c>
      <c r="W739">
        <v>2230</v>
      </c>
      <c r="X739" t="s">
        <v>503</v>
      </c>
      <c r="Y739" t="s">
        <v>412</v>
      </c>
      <c r="Z739" t="s">
        <v>838</v>
      </c>
      <c r="AA739" t="s">
        <v>789</v>
      </c>
      <c r="AB739">
        <v>10439</v>
      </c>
      <c r="AC739">
        <v>5966</v>
      </c>
      <c r="AD739">
        <v>2414</v>
      </c>
      <c r="AE739">
        <v>753</v>
      </c>
      <c r="AF739">
        <v>159</v>
      </c>
      <c r="AG739">
        <v>15</v>
      </c>
      <c r="AH739">
        <v>10712</v>
      </c>
      <c r="AI739">
        <v>32</v>
      </c>
      <c r="AJ739">
        <v>789</v>
      </c>
      <c r="AK739">
        <v>2139</v>
      </c>
      <c r="AL739">
        <v>116</v>
      </c>
      <c r="AM739">
        <v>20</v>
      </c>
      <c r="AN739" t="s">
        <v>277</v>
      </c>
      <c r="AO739">
        <f>AVERAGE(Tabla2[[#This Row],[total_kills]:[rating]])</f>
        <v>4994.3684210526317</v>
      </c>
      <c r="AP739" t="str">
        <f>VLOOKUP(Tabla2[[#This Row],[KPI]],$AS$2:$AT$5,2,1)</f>
        <v>Alto</v>
      </c>
    </row>
    <row r="740" spans="1:42" x14ac:dyDescent="0.3">
      <c r="A740">
        <v>8837</v>
      </c>
      <c r="B740" t="s">
        <v>3239</v>
      </c>
      <c r="C740" t="s">
        <v>3240</v>
      </c>
      <c r="D740">
        <v>30</v>
      </c>
      <c r="E740" t="s">
        <v>1070</v>
      </c>
      <c r="F740">
        <v>777</v>
      </c>
      <c r="G740" t="s">
        <v>3241</v>
      </c>
      <c r="H740">
        <v>8403</v>
      </c>
      <c r="I740">
        <v>9335</v>
      </c>
      <c r="J740" t="s">
        <v>1253</v>
      </c>
      <c r="K740" t="s">
        <v>2936</v>
      </c>
      <c r="L740" t="s">
        <v>93</v>
      </c>
      <c r="M740">
        <v>492</v>
      </c>
      <c r="N740">
        <v>13290</v>
      </c>
      <c r="O740" t="s">
        <v>215</v>
      </c>
      <c r="P740" t="s">
        <v>202</v>
      </c>
      <c r="Q740" t="s">
        <v>905</v>
      </c>
      <c r="R740" t="s">
        <v>67</v>
      </c>
      <c r="S740" t="s">
        <v>50</v>
      </c>
      <c r="T740">
        <v>5777</v>
      </c>
      <c r="U740" t="s">
        <v>51</v>
      </c>
      <c r="V740">
        <v>1057</v>
      </c>
      <c r="W740">
        <v>1222</v>
      </c>
      <c r="X740" t="s">
        <v>64</v>
      </c>
      <c r="Y740" t="s">
        <v>1749</v>
      </c>
      <c r="Z740" t="s">
        <v>576</v>
      </c>
      <c r="AA740" t="s">
        <v>1805</v>
      </c>
      <c r="AB740">
        <v>7513</v>
      </c>
      <c r="AC740">
        <v>3787</v>
      </c>
      <c r="AD740">
        <v>1459</v>
      </c>
      <c r="AE740">
        <v>434</v>
      </c>
      <c r="AF740">
        <v>90</v>
      </c>
      <c r="AG740">
        <v>7</v>
      </c>
      <c r="AH740">
        <v>6523</v>
      </c>
      <c r="AI740">
        <v>59</v>
      </c>
      <c r="AJ740">
        <v>334</v>
      </c>
      <c r="AK740">
        <v>1395</v>
      </c>
      <c r="AL740">
        <v>94</v>
      </c>
      <c r="AM740">
        <v>13</v>
      </c>
      <c r="AN740" t="s">
        <v>1314</v>
      </c>
      <c r="AO740">
        <f>AVERAGE(Tabla2[[#This Row],[total_kills]:[rating]])</f>
        <v>3225.4736842105262</v>
      </c>
      <c r="AP740" t="str">
        <f>VLOOKUP(Tabla2[[#This Row],[KPI]],$AS$2:$AT$5,2,1)</f>
        <v>Bajo</v>
      </c>
    </row>
    <row r="741" spans="1:42" x14ac:dyDescent="0.3">
      <c r="A741">
        <v>1154</v>
      </c>
      <c r="B741" t="s">
        <v>3280</v>
      </c>
      <c r="C741" t="s">
        <v>3281</v>
      </c>
      <c r="D741">
        <v>33</v>
      </c>
      <c r="E741" t="s">
        <v>742</v>
      </c>
      <c r="F741" t="s">
        <v>3514</v>
      </c>
      <c r="G741" t="s">
        <v>3213</v>
      </c>
      <c r="H741">
        <v>6787</v>
      </c>
      <c r="I741">
        <v>7451</v>
      </c>
      <c r="J741" t="s">
        <v>1253</v>
      </c>
      <c r="K741" t="s">
        <v>2773</v>
      </c>
      <c r="L741">
        <v>3</v>
      </c>
      <c r="M741">
        <v>414</v>
      </c>
      <c r="N741">
        <v>10880</v>
      </c>
      <c r="O741" t="s">
        <v>144</v>
      </c>
      <c r="P741" t="s">
        <v>235</v>
      </c>
      <c r="Q741" t="s">
        <v>167</v>
      </c>
      <c r="R741" t="s">
        <v>67</v>
      </c>
      <c r="S741" t="s">
        <v>50</v>
      </c>
      <c r="T741">
        <v>4793</v>
      </c>
      <c r="U741" t="s">
        <v>51</v>
      </c>
      <c r="V741">
        <v>871</v>
      </c>
      <c r="W741">
        <v>1003</v>
      </c>
      <c r="X741" t="s">
        <v>2324</v>
      </c>
      <c r="Y741" t="s">
        <v>1749</v>
      </c>
      <c r="Z741" t="s">
        <v>2130</v>
      </c>
      <c r="AA741" t="s">
        <v>2631</v>
      </c>
      <c r="AB741">
        <v>6087</v>
      </c>
      <c r="AC741">
        <v>3230</v>
      </c>
      <c r="AD741">
        <v>1195</v>
      </c>
      <c r="AE741">
        <v>313</v>
      </c>
      <c r="AF741">
        <v>52</v>
      </c>
      <c r="AG741">
        <v>3</v>
      </c>
      <c r="AH741">
        <v>4634</v>
      </c>
      <c r="AI741">
        <v>105</v>
      </c>
      <c r="AJ741">
        <v>611</v>
      </c>
      <c r="AK741">
        <v>1331</v>
      </c>
      <c r="AL741">
        <v>63</v>
      </c>
      <c r="AM741">
        <v>54</v>
      </c>
      <c r="AN741" t="s">
        <v>1749</v>
      </c>
      <c r="AO741">
        <f>AVERAGE(Tabla2[[#This Row],[total_kills]:[rating]])</f>
        <v>2494</v>
      </c>
      <c r="AP741" t="str">
        <f>VLOOKUP(Tabla2[[#This Row],[KPI]],$AS$2:$AT$5,2,1)</f>
        <v>Bajo</v>
      </c>
    </row>
    <row r="742" spans="1:42" x14ac:dyDescent="0.3">
      <c r="A742">
        <v>9083</v>
      </c>
      <c r="B742" t="s">
        <v>1240</v>
      </c>
      <c r="C742" t="s">
        <v>1241</v>
      </c>
      <c r="D742">
        <v>30</v>
      </c>
      <c r="E742" t="s">
        <v>59</v>
      </c>
      <c r="F742" t="s">
        <v>3514</v>
      </c>
      <c r="G742" t="s">
        <v>1242</v>
      </c>
      <c r="H742">
        <v>17902</v>
      </c>
      <c r="I742">
        <v>16184</v>
      </c>
      <c r="J742" t="s">
        <v>1243</v>
      </c>
      <c r="K742" t="s">
        <v>960</v>
      </c>
      <c r="L742" t="s">
        <v>80</v>
      </c>
      <c r="M742">
        <v>947</v>
      </c>
      <c r="N742">
        <v>24917</v>
      </c>
      <c r="O742" t="s">
        <v>311</v>
      </c>
      <c r="P742" t="s">
        <v>202</v>
      </c>
      <c r="Q742" t="s">
        <v>276</v>
      </c>
      <c r="R742" t="s">
        <v>96</v>
      </c>
      <c r="S742" t="s">
        <v>67</v>
      </c>
      <c r="T742">
        <v>12081</v>
      </c>
      <c r="U742" t="s">
        <v>51</v>
      </c>
      <c r="V742">
        <v>2286</v>
      </c>
      <c r="W742">
        <v>2017</v>
      </c>
      <c r="X742" t="s">
        <v>98</v>
      </c>
      <c r="Y742" t="s">
        <v>285</v>
      </c>
      <c r="Z742" t="s">
        <v>932</v>
      </c>
      <c r="AA742" t="s">
        <v>1244</v>
      </c>
      <c r="AB742">
        <v>12836</v>
      </c>
      <c r="AC742">
        <v>7646</v>
      </c>
      <c r="AD742">
        <v>3265</v>
      </c>
      <c r="AE742">
        <v>978</v>
      </c>
      <c r="AF742">
        <v>169</v>
      </c>
      <c r="AG742">
        <v>23</v>
      </c>
      <c r="AH742">
        <v>13052</v>
      </c>
      <c r="AI742">
        <v>572</v>
      </c>
      <c r="AJ742">
        <v>743</v>
      </c>
      <c r="AK742">
        <v>3296</v>
      </c>
      <c r="AL742">
        <v>234</v>
      </c>
      <c r="AM742">
        <v>48</v>
      </c>
      <c r="AN742" t="s">
        <v>590</v>
      </c>
      <c r="AO742">
        <f>AVERAGE(Tabla2[[#This Row],[total_kills]:[rating]])</f>
        <v>6273.4736842105267</v>
      </c>
      <c r="AP742" t="str">
        <f>VLOOKUP(Tabla2[[#This Row],[KPI]],$AS$2:$AT$5,2,1)</f>
        <v>Alto</v>
      </c>
    </row>
    <row r="743" spans="1:42" x14ac:dyDescent="0.3">
      <c r="A743">
        <v>17585</v>
      </c>
      <c r="B743" t="s">
        <v>1245</v>
      </c>
      <c r="C743" t="s">
        <v>1246</v>
      </c>
      <c r="D743">
        <v>20</v>
      </c>
      <c r="E743" t="s">
        <v>104</v>
      </c>
      <c r="F743" t="s">
        <v>1125</v>
      </c>
      <c r="G743" t="s">
        <v>1247</v>
      </c>
      <c r="H743">
        <v>10145</v>
      </c>
      <c r="I743">
        <v>9196</v>
      </c>
      <c r="J743" t="s">
        <v>1243</v>
      </c>
      <c r="K743" t="s">
        <v>353</v>
      </c>
      <c r="L743" t="s">
        <v>46</v>
      </c>
      <c r="M743">
        <v>546</v>
      </c>
      <c r="N743">
        <v>14300</v>
      </c>
      <c r="O743" t="s">
        <v>646</v>
      </c>
      <c r="P743" t="s">
        <v>48</v>
      </c>
      <c r="Q743" t="s">
        <v>65</v>
      </c>
      <c r="R743" t="s">
        <v>50</v>
      </c>
      <c r="S743" t="s">
        <v>67</v>
      </c>
      <c r="T743">
        <v>6800</v>
      </c>
      <c r="U743" t="s">
        <v>51</v>
      </c>
      <c r="V743">
        <v>1343</v>
      </c>
      <c r="W743">
        <v>1248</v>
      </c>
      <c r="X743" t="s">
        <v>277</v>
      </c>
      <c r="Y743" t="s">
        <v>285</v>
      </c>
      <c r="Z743" t="s">
        <v>653</v>
      </c>
      <c r="AA743" t="s">
        <v>783</v>
      </c>
      <c r="AB743">
        <v>7500</v>
      </c>
      <c r="AC743">
        <v>4283</v>
      </c>
      <c r="AD743">
        <v>1826</v>
      </c>
      <c r="AE743">
        <v>568</v>
      </c>
      <c r="AF743">
        <v>109</v>
      </c>
      <c r="AG743">
        <v>14</v>
      </c>
      <c r="AH743">
        <v>6953</v>
      </c>
      <c r="AI743">
        <v>646</v>
      </c>
      <c r="AJ743">
        <v>539</v>
      </c>
      <c r="AK743">
        <v>1841</v>
      </c>
      <c r="AL743">
        <v>139</v>
      </c>
      <c r="AM743">
        <v>83</v>
      </c>
      <c r="AN743" t="s">
        <v>561</v>
      </c>
      <c r="AO743">
        <f>AVERAGE(Tabla2[[#This Row],[total_kills]:[rating]])</f>
        <v>3583.1052631578946</v>
      </c>
      <c r="AP743" t="str">
        <f>VLOOKUP(Tabla2[[#This Row],[KPI]],$AS$2:$AT$5,2,1)</f>
        <v>Medio</v>
      </c>
    </row>
    <row r="744" spans="1:42" x14ac:dyDescent="0.3">
      <c r="A744">
        <v>12088</v>
      </c>
      <c r="B744" t="s">
        <v>2602</v>
      </c>
      <c r="C744" t="s">
        <v>2603</v>
      </c>
      <c r="D744">
        <v>21</v>
      </c>
      <c r="E744" t="s">
        <v>459</v>
      </c>
      <c r="F744" t="s">
        <v>3514</v>
      </c>
      <c r="G744" t="s">
        <v>2604</v>
      </c>
      <c r="H744">
        <v>12192</v>
      </c>
      <c r="I744">
        <v>12461</v>
      </c>
      <c r="J744" t="s">
        <v>1243</v>
      </c>
      <c r="K744" t="s">
        <v>800</v>
      </c>
      <c r="L744">
        <v>3</v>
      </c>
      <c r="M744">
        <v>697</v>
      </c>
      <c r="N744">
        <v>17857</v>
      </c>
      <c r="O744" t="s">
        <v>167</v>
      </c>
      <c r="P744" t="s">
        <v>48</v>
      </c>
      <c r="Q744" t="s">
        <v>905</v>
      </c>
      <c r="R744" t="s">
        <v>48</v>
      </c>
      <c r="S744" t="s">
        <v>50</v>
      </c>
      <c r="T744">
        <v>8231</v>
      </c>
      <c r="U744" t="s">
        <v>51</v>
      </c>
      <c r="V744">
        <v>1971</v>
      </c>
      <c r="W744">
        <v>2037</v>
      </c>
      <c r="X744" t="s">
        <v>503</v>
      </c>
      <c r="Y744" t="s">
        <v>412</v>
      </c>
      <c r="Z744" t="s">
        <v>54</v>
      </c>
      <c r="AA744" t="s">
        <v>279</v>
      </c>
      <c r="AB744">
        <v>9626</v>
      </c>
      <c r="AC744">
        <v>5228</v>
      </c>
      <c r="AD744">
        <v>2207</v>
      </c>
      <c r="AE744">
        <v>652</v>
      </c>
      <c r="AF744">
        <v>126</v>
      </c>
      <c r="AG744">
        <v>18</v>
      </c>
      <c r="AH744">
        <v>8776</v>
      </c>
      <c r="AI744">
        <v>305</v>
      </c>
      <c r="AJ744">
        <v>830</v>
      </c>
      <c r="AK744">
        <v>2126</v>
      </c>
      <c r="AL744">
        <v>103</v>
      </c>
      <c r="AM744">
        <v>78</v>
      </c>
      <c r="AN744" t="s">
        <v>407</v>
      </c>
      <c r="AO744">
        <f>AVERAGE(Tabla2[[#This Row],[total_kills]:[rating]])</f>
        <v>4276.2</v>
      </c>
      <c r="AP744" t="str">
        <f>VLOOKUP(Tabla2[[#This Row],[KPI]],$AS$2:$AT$5,2,1)</f>
        <v>Medio</v>
      </c>
    </row>
    <row r="745" spans="1:42" x14ac:dyDescent="0.3">
      <c r="A745">
        <v>17508</v>
      </c>
      <c r="B745" t="s">
        <v>1806</v>
      </c>
      <c r="C745" t="s">
        <v>1807</v>
      </c>
      <c r="D745">
        <v>28</v>
      </c>
      <c r="E745" t="s">
        <v>75</v>
      </c>
      <c r="F745" t="s">
        <v>90</v>
      </c>
      <c r="G745" t="s">
        <v>1808</v>
      </c>
      <c r="H745">
        <v>9603</v>
      </c>
      <c r="I745">
        <v>9410</v>
      </c>
      <c r="J745" t="s">
        <v>1809</v>
      </c>
      <c r="K745">
        <v>80</v>
      </c>
      <c r="L745" t="s">
        <v>575</v>
      </c>
      <c r="M745">
        <v>503</v>
      </c>
      <c r="N745">
        <v>13395</v>
      </c>
      <c r="O745" t="s">
        <v>311</v>
      </c>
      <c r="P745" t="s">
        <v>202</v>
      </c>
      <c r="Q745" t="s">
        <v>905</v>
      </c>
      <c r="R745" t="s">
        <v>50</v>
      </c>
      <c r="S745" t="s">
        <v>50</v>
      </c>
      <c r="T745">
        <v>6362</v>
      </c>
      <c r="U745" t="s">
        <v>51</v>
      </c>
      <c r="V745">
        <v>1571</v>
      </c>
      <c r="W745">
        <v>1650</v>
      </c>
      <c r="X745" t="s">
        <v>820</v>
      </c>
      <c r="Y745" t="s">
        <v>304</v>
      </c>
      <c r="Z745" t="s">
        <v>567</v>
      </c>
      <c r="AA745" t="s">
        <v>697</v>
      </c>
      <c r="AB745">
        <v>7033</v>
      </c>
      <c r="AC745">
        <v>3950</v>
      </c>
      <c r="AD745">
        <v>1716</v>
      </c>
      <c r="AE745">
        <v>570</v>
      </c>
      <c r="AF745">
        <v>119</v>
      </c>
      <c r="AG745">
        <v>7</v>
      </c>
      <c r="AH745">
        <v>6703</v>
      </c>
      <c r="AI745">
        <v>724</v>
      </c>
      <c r="AJ745">
        <v>357</v>
      </c>
      <c r="AK745">
        <v>1703</v>
      </c>
      <c r="AL745">
        <v>117</v>
      </c>
      <c r="AM745">
        <v>24</v>
      </c>
      <c r="AN745" t="s">
        <v>277</v>
      </c>
      <c r="AO745">
        <f>AVERAGE(Tabla2[[#This Row],[total_kills]:[rating]])</f>
        <v>3279.85</v>
      </c>
      <c r="AP745" t="str">
        <f>VLOOKUP(Tabla2[[#This Row],[KPI]],$AS$2:$AT$5,2,1)</f>
        <v>Bajo</v>
      </c>
    </row>
    <row r="746" spans="1:42" x14ac:dyDescent="0.3">
      <c r="A746">
        <v>13042</v>
      </c>
      <c r="B746" t="s">
        <v>2928</v>
      </c>
      <c r="C746" t="s">
        <v>2929</v>
      </c>
      <c r="D746">
        <v>24</v>
      </c>
      <c r="E746" t="s">
        <v>42</v>
      </c>
      <c r="F746" t="s">
        <v>3514</v>
      </c>
      <c r="G746" t="s">
        <v>2930</v>
      </c>
      <c r="H746">
        <v>10091</v>
      </c>
      <c r="I746">
        <v>10391</v>
      </c>
      <c r="J746" t="s">
        <v>1809</v>
      </c>
      <c r="K746" t="s">
        <v>2931</v>
      </c>
      <c r="L746" t="s">
        <v>425</v>
      </c>
      <c r="M746">
        <v>590</v>
      </c>
      <c r="N746">
        <v>15692</v>
      </c>
      <c r="O746" t="s">
        <v>65</v>
      </c>
      <c r="P746" t="s">
        <v>48</v>
      </c>
      <c r="Q746" t="s">
        <v>322</v>
      </c>
      <c r="R746" t="s">
        <v>50</v>
      </c>
      <c r="S746" t="s">
        <v>50</v>
      </c>
      <c r="T746">
        <v>7053</v>
      </c>
      <c r="U746" t="s">
        <v>51</v>
      </c>
      <c r="V746">
        <v>1436</v>
      </c>
      <c r="W746">
        <v>1476</v>
      </c>
      <c r="X746" t="s">
        <v>503</v>
      </c>
      <c r="Y746" t="s">
        <v>503</v>
      </c>
      <c r="Z746" t="s">
        <v>2130</v>
      </c>
      <c r="AA746" t="s">
        <v>1244</v>
      </c>
      <c r="AB746">
        <v>8639</v>
      </c>
      <c r="AC746">
        <v>4737</v>
      </c>
      <c r="AD746">
        <v>1710</v>
      </c>
      <c r="AE746">
        <v>498</v>
      </c>
      <c r="AF746">
        <v>100</v>
      </c>
      <c r="AG746">
        <v>8</v>
      </c>
      <c r="AH746">
        <v>6677</v>
      </c>
      <c r="AI746">
        <v>562</v>
      </c>
      <c r="AJ746">
        <v>641</v>
      </c>
      <c r="AK746">
        <v>2049</v>
      </c>
      <c r="AL746">
        <v>69</v>
      </c>
      <c r="AM746">
        <v>110</v>
      </c>
      <c r="AN746" t="s">
        <v>255</v>
      </c>
      <c r="AO746">
        <f>AVERAGE(Tabla2[[#This Row],[total_kills]:[rating]])</f>
        <v>3817.3157894736842</v>
      </c>
      <c r="AP746" t="str">
        <f>VLOOKUP(Tabla2[[#This Row],[KPI]],$AS$2:$AT$5,2,1)</f>
        <v>Medio</v>
      </c>
    </row>
    <row r="747" spans="1:42" x14ac:dyDescent="0.3">
      <c r="A747">
        <v>14419</v>
      </c>
      <c r="B747" t="s">
        <v>1156</v>
      </c>
      <c r="C747" t="s">
        <v>1157</v>
      </c>
      <c r="D747">
        <v>28</v>
      </c>
      <c r="E747" t="s">
        <v>196</v>
      </c>
      <c r="F747" t="s">
        <v>605</v>
      </c>
      <c r="G747" t="s">
        <v>1158</v>
      </c>
      <c r="H747">
        <v>17651</v>
      </c>
      <c r="I747">
        <v>16225</v>
      </c>
      <c r="J747" t="s">
        <v>1159</v>
      </c>
      <c r="K747" t="s">
        <v>1160</v>
      </c>
      <c r="L747" t="s">
        <v>201</v>
      </c>
      <c r="M747">
        <v>896</v>
      </c>
      <c r="N747">
        <v>23667</v>
      </c>
      <c r="O747" t="s">
        <v>180</v>
      </c>
      <c r="P747" t="s">
        <v>166</v>
      </c>
      <c r="Q747" t="s">
        <v>463</v>
      </c>
      <c r="R747" t="s">
        <v>67</v>
      </c>
      <c r="S747" t="s">
        <v>67</v>
      </c>
      <c r="T747">
        <v>11793</v>
      </c>
      <c r="U747" t="s">
        <v>51</v>
      </c>
      <c r="V747">
        <v>3107</v>
      </c>
      <c r="W747">
        <v>2708</v>
      </c>
      <c r="X747" t="s">
        <v>84</v>
      </c>
      <c r="Y747" t="s">
        <v>98</v>
      </c>
      <c r="Z747" t="s">
        <v>54</v>
      </c>
      <c r="AA747" t="s">
        <v>334</v>
      </c>
      <c r="AB747">
        <v>11874</v>
      </c>
      <c r="AC747">
        <v>7377</v>
      </c>
      <c r="AD747">
        <v>3211</v>
      </c>
      <c r="AE747">
        <v>987</v>
      </c>
      <c r="AF747">
        <v>199</v>
      </c>
      <c r="AG747">
        <v>19</v>
      </c>
      <c r="AH747">
        <v>13786</v>
      </c>
      <c r="AI747">
        <v>52</v>
      </c>
      <c r="AJ747">
        <v>855</v>
      </c>
      <c r="AK747">
        <v>2759</v>
      </c>
      <c r="AL747">
        <v>207</v>
      </c>
      <c r="AM747">
        <v>48</v>
      </c>
      <c r="AN747" t="s">
        <v>84</v>
      </c>
      <c r="AO747">
        <f>AVERAGE(Tabla2[[#This Row],[total_kills]:[rating]])</f>
        <v>6180.0526315789475</v>
      </c>
      <c r="AP747" t="str">
        <f>VLOOKUP(Tabla2[[#This Row],[KPI]],$AS$2:$AT$5,2,1)</f>
        <v>Alto</v>
      </c>
    </row>
    <row r="748" spans="1:42" x14ac:dyDescent="0.3">
      <c r="A748">
        <v>12018</v>
      </c>
      <c r="B748" t="s">
        <v>1411</v>
      </c>
      <c r="C748" t="s">
        <v>1412</v>
      </c>
      <c r="D748">
        <v>21</v>
      </c>
      <c r="E748" t="s">
        <v>196</v>
      </c>
      <c r="F748" t="s">
        <v>1396</v>
      </c>
      <c r="G748" t="s">
        <v>1413</v>
      </c>
      <c r="H748">
        <v>15953</v>
      </c>
      <c r="I748">
        <v>14907</v>
      </c>
      <c r="J748" t="s">
        <v>1159</v>
      </c>
      <c r="K748" t="s">
        <v>424</v>
      </c>
      <c r="L748" t="s">
        <v>164</v>
      </c>
      <c r="M748">
        <v>832</v>
      </c>
      <c r="N748">
        <v>22223</v>
      </c>
      <c r="O748" t="s">
        <v>311</v>
      </c>
      <c r="P748" t="s">
        <v>235</v>
      </c>
      <c r="Q748" t="s">
        <v>225</v>
      </c>
      <c r="R748" t="s">
        <v>67</v>
      </c>
      <c r="S748" t="s">
        <v>48</v>
      </c>
      <c r="T748">
        <v>10631</v>
      </c>
      <c r="U748" t="s">
        <v>51</v>
      </c>
      <c r="V748">
        <v>2338</v>
      </c>
      <c r="W748">
        <v>2269</v>
      </c>
      <c r="X748" t="s">
        <v>412</v>
      </c>
      <c r="Y748" t="s">
        <v>449</v>
      </c>
      <c r="Z748" t="s">
        <v>795</v>
      </c>
      <c r="AA748" t="s">
        <v>577</v>
      </c>
      <c r="AB748">
        <v>11592</v>
      </c>
      <c r="AC748">
        <v>6664</v>
      </c>
      <c r="AD748">
        <v>2845</v>
      </c>
      <c r="AE748">
        <v>916</v>
      </c>
      <c r="AF748">
        <v>179</v>
      </c>
      <c r="AG748">
        <v>27</v>
      </c>
      <c r="AH748">
        <v>12450</v>
      </c>
      <c r="AI748">
        <v>161</v>
      </c>
      <c r="AJ748">
        <v>615</v>
      </c>
      <c r="AK748">
        <v>2577</v>
      </c>
      <c r="AL748">
        <v>167</v>
      </c>
      <c r="AM748">
        <v>34</v>
      </c>
      <c r="AN748" t="s">
        <v>362</v>
      </c>
      <c r="AO748">
        <f>AVERAGE(Tabla2[[#This Row],[total_kills]:[rating]])</f>
        <v>5651.5789473684208</v>
      </c>
      <c r="AP748" t="str">
        <f>VLOOKUP(Tabla2[[#This Row],[KPI]],$AS$2:$AT$5,2,1)</f>
        <v>Alto</v>
      </c>
    </row>
    <row r="749" spans="1:42" x14ac:dyDescent="0.3">
      <c r="A749">
        <v>11250</v>
      </c>
      <c r="B749" t="s">
        <v>1463</v>
      </c>
      <c r="C749" t="s">
        <v>1464</v>
      </c>
      <c r="D749">
        <v>25</v>
      </c>
      <c r="E749" t="s">
        <v>1033</v>
      </c>
      <c r="F749" t="s">
        <v>1465</v>
      </c>
      <c r="G749" t="s">
        <v>1466</v>
      </c>
      <c r="H749">
        <v>19554</v>
      </c>
      <c r="I749">
        <v>17753</v>
      </c>
      <c r="J749" t="s">
        <v>1159</v>
      </c>
      <c r="K749">
        <v>74</v>
      </c>
      <c r="L749" t="s">
        <v>589</v>
      </c>
      <c r="M749">
        <v>1069</v>
      </c>
      <c r="N749">
        <v>28457</v>
      </c>
      <c r="O749" t="s">
        <v>463</v>
      </c>
      <c r="P749" t="s">
        <v>67</v>
      </c>
      <c r="Q749" t="s">
        <v>144</v>
      </c>
      <c r="R749" t="s">
        <v>66</v>
      </c>
      <c r="S749" t="s">
        <v>50</v>
      </c>
      <c r="T749">
        <v>13288</v>
      </c>
      <c r="U749" t="s">
        <v>51</v>
      </c>
      <c r="V749">
        <v>2124</v>
      </c>
      <c r="W749">
        <v>1924</v>
      </c>
      <c r="X749" t="s">
        <v>561</v>
      </c>
      <c r="Y749" t="s">
        <v>950</v>
      </c>
      <c r="Z749" t="s">
        <v>1467</v>
      </c>
      <c r="AA749" t="s">
        <v>1468</v>
      </c>
      <c r="AB749">
        <v>15169</v>
      </c>
      <c r="AC749">
        <v>8548</v>
      </c>
      <c r="AD749">
        <v>3471</v>
      </c>
      <c r="AE749">
        <v>1031</v>
      </c>
      <c r="AF749">
        <v>219</v>
      </c>
      <c r="AG749">
        <v>19</v>
      </c>
      <c r="AH749">
        <v>15374</v>
      </c>
      <c r="AI749">
        <v>128</v>
      </c>
      <c r="AJ749">
        <v>650</v>
      </c>
      <c r="AK749">
        <v>3202</v>
      </c>
      <c r="AL749">
        <v>213</v>
      </c>
      <c r="AM749">
        <v>53</v>
      </c>
      <c r="AN749" t="s">
        <v>464</v>
      </c>
      <c r="AO749">
        <f>AVERAGE(Tabla2[[#This Row],[total_kills]:[rating]])</f>
        <v>6616</v>
      </c>
      <c r="AP749" t="str">
        <f>VLOOKUP(Tabla2[[#This Row],[KPI]],$AS$2:$AT$5,2,1)</f>
        <v>Alto</v>
      </c>
    </row>
    <row r="750" spans="1:42" x14ac:dyDescent="0.3">
      <c r="A750">
        <v>8998</v>
      </c>
      <c r="B750" t="s">
        <v>1641</v>
      </c>
      <c r="C750" t="s">
        <v>1642</v>
      </c>
      <c r="D750">
        <v>26</v>
      </c>
      <c r="E750" t="s">
        <v>1643</v>
      </c>
      <c r="F750" t="s">
        <v>1644</v>
      </c>
      <c r="G750" t="s">
        <v>1645</v>
      </c>
      <c r="H750">
        <v>16258</v>
      </c>
      <c r="I750">
        <v>15385</v>
      </c>
      <c r="J750" t="s">
        <v>1159</v>
      </c>
      <c r="K750" t="s">
        <v>1057</v>
      </c>
      <c r="L750" t="s">
        <v>282</v>
      </c>
      <c r="M750">
        <v>889</v>
      </c>
      <c r="N750">
        <v>23444</v>
      </c>
      <c r="O750" t="s">
        <v>463</v>
      </c>
      <c r="P750" t="s">
        <v>202</v>
      </c>
      <c r="Q750" t="s">
        <v>322</v>
      </c>
      <c r="R750" t="s">
        <v>96</v>
      </c>
      <c r="S750" t="s">
        <v>67</v>
      </c>
      <c r="T750">
        <v>10873</v>
      </c>
      <c r="U750" t="s">
        <v>51</v>
      </c>
      <c r="V750">
        <v>2147</v>
      </c>
      <c r="W750">
        <v>2008</v>
      </c>
      <c r="X750" t="s">
        <v>464</v>
      </c>
      <c r="Y750" t="s">
        <v>245</v>
      </c>
      <c r="Z750" t="s">
        <v>1467</v>
      </c>
      <c r="AA750" t="s">
        <v>852</v>
      </c>
      <c r="AB750">
        <v>12571</v>
      </c>
      <c r="AC750">
        <v>6831</v>
      </c>
      <c r="AD750">
        <v>2943</v>
      </c>
      <c r="AE750">
        <v>875</v>
      </c>
      <c r="AF750">
        <v>204</v>
      </c>
      <c r="AG750">
        <v>20</v>
      </c>
      <c r="AH750">
        <v>11910</v>
      </c>
      <c r="AI750">
        <v>343</v>
      </c>
      <c r="AJ750">
        <v>856</v>
      </c>
      <c r="AK750">
        <v>2886</v>
      </c>
      <c r="AL750">
        <v>237</v>
      </c>
      <c r="AM750">
        <v>84</v>
      </c>
      <c r="AN750" t="s">
        <v>412</v>
      </c>
      <c r="AO750">
        <f>AVERAGE(Tabla2[[#This Row],[total_kills]:[rating]])</f>
        <v>5829.6842105263158</v>
      </c>
      <c r="AP750" t="str">
        <f>VLOOKUP(Tabla2[[#This Row],[KPI]],$AS$2:$AT$5,2,1)</f>
        <v>Alto</v>
      </c>
    </row>
    <row r="751" spans="1:42" x14ac:dyDescent="0.3">
      <c r="A751">
        <v>10762</v>
      </c>
      <c r="B751" t="s">
        <v>3082</v>
      </c>
      <c r="C751" t="s">
        <v>3083</v>
      </c>
      <c r="D751">
        <v>25</v>
      </c>
      <c r="E751" t="s">
        <v>467</v>
      </c>
      <c r="F751" t="s">
        <v>3084</v>
      </c>
      <c r="G751" t="s">
        <v>3085</v>
      </c>
      <c r="H751">
        <v>15317</v>
      </c>
      <c r="I751">
        <v>16361</v>
      </c>
      <c r="J751" t="s">
        <v>1159</v>
      </c>
      <c r="K751" t="s">
        <v>624</v>
      </c>
      <c r="L751">
        <v>5</v>
      </c>
      <c r="M751">
        <v>887</v>
      </c>
      <c r="N751">
        <v>23379</v>
      </c>
      <c r="O751" t="s">
        <v>322</v>
      </c>
      <c r="P751" t="s">
        <v>235</v>
      </c>
      <c r="Q751" t="s">
        <v>905</v>
      </c>
      <c r="R751" t="s">
        <v>50</v>
      </c>
      <c r="S751" t="s">
        <v>96</v>
      </c>
      <c r="T751">
        <v>10556</v>
      </c>
      <c r="U751" t="s">
        <v>51</v>
      </c>
      <c r="V751">
        <v>2324</v>
      </c>
      <c r="W751">
        <v>2600</v>
      </c>
      <c r="X751" t="s">
        <v>1551</v>
      </c>
      <c r="Y751" t="s">
        <v>245</v>
      </c>
      <c r="Z751" t="s">
        <v>1165</v>
      </c>
      <c r="AA751" t="s">
        <v>2029</v>
      </c>
      <c r="AB751">
        <v>12823</v>
      </c>
      <c r="AC751">
        <v>6915</v>
      </c>
      <c r="AD751">
        <v>2707</v>
      </c>
      <c r="AE751">
        <v>760</v>
      </c>
      <c r="AF751">
        <v>162</v>
      </c>
      <c r="AG751">
        <v>12</v>
      </c>
      <c r="AH751">
        <v>11329</v>
      </c>
      <c r="AI751">
        <v>351</v>
      </c>
      <c r="AJ751">
        <v>883</v>
      </c>
      <c r="AK751">
        <v>2555</v>
      </c>
      <c r="AL751">
        <v>210</v>
      </c>
      <c r="AM751">
        <v>39</v>
      </c>
      <c r="AN751" t="s">
        <v>255</v>
      </c>
      <c r="AO751">
        <f>AVERAGE(Tabla2[[#This Row],[total_kills]:[rating]])</f>
        <v>5508.75</v>
      </c>
      <c r="AP751" t="str">
        <f>VLOOKUP(Tabla2[[#This Row],[KPI]],$AS$2:$AT$5,2,1)</f>
        <v>Alto</v>
      </c>
    </row>
    <row r="752" spans="1:42" x14ac:dyDescent="0.3">
      <c r="A752">
        <v>19967</v>
      </c>
      <c r="B752" t="s">
        <v>3232</v>
      </c>
      <c r="C752" t="s">
        <v>3233</v>
      </c>
      <c r="D752">
        <v>26</v>
      </c>
      <c r="E752" t="s">
        <v>1144</v>
      </c>
      <c r="F752" t="s">
        <v>2784</v>
      </c>
      <c r="G752" t="s">
        <v>2785</v>
      </c>
      <c r="H752">
        <v>6624</v>
      </c>
      <c r="I752">
        <v>7318</v>
      </c>
      <c r="J752" t="s">
        <v>1159</v>
      </c>
      <c r="K752" t="s">
        <v>3068</v>
      </c>
      <c r="L752" t="s">
        <v>46</v>
      </c>
      <c r="M752">
        <v>388</v>
      </c>
      <c r="N752">
        <v>10398</v>
      </c>
      <c r="O752" t="s">
        <v>65</v>
      </c>
      <c r="P752" t="s">
        <v>67</v>
      </c>
      <c r="Q752" t="s">
        <v>905</v>
      </c>
      <c r="R752" t="s">
        <v>50</v>
      </c>
      <c r="S752" t="s">
        <v>66</v>
      </c>
      <c r="T752">
        <v>4570</v>
      </c>
      <c r="U752" t="s">
        <v>51</v>
      </c>
      <c r="V752">
        <v>897</v>
      </c>
      <c r="W752">
        <v>1088</v>
      </c>
      <c r="X752" t="s">
        <v>2998</v>
      </c>
      <c r="Y752" t="s">
        <v>1314</v>
      </c>
      <c r="Z752" t="s">
        <v>443</v>
      </c>
      <c r="AA752" t="s">
        <v>1171</v>
      </c>
      <c r="AB752">
        <v>5828</v>
      </c>
      <c r="AC752">
        <v>2982</v>
      </c>
      <c r="AD752">
        <v>1199</v>
      </c>
      <c r="AE752">
        <v>320</v>
      </c>
      <c r="AF752">
        <v>61</v>
      </c>
      <c r="AG752">
        <v>8</v>
      </c>
      <c r="AH752">
        <v>5082</v>
      </c>
      <c r="AI752">
        <v>114</v>
      </c>
      <c r="AJ752">
        <v>313</v>
      </c>
      <c r="AK752">
        <v>1057</v>
      </c>
      <c r="AL752">
        <v>66</v>
      </c>
      <c r="AM752">
        <v>18</v>
      </c>
      <c r="AN752" t="s">
        <v>472</v>
      </c>
      <c r="AO752">
        <f>AVERAGE(Tabla2[[#This Row],[total_kills]:[rating]])</f>
        <v>2543.7368421052633</v>
      </c>
      <c r="AP752" t="str">
        <f>VLOOKUP(Tabla2[[#This Row],[KPI]],$AS$2:$AT$5,2,1)</f>
        <v>Bajo</v>
      </c>
    </row>
    <row r="753" spans="1:42" x14ac:dyDescent="0.3">
      <c r="A753">
        <v>12810</v>
      </c>
      <c r="B753" t="s">
        <v>2049</v>
      </c>
      <c r="C753" t="s">
        <v>2050</v>
      </c>
      <c r="D753">
        <v>21</v>
      </c>
      <c r="E753" t="s">
        <v>337</v>
      </c>
      <c r="F753" t="s">
        <v>550</v>
      </c>
      <c r="G753" t="s">
        <v>550</v>
      </c>
      <c r="H753">
        <v>13403</v>
      </c>
      <c r="I753">
        <v>12922</v>
      </c>
      <c r="J753" t="s">
        <v>2051</v>
      </c>
      <c r="K753" t="s">
        <v>2052</v>
      </c>
      <c r="L753" t="s">
        <v>462</v>
      </c>
      <c r="M753">
        <v>740</v>
      </c>
      <c r="N753">
        <v>19869</v>
      </c>
      <c r="O753" t="s">
        <v>225</v>
      </c>
      <c r="P753" t="s">
        <v>67</v>
      </c>
      <c r="Q753" t="s">
        <v>276</v>
      </c>
      <c r="R753" t="s">
        <v>66</v>
      </c>
      <c r="S753" t="s">
        <v>96</v>
      </c>
      <c r="T753">
        <v>9074</v>
      </c>
      <c r="U753" t="s">
        <v>51</v>
      </c>
      <c r="V753">
        <v>1744</v>
      </c>
      <c r="W753">
        <v>1820</v>
      </c>
      <c r="X753" t="s">
        <v>472</v>
      </c>
      <c r="Y753" t="s">
        <v>820</v>
      </c>
      <c r="Z753" t="s">
        <v>932</v>
      </c>
      <c r="AA753" t="s">
        <v>2053</v>
      </c>
      <c r="AB753">
        <v>10795</v>
      </c>
      <c r="AC753">
        <v>5814</v>
      </c>
      <c r="AD753">
        <v>2378</v>
      </c>
      <c r="AE753">
        <v>714</v>
      </c>
      <c r="AF753">
        <v>149</v>
      </c>
      <c r="AG753">
        <v>19</v>
      </c>
      <c r="AH753">
        <v>9683</v>
      </c>
      <c r="AI753">
        <v>701</v>
      </c>
      <c r="AJ753">
        <v>500</v>
      </c>
      <c r="AK753">
        <v>2387</v>
      </c>
      <c r="AL753">
        <v>121</v>
      </c>
      <c r="AM753">
        <v>52</v>
      </c>
      <c r="AN753" t="s">
        <v>407</v>
      </c>
      <c r="AO753">
        <f>AVERAGE(Tabla2[[#This Row],[total_kills]:[rating]])</f>
        <v>4888.6842105263158</v>
      </c>
      <c r="AP753" t="str">
        <f>VLOOKUP(Tabla2[[#This Row],[KPI]],$AS$2:$AT$5,2,1)</f>
        <v>Alto</v>
      </c>
    </row>
    <row r="754" spans="1:42" x14ac:dyDescent="0.3">
      <c r="A754">
        <v>12101</v>
      </c>
      <c r="B754" t="s">
        <v>2438</v>
      </c>
      <c r="C754" t="s">
        <v>2439</v>
      </c>
      <c r="D754">
        <v>19</v>
      </c>
      <c r="E754" t="s">
        <v>459</v>
      </c>
      <c r="F754" t="s">
        <v>3514</v>
      </c>
      <c r="G754" t="s">
        <v>2440</v>
      </c>
      <c r="H754">
        <v>9091</v>
      </c>
      <c r="I754">
        <v>9114</v>
      </c>
      <c r="J754" t="s">
        <v>2051</v>
      </c>
      <c r="K754" t="s">
        <v>645</v>
      </c>
      <c r="L754" t="s">
        <v>390</v>
      </c>
      <c r="M754">
        <v>498</v>
      </c>
      <c r="N754">
        <v>13218</v>
      </c>
      <c r="O754" t="s">
        <v>463</v>
      </c>
      <c r="P754" t="s">
        <v>202</v>
      </c>
      <c r="Q754" t="s">
        <v>463</v>
      </c>
      <c r="R754" t="s">
        <v>67</v>
      </c>
      <c r="S754" t="s">
        <v>50</v>
      </c>
      <c r="T754">
        <v>6161</v>
      </c>
      <c r="U754" t="s">
        <v>51</v>
      </c>
      <c r="V754">
        <v>1265</v>
      </c>
      <c r="W754">
        <v>1345</v>
      </c>
      <c r="X754" t="s">
        <v>1570</v>
      </c>
      <c r="Y754" t="s">
        <v>245</v>
      </c>
      <c r="Z754" t="s">
        <v>383</v>
      </c>
      <c r="AA754" t="s">
        <v>640</v>
      </c>
      <c r="AB754">
        <v>7057</v>
      </c>
      <c r="AC754">
        <v>3931</v>
      </c>
      <c r="AD754">
        <v>1647</v>
      </c>
      <c r="AE754">
        <v>473</v>
      </c>
      <c r="AF754">
        <v>103</v>
      </c>
      <c r="AG754">
        <v>7</v>
      </c>
      <c r="AH754">
        <v>6353</v>
      </c>
      <c r="AI754">
        <v>209</v>
      </c>
      <c r="AJ754">
        <v>717</v>
      </c>
      <c r="AK754">
        <v>1660</v>
      </c>
      <c r="AL754">
        <v>85</v>
      </c>
      <c r="AM754">
        <v>99</v>
      </c>
      <c r="AN754" t="s">
        <v>407</v>
      </c>
      <c r="AO754">
        <f>AVERAGE(Tabla2[[#This Row],[total_kills]:[rating]])</f>
        <v>3317.5263157894738</v>
      </c>
      <c r="AP754" t="str">
        <f>VLOOKUP(Tabla2[[#This Row],[KPI]],$AS$2:$AT$5,2,1)</f>
        <v>Medio</v>
      </c>
    </row>
    <row r="755" spans="1:42" x14ac:dyDescent="0.3">
      <c r="A755">
        <v>13170</v>
      </c>
      <c r="B755" t="s">
        <v>2669</v>
      </c>
      <c r="C755" t="s">
        <v>2670</v>
      </c>
      <c r="D755">
        <v>22</v>
      </c>
      <c r="E755" t="s">
        <v>196</v>
      </c>
      <c r="F755" t="s">
        <v>1488</v>
      </c>
      <c r="G755" t="s">
        <v>1488</v>
      </c>
      <c r="H755">
        <v>10991</v>
      </c>
      <c r="I755">
        <v>11114</v>
      </c>
      <c r="J755" t="s">
        <v>2051</v>
      </c>
      <c r="K755" t="s">
        <v>486</v>
      </c>
      <c r="L755" t="s">
        <v>164</v>
      </c>
      <c r="M755">
        <v>627</v>
      </c>
      <c r="N755">
        <v>16838</v>
      </c>
      <c r="O755" t="s">
        <v>276</v>
      </c>
      <c r="P755" t="s">
        <v>67</v>
      </c>
      <c r="Q755" t="s">
        <v>322</v>
      </c>
      <c r="R755" t="s">
        <v>96</v>
      </c>
      <c r="S755" t="s">
        <v>96</v>
      </c>
      <c r="T755">
        <v>7483</v>
      </c>
      <c r="U755" t="s">
        <v>51</v>
      </c>
      <c r="V755">
        <v>1231</v>
      </c>
      <c r="W755">
        <v>1325</v>
      </c>
      <c r="X755" t="s">
        <v>950</v>
      </c>
      <c r="Y755" t="s">
        <v>1906</v>
      </c>
      <c r="Z755" t="s">
        <v>427</v>
      </c>
      <c r="AA755" t="s">
        <v>1636</v>
      </c>
      <c r="AB755">
        <v>9355</v>
      </c>
      <c r="AC755">
        <v>4814</v>
      </c>
      <c r="AD755">
        <v>1975</v>
      </c>
      <c r="AE755">
        <v>563</v>
      </c>
      <c r="AF755">
        <v>117</v>
      </c>
      <c r="AG755">
        <v>14</v>
      </c>
      <c r="AH755">
        <v>7979</v>
      </c>
      <c r="AI755">
        <v>266</v>
      </c>
      <c r="AJ755">
        <v>684</v>
      </c>
      <c r="AK755">
        <v>1886</v>
      </c>
      <c r="AL755">
        <v>177</v>
      </c>
      <c r="AM755">
        <v>41</v>
      </c>
      <c r="AN755" t="s">
        <v>255</v>
      </c>
      <c r="AO755">
        <f>AVERAGE(Tabla2[[#This Row],[total_kills]:[rating]])</f>
        <v>4077.8947368421054</v>
      </c>
      <c r="AP755" t="str">
        <f>VLOOKUP(Tabla2[[#This Row],[KPI]],$AS$2:$AT$5,2,1)</f>
        <v>Medio</v>
      </c>
    </row>
    <row r="756" spans="1:42" x14ac:dyDescent="0.3">
      <c r="A756">
        <v>10449</v>
      </c>
      <c r="B756" t="s">
        <v>1333</v>
      </c>
      <c r="C756" t="s">
        <v>1334</v>
      </c>
      <c r="D756">
        <v>25</v>
      </c>
      <c r="E756" t="s">
        <v>1335</v>
      </c>
      <c r="F756" t="s">
        <v>3514</v>
      </c>
      <c r="G756" t="s">
        <v>1336</v>
      </c>
      <c r="H756">
        <v>16229</v>
      </c>
      <c r="I756">
        <v>14827</v>
      </c>
      <c r="J756" t="s">
        <v>1337</v>
      </c>
      <c r="K756" t="s">
        <v>939</v>
      </c>
      <c r="L756" t="s">
        <v>46</v>
      </c>
      <c r="M756">
        <v>870</v>
      </c>
      <c r="N756">
        <v>22834</v>
      </c>
      <c r="O756" t="s">
        <v>646</v>
      </c>
      <c r="P756" t="s">
        <v>48</v>
      </c>
      <c r="Q756" t="s">
        <v>276</v>
      </c>
      <c r="R756" t="s">
        <v>50</v>
      </c>
      <c r="S756" t="s">
        <v>67</v>
      </c>
      <c r="T756">
        <v>10968</v>
      </c>
      <c r="U756" t="s">
        <v>51</v>
      </c>
      <c r="V756">
        <v>2234</v>
      </c>
      <c r="W756">
        <v>1908</v>
      </c>
      <c r="X756" t="s">
        <v>172</v>
      </c>
      <c r="Y756" t="s">
        <v>449</v>
      </c>
      <c r="Z756" t="s">
        <v>278</v>
      </c>
      <c r="AA756" t="s">
        <v>746</v>
      </c>
      <c r="AB756">
        <v>11866</v>
      </c>
      <c r="AC756">
        <v>7007</v>
      </c>
      <c r="AD756">
        <v>2867</v>
      </c>
      <c r="AE756">
        <v>903</v>
      </c>
      <c r="AF756">
        <v>176</v>
      </c>
      <c r="AG756">
        <v>15</v>
      </c>
      <c r="AH756">
        <v>12309</v>
      </c>
      <c r="AI756">
        <v>227</v>
      </c>
      <c r="AJ756">
        <v>535</v>
      </c>
      <c r="AK756">
        <v>2959</v>
      </c>
      <c r="AL756">
        <v>219</v>
      </c>
      <c r="AM756">
        <v>43</v>
      </c>
      <c r="AN756" t="s">
        <v>304</v>
      </c>
      <c r="AO756">
        <f>AVERAGE(Tabla2[[#This Row],[total_kills]:[rating]])</f>
        <v>5736.6315789473683</v>
      </c>
      <c r="AP756" t="str">
        <f>VLOOKUP(Tabla2[[#This Row],[KPI]],$AS$2:$AT$5,2,1)</f>
        <v>Alto</v>
      </c>
    </row>
    <row r="757" spans="1:42" x14ac:dyDescent="0.3">
      <c r="A757">
        <v>16723</v>
      </c>
      <c r="B757" t="s">
        <v>2219</v>
      </c>
      <c r="C757" t="s">
        <v>2220</v>
      </c>
      <c r="D757">
        <v>24</v>
      </c>
      <c r="E757" t="s">
        <v>196</v>
      </c>
      <c r="F757" t="s">
        <v>2221</v>
      </c>
      <c r="G757" t="s">
        <v>2222</v>
      </c>
      <c r="H757">
        <v>8983</v>
      </c>
      <c r="I757">
        <v>9034</v>
      </c>
      <c r="J757" t="s">
        <v>2223</v>
      </c>
      <c r="K757" t="s">
        <v>1119</v>
      </c>
      <c r="L757" t="s">
        <v>1170</v>
      </c>
      <c r="M757">
        <v>477</v>
      </c>
      <c r="N757">
        <v>12780</v>
      </c>
      <c r="O757" t="s">
        <v>905</v>
      </c>
      <c r="P757" t="s">
        <v>202</v>
      </c>
      <c r="Q757" t="s">
        <v>646</v>
      </c>
      <c r="R757" t="s">
        <v>67</v>
      </c>
      <c r="S757" t="s">
        <v>48</v>
      </c>
      <c r="T757">
        <v>5965</v>
      </c>
      <c r="U757" t="s">
        <v>51</v>
      </c>
      <c r="V757">
        <v>1409</v>
      </c>
      <c r="W757">
        <v>1475</v>
      </c>
      <c r="X757" t="s">
        <v>472</v>
      </c>
      <c r="Y757" t="s">
        <v>412</v>
      </c>
      <c r="Z757" t="s">
        <v>567</v>
      </c>
      <c r="AA757" t="s">
        <v>734</v>
      </c>
      <c r="AB757">
        <v>6815</v>
      </c>
      <c r="AC757">
        <v>3712</v>
      </c>
      <c r="AD757">
        <v>1619</v>
      </c>
      <c r="AE757">
        <v>514</v>
      </c>
      <c r="AF757">
        <v>109</v>
      </c>
      <c r="AG757">
        <v>11</v>
      </c>
      <c r="AH757">
        <v>7153</v>
      </c>
      <c r="AI757">
        <v>136</v>
      </c>
      <c r="AJ757">
        <v>268</v>
      </c>
      <c r="AK757">
        <v>1313</v>
      </c>
      <c r="AL757">
        <v>111</v>
      </c>
      <c r="AM757">
        <v>43</v>
      </c>
      <c r="AN757" t="s">
        <v>304</v>
      </c>
      <c r="AO757">
        <f>AVERAGE(Tabla2[[#This Row],[total_kills]:[rating]])</f>
        <v>3259.3157894736842</v>
      </c>
      <c r="AP757" t="str">
        <f>VLOOKUP(Tabla2[[#This Row],[KPI]],$AS$2:$AT$5,2,1)</f>
        <v>Bajo</v>
      </c>
    </row>
    <row r="758" spans="1:42" x14ac:dyDescent="0.3">
      <c r="A758">
        <v>9078</v>
      </c>
      <c r="B758" t="s">
        <v>870</v>
      </c>
      <c r="C758" t="s">
        <v>871</v>
      </c>
      <c r="D758">
        <v>25</v>
      </c>
      <c r="E758" t="s">
        <v>196</v>
      </c>
      <c r="F758" t="s">
        <v>229</v>
      </c>
      <c r="G758" t="s">
        <v>872</v>
      </c>
      <c r="H758">
        <v>31098</v>
      </c>
      <c r="I758">
        <v>28605</v>
      </c>
      <c r="J758" t="s">
        <v>873</v>
      </c>
      <c r="K758">
        <v>81</v>
      </c>
      <c r="L758" t="s">
        <v>122</v>
      </c>
      <c r="M758">
        <v>1562</v>
      </c>
      <c r="N758">
        <v>41332</v>
      </c>
      <c r="O758" t="s">
        <v>180</v>
      </c>
      <c r="P758" t="s">
        <v>202</v>
      </c>
      <c r="Q758" t="s">
        <v>463</v>
      </c>
      <c r="R758" t="s">
        <v>96</v>
      </c>
      <c r="S758" t="s">
        <v>50</v>
      </c>
      <c r="T758">
        <v>20220</v>
      </c>
      <c r="U758" t="s">
        <v>51</v>
      </c>
      <c r="V758">
        <v>4955</v>
      </c>
      <c r="W758">
        <v>4865</v>
      </c>
      <c r="X758" t="s">
        <v>449</v>
      </c>
      <c r="Y758" t="s">
        <v>464</v>
      </c>
      <c r="Z758" t="s">
        <v>795</v>
      </c>
      <c r="AA758" t="s">
        <v>305</v>
      </c>
      <c r="AB758">
        <v>21112</v>
      </c>
      <c r="AC758">
        <v>12311</v>
      </c>
      <c r="AD758">
        <v>5475</v>
      </c>
      <c r="AE758">
        <v>1952</v>
      </c>
      <c r="AF758">
        <v>429</v>
      </c>
      <c r="AG758">
        <v>53</v>
      </c>
      <c r="AH758">
        <v>21949</v>
      </c>
      <c r="AI758">
        <v>1647</v>
      </c>
      <c r="AJ758">
        <v>1462</v>
      </c>
      <c r="AK758">
        <v>5752</v>
      </c>
      <c r="AL758">
        <v>224</v>
      </c>
      <c r="AM758">
        <v>132</v>
      </c>
      <c r="AN758" t="s">
        <v>277</v>
      </c>
      <c r="AO758">
        <f>AVERAGE(Tabla2[[#This Row],[total_kills]:[rating]])</f>
        <v>10260.799999999999</v>
      </c>
      <c r="AP758" t="str">
        <f>VLOOKUP(Tabla2[[#This Row],[KPI]],$AS$2:$AT$5,2,1)</f>
        <v>Superior</v>
      </c>
    </row>
    <row r="759" spans="1:42" x14ac:dyDescent="0.3">
      <c r="A759">
        <v>11358</v>
      </c>
      <c r="B759" t="s">
        <v>2937</v>
      </c>
      <c r="C759" t="s">
        <v>2938</v>
      </c>
      <c r="D759">
        <v>26</v>
      </c>
      <c r="E759" t="s">
        <v>209</v>
      </c>
      <c r="F759" t="s">
        <v>1259</v>
      </c>
      <c r="G759" t="s">
        <v>2939</v>
      </c>
      <c r="H759">
        <v>8630</v>
      </c>
      <c r="I759">
        <v>9060</v>
      </c>
      <c r="J759" t="s">
        <v>2940</v>
      </c>
      <c r="K759" t="s">
        <v>2941</v>
      </c>
      <c r="L759" t="s">
        <v>541</v>
      </c>
      <c r="M759">
        <v>490</v>
      </c>
      <c r="N759">
        <v>12812</v>
      </c>
      <c r="O759" t="s">
        <v>225</v>
      </c>
      <c r="P759" t="s">
        <v>202</v>
      </c>
      <c r="Q759" t="s">
        <v>646</v>
      </c>
      <c r="R759" t="s">
        <v>50</v>
      </c>
      <c r="S759" t="s">
        <v>50</v>
      </c>
      <c r="T759">
        <v>5956</v>
      </c>
      <c r="U759" t="s">
        <v>51</v>
      </c>
      <c r="V759">
        <v>1159</v>
      </c>
      <c r="W759">
        <v>1242</v>
      </c>
      <c r="X759" t="s">
        <v>950</v>
      </c>
      <c r="Y759" t="s">
        <v>472</v>
      </c>
      <c r="Z759" t="s">
        <v>2083</v>
      </c>
      <c r="AA759" t="s">
        <v>852</v>
      </c>
      <c r="AB759">
        <v>6856</v>
      </c>
      <c r="AC759">
        <v>3907</v>
      </c>
      <c r="AD759">
        <v>1527</v>
      </c>
      <c r="AE759">
        <v>423</v>
      </c>
      <c r="AF759">
        <v>95</v>
      </c>
      <c r="AG759">
        <v>4</v>
      </c>
      <c r="AH759">
        <v>5977</v>
      </c>
      <c r="AI759">
        <v>58</v>
      </c>
      <c r="AJ759">
        <v>735</v>
      </c>
      <c r="AK759">
        <v>1763</v>
      </c>
      <c r="AL759">
        <v>90</v>
      </c>
      <c r="AM759">
        <v>23</v>
      </c>
      <c r="AN759">
        <v>1</v>
      </c>
      <c r="AO759">
        <f>AVERAGE(Tabla2[[#This Row],[total_kills]:[rating]])</f>
        <v>3040.4</v>
      </c>
      <c r="AP759" t="str">
        <f>VLOOKUP(Tabla2[[#This Row],[KPI]],$AS$2:$AT$5,2,1)</f>
        <v>Bajo</v>
      </c>
    </row>
    <row r="760" spans="1:42" x14ac:dyDescent="0.3">
      <c r="A760">
        <v>11940</v>
      </c>
      <c r="B760" t="s">
        <v>3153</v>
      </c>
      <c r="C760" t="s">
        <v>3154</v>
      </c>
      <c r="D760">
        <v>21</v>
      </c>
      <c r="E760" t="s">
        <v>1144</v>
      </c>
      <c r="F760" t="s">
        <v>483</v>
      </c>
      <c r="G760" t="s">
        <v>3155</v>
      </c>
      <c r="H760">
        <v>18706</v>
      </c>
      <c r="I760">
        <v>20025</v>
      </c>
      <c r="J760" t="s">
        <v>2940</v>
      </c>
      <c r="K760" t="s">
        <v>800</v>
      </c>
      <c r="L760" t="s">
        <v>949</v>
      </c>
      <c r="M760">
        <v>1078</v>
      </c>
      <c r="N760">
        <v>28797</v>
      </c>
      <c r="O760" t="s">
        <v>276</v>
      </c>
      <c r="P760" t="s">
        <v>235</v>
      </c>
      <c r="Q760" t="s">
        <v>905</v>
      </c>
      <c r="R760" t="s">
        <v>96</v>
      </c>
      <c r="S760" t="s">
        <v>96</v>
      </c>
      <c r="T760">
        <v>13005</v>
      </c>
      <c r="U760" t="s">
        <v>51</v>
      </c>
      <c r="V760">
        <v>2888</v>
      </c>
      <c r="W760">
        <v>3123</v>
      </c>
      <c r="X760" t="s">
        <v>1314</v>
      </c>
      <c r="Y760" t="s">
        <v>285</v>
      </c>
      <c r="Z760" t="s">
        <v>745</v>
      </c>
      <c r="AA760" t="s">
        <v>933</v>
      </c>
      <c r="AB760">
        <v>15792</v>
      </c>
      <c r="AC760">
        <v>8571</v>
      </c>
      <c r="AD760">
        <v>3334</v>
      </c>
      <c r="AE760">
        <v>951</v>
      </c>
      <c r="AF760">
        <v>131</v>
      </c>
      <c r="AG760">
        <v>18</v>
      </c>
      <c r="AH760">
        <v>14007</v>
      </c>
      <c r="AI760">
        <v>237</v>
      </c>
      <c r="AJ760">
        <v>1002</v>
      </c>
      <c r="AK760">
        <v>3207</v>
      </c>
      <c r="AL760">
        <v>217</v>
      </c>
      <c r="AM760">
        <v>78</v>
      </c>
      <c r="AN760">
        <v>1</v>
      </c>
      <c r="AO760">
        <f>AVERAGE(Tabla2[[#This Row],[total_kills]:[rating]])</f>
        <v>6758.4</v>
      </c>
      <c r="AP760" t="str">
        <f>VLOOKUP(Tabla2[[#This Row],[KPI]],$AS$2:$AT$5,2,1)</f>
        <v>Alto</v>
      </c>
    </row>
    <row r="761" spans="1:42" x14ac:dyDescent="0.3">
      <c r="A761">
        <v>14294</v>
      </c>
      <c r="B761" t="s">
        <v>833</v>
      </c>
      <c r="C761" t="s">
        <v>834</v>
      </c>
      <c r="D761">
        <v>20</v>
      </c>
      <c r="E761" t="s">
        <v>299</v>
      </c>
      <c r="F761" t="s">
        <v>151</v>
      </c>
      <c r="G761" t="s">
        <v>835</v>
      </c>
      <c r="H761">
        <v>14955</v>
      </c>
      <c r="I761">
        <v>13650</v>
      </c>
      <c r="J761" t="s">
        <v>836</v>
      </c>
      <c r="K761" t="s">
        <v>837</v>
      </c>
      <c r="L761" t="s">
        <v>224</v>
      </c>
      <c r="M761">
        <v>784</v>
      </c>
      <c r="N761">
        <v>20019</v>
      </c>
      <c r="O761" t="s">
        <v>180</v>
      </c>
      <c r="P761" t="s">
        <v>235</v>
      </c>
      <c r="Q761" t="s">
        <v>167</v>
      </c>
      <c r="R761" t="s">
        <v>67</v>
      </c>
      <c r="S761" t="s">
        <v>67</v>
      </c>
      <c r="T761">
        <v>9714</v>
      </c>
      <c r="U761" t="s">
        <v>51</v>
      </c>
      <c r="V761">
        <v>2271</v>
      </c>
      <c r="W761">
        <v>2223</v>
      </c>
      <c r="X761" t="s">
        <v>449</v>
      </c>
      <c r="Y761" t="s">
        <v>304</v>
      </c>
      <c r="Z761" t="s">
        <v>838</v>
      </c>
      <c r="AA761" t="s">
        <v>436</v>
      </c>
      <c r="AB761">
        <v>10305</v>
      </c>
      <c r="AC761">
        <v>5878</v>
      </c>
      <c r="AD761">
        <v>2691</v>
      </c>
      <c r="AE761">
        <v>911</v>
      </c>
      <c r="AF761">
        <v>208</v>
      </c>
      <c r="AG761">
        <v>26</v>
      </c>
      <c r="AH761">
        <v>11123</v>
      </c>
      <c r="AI761">
        <v>281</v>
      </c>
      <c r="AJ761">
        <v>810</v>
      </c>
      <c r="AK761">
        <v>2571</v>
      </c>
      <c r="AL761">
        <v>170</v>
      </c>
      <c r="AM761">
        <v>26</v>
      </c>
      <c r="AN761" t="s">
        <v>111</v>
      </c>
      <c r="AO761">
        <f>AVERAGE(Tabla2[[#This Row],[total_kills]:[rating]])</f>
        <v>5190.3157894736842</v>
      </c>
      <c r="AP761" t="str">
        <f>VLOOKUP(Tabla2[[#This Row],[KPI]],$AS$2:$AT$5,2,1)</f>
        <v>Alto</v>
      </c>
    </row>
    <row r="762" spans="1:42" x14ac:dyDescent="0.3">
      <c r="A762">
        <v>8183</v>
      </c>
      <c r="B762" t="s">
        <v>1721</v>
      </c>
      <c r="C762" t="s">
        <v>1722</v>
      </c>
      <c r="D762">
        <v>27</v>
      </c>
      <c r="E762" t="s">
        <v>1070</v>
      </c>
      <c r="F762" t="s">
        <v>447</v>
      </c>
      <c r="G762" t="s">
        <v>447</v>
      </c>
      <c r="H762">
        <v>30599</v>
      </c>
      <c r="I762">
        <v>29728</v>
      </c>
      <c r="J762" t="s">
        <v>836</v>
      </c>
      <c r="K762" t="s">
        <v>1130</v>
      </c>
      <c r="L762" t="s">
        <v>46</v>
      </c>
      <c r="M762">
        <v>1627</v>
      </c>
      <c r="N762">
        <v>43068</v>
      </c>
      <c r="O762" t="s">
        <v>646</v>
      </c>
      <c r="P762" t="s">
        <v>166</v>
      </c>
      <c r="Q762" t="s">
        <v>463</v>
      </c>
      <c r="R762" t="s">
        <v>50</v>
      </c>
      <c r="S762" t="s">
        <v>96</v>
      </c>
      <c r="T762">
        <v>20290</v>
      </c>
      <c r="U762" t="s">
        <v>51</v>
      </c>
      <c r="V762">
        <v>5345</v>
      </c>
      <c r="W762">
        <v>5533</v>
      </c>
      <c r="X762" t="s">
        <v>503</v>
      </c>
      <c r="Y762" t="s">
        <v>464</v>
      </c>
      <c r="Z762" t="s">
        <v>838</v>
      </c>
      <c r="AA762" t="s">
        <v>238</v>
      </c>
      <c r="AB762">
        <v>22778</v>
      </c>
      <c r="AC762">
        <v>12646</v>
      </c>
      <c r="AD762">
        <v>5453</v>
      </c>
      <c r="AE762">
        <v>1779</v>
      </c>
      <c r="AF762">
        <v>360</v>
      </c>
      <c r="AG762">
        <v>52</v>
      </c>
      <c r="AH762">
        <v>22782</v>
      </c>
      <c r="AI762">
        <v>213</v>
      </c>
      <c r="AJ762">
        <v>1545</v>
      </c>
      <c r="AK762">
        <v>5748</v>
      </c>
      <c r="AL762">
        <v>268</v>
      </c>
      <c r="AM762">
        <v>94</v>
      </c>
      <c r="AN762" t="s">
        <v>412</v>
      </c>
      <c r="AO762">
        <f>AVERAGE(Tabla2[[#This Row],[total_kills]:[rating]])</f>
        <v>11047.78947368421</v>
      </c>
      <c r="AP762" t="str">
        <f>VLOOKUP(Tabla2[[#This Row],[KPI]],$AS$2:$AT$5,2,1)</f>
        <v>Superior</v>
      </c>
    </row>
    <row r="763" spans="1:42" x14ac:dyDescent="0.3">
      <c r="A763">
        <v>17372</v>
      </c>
      <c r="B763" t="s">
        <v>1864</v>
      </c>
      <c r="C763" t="s">
        <v>1865</v>
      </c>
      <c r="D763">
        <v>20</v>
      </c>
      <c r="E763" t="s">
        <v>500</v>
      </c>
      <c r="F763" t="s">
        <v>812</v>
      </c>
      <c r="G763" t="s">
        <v>1866</v>
      </c>
      <c r="H763">
        <v>11999</v>
      </c>
      <c r="I763">
        <v>11510</v>
      </c>
      <c r="J763" t="s">
        <v>836</v>
      </c>
      <c r="K763" t="s">
        <v>588</v>
      </c>
      <c r="L763" t="s">
        <v>80</v>
      </c>
      <c r="M763">
        <v>651</v>
      </c>
      <c r="N763">
        <v>16966</v>
      </c>
      <c r="O763" t="s">
        <v>646</v>
      </c>
      <c r="P763" t="s">
        <v>202</v>
      </c>
      <c r="Q763" t="s">
        <v>167</v>
      </c>
      <c r="R763" t="s">
        <v>67</v>
      </c>
      <c r="S763" t="s">
        <v>50</v>
      </c>
      <c r="T763">
        <v>8147</v>
      </c>
      <c r="U763" t="s">
        <v>51</v>
      </c>
      <c r="V763">
        <v>1825</v>
      </c>
      <c r="W763">
        <v>1819</v>
      </c>
      <c r="X763">
        <v>1</v>
      </c>
      <c r="Y763" t="s">
        <v>412</v>
      </c>
      <c r="Z763" t="s">
        <v>237</v>
      </c>
      <c r="AA763" t="s">
        <v>602</v>
      </c>
      <c r="AB763">
        <v>8819</v>
      </c>
      <c r="AC763">
        <v>5203</v>
      </c>
      <c r="AD763">
        <v>2171</v>
      </c>
      <c r="AE763">
        <v>652</v>
      </c>
      <c r="AF763">
        <v>107</v>
      </c>
      <c r="AG763">
        <v>14</v>
      </c>
      <c r="AH763">
        <v>9181</v>
      </c>
      <c r="AI763">
        <v>238</v>
      </c>
      <c r="AJ763">
        <v>648</v>
      </c>
      <c r="AK763">
        <v>1806</v>
      </c>
      <c r="AL763">
        <v>130</v>
      </c>
      <c r="AM763">
        <v>22</v>
      </c>
      <c r="AN763" t="s">
        <v>277</v>
      </c>
      <c r="AO763">
        <f>AVERAGE(Tabla2[[#This Row],[total_kills]:[rating]])</f>
        <v>4095.45</v>
      </c>
      <c r="AP763" t="str">
        <f>VLOOKUP(Tabla2[[#This Row],[KPI]],$AS$2:$AT$5,2,1)</f>
        <v>Medio</v>
      </c>
    </row>
    <row r="764" spans="1:42" x14ac:dyDescent="0.3">
      <c r="A764">
        <v>7527</v>
      </c>
      <c r="B764" t="s">
        <v>2343</v>
      </c>
      <c r="C764" t="s">
        <v>2344</v>
      </c>
      <c r="D764">
        <v>28</v>
      </c>
      <c r="E764" t="s">
        <v>545</v>
      </c>
      <c r="F764" t="s">
        <v>3514</v>
      </c>
      <c r="G764" t="s">
        <v>2345</v>
      </c>
      <c r="H764">
        <v>13677</v>
      </c>
      <c r="I764">
        <v>13682</v>
      </c>
      <c r="J764" t="s">
        <v>836</v>
      </c>
      <c r="K764" t="s">
        <v>2346</v>
      </c>
      <c r="L764" t="s">
        <v>398</v>
      </c>
      <c r="M764">
        <v>756</v>
      </c>
      <c r="N764">
        <v>19801</v>
      </c>
      <c r="O764" t="s">
        <v>463</v>
      </c>
      <c r="P764" t="s">
        <v>202</v>
      </c>
      <c r="Q764" t="s">
        <v>463</v>
      </c>
      <c r="R764" t="s">
        <v>50</v>
      </c>
      <c r="S764" t="s">
        <v>50</v>
      </c>
      <c r="T764">
        <v>9175</v>
      </c>
      <c r="U764" t="s">
        <v>51</v>
      </c>
      <c r="V764">
        <v>1888</v>
      </c>
      <c r="W764">
        <v>1900</v>
      </c>
      <c r="X764" t="s">
        <v>285</v>
      </c>
      <c r="Y764" t="s">
        <v>245</v>
      </c>
      <c r="Z764" t="s">
        <v>795</v>
      </c>
      <c r="AA764" t="s">
        <v>933</v>
      </c>
      <c r="AB764">
        <v>10626</v>
      </c>
      <c r="AC764">
        <v>5784</v>
      </c>
      <c r="AD764">
        <v>2488</v>
      </c>
      <c r="AE764">
        <v>737</v>
      </c>
      <c r="AF764">
        <v>147</v>
      </c>
      <c r="AG764">
        <v>19</v>
      </c>
      <c r="AH764">
        <v>9396</v>
      </c>
      <c r="AI764">
        <v>972</v>
      </c>
      <c r="AJ764">
        <v>486</v>
      </c>
      <c r="AK764">
        <v>2615</v>
      </c>
      <c r="AL764">
        <v>164</v>
      </c>
      <c r="AM764">
        <v>64</v>
      </c>
      <c r="AN764">
        <v>1</v>
      </c>
      <c r="AO764">
        <f>AVERAGE(Tabla2[[#This Row],[total_kills]:[rating]])</f>
        <v>4718.8999999999996</v>
      </c>
      <c r="AP764" t="str">
        <f>VLOOKUP(Tabla2[[#This Row],[KPI]],$AS$2:$AT$5,2,1)</f>
        <v>Medio</v>
      </c>
    </row>
    <row r="765" spans="1:42" x14ac:dyDescent="0.3">
      <c r="A765">
        <v>5796</v>
      </c>
      <c r="B765" t="s">
        <v>2932</v>
      </c>
      <c r="C765" t="s">
        <v>2933</v>
      </c>
      <c r="D765">
        <v>26</v>
      </c>
      <c r="E765" t="s">
        <v>708</v>
      </c>
      <c r="F765" t="s">
        <v>709</v>
      </c>
      <c r="G765" t="s">
        <v>2934</v>
      </c>
      <c r="H765">
        <v>29892</v>
      </c>
      <c r="I765">
        <v>30831</v>
      </c>
      <c r="J765" t="s">
        <v>2935</v>
      </c>
      <c r="K765" t="s">
        <v>2936</v>
      </c>
      <c r="L765" t="s">
        <v>164</v>
      </c>
      <c r="M765">
        <v>1770</v>
      </c>
      <c r="N765">
        <v>46856</v>
      </c>
      <c r="O765" t="s">
        <v>65</v>
      </c>
      <c r="P765" t="s">
        <v>202</v>
      </c>
      <c r="Q765" t="s">
        <v>322</v>
      </c>
      <c r="R765" t="s">
        <v>96</v>
      </c>
      <c r="S765" t="s">
        <v>96</v>
      </c>
      <c r="T765">
        <v>20720</v>
      </c>
      <c r="U765" t="s">
        <v>51</v>
      </c>
      <c r="V765">
        <v>4234</v>
      </c>
      <c r="W765">
        <v>4563</v>
      </c>
      <c r="X765" t="s">
        <v>950</v>
      </c>
      <c r="Y765" t="s">
        <v>472</v>
      </c>
      <c r="Z765" t="s">
        <v>821</v>
      </c>
      <c r="AA765" t="s">
        <v>518</v>
      </c>
      <c r="AB765">
        <v>26136</v>
      </c>
      <c r="AC765">
        <v>13668</v>
      </c>
      <c r="AD765">
        <v>5307</v>
      </c>
      <c r="AE765">
        <v>1421</v>
      </c>
      <c r="AF765">
        <v>290</v>
      </c>
      <c r="AG765">
        <v>34</v>
      </c>
      <c r="AH765">
        <v>21825</v>
      </c>
      <c r="AI765">
        <v>213</v>
      </c>
      <c r="AJ765">
        <v>1830</v>
      </c>
      <c r="AK765">
        <v>5490</v>
      </c>
      <c r="AL765">
        <v>427</v>
      </c>
      <c r="AM765">
        <v>176</v>
      </c>
      <c r="AN765" t="s">
        <v>472</v>
      </c>
      <c r="AO765">
        <f>AVERAGE(Tabla2[[#This Row],[total_kills]:[rating]])</f>
        <v>11351.736842105263</v>
      </c>
      <c r="AP765" t="str">
        <f>VLOOKUP(Tabla2[[#This Row],[KPI]],$AS$2:$AT$5,2,1)</f>
        <v>Superior</v>
      </c>
    </row>
    <row r="766" spans="1:42" x14ac:dyDescent="0.3">
      <c r="A766">
        <v>18221</v>
      </c>
      <c r="B766" t="s">
        <v>698</v>
      </c>
      <c r="C766" t="s">
        <v>699</v>
      </c>
      <c r="D766">
        <v>21</v>
      </c>
      <c r="E766" t="s">
        <v>700</v>
      </c>
      <c r="F766" t="s">
        <v>701</v>
      </c>
      <c r="G766" t="s">
        <v>702</v>
      </c>
      <c r="H766">
        <v>8661</v>
      </c>
      <c r="I766">
        <v>7619</v>
      </c>
      <c r="J766" t="s">
        <v>703</v>
      </c>
      <c r="K766" t="s">
        <v>704</v>
      </c>
      <c r="L766" t="s">
        <v>93</v>
      </c>
      <c r="M766">
        <v>442</v>
      </c>
      <c r="N766">
        <v>11732</v>
      </c>
      <c r="O766" t="s">
        <v>283</v>
      </c>
      <c r="P766" t="s">
        <v>67</v>
      </c>
      <c r="Q766" t="s">
        <v>276</v>
      </c>
      <c r="R766" t="s">
        <v>66</v>
      </c>
      <c r="S766" t="s">
        <v>50</v>
      </c>
      <c r="T766">
        <v>5714</v>
      </c>
      <c r="U766" t="s">
        <v>51</v>
      </c>
      <c r="V766">
        <v>1178</v>
      </c>
      <c r="W766">
        <v>1080</v>
      </c>
      <c r="X766" t="s">
        <v>295</v>
      </c>
      <c r="Y766" t="s">
        <v>449</v>
      </c>
      <c r="Z766" t="s">
        <v>705</v>
      </c>
      <c r="AA766" t="s">
        <v>413</v>
      </c>
      <c r="AB766">
        <v>6018</v>
      </c>
      <c r="AC766">
        <v>3506</v>
      </c>
      <c r="AD766">
        <v>1611</v>
      </c>
      <c r="AE766">
        <v>474</v>
      </c>
      <c r="AF766">
        <v>104</v>
      </c>
      <c r="AG766">
        <v>19</v>
      </c>
      <c r="AH766">
        <v>6595</v>
      </c>
      <c r="AI766">
        <v>245</v>
      </c>
      <c r="AJ766">
        <v>252</v>
      </c>
      <c r="AK766">
        <v>1465</v>
      </c>
      <c r="AL766">
        <v>76</v>
      </c>
      <c r="AM766">
        <v>51</v>
      </c>
      <c r="AN766" t="s">
        <v>98</v>
      </c>
      <c r="AO766">
        <f>AVERAGE(Tabla2[[#This Row],[total_kills]:[rating]])</f>
        <v>2991.6842105263158</v>
      </c>
      <c r="AP766" t="str">
        <f>VLOOKUP(Tabla2[[#This Row],[KPI]],$AS$2:$AT$5,2,1)</f>
        <v>Bajo</v>
      </c>
    </row>
    <row r="767" spans="1:42" x14ac:dyDescent="0.3">
      <c r="A767">
        <v>8374</v>
      </c>
      <c r="B767" t="s">
        <v>2565</v>
      </c>
      <c r="C767" t="s">
        <v>2566</v>
      </c>
      <c r="D767">
        <v>25</v>
      </c>
      <c r="E767" t="s">
        <v>42</v>
      </c>
      <c r="F767" t="s">
        <v>1348</v>
      </c>
      <c r="G767" t="s">
        <v>2567</v>
      </c>
      <c r="H767">
        <v>23955</v>
      </c>
      <c r="I767">
        <v>24183</v>
      </c>
      <c r="J767" t="s">
        <v>703</v>
      </c>
      <c r="K767" t="s">
        <v>540</v>
      </c>
      <c r="L767" t="s">
        <v>164</v>
      </c>
      <c r="M767">
        <v>1341</v>
      </c>
      <c r="N767">
        <v>35573</v>
      </c>
      <c r="O767" t="s">
        <v>225</v>
      </c>
      <c r="P767" t="s">
        <v>166</v>
      </c>
      <c r="Q767" t="s">
        <v>167</v>
      </c>
      <c r="R767" t="s">
        <v>67</v>
      </c>
      <c r="S767" t="s">
        <v>96</v>
      </c>
      <c r="T767">
        <v>16249</v>
      </c>
      <c r="U767" t="s">
        <v>51</v>
      </c>
      <c r="V767">
        <v>3878</v>
      </c>
      <c r="W767">
        <v>4011</v>
      </c>
      <c r="X767" t="s">
        <v>503</v>
      </c>
      <c r="Y767" t="s">
        <v>449</v>
      </c>
      <c r="Z767" t="s">
        <v>217</v>
      </c>
      <c r="AA767" t="s">
        <v>659</v>
      </c>
      <c r="AB767">
        <v>19324</v>
      </c>
      <c r="AC767">
        <v>10425</v>
      </c>
      <c r="AD767">
        <v>4265</v>
      </c>
      <c r="AE767">
        <v>1271</v>
      </c>
      <c r="AF767">
        <v>262</v>
      </c>
      <c r="AG767">
        <v>26</v>
      </c>
      <c r="AH767">
        <v>17736</v>
      </c>
      <c r="AI767">
        <v>578</v>
      </c>
      <c r="AJ767">
        <v>1285</v>
      </c>
      <c r="AK767">
        <v>4032</v>
      </c>
      <c r="AL767">
        <v>296</v>
      </c>
      <c r="AM767">
        <v>101</v>
      </c>
      <c r="AN767" t="s">
        <v>285</v>
      </c>
      <c r="AO767">
        <f>AVERAGE(Tabla2[[#This Row],[total_kills]:[rating]])</f>
        <v>8883.7368421052633</v>
      </c>
      <c r="AP767" t="str">
        <f>VLOOKUP(Tabla2[[#This Row],[KPI]],$AS$2:$AT$5,2,1)</f>
        <v>Superior</v>
      </c>
    </row>
    <row r="768" spans="1:42" x14ac:dyDescent="0.3">
      <c r="A768">
        <v>7414</v>
      </c>
      <c r="B768" t="s">
        <v>2945</v>
      </c>
      <c r="C768" t="s">
        <v>2946</v>
      </c>
      <c r="D768">
        <v>30</v>
      </c>
      <c r="E768" t="s">
        <v>196</v>
      </c>
      <c r="F768" t="s">
        <v>2947</v>
      </c>
      <c r="G768" t="s">
        <v>2948</v>
      </c>
      <c r="H768">
        <v>13708</v>
      </c>
      <c r="I768">
        <v>14090</v>
      </c>
      <c r="J768" t="s">
        <v>703</v>
      </c>
      <c r="K768" t="s">
        <v>2773</v>
      </c>
      <c r="L768" t="s">
        <v>164</v>
      </c>
      <c r="M768">
        <v>821</v>
      </c>
      <c r="N768">
        <v>21503</v>
      </c>
      <c r="O768" t="s">
        <v>65</v>
      </c>
      <c r="P768" t="s">
        <v>202</v>
      </c>
      <c r="Q768" t="s">
        <v>322</v>
      </c>
      <c r="R768" t="s">
        <v>67</v>
      </c>
      <c r="S768" t="s">
        <v>67</v>
      </c>
      <c r="T768">
        <v>9538</v>
      </c>
      <c r="U768" t="s">
        <v>51</v>
      </c>
      <c r="V768">
        <v>1676</v>
      </c>
      <c r="W768">
        <v>1795</v>
      </c>
      <c r="X768" t="s">
        <v>950</v>
      </c>
      <c r="Y768" t="s">
        <v>1314</v>
      </c>
      <c r="Z768" t="s">
        <v>399</v>
      </c>
      <c r="AA768" t="s">
        <v>2631</v>
      </c>
      <c r="AB768">
        <v>11965</v>
      </c>
      <c r="AC768">
        <v>6337</v>
      </c>
      <c r="AD768">
        <v>2417</v>
      </c>
      <c r="AE768">
        <v>637</v>
      </c>
      <c r="AF768">
        <v>134</v>
      </c>
      <c r="AG768">
        <v>13</v>
      </c>
      <c r="AH768">
        <v>10028</v>
      </c>
      <c r="AI768">
        <v>243</v>
      </c>
      <c r="AJ768">
        <v>591</v>
      </c>
      <c r="AK768">
        <v>2544</v>
      </c>
      <c r="AL768">
        <v>224</v>
      </c>
      <c r="AM768">
        <v>98</v>
      </c>
      <c r="AN768" t="s">
        <v>472</v>
      </c>
      <c r="AO768">
        <f>AVERAGE(Tabla2[[#This Row],[total_kills]:[rating]])</f>
        <v>5176.9473684210525</v>
      </c>
      <c r="AP768" t="str">
        <f>VLOOKUP(Tabla2[[#This Row],[KPI]],$AS$2:$AT$5,2,1)</f>
        <v>Alto</v>
      </c>
    </row>
    <row r="769" spans="1:42" x14ac:dyDescent="0.3">
      <c r="A769">
        <v>13239</v>
      </c>
      <c r="B769" t="s">
        <v>1459</v>
      </c>
      <c r="C769" t="s">
        <v>1460</v>
      </c>
      <c r="D769">
        <v>23</v>
      </c>
      <c r="E769" t="s">
        <v>1144</v>
      </c>
      <c r="F769" t="s">
        <v>308</v>
      </c>
      <c r="G769" t="s">
        <v>309</v>
      </c>
      <c r="H769">
        <v>23498</v>
      </c>
      <c r="I769">
        <v>21535</v>
      </c>
      <c r="J769" t="s">
        <v>1461</v>
      </c>
      <c r="K769" t="s">
        <v>617</v>
      </c>
      <c r="L769" t="s">
        <v>949</v>
      </c>
      <c r="M769">
        <v>1269</v>
      </c>
      <c r="N769">
        <v>33537</v>
      </c>
      <c r="O769" t="s">
        <v>905</v>
      </c>
      <c r="P769" t="s">
        <v>202</v>
      </c>
      <c r="Q769" t="s">
        <v>65</v>
      </c>
      <c r="R769" t="s">
        <v>96</v>
      </c>
      <c r="S769" t="s">
        <v>50</v>
      </c>
      <c r="T769">
        <v>15888</v>
      </c>
      <c r="U769" t="s">
        <v>51</v>
      </c>
      <c r="V769">
        <v>3552</v>
      </c>
      <c r="W769">
        <v>3290</v>
      </c>
      <c r="X769" t="s">
        <v>277</v>
      </c>
      <c r="Y769" t="s">
        <v>412</v>
      </c>
      <c r="Z769" t="s">
        <v>1462</v>
      </c>
      <c r="AA769" t="s">
        <v>933</v>
      </c>
      <c r="AB769">
        <v>17649</v>
      </c>
      <c r="AC769">
        <v>10084</v>
      </c>
      <c r="AD769">
        <v>4290</v>
      </c>
      <c r="AE769">
        <v>1246</v>
      </c>
      <c r="AF769">
        <v>244</v>
      </c>
      <c r="AG769">
        <v>24</v>
      </c>
      <c r="AH769">
        <v>18090</v>
      </c>
      <c r="AI769">
        <v>322</v>
      </c>
      <c r="AJ769">
        <v>1175</v>
      </c>
      <c r="AK769">
        <v>3607</v>
      </c>
      <c r="AL769">
        <v>278</v>
      </c>
      <c r="AM769">
        <v>88</v>
      </c>
      <c r="AN769" t="s">
        <v>362</v>
      </c>
      <c r="AO769">
        <f>AVERAGE(Tabla2[[#This Row],[total_kills]:[rating]])</f>
        <v>8403.4736842105267</v>
      </c>
      <c r="AP769" t="str">
        <f>VLOOKUP(Tabla2[[#This Row],[KPI]],$AS$2:$AT$5,2,1)</f>
        <v>Superior</v>
      </c>
    </row>
    <row r="770" spans="1:42" x14ac:dyDescent="0.3">
      <c r="A770">
        <v>12564</v>
      </c>
      <c r="B770" t="s">
        <v>1553</v>
      </c>
      <c r="C770" t="s">
        <v>1554</v>
      </c>
      <c r="D770">
        <v>24</v>
      </c>
      <c r="E770" t="s">
        <v>477</v>
      </c>
      <c r="F770" t="s">
        <v>3514</v>
      </c>
      <c r="G770" t="s">
        <v>1555</v>
      </c>
      <c r="H770">
        <v>7345</v>
      </c>
      <c r="I770">
        <v>7036</v>
      </c>
      <c r="J770" t="s">
        <v>1556</v>
      </c>
      <c r="K770" t="s">
        <v>424</v>
      </c>
      <c r="L770" t="s">
        <v>541</v>
      </c>
      <c r="M770">
        <v>398</v>
      </c>
      <c r="N770">
        <v>10155</v>
      </c>
      <c r="O770" t="s">
        <v>311</v>
      </c>
      <c r="P770" t="s">
        <v>202</v>
      </c>
      <c r="Q770" t="s">
        <v>463</v>
      </c>
      <c r="R770" t="s">
        <v>67</v>
      </c>
      <c r="S770" t="s">
        <v>67</v>
      </c>
      <c r="T770">
        <v>4847</v>
      </c>
      <c r="U770" t="s">
        <v>51</v>
      </c>
      <c r="V770">
        <v>1227</v>
      </c>
      <c r="W770">
        <v>1160</v>
      </c>
      <c r="X770" t="s">
        <v>590</v>
      </c>
      <c r="Y770" t="s">
        <v>277</v>
      </c>
      <c r="Z770" t="s">
        <v>443</v>
      </c>
      <c r="AA770" t="s">
        <v>1385</v>
      </c>
      <c r="AB770">
        <v>5308</v>
      </c>
      <c r="AC770">
        <v>2975</v>
      </c>
      <c r="AD770">
        <v>1358</v>
      </c>
      <c r="AE770">
        <v>411</v>
      </c>
      <c r="AF770">
        <v>94</v>
      </c>
      <c r="AG770">
        <v>9</v>
      </c>
      <c r="AH770">
        <v>5479</v>
      </c>
      <c r="AI770">
        <v>81</v>
      </c>
      <c r="AJ770">
        <v>514</v>
      </c>
      <c r="AK770">
        <v>1213</v>
      </c>
      <c r="AL770">
        <v>68</v>
      </c>
      <c r="AM770">
        <v>13</v>
      </c>
      <c r="AN770" t="s">
        <v>362</v>
      </c>
      <c r="AO770">
        <f>AVERAGE(Tabla2[[#This Row],[total_kills]:[rating]])</f>
        <v>2615.3157894736842</v>
      </c>
      <c r="AP770" t="str">
        <f>VLOOKUP(Tabla2[[#This Row],[KPI]],$AS$2:$AT$5,2,1)</f>
        <v>Bajo</v>
      </c>
    </row>
    <row r="771" spans="1:42" x14ac:dyDescent="0.3">
      <c r="A771">
        <v>13749</v>
      </c>
      <c r="B771" t="s">
        <v>2740</v>
      </c>
      <c r="C771" t="s">
        <v>2741</v>
      </c>
      <c r="D771">
        <v>23</v>
      </c>
      <c r="E771" t="s">
        <v>196</v>
      </c>
      <c r="F771" t="s">
        <v>2221</v>
      </c>
      <c r="G771" t="s">
        <v>2742</v>
      </c>
      <c r="H771">
        <v>8306</v>
      </c>
      <c r="I771">
        <v>8369</v>
      </c>
      <c r="J771" t="s">
        <v>1556</v>
      </c>
      <c r="K771" t="s">
        <v>1435</v>
      </c>
      <c r="L771" t="s">
        <v>949</v>
      </c>
      <c r="M771">
        <v>481</v>
      </c>
      <c r="N771">
        <v>12960</v>
      </c>
      <c r="O771" t="s">
        <v>65</v>
      </c>
      <c r="P771" t="s">
        <v>48</v>
      </c>
      <c r="Q771" t="s">
        <v>276</v>
      </c>
      <c r="R771" t="s">
        <v>50</v>
      </c>
      <c r="S771" t="s">
        <v>67</v>
      </c>
      <c r="T771">
        <v>5733</v>
      </c>
      <c r="U771" t="s">
        <v>51</v>
      </c>
      <c r="V771">
        <v>1020</v>
      </c>
      <c r="W771">
        <v>1051</v>
      </c>
      <c r="X771" t="s">
        <v>503</v>
      </c>
      <c r="Y771" t="s">
        <v>950</v>
      </c>
      <c r="Z771" t="s">
        <v>2167</v>
      </c>
      <c r="AA771" t="s">
        <v>2084</v>
      </c>
      <c r="AB771">
        <v>7227</v>
      </c>
      <c r="AC771">
        <v>3780</v>
      </c>
      <c r="AD771">
        <v>1452</v>
      </c>
      <c r="AE771">
        <v>387</v>
      </c>
      <c r="AF771">
        <v>109</v>
      </c>
      <c r="AG771">
        <v>5</v>
      </c>
      <c r="AH771">
        <v>6358</v>
      </c>
      <c r="AI771">
        <v>81</v>
      </c>
      <c r="AJ771">
        <v>433</v>
      </c>
      <c r="AK771">
        <v>1317</v>
      </c>
      <c r="AL771">
        <v>117</v>
      </c>
      <c r="AM771">
        <v>22</v>
      </c>
      <c r="AN771" t="s">
        <v>412</v>
      </c>
      <c r="AO771">
        <f>AVERAGE(Tabla2[[#This Row],[total_kills]:[rating]])</f>
        <v>3116.2105263157896</v>
      </c>
      <c r="AP771" t="str">
        <f>VLOOKUP(Tabla2[[#This Row],[KPI]],$AS$2:$AT$5,2,1)</f>
        <v>Bajo</v>
      </c>
    </row>
    <row r="772" spans="1:42" x14ac:dyDescent="0.3">
      <c r="A772">
        <v>10463</v>
      </c>
      <c r="B772" t="s">
        <v>2378</v>
      </c>
      <c r="C772" t="s">
        <v>2379</v>
      </c>
      <c r="D772">
        <v>23</v>
      </c>
      <c r="E772" t="s">
        <v>545</v>
      </c>
      <c r="F772" t="s">
        <v>3514</v>
      </c>
      <c r="G772" t="s">
        <v>2380</v>
      </c>
      <c r="H772">
        <v>13293</v>
      </c>
      <c r="I772">
        <v>13254</v>
      </c>
      <c r="J772" t="s">
        <v>2381</v>
      </c>
      <c r="K772" t="s">
        <v>624</v>
      </c>
      <c r="L772" t="s">
        <v>589</v>
      </c>
      <c r="M772">
        <v>738</v>
      </c>
      <c r="N772">
        <v>19661</v>
      </c>
      <c r="O772" t="s">
        <v>167</v>
      </c>
      <c r="P772" t="s">
        <v>48</v>
      </c>
      <c r="Q772" t="s">
        <v>225</v>
      </c>
      <c r="R772" t="s">
        <v>50</v>
      </c>
      <c r="S772" t="s">
        <v>67</v>
      </c>
      <c r="T772">
        <v>8975</v>
      </c>
      <c r="U772" t="s">
        <v>51</v>
      </c>
      <c r="V772">
        <v>1721</v>
      </c>
      <c r="W772">
        <v>1976</v>
      </c>
      <c r="X772" t="s">
        <v>2324</v>
      </c>
      <c r="Y772" t="s">
        <v>1570</v>
      </c>
      <c r="Z772" t="s">
        <v>1268</v>
      </c>
      <c r="AA772" t="s">
        <v>828</v>
      </c>
      <c r="AB772">
        <v>10686</v>
      </c>
      <c r="AC772">
        <v>5746</v>
      </c>
      <c r="AD772">
        <v>2319</v>
      </c>
      <c r="AE772">
        <v>746</v>
      </c>
      <c r="AF772">
        <v>149</v>
      </c>
      <c r="AG772">
        <v>15</v>
      </c>
      <c r="AH772">
        <v>9494</v>
      </c>
      <c r="AI772">
        <v>144</v>
      </c>
      <c r="AJ772">
        <v>1141</v>
      </c>
      <c r="AK772">
        <v>2353</v>
      </c>
      <c r="AL772">
        <v>168</v>
      </c>
      <c r="AM772">
        <v>20</v>
      </c>
      <c r="AN772">
        <v>1</v>
      </c>
      <c r="AO772">
        <f>AVERAGE(Tabla2[[#This Row],[total_kills]:[rating]])</f>
        <v>4630</v>
      </c>
      <c r="AP772" t="str">
        <f>VLOOKUP(Tabla2[[#This Row],[KPI]],$AS$2:$AT$5,2,1)</f>
        <v>Medio</v>
      </c>
    </row>
    <row r="773" spans="1:42" x14ac:dyDescent="0.3">
      <c r="A773">
        <v>10168</v>
      </c>
      <c r="B773" t="s">
        <v>1323</v>
      </c>
      <c r="C773" t="s">
        <v>1324</v>
      </c>
      <c r="D773">
        <v>28</v>
      </c>
      <c r="E773" t="s">
        <v>209</v>
      </c>
      <c r="F773" t="s">
        <v>3514</v>
      </c>
      <c r="G773" t="s">
        <v>1325</v>
      </c>
      <c r="H773">
        <v>14489</v>
      </c>
      <c r="I773">
        <v>13618</v>
      </c>
      <c r="J773" t="s">
        <v>1326</v>
      </c>
      <c r="K773" t="s">
        <v>686</v>
      </c>
      <c r="L773" t="s">
        <v>46</v>
      </c>
      <c r="M773">
        <v>768</v>
      </c>
      <c r="N773">
        <v>19801</v>
      </c>
      <c r="O773" t="s">
        <v>495</v>
      </c>
      <c r="P773" t="s">
        <v>235</v>
      </c>
      <c r="Q773" t="s">
        <v>463</v>
      </c>
      <c r="R773" t="s">
        <v>50</v>
      </c>
      <c r="S773" t="s">
        <v>50</v>
      </c>
      <c r="T773">
        <v>9641</v>
      </c>
      <c r="U773" t="s">
        <v>51</v>
      </c>
      <c r="V773">
        <v>1995</v>
      </c>
      <c r="W773">
        <v>1930</v>
      </c>
      <c r="X773" t="s">
        <v>412</v>
      </c>
      <c r="Y773" t="s">
        <v>255</v>
      </c>
      <c r="Z773" t="s">
        <v>1327</v>
      </c>
      <c r="AA773" t="s">
        <v>746</v>
      </c>
      <c r="AB773">
        <v>10160</v>
      </c>
      <c r="AC773">
        <v>6059</v>
      </c>
      <c r="AD773">
        <v>2550</v>
      </c>
      <c r="AE773">
        <v>816</v>
      </c>
      <c r="AF773">
        <v>198</v>
      </c>
      <c r="AG773">
        <v>18</v>
      </c>
      <c r="AH773">
        <v>10743</v>
      </c>
      <c r="AI773">
        <v>141</v>
      </c>
      <c r="AJ773">
        <v>952</v>
      </c>
      <c r="AK773">
        <v>2511</v>
      </c>
      <c r="AL773">
        <v>152</v>
      </c>
      <c r="AM773">
        <v>21</v>
      </c>
      <c r="AN773" t="s">
        <v>304</v>
      </c>
      <c r="AO773">
        <f>AVERAGE(Tabla2[[#This Row],[total_kills]:[rating]])</f>
        <v>5082.2631578947367</v>
      </c>
      <c r="AP773" t="str">
        <f>VLOOKUP(Tabla2[[#This Row],[KPI]],$AS$2:$AT$5,2,1)</f>
        <v>Alto</v>
      </c>
    </row>
    <row r="774" spans="1:42" x14ac:dyDescent="0.3">
      <c r="A774">
        <v>8575</v>
      </c>
      <c r="B774" t="s">
        <v>752</v>
      </c>
      <c r="C774" t="s">
        <v>753</v>
      </c>
      <c r="D774">
        <v>24</v>
      </c>
      <c r="E774" t="s">
        <v>159</v>
      </c>
      <c r="F774" t="s">
        <v>3514</v>
      </c>
      <c r="G774" t="s">
        <v>754</v>
      </c>
      <c r="H774">
        <v>21198</v>
      </c>
      <c r="I774">
        <v>18350</v>
      </c>
      <c r="J774" t="s">
        <v>755</v>
      </c>
      <c r="K774" t="s">
        <v>617</v>
      </c>
      <c r="L774" t="s">
        <v>46</v>
      </c>
      <c r="M774">
        <v>1113</v>
      </c>
      <c r="N774">
        <v>29124</v>
      </c>
      <c r="O774" t="s">
        <v>495</v>
      </c>
      <c r="P774" t="s">
        <v>48</v>
      </c>
      <c r="Q774" t="s">
        <v>215</v>
      </c>
      <c r="R774" t="s">
        <v>96</v>
      </c>
      <c r="S774" t="s">
        <v>50</v>
      </c>
      <c r="T774">
        <v>14203</v>
      </c>
      <c r="U774" t="s">
        <v>51</v>
      </c>
      <c r="V774">
        <v>2635</v>
      </c>
      <c r="W774">
        <v>2219</v>
      </c>
      <c r="X774" t="s">
        <v>127</v>
      </c>
      <c r="Y774" t="s">
        <v>285</v>
      </c>
      <c r="Z774" t="s">
        <v>635</v>
      </c>
      <c r="AA774" t="s">
        <v>518</v>
      </c>
      <c r="AB774">
        <v>14921</v>
      </c>
      <c r="AC774">
        <v>8951</v>
      </c>
      <c r="AD774">
        <v>3796</v>
      </c>
      <c r="AE774">
        <v>1196</v>
      </c>
      <c r="AF774">
        <v>234</v>
      </c>
      <c r="AG774">
        <v>26</v>
      </c>
      <c r="AH774">
        <v>14840</v>
      </c>
      <c r="AI774">
        <v>1145</v>
      </c>
      <c r="AJ774">
        <v>1491</v>
      </c>
      <c r="AK774">
        <v>3514</v>
      </c>
      <c r="AL774">
        <v>219</v>
      </c>
      <c r="AM774">
        <v>45</v>
      </c>
      <c r="AN774" t="s">
        <v>295</v>
      </c>
      <c r="AO774">
        <f>AVERAGE(Tabla2[[#This Row],[total_kills]:[rating]])</f>
        <v>7327.3684210526317</v>
      </c>
      <c r="AP774" t="str">
        <f>VLOOKUP(Tabla2[[#This Row],[KPI]],$AS$2:$AT$5,2,1)</f>
        <v>Superior</v>
      </c>
    </row>
    <row r="775" spans="1:42" x14ac:dyDescent="0.3">
      <c r="A775">
        <v>18120</v>
      </c>
      <c r="B775" t="s">
        <v>2728</v>
      </c>
      <c r="C775" t="s">
        <v>2729</v>
      </c>
      <c r="D775">
        <v>27</v>
      </c>
      <c r="E775" t="s">
        <v>1422</v>
      </c>
      <c r="F775" t="s">
        <v>1251</v>
      </c>
      <c r="G775" t="s">
        <v>1423</v>
      </c>
      <c r="H775">
        <v>12017</v>
      </c>
      <c r="I775">
        <v>12583</v>
      </c>
      <c r="J775" t="s">
        <v>2730</v>
      </c>
      <c r="K775" t="s">
        <v>819</v>
      </c>
      <c r="L775" t="s">
        <v>282</v>
      </c>
      <c r="M775">
        <v>650</v>
      </c>
      <c r="N775">
        <v>17449</v>
      </c>
      <c r="O775" t="s">
        <v>463</v>
      </c>
      <c r="P775" t="s">
        <v>202</v>
      </c>
      <c r="Q775" t="s">
        <v>311</v>
      </c>
      <c r="R775" t="s">
        <v>66</v>
      </c>
      <c r="S775" t="s">
        <v>135</v>
      </c>
      <c r="T775">
        <v>8047</v>
      </c>
      <c r="U775" t="s">
        <v>51</v>
      </c>
      <c r="V775">
        <v>1963</v>
      </c>
      <c r="W775">
        <v>2235</v>
      </c>
      <c r="X775" t="s">
        <v>2315</v>
      </c>
      <c r="Y775" t="s">
        <v>449</v>
      </c>
      <c r="Z775" t="s">
        <v>576</v>
      </c>
      <c r="AA775" t="s">
        <v>86</v>
      </c>
      <c r="AB775">
        <v>9402</v>
      </c>
      <c r="AC775">
        <v>5070</v>
      </c>
      <c r="AD775">
        <v>2153</v>
      </c>
      <c r="AE775">
        <v>670</v>
      </c>
      <c r="AF775">
        <v>139</v>
      </c>
      <c r="AG775">
        <v>15</v>
      </c>
      <c r="AH775">
        <v>8775</v>
      </c>
      <c r="AI775">
        <v>300</v>
      </c>
      <c r="AJ775">
        <v>464</v>
      </c>
      <c r="AK775">
        <v>2209</v>
      </c>
      <c r="AL775">
        <v>157</v>
      </c>
      <c r="AM775">
        <v>135</v>
      </c>
      <c r="AN775" t="s">
        <v>412</v>
      </c>
      <c r="AO775">
        <f>AVERAGE(Tabla2[[#This Row],[total_kills]:[rating]])</f>
        <v>4443.8421052631575</v>
      </c>
      <c r="AP775" t="str">
        <f>VLOOKUP(Tabla2[[#This Row],[KPI]],$AS$2:$AT$5,2,1)</f>
        <v>Medio</v>
      </c>
    </row>
    <row r="776" spans="1:42" x14ac:dyDescent="0.3">
      <c r="A776">
        <v>3459</v>
      </c>
      <c r="B776" t="s">
        <v>2952</v>
      </c>
      <c r="C776" t="s">
        <v>2953</v>
      </c>
      <c r="D776">
        <v>30</v>
      </c>
      <c r="E776" t="s">
        <v>75</v>
      </c>
      <c r="F776" t="s">
        <v>2193</v>
      </c>
      <c r="G776" t="s">
        <v>2954</v>
      </c>
      <c r="H776">
        <v>11130</v>
      </c>
      <c r="I776">
        <v>11727</v>
      </c>
      <c r="J776" t="s">
        <v>2730</v>
      </c>
      <c r="K776" t="s">
        <v>353</v>
      </c>
      <c r="L776" t="s">
        <v>164</v>
      </c>
      <c r="M776">
        <v>631</v>
      </c>
      <c r="N776">
        <v>16775</v>
      </c>
      <c r="O776" t="s">
        <v>322</v>
      </c>
      <c r="P776" t="s">
        <v>202</v>
      </c>
      <c r="Q776" t="s">
        <v>905</v>
      </c>
      <c r="R776" t="s">
        <v>67</v>
      </c>
      <c r="S776" t="s">
        <v>96</v>
      </c>
      <c r="T776">
        <v>7616</v>
      </c>
      <c r="U776" t="s">
        <v>51</v>
      </c>
      <c r="V776">
        <v>1719</v>
      </c>
      <c r="W776">
        <v>1895</v>
      </c>
      <c r="X776" t="s">
        <v>1749</v>
      </c>
      <c r="Y776" t="s">
        <v>285</v>
      </c>
      <c r="Z776" t="s">
        <v>399</v>
      </c>
      <c r="AA776" t="s">
        <v>648</v>
      </c>
      <c r="AB776">
        <v>9159</v>
      </c>
      <c r="AC776">
        <v>4928</v>
      </c>
      <c r="AD776">
        <v>2009</v>
      </c>
      <c r="AE776">
        <v>545</v>
      </c>
      <c r="AF776">
        <v>121</v>
      </c>
      <c r="AG776">
        <v>13</v>
      </c>
      <c r="AH776">
        <v>8323</v>
      </c>
      <c r="AI776">
        <v>76</v>
      </c>
      <c r="AJ776">
        <v>628</v>
      </c>
      <c r="AK776">
        <v>1949</v>
      </c>
      <c r="AL776">
        <v>148</v>
      </c>
      <c r="AM776">
        <v>23</v>
      </c>
      <c r="AN776" t="s">
        <v>472</v>
      </c>
      <c r="AO776">
        <f>AVERAGE(Tabla2[[#This Row],[total_kills]:[rating]])</f>
        <v>4179.7368421052633</v>
      </c>
      <c r="AP776" t="str">
        <f>VLOOKUP(Tabla2[[#This Row],[KPI]],$AS$2:$AT$5,2,1)</f>
        <v>Medio</v>
      </c>
    </row>
    <row r="777" spans="1:42" x14ac:dyDescent="0.3">
      <c r="A777">
        <v>17147</v>
      </c>
      <c r="B777" t="s">
        <v>1420</v>
      </c>
      <c r="C777" t="s">
        <v>1421</v>
      </c>
      <c r="D777">
        <v>25</v>
      </c>
      <c r="E777" t="s">
        <v>1422</v>
      </c>
      <c r="F777" t="s">
        <v>1251</v>
      </c>
      <c r="G777" t="s">
        <v>1423</v>
      </c>
      <c r="H777">
        <v>11595</v>
      </c>
      <c r="I777">
        <v>11175</v>
      </c>
      <c r="J777" t="s">
        <v>1424</v>
      </c>
      <c r="K777" t="s">
        <v>1425</v>
      </c>
      <c r="L777" t="s">
        <v>282</v>
      </c>
      <c r="M777">
        <v>575</v>
      </c>
      <c r="N777">
        <v>15349</v>
      </c>
      <c r="O777" t="s">
        <v>234</v>
      </c>
      <c r="P777" t="s">
        <v>202</v>
      </c>
      <c r="Q777" t="s">
        <v>495</v>
      </c>
      <c r="R777" t="s">
        <v>50</v>
      </c>
      <c r="S777" t="s">
        <v>50</v>
      </c>
      <c r="T777">
        <v>7622</v>
      </c>
      <c r="U777" t="s">
        <v>51</v>
      </c>
      <c r="V777">
        <v>1759</v>
      </c>
      <c r="W777">
        <v>1770</v>
      </c>
      <c r="X777" t="s">
        <v>285</v>
      </c>
      <c r="Y777" t="s">
        <v>304</v>
      </c>
      <c r="Z777" t="s">
        <v>1327</v>
      </c>
      <c r="AA777" t="s">
        <v>267</v>
      </c>
      <c r="AB777">
        <v>7727</v>
      </c>
      <c r="AC777">
        <v>4667</v>
      </c>
      <c r="AD777">
        <v>2097</v>
      </c>
      <c r="AE777">
        <v>710</v>
      </c>
      <c r="AF777">
        <v>136</v>
      </c>
      <c r="AG777">
        <v>12</v>
      </c>
      <c r="AH777">
        <v>9041</v>
      </c>
      <c r="AI777">
        <v>176</v>
      </c>
      <c r="AJ777">
        <v>336</v>
      </c>
      <c r="AK777">
        <v>1910</v>
      </c>
      <c r="AL777">
        <v>147</v>
      </c>
      <c r="AM777">
        <v>20</v>
      </c>
      <c r="AN777" t="s">
        <v>561</v>
      </c>
      <c r="AO777">
        <f>AVERAGE(Tabla2[[#This Row],[total_kills]:[rating]])</f>
        <v>4043.3684210526317</v>
      </c>
      <c r="AP777" t="str">
        <f>VLOOKUP(Tabla2[[#This Row],[KPI]],$AS$2:$AT$5,2,1)</f>
        <v>Medio</v>
      </c>
    </row>
    <row r="778" spans="1:42" x14ac:dyDescent="0.3">
      <c r="A778">
        <v>18317</v>
      </c>
      <c r="B778" t="s">
        <v>2405</v>
      </c>
      <c r="C778" t="s">
        <v>2406</v>
      </c>
      <c r="D778">
        <v>19</v>
      </c>
      <c r="E778" t="s">
        <v>75</v>
      </c>
      <c r="F778" t="s">
        <v>1242</v>
      </c>
      <c r="G778" t="s">
        <v>1242</v>
      </c>
      <c r="H778">
        <v>10965</v>
      </c>
      <c r="I778">
        <v>10680</v>
      </c>
      <c r="J778" t="s">
        <v>2407</v>
      </c>
      <c r="K778" t="s">
        <v>2346</v>
      </c>
      <c r="L778" t="s">
        <v>589</v>
      </c>
      <c r="M778">
        <v>638</v>
      </c>
      <c r="N778">
        <v>16888</v>
      </c>
      <c r="O778" t="s">
        <v>276</v>
      </c>
      <c r="P778" t="s">
        <v>67</v>
      </c>
      <c r="Q778" t="s">
        <v>215</v>
      </c>
      <c r="R778" t="s">
        <v>50</v>
      </c>
      <c r="S778" t="s">
        <v>50</v>
      </c>
      <c r="T778">
        <v>7544</v>
      </c>
      <c r="U778" t="s">
        <v>51</v>
      </c>
      <c r="V778">
        <v>1561</v>
      </c>
      <c r="W778">
        <v>1575</v>
      </c>
      <c r="X778" t="s">
        <v>285</v>
      </c>
      <c r="Y778" t="s">
        <v>503</v>
      </c>
      <c r="Z778" t="s">
        <v>443</v>
      </c>
      <c r="AA778" t="s">
        <v>783</v>
      </c>
      <c r="AB778">
        <v>9344</v>
      </c>
      <c r="AC778">
        <v>4957</v>
      </c>
      <c r="AD778">
        <v>1888</v>
      </c>
      <c r="AE778">
        <v>577</v>
      </c>
      <c r="AF778">
        <v>109</v>
      </c>
      <c r="AG778">
        <v>13</v>
      </c>
      <c r="AH778">
        <v>8137</v>
      </c>
      <c r="AI778">
        <v>352</v>
      </c>
      <c r="AJ778">
        <v>426</v>
      </c>
      <c r="AK778">
        <v>1897</v>
      </c>
      <c r="AL778">
        <v>121</v>
      </c>
      <c r="AM778">
        <v>66</v>
      </c>
      <c r="AN778" t="s">
        <v>304</v>
      </c>
      <c r="AO778">
        <f>AVERAGE(Tabla2[[#This Row],[total_kills]:[rating]])</f>
        <v>4091.4736842105262</v>
      </c>
      <c r="AP778" t="str">
        <f>VLOOKUP(Tabla2[[#This Row],[KPI]],$AS$2:$AT$5,2,1)</f>
        <v>Medio</v>
      </c>
    </row>
    <row r="779" spans="1:42" x14ac:dyDescent="0.3">
      <c r="A779">
        <v>7716</v>
      </c>
      <c r="B779" t="s">
        <v>2820</v>
      </c>
      <c r="C779" t="s">
        <v>2821</v>
      </c>
      <c r="D779">
        <v>25</v>
      </c>
      <c r="E779" t="s">
        <v>75</v>
      </c>
      <c r="F779" t="s">
        <v>1242</v>
      </c>
      <c r="G779" t="s">
        <v>2822</v>
      </c>
      <c r="H779">
        <v>19066</v>
      </c>
      <c r="I779">
        <v>19479</v>
      </c>
      <c r="J779" t="s">
        <v>2823</v>
      </c>
      <c r="K779" t="s">
        <v>2727</v>
      </c>
      <c r="L779" t="s">
        <v>224</v>
      </c>
      <c r="M779">
        <v>1103</v>
      </c>
      <c r="N779">
        <v>29250</v>
      </c>
      <c r="O779" t="s">
        <v>276</v>
      </c>
      <c r="P779" t="s">
        <v>202</v>
      </c>
      <c r="Q779" t="s">
        <v>225</v>
      </c>
      <c r="R779" t="s">
        <v>50</v>
      </c>
      <c r="S779" t="s">
        <v>96</v>
      </c>
      <c r="T779">
        <v>13161</v>
      </c>
      <c r="U779" t="s">
        <v>51</v>
      </c>
      <c r="V779">
        <v>2856</v>
      </c>
      <c r="W779">
        <v>3120</v>
      </c>
      <c r="X779" t="s">
        <v>1314</v>
      </c>
      <c r="Y779" t="s">
        <v>245</v>
      </c>
      <c r="Z779" t="s">
        <v>2167</v>
      </c>
      <c r="AA779" t="s">
        <v>888</v>
      </c>
      <c r="AB779">
        <v>16089</v>
      </c>
      <c r="AC779">
        <v>8598</v>
      </c>
      <c r="AD779">
        <v>3421</v>
      </c>
      <c r="AE779">
        <v>957</v>
      </c>
      <c r="AF779">
        <v>171</v>
      </c>
      <c r="AG779">
        <v>14</v>
      </c>
      <c r="AH779">
        <v>13854</v>
      </c>
      <c r="AI779">
        <v>178</v>
      </c>
      <c r="AJ779">
        <v>1583</v>
      </c>
      <c r="AK779">
        <v>3172</v>
      </c>
      <c r="AL779">
        <v>270</v>
      </c>
      <c r="AM779">
        <v>72</v>
      </c>
      <c r="AN779" t="s">
        <v>503</v>
      </c>
      <c r="AO779">
        <f>AVERAGE(Tabla2[[#This Row],[total_kills]:[rating]])</f>
        <v>7179.6842105263158</v>
      </c>
      <c r="AP779" t="str">
        <f>VLOOKUP(Tabla2[[#This Row],[KPI]],$AS$2:$AT$5,2,1)</f>
        <v>Superior</v>
      </c>
    </row>
    <row r="780" spans="1:42" x14ac:dyDescent="0.3">
      <c r="A780">
        <v>17929</v>
      </c>
      <c r="B780" t="s">
        <v>2883</v>
      </c>
      <c r="C780" t="s">
        <v>2884</v>
      </c>
      <c r="D780">
        <v>20</v>
      </c>
      <c r="E780" t="s">
        <v>500</v>
      </c>
      <c r="F780" t="s">
        <v>1892</v>
      </c>
      <c r="G780" t="s">
        <v>1893</v>
      </c>
      <c r="H780">
        <v>8861</v>
      </c>
      <c r="I780">
        <v>9311</v>
      </c>
      <c r="J780" t="s">
        <v>2823</v>
      </c>
      <c r="K780" t="s">
        <v>800</v>
      </c>
      <c r="L780" t="s">
        <v>765</v>
      </c>
      <c r="M780">
        <v>504</v>
      </c>
      <c r="N780">
        <v>13362</v>
      </c>
      <c r="O780" t="s">
        <v>322</v>
      </c>
      <c r="P780" t="s">
        <v>202</v>
      </c>
      <c r="Q780" t="s">
        <v>905</v>
      </c>
      <c r="R780" t="s">
        <v>50</v>
      </c>
      <c r="S780" t="s">
        <v>96</v>
      </c>
      <c r="T780">
        <v>5981</v>
      </c>
      <c r="U780" t="s">
        <v>51</v>
      </c>
      <c r="V780">
        <v>1553</v>
      </c>
      <c r="W780">
        <v>1653</v>
      </c>
      <c r="X780" t="s">
        <v>1570</v>
      </c>
      <c r="Y780" t="s">
        <v>407</v>
      </c>
      <c r="Z780" t="s">
        <v>1268</v>
      </c>
      <c r="AA780" t="s">
        <v>100</v>
      </c>
      <c r="AB780">
        <v>7381</v>
      </c>
      <c r="AC780">
        <v>3779</v>
      </c>
      <c r="AD780">
        <v>1631</v>
      </c>
      <c r="AE780">
        <v>473</v>
      </c>
      <c r="AF780">
        <v>89</v>
      </c>
      <c r="AG780">
        <v>9</v>
      </c>
      <c r="AH780">
        <v>6513</v>
      </c>
      <c r="AI780">
        <v>182</v>
      </c>
      <c r="AJ780">
        <v>534</v>
      </c>
      <c r="AK780">
        <v>1439</v>
      </c>
      <c r="AL780">
        <v>182</v>
      </c>
      <c r="AM780">
        <v>44</v>
      </c>
      <c r="AN780" t="s">
        <v>449</v>
      </c>
      <c r="AO780">
        <f>AVERAGE(Tabla2[[#This Row],[total_kills]:[rating]])</f>
        <v>3341.1052631578946</v>
      </c>
      <c r="AP780" t="str">
        <f>VLOOKUP(Tabla2[[#This Row],[KPI]],$AS$2:$AT$5,2,1)</f>
        <v>Medio</v>
      </c>
    </row>
    <row r="781" spans="1:42" x14ac:dyDescent="0.3">
      <c r="A781">
        <v>6904</v>
      </c>
      <c r="B781" t="s">
        <v>2365</v>
      </c>
      <c r="C781" t="s">
        <v>2366</v>
      </c>
      <c r="D781">
        <v>26</v>
      </c>
      <c r="E781" t="s">
        <v>379</v>
      </c>
      <c r="F781" t="s">
        <v>599</v>
      </c>
      <c r="G781" t="s">
        <v>2367</v>
      </c>
      <c r="H781">
        <v>27642</v>
      </c>
      <c r="I781">
        <v>27189</v>
      </c>
      <c r="J781" t="s">
        <v>2368</v>
      </c>
      <c r="K781" t="s">
        <v>2250</v>
      </c>
      <c r="L781">
        <v>5</v>
      </c>
      <c r="M781">
        <v>1569</v>
      </c>
      <c r="N781">
        <v>41373</v>
      </c>
      <c r="O781" t="s">
        <v>225</v>
      </c>
      <c r="P781" t="s">
        <v>202</v>
      </c>
      <c r="Q781" t="s">
        <v>322</v>
      </c>
      <c r="R781" t="s">
        <v>96</v>
      </c>
      <c r="S781" t="s">
        <v>66</v>
      </c>
      <c r="T781">
        <v>18847</v>
      </c>
      <c r="U781" t="s">
        <v>51</v>
      </c>
      <c r="V781">
        <v>3562</v>
      </c>
      <c r="W781">
        <v>3820</v>
      </c>
      <c r="X781" t="s">
        <v>950</v>
      </c>
      <c r="Y781" t="s">
        <v>1570</v>
      </c>
      <c r="Z781" t="s">
        <v>391</v>
      </c>
      <c r="AA781" t="s">
        <v>247</v>
      </c>
      <c r="AB781">
        <v>22526</v>
      </c>
      <c r="AC781">
        <v>12210</v>
      </c>
      <c r="AD781">
        <v>4857</v>
      </c>
      <c r="AE781">
        <v>1458</v>
      </c>
      <c r="AF781">
        <v>283</v>
      </c>
      <c r="AG781">
        <v>39</v>
      </c>
      <c r="AH781">
        <v>19482</v>
      </c>
      <c r="AI781">
        <v>1192</v>
      </c>
      <c r="AJ781">
        <v>1435</v>
      </c>
      <c r="AK781">
        <v>4947</v>
      </c>
      <c r="AL781">
        <v>473</v>
      </c>
      <c r="AM781">
        <v>178</v>
      </c>
      <c r="AN781">
        <v>1</v>
      </c>
      <c r="AO781">
        <f>AVERAGE(Tabla2[[#This Row],[total_kills]:[rating]])</f>
        <v>9194.6666666666661</v>
      </c>
      <c r="AP781" t="str">
        <f>VLOOKUP(Tabla2[[#This Row],[KPI]],$AS$2:$AT$5,2,1)</f>
        <v>Superior</v>
      </c>
    </row>
    <row r="782" spans="1:42" x14ac:dyDescent="0.3">
      <c r="A782">
        <v>20101</v>
      </c>
      <c r="B782" t="s">
        <v>1191</v>
      </c>
      <c r="C782" t="s">
        <v>1192</v>
      </c>
      <c r="D782">
        <v>19</v>
      </c>
      <c r="E782" t="s">
        <v>75</v>
      </c>
      <c r="F782" t="s">
        <v>308</v>
      </c>
      <c r="G782" t="s">
        <v>1193</v>
      </c>
      <c r="H782">
        <v>10046</v>
      </c>
      <c r="I782">
        <v>9168</v>
      </c>
      <c r="J782" t="s">
        <v>1194</v>
      </c>
      <c r="K782" t="s">
        <v>1195</v>
      </c>
      <c r="L782" t="s">
        <v>541</v>
      </c>
      <c r="M782">
        <v>518</v>
      </c>
      <c r="N782">
        <v>13818</v>
      </c>
      <c r="O782" t="s">
        <v>495</v>
      </c>
      <c r="P782" t="s">
        <v>67</v>
      </c>
      <c r="Q782" t="s">
        <v>322</v>
      </c>
      <c r="R782" t="s">
        <v>96</v>
      </c>
      <c r="S782" t="s">
        <v>67</v>
      </c>
      <c r="T782">
        <v>6697</v>
      </c>
      <c r="U782" t="s">
        <v>51</v>
      </c>
      <c r="V782">
        <v>1628</v>
      </c>
      <c r="W782">
        <v>1473</v>
      </c>
      <c r="X782" t="s">
        <v>362</v>
      </c>
      <c r="Y782" t="s">
        <v>277</v>
      </c>
      <c r="Z782" t="s">
        <v>932</v>
      </c>
      <c r="AA782" t="s">
        <v>994</v>
      </c>
      <c r="AB782">
        <v>7121</v>
      </c>
      <c r="AC782">
        <v>4168</v>
      </c>
      <c r="AD782">
        <v>1842</v>
      </c>
      <c r="AE782">
        <v>566</v>
      </c>
      <c r="AF782">
        <v>109</v>
      </c>
      <c r="AG782">
        <v>12</v>
      </c>
      <c r="AH782">
        <v>7741</v>
      </c>
      <c r="AI782">
        <v>233</v>
      </c>
      <c r="AJ782">
        <v>302</v>
      </c>
      <c r="AK782">
        <v>1670</v>
      </c>
      <c r="AL782">
        <v>104</v>
      </c>
      <c r="AM782">
        <v>33</v>
      </c>
      <c r="AN782" t="s">
        <v>362</v>
      </c>
      <c r="AO782">
        <f>AVERAGE(Tabla2[[#This Row],[total_kills]:[rating]])</f>
        <v>3539.4210526315787</v>
      </c>
      <c r="AP782" t="str">
        <f>VLOOKUP(Tabla2[[#This Row],[KPI]],$AS$2:$AT$5,2,1)</f>
        <v>Medio</v>
      </c>
    </row>
    <row r="783" spans="1:42" x14ac:dyDescent="0.3">
      <c r="A783">
        <v>11230</v>
      </c>
      <c r="B783" t="s">
        <v>2015</v>
      </c>
      <c r="C783" t="s">
        <v>2016</v>
      </c>
      <c r="D783">
        <v>23</v>
      </c>
      <c r="E783" t="s">
        <v>459</v>
      </c>
      <c r="F783" t="s">
        <v>3514</v>
      </c>
      <c r="G783" t="s">
        <v>2017</v>
      </c>
      <c r="H783">
        <v>7153</v>
      </c>
      <c r="I783">
        <v>7068</v>
      </c>
      <c r="J783" t="s">
        <v>2018</v>
      </c>
      <c r="K783" t="s">
        <v>692</v>
      </c>
      <c r="L783" t="s">
        <v>471</v>
      </c>
      <c r="M783">
        <v>383</v>
      </c>
      <c r="N783">
        <v>10053</v>
      </c>
      <c r="O783" t="s">
        <v>646</v>
      </c>
      <c r="P783" t="s">
        <v>67</v>
      </c>
      <c r="Q783" t="s">
        <v>905</v>
      </c>
      <c r="R783" t="s">
        <v>50</v>
      </c>
      <c r="S783" t="s">
        <v>202</v>
      </c>
      <c r="T783">
        <v>4789</v>
      </c>
      <c r="U783" t="s">
        <v>51</v>
      </c>
      <c r="V783">
        <v>850</v>
      </c>
      <c r="W783">
        <v>822</v>
      </c>
      <c r="X783" t="s">
        <v>412</v>
      </c>
      <c r="Y783" t="s">
        <v>820</v>
      </c>
      <c r="Z783" t="s">
        <v>583</v>
      </c>
      <c r="AA783" t="s">
        <v>1244</v>
      </c>
      <c r="AB783">
        <v>5264</v>
      </c>
      <c r="AC783">
        <v>3033</v>
      </c>
      <c r="AD783">
        <v>1247</v>
      </c>
      <c r="AE783">
        <v>418</v>
      </c>
      <c r="AF783">
        <v>83</v>
      </c>
      <c r="AG783">
        <v>8</v>
      </c>
      <c r="AH783">
        <v>4758</v>
      </c>
      <c r="AI783">
        <v>157</v>
      </c>
      <c r="AJ783">
        <v>467</v>
      </c>
      <c r="AK783">
        <v>1593</v>
      </c>
      <c r="AL783">
        <v>67</v>
      </c>
      <c r="AM783">
        <v>122</v>
      </c>
      <c r="AN783" t="s">
        <v>304</v>
      </c>
      <c r="AO783">
        <f>AVERAGE(Tabla2[[#This Row],[total_kills]:[rating]])</f>
        <v>2543.9473684210525</v>
      </c>
      <c r="AP783" t="str">
        <f>VLOOKUP(Tabla2[[#This Row],[KPI]],$AS$2:$AT$5,2,1)</f>
        <v>Bajo</v>
      </c>
    </row>
    <row r="784" spans="1:42" x14ac:dyDescent="0.3">
      <c r="A784">
        <v>8000</v>
      </c>
      <c r="B784" t="s">
        <v>2674</v>
      </c>
      <c r="C784" t="s">
        <v>2675</v>
      </c>
      <c r="D784">
        <v>26</v>
      </c>
      <c r="E784" t="s">
        <v>708</v>
      </c>
      <c r="F784" t="s">
        <v>3514</v>
      </c>
      <c r="G784" t="s">
        <v>2676</v>
      </c>
      <c r="H784">
        <v>7450</v>
      </c>
      <c r="I784">
        <v>7698</v>
      </c>
      <c r="J784" t="s">
        <v>2018</v>
      </c>
      <c r="K784" t="s">
        <v>624</v>
      </c>
      <c r="L784" t="s">
        <v>541</v>
      </c>
      <c r="M784">
        <v>413</v>
      </c>
      <c r="N784">
        <v>10832</v>
      </c>
      <c r="O784" t="s">
        <v>463</v>
      </c>
      <c r="P784" t="s">
        <v>48</v>
      </c>
      <c r="Q784" t="s">
        <v>646</v>
      </c>
      <c r="R784" t="s">
        <v>67</v>
      </c>
      <c r="S784" t="s">
        <v>67</v>
      </c>
      <c r="T784">
        <v>5013</v>
      </c>
      <c r="U784" t="s">
        <v>51</v>
      </c>
      <c r="V784">
        <v>1004</v>
      </c>
      <c r="W784">
        <v>1132</v>
      </c>
      <c r="X784" t="s">
        <v>1551</v>
      </c>
      <c r="Y784" t="s">
        <v>472</v>
      </c>
      <c r="Z784" t="s">
        <v>983</v>
      </c>
      <c r="AA784" t="s">
        <v>1379</v>
      </c>
      <c r="AB784">
        <v>5819</v>
      </c>
      <c r="AC784">
        <v>3176</v>
      </c>
      <c r="AD784">
        <v>1323</v>
      </c>
      <c r="AE784">
        <v>433</v>
      </c>
      <c r="AF784">
        <v>78</v>
      </c>
      <c r="AG784">
        <v>3</v>
      </c>
      <c r="AH784">
        <v>5299</v>
      </c>
      <c r="AI784">
        <v>257</v>
      </c>
      <c r="AJ784">
        <v>369</v>
      </c>
      <c r="AK784">
        <v>1446</v>
      </c>
      <c r="AL784">
        <v>68</v>
      </c>
      <c r="AM784">
        <v>15</v>
      </c>
      <c r="AN784" t="s">
        <v>245</v>
      </c>
      <c r="AO784">
        <f>AVERAGE(Tabla2[[#This Row],[total_kills]:[rating]])</f>
        <v>2727.7894736842104</v>
      </c>
      <c r="AP784" t="str">
        <f>VLOOKUP(Tabla2[[#This Row],[KPI]],$AS$2:$AT$5,2,1)</f>
        <v>Bajo</v>
      </c>
    </row>
    <row r="785" spans="1:42" x14ac:dyDescent="0.3">
      <c r="A785">
        <v>16415</v>
      </c>
      <c r="B785" t="s">
        <v>2325</v>
      </c>
      <c r="C785" t="s">
        <v>2326</v>
      </c>
      <c r="D785">
        <v>20</v>
      </c>
      <c r="E785" t="s">
        <v>446</v>
      </c>
      <c r="F785" t="s">
        <v>338</v>
      </c>
      <c r="G785" t="s">
        <v>2327</v>
      </c>
      <c r="H785">
        <v>9501</v>
      </c>
      <c r="I785">
        <v>9428</v>
      </c>
      <c r="J785" t="s">
        <v>2328</v>
      </c>
      <c r="K785" t="s">
        <v>2052</v>
      </c>
      <c r="L785" t="s">
        <v>282</v>
      </c>
      <c r="M785">
        <v>533</v>
      </c>
      <c r="N785">
        <v>14303</v>
      </c>
      <c r="O785" t="s">
        <v>322</v>
      </c>
      <c r="P785" t="s">
        <v>48</v>
      </c>
      <c r="Q785" t="s">
        <v>322</v>
      </c>
      <c r="R785" t="s">
        <v>50</v>
      </c>
      <c r="S785" t="s">
        <v>50</v>
      </c>
      <c r="T785">
        <v>6379</v>
      </c>
      <c r="U785" t="s">
        <v>51</v>
      </c>
      <c r="V785">
        <v>1492</v>
      </c>
      <c r="W785">
        <v>1658</v>
      </c>
      <c r="X785" t="s">
        <v>1906</v>
      </c>
      <c r="Y785">
        <v>1</v>
      </c>
      <c r="Z785" t="s">
        <v>237</v>
      </c>
      <c r="AA785" t="s">
        <v>844</v>
      </c>
      <c r="AB785">
        <v>7924</v>
      </c>
      <c r="AC785">
        <v>4059</v>
      </c>
      <c r="AD785">
        <v>1665</v>
      </c>
      <c r="AE785">
        <v>519</v>
      </c>
      <c r="AF785">
        <v>125</v>
      </c>
      <c r="AG785">
        <v>11</v>
      </c>
      <c r="AH785">
        <v>6892</v>
      </c>
      <c r="AI785">
        <v>350</v>
      </c>
      <c r="AJ785">
        <v>607</v>
      </c>
      <c r="AK785">
        <v>1502</v>
      </c>
      <c r="AL785">
        <v>131</v>
      </c>
      <c r="AM785">
        <v>48</v>
      </c>
      <c r="AN785" t="s">
        <v>304</v>
      </c>
      <c r="AO785">
        <f>AVERAGE(Tabla2[[#This Row],[total_kills]:[rating]])</f>
        <v>3356.4</v>
      </c>
      <c r="AP785" t="str">
        <f>VLOOKUP(Tabla2[[#This Row],[KPI]],$AS$2:$AT$5,2,1)</f>
        <v>Medio</v>
      </c>
    </row>
    <row r="786" spans="1:42" x14ac:dyDescent="0.3">
      <c r="A786">
        <v>12781</v>
      </c>
      <c r="B786" t="s">
        <v>2475</v>
      </c>
      <c r="C786" t="s">
        <v>2476</v>
      </c>
      <c r="D786">
        <v>23</v>
      </c>
      <c r="E786" t="s">
        <v>708</v>
      </c>
      <c r="F786" t="s">
        <v>2477</v>
      </c>
      <c r="G786" t="s">
        <v>710</v>
      </c>
      <c r="H786">
        <v>23197</v>
      </c>
      <c r="I786">
        <v>23538</v>
      </c>
      <c r="J786" t="s">
        <v>2328</v>
      </c>
      <c r="K786" t="s">
        <v>692</v>
      </c>
      <c r="L786" t="s">
        <v>164</v>
      </c>
      <c r="M786">
        <v>1275</v>
      </c>
      <c r="N786">
        <v>33907</v>
      </c>
      <c r="O786" t="s">
        <v>167</v>
      </c>
      <c r="P786" t="s">
        <v>48</v>
      </c>
      <c r="Q786" t="s">
        <v>463</v>
      </c>
      <c r="R786" t="s">
        <v>50</v>
      </c>
      <c r="S786" t="s">
        <v>96</v>
      </c>
      <c r="T786">
        <v>15639</v>
      </c>
      <c r="U786" t="s">
        <v>51</v>
      </c>
      <c r="V786">
        <v>3624</v>
      </c>
      <c r="W786">
        <v>4031</v>
      </c>
      <c r="X786" t="s">
        <v>1906</v>
      </c>
      <c r="Y786">
        <v>1</v>
      </c>
      <c r="Z786" t="s">
        <v>237</v>
      </c>
      <c r="AA786" t="s">
        <v>602</v>
      </c>
      <c r="AB786">
        <v>18268</v>
      </c>
      <c r="AC786">
        <v>10036</v>
      </c>
      <c r="AD786">
        <v>4001</v>
      </c>
      <c r="AE786">
        <v>1278</v>
      </c>
      <c r="AF786">
        <v>295</v>
      </c>
      <c r="AG786">
        <v>29</v>
      </c>
      <c r="AH786">
        <v>16115</v>
      </c>
      <c r="AI786">
        <v>1385</v>
      </c>
      <c r="AJ786">
        <v>1033</v>
      </c>
      <c r="AK786">
        <v>4327</v>
      </c>
      <c r="AL786">
        <v>273</v>
      </c>
      <c r="AM786">
        <v>117</v>
      </c>
      <c r="AN786" t="s">
        <v>407</v>
      </c>
      <c r="AO786">
        <f>AVERAGE(Tabla2[[#This Row],[total_kills]:[rating]])</f>
        <v>8118.45</v>
      </c>
      <c r="AP786" t="str">
        <f>VLOOKUP(Tabla2[[#This Row],[KPI]],$AS$2:$AT$5,2,1)</f>
        <v>Superior</v>
      </c>
    </row>
    <row r="787" spans="1:42" x14ac:dyDescent="0.3">
      <c r="A787">
        <v>2898</v>
      </c>
      <c r="B787" t="s">
        <v>2746</v>
      </c>
      <c r="C787" t="s">
        <v>2747</v>
      </c>
      <c r="D787">
        <v>27</v>
      </c>
      <c r="E787" t="s">
        <v>196</v>
      </c>
      <c r="F787" t="s">
        <v>1086</v>
      </c>
      <c r="G787" t="s">
        <v>2748</v>
      </c>
      <c r="H787">
        <v>17047</v>
      </c>
      <c r="I787">
        <v>17443</v>
      </c>
      <c r="J787" t="s">
        <v>2328</v>
      </c>
      <c r="K787" t="s">
        <v>1435</v>
      </c>
      <c r="L787" t="s">
        <v>575</v>
      </c>
      <c r="M787">
        <v>958</v>
      </c>
      <c r="N787">
        <v>25914</v>
      </c>
      <c r="O787" t="s">
        <v>322</v>
      </c>
      <c r="P787" t="s">
        <v>48</v>
      </c>
      <c r="Q787" t="s">
        <v>225</v>
      </c>
      <c r="R787" t="s">
        <v>50</v>
      </c>
      <c r="S787" t="s">
        <v>67</v>
      </c>
      <c r="T787">
        <v>11635</v>
      </c>
      <c r="U787" t="s">
        <v>51</v>
      </c>
      <c r="V787">
        <v>2465</v>
      </c>
      <c r="W787">
        <v>2448</v>
      </c>
      <c r="X787" t="s">
        <v>255</v>
      </c>
      <c r="Y787" t="s">
        <v>245</v>
      </c>
      <c r="Z787" t="s">
        <v>1765</v>
      </c>
      <c r="AA787" t="s">
        <v>363</v>
      </c>
      <c r="AB787">
        <v>14279</v>
      </c>
      <c r="AC787">
        <v>7543</v>
      </c>
      <c r="AD787">
        <v>3017</v>
      </c>
      <c r="AE787">
        <v>860</v>
      </c>
      <c r="AF787">
        <v>191</v>
      </c>
      <c r="AG787">
        <v>24</v>
      </c>
      <c r="AH787">
        <v>12794</v>
      </c>
      <c r="AI787">
        <v>112</v>
      </c>
      <c r="AJ787">
        <v>1055</v>
      </c>
      <c r="AK787">
        <v>2779</v>
      </c>
      <c r="AL787">
        <v>319</v>
      </c>
      <c r="AM787">
        <v>43</v>
      </c>
      <c r="AN787" t="s">
        <v>503</v>
      </c>
      <c r="AO787">
        <f>AVERAGE(Tabla2[[#This Row],[total_kills]:[rating]])</f>
        <v>6364.5263157894733</v>
      </c>
      <c r="AP787" t="str">
        <f>VLOOKUP(Tabla2[[#This Row],[KPI]],$AS$2:$AT$5,2,1)</f>
        <v>Alto</v>
      </c>
    </row>
    <row r="788" spans="1:42" x14ac:dyDescent="0.3">
      <c r="A788">
        <v>17792</v>
      </c>
      <c r="B788" t="s">
        <v>2782</v>
      </c>
      <c r="C788" t="s">
        <v>2783</v>
      </c>
      <c r="D788">
        <v>21</v>
      </c>
      <c r="E788" t="s">
        <v>1144</v>
      </c>
      <c r="F788" t="s">
        <v>2784</v>
      </c>
      <c r="G788" t="s">
        <v>2785</v>
      </c>
      <c r="H788">
        <v>7803</v>
      </c>
      <c r="I788">
        <v>8065</v>
      </c>
      <c r="J788" t="s">
        <v>2786</v>
      </c>
      <c r="K788" t="s">
        <v>2787</v>
      </c>
      <c r="L788" t="s">
        <v>462</v>
      </c>
      <c r="M788">
        <v>436</v>
      </c>
      <c r="N788">
        <v>11668</v>
      </c>
      <c r="O788" t="s">
        <v>225</v>
      </c>
      <c r="P788" t="s">
        <v>48</v>
      </c>
      <c r="Q788" t="s">
        <v>463</v>
      </c>
      <c r="R788" t="s">
        <v>67</v>
      </c>
      <c r="S788" t="s">
        <v>48</v>
      </c>
      <c r="T788">
        <v>5317</v>
      </c>
      <c r="U788" t="s">
        <v>51</v>
      </c>
      <c r="V788">
        <v>1131</v>
      </c>
      <c r="W788">
        <v>1222</v>
      </c>
      <c r="X788" t="s">
        <v>950</v>
      </c>
      <c r="Y788" t="s">
        <v>245</v>
      </c>
      <c r="Z788" t="s">
        <v>1462</v>
      </c>
      <c r="AA788" t="s">
        <v>739</v>
      </c>
      <c r="AB788">
        <v>6351</v>
      </c>
      <c r="AC788">
        <v>3435</v>
      </c>
      <c r="AD788">
        <v>1360</v>
      </c>
      <c r="AE788">
        <v>447</v>
      </c>
      <c r="AF788">
        <v>68</v>
      </c>
      <c r="AG788">
        <v>7</v>
      </c>
      <c r="AH788">
        <v>5838</v>
      </c>
      <c r="AI788">
        <v>203</v>
      </c>
      <c r="AJ788">
        <v>394</v>
      </c>
      <c r="AK788">
        <v>1301</v>
      </c>
      <c r="AL788">
        <v>69</v>
      </c>
      <c r="AM788">
        <v>26</v>
      </c>
      <c r="AN788" t="s">
        <v>255</v>
      </c>
      <c r="AO788">
        <f>AVERAGE(Tabla2[[#This Row],[total_kills]:[rating]])</f>
        <v>2902.1578947368421</v>
      </c>
      <c r="AP788" t="str">
        <f>VLOOKUP(Tabla2[[#This Row],[KPI]],$AS$2:$AT$5,2,1)</f>
        <v>Bajo</v>
      </c>
    </row>
    <row r="789" spans="1:42" x14ac:dyDescent="0.3">
      <c r="A789">
        <v>284</v>
      </c>
      <c r="B789" t="s">
        <v>2577</v>
      </c>
      <c r="C789" t="s">
        <v>2578</v>
      </c>
      <c r="D789">
        <v>30</v>
      </c>
      <c r="E789" t="s">
        <v>42</v>
      </c>
      <c r="F789" t="s">
        <v>221</v>
      </c>
      <c r="G789" t="s">
        <v>2579</v>
      </c>
      <c r="H789">
        <v>19495</v>
      </c>
      <c r="I789">
        <v>19674</v>
      </c>
      <c r="J789" t="s">
        <v>2580</v>
      </c>
      <c r="K789" t="s">
        <v>1499</v>
      </c>
      <c r="L789" t="s">
        <v>541</v>
      </c>
      <c r="M789">
        <v>1096</v>
      </c>
      <c r="N789">
        <v>29144</v>
      </c>
      <c r="O789" t="s">
        <v>225</v>
      </c>
      <c r="P789" t="s">
        <v>202</v>
      </c>
      <c r="Q789" t="s">
        <v>167</v>
      </c>
      <c r="R789" t="s">
        <v>50</v>
      </c>
      <c r="S789" t="s">
        <v>50</v>
      </c>
      <c r="T789">
        <v>13213</v>
      </c>
      <c r="U789" t="s">
        <v>51</v>
      </c>
      <c r="V789">
        <v>3142</v>
      </c>
      <c r="W789">
        <v>3362</v>
      </c>
      <c r="X789" t="s">
        <v>950</v>
      </c>
      <c r="Y789" t="s">
        <v>255</v>
      </c>
      <c r="Z789" t="s">
        <v>554</v>
      </c>
      <c r="AA789" t="s">
        <v>384</v>
      </c>
      <c r="AB789">
        <v>15931</v>
      </c>
      <c r="AC789">
        <v>8461</v>
      </c>
      <c r="AD789">
        <v>3466</v>
      </c>
      <c r="AE789">
        <v>1063</v>
      </c>
      <c r="AF789">
        <v>202</v>
      </c>
      <c r="AG789">
        <v>21</v>
      </c>
      <c r="AH789">
        <v>14367</v>
      </c>
      <c r="AI789">
        <v>256</v>
      </c>
      <c r="AJ789">
        <v>1305</v>
      </c>
      <c r="AK789">
        <v>3349</v>
      </c>
      <c r="AL789">
        <v>186</v>
      </c>
      <c r="AM789">
        <v>91</v>
      </c>
      <c r="AN789" t="s">
        <v>245</v>
      </c>
      <c r="AO789">
        <f>AVERAGE(Tabla2[[#This Row],[total_kills]:[rating]])</f>
        <v>7253.894736842105</v>
      </c>
      <c r="AP789" t="str">
        <f>VLOOKUP(Tabla2[[#This Row],[KPI]],$AS$2:$AT$5,2,1)</f>
        <v>Superior</v>
      </c>
    </row>
    <row r="790" spans="1:42" x14ac:dyDescent="0.3">
      <c r="A790">
        <v>5061</v>
      </c>
      <c r="B790" t="s">
        <v>2710</v>
      </c>
      <c r="C790" t="s">
        <v>2711</v>
      </c>
      <c r="D790">
        <v>28</v>
      </c>
      <c r="E790" t="s">
        <v>196</v>
      </c>
      <c r="F790" t="s">
        <v>3514</v>
      </c>
      <c r="G790" t="s">
        <v>2712</v>
      </c>
      <c r="H790">
        <v>18369</v>
      </c>
      <c r="I790">
        <v>18769</v>
      </c>
      <c r="J790" t="s">
        <v>2713</v>
      </c>
      <c r="K790" t="s">
        <v>601</v>
      </c>
      <c r="L790" t="s">
        <v>294</v>
      </c>
      <c r="M790">
        <v>1030</v>
      </c>
      <c r="N790">
        <v>27376</v>
      </c>
      <c r="O790" t="s">
        <v>225</v>
      </c>
      <c r="P790" t="s">
        <v>48</v>
      </c>
      <c r="Q790" t="s">
        <v>463</v>
      </c>
      <c r="R790" t="s">
        <v>96</v>
      </c>
      <c r="S790" t="s">
        <v>96</v>
      </c>
      <c r="T790">
        <v>12530</v>
      </c>
      <c r="U790" t="s">
        <v>51</v>
      </c>
      <c r="V790">
        <v>2768</v>
      </c>
      <c r="W790">
        <v>3040</v>
      </c>
      <c r="X790" t="s">
        <v>1749</v>
      </c>
      <c r="Y790" t="s">
        <v>285</v>
      </c>
      <c r="Z790" t="s">
        <v>932</v>
      </c>
      <c r="AA790" t="s">
        <v>577</v>
      </c>
      <c r="AB790">
        <v>14846</v>
      </c>
      <c r="AC790">
        <v>8096</v>
      </c>
      <c r="AD790">
        <v>3252</v>
      </c>
      <c r="AE790">
        <v>978</v>
      </c>
      <c r="AF790">
        <v>187</v>
      </c>
      <c r="AG790">
        <v>17</v>
      </c>
      <c r="AH790">
        <v>13450</v>
      </c>
      <c r="AI790">
        <v>462</v>
      </c>
      <c r="AJ790">
        <v>928</v>
      </c>
      <c r="AK790">
        <v>3241</v>
      </c>
      <c r="AL790">
        <v>241</v>
      </c>
      <c r="AM790">
        <v>101</v>
      </c>
      <c r="AN790" t="s">
        <v>245</v>
      </c>
      <c r="AO790">
        <f>AVERAGE(Tabla2[[#This Row],[total_kills]:[rating]])</f>
        <v>6825.3157894736842</v>
      </c>
      <c r="AP790" t="str">
        <f>VLOOKUP(Tabla2[[#This Row],[KPI]],$AS$2:$AT$5,2,1)</f>
        <v>Alto</v>
      </c>
    </row>
    <row r="791" spans="1:42" x14ac:dyDescent="0.3">
      <c r="A791">
        <v>19114</v>
      </c>
      <c r="B791" t="s">
        <v>2099</v>
      </c>
      <c r="C791" t="s">
        <v>2100</v>
      </c>
      <c r="D791">
        <v>22</v>
      </c>
      <c r="E791" t="s">
        <v>327</v>
      </c>
      <c r="F791" t="s">
        <v>1408</v>
      </c>
      <c r="G791" t="s">
        <v>2101</v>
      </c>
      <c r="H791">
        <v>10912</v>
      </c>
      <c r="I791">
        <v>10619</v>
      </c>
      <c r="J791" t="s">
        <v>2102</v>
      </c>
      <c r="K791" t="s">
        <v>788</v>
      </c>
      <c r="L791" t="s">
        <v>1170</v>
      </c>
      <c r="M791">
        <v>593</v>
      </c>
      <c r="N791">
        <v>15953</v>
      </c>
      <c r="O791" t="s">
        <v>167</v>
      </c>
      <c r="P791" t="s">
        <v>48</v>
      </c>
      <c r="Q791" t="s">
        <v>225</v>
      </c>
      <c r="R791" t="s">
        <v>50</v>
      </c>
      <c r="S791" t="s">
        <v>67</v>
      </c>
      <c r="T791">
        <v>7390</v>
      </c>
      <c r="U791" t="s">
        <v>51</v>
      </c>
      <c r="V791">
        <v>1438</v>
      </c>
      <c r="W791">
        <v>1519</v>
      </c>
      <c r="X791" t="s">
        <v>820</v>
      </c>
      <c r="Y791" t="s">
        <v>472</v>
      </c>
      <c r="Z791" t="s">
        <v>1358</v>
      </c>
      <c r="AA791" t="s">
        <v>852</v>
      </c>
      <c r="AB791">
        <v>8563</v>
      </c>
      <c r="AC791">
        <v>4750</v>
      </c>
      <c r="AD791">
        <v>1926</v>
      </c>
      <c r="AE791">
        <v>563</v>
      </c>
      <c r="AF791">
        <v>134</v>
      </c>
      <c r="AG791">
        <v>17</v>
      </c>
      <c r="AH791">
        <v>8040</v>
      </c>
      <c r="AI791">
        <v>270</v>
      </c>
      <c r="AJ791">
        <v>487</v>
      </c>
      <c r="AK791">
        <v>1954</v>
      </c>
      <c r="AL791">
        <v>157</v>
      </c>
      <c r="AM791">
        <v>37</v>
      </c>
      <c r="AN791" t="s">
        <v>304</v>
      </c>
      <c r="AO791">
        <f>AVERAGE(Tabla2[[#This Row],[total_kills]:[rating]])</f>
        <v>3964.3157894736842</v>
      </c>
      <c r="AP791" t="str">
        <f>VLOOKUP(Tabla2[[#This Row],[KPI]],$AS$2:$AT$5,2,1)</f>
        <v>Medio</v>
      </c>
    </row>
    <row r="792" spans="1:42" x14ac:dyDescent="0.3">
      <c r="A792">
        <v>9545</v>
      </c>
      <c r="B792" t="s">
        <v>2898</v>
      </c>
      <c r="C792" t="s">
        <v>2899</v>
      </c>
      <c r="D792">
        <v>25</v>
      </c>
      <c r="E792" t="s">
        <v>42</v>
      </c>
      <c r="F792" t="s">
        <v>3514</v>
      </c>
      <c r="G792" t="s">
        <v>2900</v>
      </c>
      <c r="H792">
        <v>12206</v>
      </c>
      <c r="I792">
        <v>12830</v>
      </c>
      <c r="J792" t="s">
        <v>2102</v>
      </c>
      <c r="K792">
        <v>71</v>
      </c>
      <c r="L792" t="s">
        <v>122</v>
      </c>
      <c r="M792">
        <v>712</v>
      </c>
      <c r="N792">
        <v>18783</v>
      </c>
      <c r="O792" t="s">
        <v>276</v>
      </c>
      <c r="P792" t="s">
        <v>48</v>
      </c>
      <c r="Q792" t="s">
        <v>167</v>
      </c>
      <c r="R792" t="s">
        <v>67</v>
      </c>
      <c r="S792" t="s">
        <v>50</v>
      </c>
      <c r="T792">
        <v>8266</v>
      </c>
      <c r="U792" t="s">
        <v>51</v>
      </c>
      <c r="V792">
        <v>1738</v>
      </c>
      <c r="W792">
        <v>2207</v>
      </c>
      <c r="X792" t="s">
        <v>109</v>
      </c>
      <c r="Y792" t="s">
        <v>950</v>
      </c>
      <c r="Z792" t="s">
        <v>2901</v>
      </c>
      <c r="AA792" t="s">
        <v>783</v>
      </c>
      <c r="AB792">
        <v>10517</v>
      </c>
      <c r="AC792">
        <v>5318</v>
      </c>
      <c r="AD792">
        <v>2135</v>
      </c>
      <c r="AE792">
        <v>649</v>
      </c>
      <c r="AF792">
        <v>149</v>
      </c>
      <c r="AG792">
        <v>15</v>
      </c>
      <c r="AH792">
        <v>8215</v>
      </c>
      <c r="AI792">
        <v>196</v>
      </c>
      <c r="AJ792">
        <v>956</v>
      </c>
      <c r="AK792">
        <v>2732</v>
      </c>
      <c r="AL792">
        <v>110</v>
      </c>
      <c r="AM792">
        <v>25</v>
      </c>
      <c r="AN792" t="s">
        <v>472</v>
      </c>
      <c r="AO792">
        <f>AVERAGE(Tabla2[[#This Row],[total_kills]:[rating]])</f>
        <v>4391.5</v>
      </c>
      <c r="AP792" t="str">
        <f>VLOOKUP(Tabla2[[#This Row],[KPI]],$AS$2:$AT$5,2,1)</f>
        <v>Medio</v>
      </c>
    </row>
    <row r="793" spans="1:42" x14ac:dyDescent="0.3">
      <c r="A793">
        <v>13915</v>
      </c>
      <c r="B793" t="s">
        <v>1031</v>
      </c>
      <c r="C793" t="s">
        <v>1032</v>
      </c>
      <c r="D793">
        <v>22</v>
      </c>
      <c r="E793" t="s">
        <v>1033</v>
      </c>
      <c r="F793" t="s">
        <v>1034</v>
      </c>
      <c r="G793" t="s">
        <v>1035</v>
      </c>
      <c r="H793">
        <v>21930</v>
      </c>
      <c r="I793">
        <v>20473</v>
      </c>
      <c r="J793" t="s">
        <v>1036</v>
      </c>
      <c r="K793" t="s">
        <v>1037</v>
      </c>
      <c r="L793" t="s">
        <v>80</v>
      </c>
      <c r="M793">
        <v>1104</v>
      </c>
      <c r="N793">
        <v>29387</v>
      </c>
      <c r="O793" t="s">
        <v>180</v>
      </c>
      <c r="P793" t="s">
        <v>202</v>
      </c>
      <c r="Q793" t="s">
        <v>905</v>
      </c>
      <c r="R793" t="s">
        <v>96</v>
      </c>
      <c r="S793" t="s">
        <v>96</v>
      </c>
      <c r="T793">
        <v>14232</v>
      </c>
      <c r="U793" t="s">
        <v>51</v>
      </c>
      <c r="V793">
        <v>4405</v>
      </c>
      <c r="W793">
        <v>4228</v>
      </c>
      <c r="X793" t="s">
        <v>407</v>
      </c>
      <c r="Y793" t="s">
        <v>169</v>
      </c>
      <c r="Z793" t="s">
        <v>383</v>
      </c>
      <c r="AA793" t="s">
        <v>55</v>
      </c>
      <c r="AB793">
        <v>15155</v>
      </c>
      <c r="AC793">
        <v>8596</v>
      </c>
      <c r="AD793">
        <v>3950</v>
      </c>
      <c r="AE793">
        <v>1348</v>
      </c>
      <c r="AF793">
        <v>300</v>
      </c>
      <c r="AG793">
        <v>38</v>
      </c>
      <c r="AH793">
        <v>15801</v>
      </c>
      <c r="AI793">
        <v>1315</v>
      </c>
      <c r="AJ793">
        <v>1214</v>
      </c>
      <c r="AK793">
        <v>3326</v>
      </c>
      <c r="AL793">
        <v>236</v>
      </c>
      <c r="AM793">
        <v>92</v>
      </c>
      <c r="AN793" t="s">
        <v>111</v>
      </c>
      <c r="AO793">
        <f>AVERAGE(Tabla2[[#This Row],[total_kills]:[rating]])</f>
        <v>7743.6842105263158</v>
      </c>
      <c r="AP793" t="str">
        <f>VLOOKUP(Tabla2[[#This Row],[KPI]],$AS$2:$AT$5,2,1)</f>
        <v>Superior</v>
      </c>
    </row>
    <row r="794" spans="1:42" x14ac:dyDescent="0.3">
      <c r="A794">
        <v>18697</v>
      </c>
      <c r="B794" t="s">
        <v>3042</v>
      </c>
      <c r="C794" t="s">
        <v>3043</v>
      </c>
      <c r="D794">
        <v>19</v>
      </c>
      <c r="E794" t="s">
        <v>467</v>
      </c>
      <c r="F794" t="s">
        <v>3044</v>
      </c>
      <c r="G794" t="s">
        <v>468</v>
      </c>
      <c r="H794">
        <v>8969</v>
      </c>
      <c r="I794">
        <v>9420</v>
      </c>
      <c r="J794" t="s">
        <v>3045</v>
      </c>
      <c r="K794" t="s">
        <v>3046</v>
      </c>
      <c r="L794" t="s">
        <v>398</v>
      </c>
      <c r="M794">
        <v>531</v>
      </c>
      <c r="N794">
        <v>14280</v>
      </c>
      <c r="O794" t="s">
        <v>215</v>
      </c>
      <c r="P794" t="s">
        <v>67</v>
      </c>
      <c r="Q794" t="s">
        <v>322</v>
      </c>
      <c r="R794" t="s">
        <v>50</v>
      </c>
      <c r="S794" t="s">
        <v>66</v>
      </c>
      <c r="T794">
        <v>6217</v>
      </c>
      <c r="U794" t="s">
        <v>51</v>
      </c>
      <c r="V794">
        <v>1373</v>
      </c>
      <c r="W794">
        <v>1663</v>
      </c>
      <c r="X794" t="s">
        <v>2425</v>
      </c>
      <c r="Y794" t="s">
        <v>820</v>
      </c>
      <c r="Z794" t="s">
        <v>838</v>
      </c>
      <c r="AA794" t="s">
        <v>640</v>
      </c>
      <c r="AB794">
        <v>8063</v>
      </c>
      <c r="AC794">
        <v>4156</v>
      </c>
      <c r="AD794">
        <v>1495</v>
      </c>
      <c r="AE794">
        <v>456</v>
      </c>
      <c r="AF794">
        <v>95</v>
      </c>
      <c r="AG794">
        <v>15</v>
      </c>
      <c r="AH794">
        <v>6603</v>
      </c>
      <c r="AI794">
        <v>102</v>
      </c>
      <c r="AJ794">
        <v>514</v>
      </c>
      <c r="AK794">
        <v>1597</v>
      </c>
      <c r="AL794">
        <v>150</v>
      </c>
      <c r="AM794">
        <v>37</v>
      </c>
      <c r="AN794">
        <v>1</v>
      </c>
      <c r="AO794">
        <f>AVERAGE(Tabla2[[#This Row],[total_kills]:[rating]])</f>
        <v>3286.85</v>
      </c>
      <c r="AP794" t="str">
        <f>VLOOKUP(Tabla2[[#This Row],[KPI]],$AS$2:$AT$5,2,1)</f>
        <v>Bajo</v>
      </c>
    </row>
    <row r="795" spans="1:42" x14ac:dyDescent="0.3">
      <c r="A795">
        <v>15683</v>
      </c>
      <c r="B795" t="s">
        <v>1307</v>
      </c>
      <c r="C795" t="s">
        <v>1308</v>
      </c>
      <c r="D795">
        <v>20</v>
      </c>
      <c r="E795" t="s">
        <v>209</v>
      </c>
      <c r="F795" t="s">
        <v>210</v>
      </c>
      <c r="G795" t="s">
        <v>211</v>
      </c>
      <c r="H795">
        <v>10379</v>
      </c>
      <c r="I795">
        <v>9750</v>
      </c>
      <c r="J795" t="s">
        <v>1309</v>
      </c>
      <c r="K795">
        <v>79</v>
      </c>
      <c r="L795" t="s">
        <v>122</v>
      </c>
      <c r="M795">
        <v>540</v>
      </c>
      <c r="N795">
        <v>14298</v>
      </c>
      <c r="O795" t="s">
        <v>495</v>
      </c>
      <c r="P795" t="s">
        <v>202</v>
      </c>
      <c r="Q795" t="s">
        <v>167</v>
      </c>
      <c r="R795" t="s">
        <v>50</v>
      </c>
      <c r="S795" t="s">
        <v>50</v>
      </c>
      <c r="T795">
        <v>6823</v>
      </c>
      <c r="U795" t="s">
        <v>51</v>
      </c>
      <c r="V795">
        <v>1638</v>
      </c>
      <c r="W795">
        <v>1699</v>
      </c>
      <c r="X795" t="s">
        <v>472</v>
      </c>
      <c r="Y795" t="s">
        <v>407</v>
      </c>
      <c r="Z795" t="s">
        <v>1310</v>
      </c>
      <c r="AA795" t="s">
        <v>659</v>
      </c>
      <c r="AB795">
        <v>7475</v>
      </c>
      <c r="AC795">
        <v>4178</v>
      </c>
      <c r="AD795">
        <v>1869</v>
      </c>
      <c r="AE795">
        <v>655</v>
      </c>
      <c r="AF795">
        <v>107</v>
      </c>
      <c r="AG795">
        <v>14</v>
      </c>
      <c r="AH795">
        <v>7792</v>
      </c>
      <c r="AI795">
        <v>101</v>
      </c>
      <c r="AJ795">
        <v>568</v>
      </c>
      <c r="AK795">
        <v>1831</v>
      </c>
      <c r="AL795">
        <v>67</v>
      </c>
      <c r="AM795">
        <v>44</v>
      </c>
      <c r="AN795" t="s">
        <v>362</v>
      </c>
      <c r="AO795">
        <f>AVERAGE(Tabla2[[#This Row],[total_kills]:[rating]])</f>
        <v>3495.35</v>
      </c>
      <c r="AP795" t="str">
        <f>VLOOKUP(Tabla2[[#This Row],[KPI]],$AS$2:$AT$5,2,1)</f>
        <v>Medio</v>
      </c>
    </row>
    <row r="796" spans="1:42" x14ac:dyDescent="0.3">
      <c r="A796">
        <v>17956</v>
      </c>
      <c r="B796" t="s">
        <v>2550</v>
      </c>
      <c r="C796" t="s">
        <v>2551</v>
      </c>
      <c r="D796">
        <v>19</v>
      </c>
      <c r="E796" t="s">
        <v>196</v>
      </c>
      <c r="F796" t="s">
        <v>1396</v>
      </c>
      <c r="G796" t="s">
        <v>2552</v>
      </c>
      <c r="H796">
        <v>13844</v>
      </c>
      <c r="I796">
        <v>13776</v>
      </c>
      <c r="J796" t="s">
        <v>2553</v>
      </c>
      <c r="K796" t="s">
        <v>1435</v>
      </c>
      <c r="L796" t="s">
        <v>224</v>
      </c>
      <c r="M796">
        <v>775</v>
      </c>
      <c r="N796">
        <v>20783</v>
      </c>
      <c r="O796" t="s">
        <v>225</v>
      </c>
      <c r="P796" t="s">
        <v>67</v>
      </c>
      <c r="Q796" t="s">
        <v>322</v>
      </c>
      <c r="R796" t="s">
        <v>50</v>
      </c>
      <c r="S796" t="s">
        <v>50</v>
      </c>
      <c r="T796">
        <v>9497</v>
      </c>
      <c r="U796" t="s">
        <v>51</v>
      </c>
      <c r="V796">
        <v>1933</v>
      </c>
      <c r="W796">
        <v>2004</v>
      </c>
      <c r="X796" t="s">
        <v>472</v>
      </c>
      <c r="Y796" t="s">
        <v>503</v>
      </c>
      <c r="Z796" t="s">
        <v>217</v>
      </c>
      <c r="AA796" t="s">
        <v>1379</v>
      </c>
      <c r="AB796">
        <v>11286</v>
      </c>
      <c r="AC796">
        <v>6161</v>
      </c>
      <c r="AD796">
        <v>2480</v>
      </c>
      <c r="AE796">
        <v>714</v>
      </c>
      <c r="AF796">
        <v>129</v>
      </c>
      <c r="AG796">
        <v>13</v>
      </c>
      <c r="AH796">
        <v>10378</v>
      </c>
      <c r="AI796">
        <v>287</v>
      </c>
      <c r="AJ796">
        <v>708</v>
      </c>
      <c r="AK796">
        <v>2304</v>
      </c>
      <c r="AL796">
        <v>162</v>
      </c>
      <c r="AM796">
        <v>53</v>
      </c>
      <c r="AN796" t="s">
        <v>412</v>
      </c>
      <c r="AO796">
        <f>AVERAGE(Tabla2[[#This Row],[total_kills]:[rating]])</f>
        <v>5120.3684210526317</v>
      </c>
      <c r="AP796" t="str">
        <f>VLOOKUP(Tabla2[[#This Row],[KPI]],$AS$2:$AT$5,2,1)</f>
        <v>Alto</v>
      </c>
    </row>
    <row r="797" spans="1:42" x14ac:dyDescent="0.3">
      <c r="A797">
        <v>12030</v>
      </c>
      <c r="B797" t="s">
        <v>1107</v>
      </c>
      <c r="C797" t="s">
        <v>1108</v>
      </c>
      <c r="D797">
        <v>21</v>
      </c>
      <c r="E797" t="s">
        <v>841</v>
      </c>
      <c r="F797" t="s">
        <v>3514</v>
      </c>
      <c r="G797" t="s">
        <v>1109</v>
      </c>
      <c r="H797">
        <v>16973</v>
      </c>
      <c r="I797">
        <v>15656</v>
      </c>
      <c r="J797" t="s">
        <v>1110</v>
      </c>
      <c r="K797" t="s">
        <v>989</v>
      </c>
      <c r="L797" t="s">
        <v>471</v>
      </c>
      <c r="M797">
        <v>870</v>
      </c>
      <c r="N797">
        <v>22795</v>
      </c>
      <c r="O797" t="s">
        <v>283</v>
      </c>
      <c r="P797" t="s">
        <v>67</v>
      </c>
      <c r="Q797" t="s">
        <v>463</v>
      </c>
      <c r="R797" t="s">
        <v>50</v>
      </c>
      <c r="S797" t="s">
        <v>50</v>
      </c>
      <c r="T797">
        <v>11218</v>
      </c>
      <c r="U797" t="s">
        <v>51</v>
      </c>
      <c r="V797">
        <v>2752</v>
      </c>
      <c r="W797">
        <v>2604</v>
      </c>
      <c r="X797" t="s">
        <v>590</v>
      </c>
      <c r="Y797" t="s">
        <v>277</v>
      </c>
      <c r="Z797" t="s">
        <v>217</v>
      </c>
      <c r="AA797" t="s">
        <v>305</v>
      </c>
      <c r="AB797">
        <v>11577</v>
      </c>
      <c r="AC797">
        <v>6917</v>
      </c>
      <c r="AD797">
        <v>3103</v>
      </c>
      <c r="AE797">
        <v>965</v>
      </c>
      <c r="AF797">
        <v>210</v>
      </c>
      <c r="AG797">
        <v>23</v>
      </c>
      <c r="AH797">
        <v>10761</v>
      </c>
      <c r="AI797">
        <v>2015</v>
      </c>
      <c r="AJ797">
        <v>719</v>
      </c>
      <c r="AK797">
        <v>3347</v>
      </c>
      <c r="AL797">
        <v>121</v>
      </c>
      <c r="AM797">
        <v>36</v>
      </c>
      <c r="AN797" t="s">
        <v>362</v>
      </c>
      <c r="AO797">
        <f>AVERAGE(Tabla2[[#This Row],[total_kills]:[rating]])</f>
        <v>5929.5789473684208</v>
      </c>
      <c r="AP797" t="str">
        <f>VLOOKUP(Tabla2[[#This Row],[KPI]],$AS$2:$AT$5,2,1)</f>
        <v>Alto</v>
      </c>
    </row>
    <row r="798" spans="1:42" x14ac:dyDescent="0.3">
      <c r="A798">
        <v>10722</v>
      </c>
      <c r="B798" t="s">
        <v>729</v>
      </c>
      <c r="C798" t="s">
        <v>730</v>
      </c>
      <c r="D798">
        <v>26</v>
      </c>
      <c r="E798" t="s">
        <v>209</v>
      </c>
      <c r="F798" t="s">
        <v>731</v>
      </c>
      <c r="G798" t="s">
        <v>732</v>
      </c>
      <c r="H798">
        <v>9628</v>
      </c>
      <c r="I798">
        <v>8837</v>
      </c>
      <c r="J798" t="s">
        <v>733</v>
      </c>
      <c r="K798" t="s">
        <v>566</v>
      </c>
      <c r="L798" t="s">
        <v>214</v>
      </c>
      <c r="M798">
        <v>472</v>
      </c>
      <c r="N798">
        <v>12376</v>
      </c>
      <c r="O798" t="s">
        <v>123</v>
      </c>
      <c r="P798" t="s">
        <v>48</v>
      </c>
      <c r="Q798" t="s">
        <v>646</v>
      </c>
      <c r="R798" t="s">
        <v>96</v>
      </c>
      <c r="S798" t="s">
        <v>48</v>
      </c>
      <c r="T798">
        <v>6264</v>
      </c>
      <c r="U798" t="s">
        <v>51</v>
      </c>
      <c r="V798">
        <v>1324</v>
      </c>
      <c r="W798">
        <v>1172</v>
      </c>
      <c r="X798" t="s">
        <v>98</v>
      </c>
      <c r="Y798" t="s">
        <v>407</v>
      </c>
      <c r="Z798" t="s">
        <v>54</v>
      </c>
      <c r="AA798" t="s">
        <v>734</v>
      </c>
      <c r="AB798">
        <v>6112</v>
      </c>
      <c r="AC798">
        <v>3794</v>
      </c>
      <c r="AD798">
        <v>1728</v>
      </c>
      <c r="AE798">
        <v>605</v>
      </c>
      <c r="AF798">
        <v>122</v>
      </c>
      <c r="AG798">
        <v>15</v>
      </c>
      <c r="AH798">
        <v>7439</v>
      </c>
      <c r="AI798">
        <v>22</v>
      </c>
      <c r="AJ798">
        <v>571</v>
      </c>
      <c r="AK798">
        <v>1530</v>
      </c>
      <c r="AL798">
        <v>64</v>
      </c>
      <c r="AM798">
        <v>20</v>
      </c>
      <c r="AN798" t="s">
        <v>370</v>
      </c>
      <c r="AO798">
        <f>AVERAGE(Tabla2[[#This Row],[total_kills]:[rating]])</f>
        <v>3268.1578947368421</v>
      </c>
      <c r="AP798" t="str">
        <f>VLOOKUP(Tabla2[[#This Row],[KPI]],$AS$2:$AT$5,2,1)</f>
        <v>Bajo</v>
      </c>
    </row>
    <row r="799" spans="1:42" x14ac:dyDescent="0.3">
      <c r="A799">
        <v>10566</v>
      </c>
      <c r="B799" t="s">
        <v>1184</v>
      </c>
      <c r="C799" t="s">
        <v>1185</v>
      </c>
      <c r="D799">
        <v>24</v>
      </c>
      <c r="E799" t="s">
        <v>104</v>
      </c>
      <c r="F799" t="s">
        <v>866</v>
      </c>
      <c r="G799" t="s">
        <v>1186</v>
      </c>
      <c r="H799">
        <v>16972</v>
      </c>
      <c r="I799">
        <v>15532</v>
      </c>
      <c r="J799" t="s">
        <v>1187</v>
      </c>
      <c r="K799">
        <v>78</v>
      </c>
      <c r="L799" t="s">
        <v>46</v>
      </c>
      <c r="M799">
        <v>915</v>
      </c>
      <c r="N799">
        <v>23714</v>
      </c>
      <c r="O799" t="s">
        <v>311</v>
      </c>
      <c r="P799" t="s">
        <v>202</v>
      </c>
      <c r="Q799" t="s">
        <v>276</v>
      </c>
      <c r="R799" t="s">
        <v>50</v>
      </c>
      <c r="S799" t="s">
        <v>50</v>
      </c>
      <c r="T799">
        <v>11250</v>
      </c>
      <c r="U799" t="s">
        <v>51</v>
      </c>
      <c r="V799">
        <v>2759</v>
      </c>
      <c r="W799">
        <v>2609</v>
      </c>
      <c r="X799" t="s">
        <v>590</v>
      </c>
      <c r="Y799" t="s">
        <v>464</v>
      </c>
      <c r="Z799" t="s">
        <v>838</v>
      </c>
      <c r="AA799" t="s">
        <v>882</v>
      </c>
      <c r="AB799">
        <v>12464</v>
      </c>
      <c r="AC799">
        <v>7032</v>
      </c>
      <c r="AD799">
        <v>2983</v>
      </c>
      <c r="AE799">
        <v>997</v>
      </c>
      <c r="AF799">
        <v>207</v>
      </c>
      <c r="AG799">
        <v>31</v>
      </c>
      <c r="AH799">
        <v>12509</v>
      </c>
      <c r="AI799">
        <v>536</v>
      </c>
      <c r="AJ799">
        <v>751</v>
      </c>
      <c r="AK799">
        <v>2970</v>
      </c>
      <c r="AL799">
        <v>196</v>
      </c>
      <c r="AM799">
        <v>61</v>
      </c>
      <c r="AN799" t="s">
        <v>590</v>
      </c>
      <c r="AO799">
        <f>AVERAGE(Tabla2[[#This Row],[total_kills]:[rating]])</f>
        <v>5728.3</v>
      </c>
      <c r="AP799" t="str">
        <f>VLOOKUP(Tabla2[[#This Row],[KPI]],$AS$2:$AT$5,2,1)</f>
        <v>Alto</v>
      </c>
    </row>
    <row r="800" spans="1:42" x14ac:dyDescent="0.3">
      <c r="A800">
        <v>19823</v>
      </c>
      <c r="B800" t="s">
        <v>2453</v>
      </c>
      <c r="C800" t="s">
        <v>2454</v>
      </c>
      <c r="D800">
        <v>26</v>
      </c>
      <c r="E800" t="s">
        <v>1144</v>
      </c>
      <c r="F800" t="s">
        <v>1819</v>
      </c>
      <c r="G800" t="s">
        <v>2455</v>
      </c>
      <c r="H800">
        <v>7230</v>
      </c>
      <c r="I800">
        <v>7347</v>
      </c>
      <c r="J800" t="s">
        <v>1187</v>
      </c>
      <c r="K800" t="s">
        <v>960</v>
      </c>
      <c r="L800" t="s">
        <v>80</v>
      </c>
      <c r="M800">
        <v>381</v>
      </c>
      <c r="N800">
        <v>10223</v>
      </c>
      <c r="O800" t="s">
        <v>646</v>
      </c>
      <c r="P800" t="s">
        <v>48</v>
      </c>
      <c r="Q800" t="s">
        <v>311</v>
      </c>
      <c r="R800" t="s">
        <v>67</v>
      </c>
      <c r="S800" t="s">
        <v>50</v>
      </c>
      <c r="T800">
        <v>4851</v>
      </c>
      <c r="U800" t="s">
        <v>51</v>
      </c>
      <c r="V800">
        <v>1282</v>
      </c>
      <c r="W800">
        <v>1468</v>
      </c>
      <c r="X800" t="s">
        <v>2324</v>
      </c>
      <c r="Y800" t="s">
        <v>304</v>
      </c>
      <c r="Z800" t="s">
        <v>2245</v>
      </c>
      <c r="AA800" t="s">
        <v>354</v>
      </c>
      <c r="AB800">
        <v>5372</v>
      </c>
      <c r="AC800">
        <v>3027</v>
      </c>
      <c r="AD800">
        <v>1356</v>
      </c>
      <c r="AE800">
        <v>389</v>
      </c>
      <c r="AF800">
        <v>71</v>
      </c>
      <c r="AG800">
        <v>8</v>
      </c>
      <c r="AH800">
        <v>5458</v>
      </c>
      <c r="AI800">
        <v>138</v>
      </c>
      <c r="AJ800">
        <v>383</v>
      </c>
      <c r="AK800">
        <v>1191</v>
      </c>
      <c r="AL800">
        <v>59</v>
      </c>
      <c r="AM800">
        <v>21</v>
      </c>
      <c r="AN800" t="s">
        <v>304</v>
      </c>
      <c r="AO800">
        <f>AVERAGE(Tabla2[[#This Row],[total_kills]:[rating]])</f>
        <v>2645</v>
      </c>
      <c r="AP800" t="str">
        <f>VLOOKUP(Tabla2[[#This Row],[KPI]],$AS$2:$AT$5,2,1)</f>
        <v>Bajo</v>
      </c>
    </row>
    <row r="801" spans="1:42" x14ac:dyDescent="0.3">
      <c r="A801">
        <v>10938</v>
      </c>
      <c r="B801" t="s">
        <v>3189</v>
      </c>
      <c r="C801" t="s">
        <v>3190</v>
      </c>
      <c r="D801">
        <v>22</v>
      </c>
      <c r="E801" t="s">
        <v>196</v>
      </c>
      <c r="F801" t="s">
        <v>1488</v>
      </c>
      <c r="G801" t="s">
        <v>1488</v>
      </c>
      <c r="H801">
        <v>10215</v>
      </c>
      <c r="I801">
        <v>11191</v>
      </c>
      <c r="J801" t="s">
        <v>3191</v>
      </c>
      <c r="K801" t="s">
        <v>1905</v>
      </c>
      <c r="L801" t="s">
        <v>224</v>
      </c>
      <c r="M801">
        <v>586</v>
      </c>
      <c r="N801">
        <v>15815</v>
      </c>
      <c r="O801" t="s">
        <v>276</v>
      </c>
      <c r="P801" t="s">
        <v>67</v>
      </c>
      <c r="Q801" t="s">
        <v>646</v>
      </c>
      <c r="R801" t="s">
        <v>50</v>
      </c>
      <c r="S801" t="s">
        <v>50</v>
      </c>
      <c r="T801">
        <v>7015</v>
      </c>
      <c r="U801" t="s">
        <v>51</v>
      </c>
      <c r="V801">
        <v>1649</v>
      </c>
      <c r="W801">
        <v>1842</v>
      </c>
      <c r="X801" t="s">
        <v>1906</v>
      </c>
      <c r="Y801" t="s">
        <v>285</v>
      </c>
      <c r="Z801" t="s">
        <v>2994</v>
      </c>
      <c r="AA801" t="s">
        <v>1774</v>
      </c>
      <c r="AB801">
        <v>8800</v>
      </c>
      <c r="AC801">
        <v>4598</v>
      </c>
      <c r="AD801">
        <v>1765</v>
      </c>
      <c r="AE801">
        <v>531</v>
      </c>
      <c r="AF801">
        <v>111</v>
      </c>
      <c r="AG801">
        <v>10</v>
      </c>
      <c r="AH801">
        <v>7751</v>
      </c>
      <c r="AI801">
        <v>117</v>
      </c>
      <c r="AJ801">
        <v>565</v>
      </c>
      <c r="AK801">
        <v>1663</v>
      </c>
      <c r="AL801">
        <v>118</v>
      </c>
      <c r="AM801">
        <v>34</v>
      </c>
      <c r="AN801" t="s">
        <v>245</v>
      </c>
      <c r="AO801">
        <f>AVERAGE(Tabla2[[#This Row],[total_kills]:[rating]])</f>
        <v>3914.5263157894738</v>
      </c>
      <c r="AP801" t="str">
        <f>VLOOKUP(Tabla2[[#This Row],[KPI]],$AS$2:$AT$5,2,1)</f>
        <v>Medio</v>
      </c>
    </row>
    <row r="802" spans="1:42" x14ac:dyDescent="0.3">
      <c r="A802">
        <v>19738</v>
      </c>
      <c r="B802" t="s">
        <v>2301</v>
      </c>
      <c r="C802" t="s">
        <v>2302</v>
      </c>
      <c r="D802">
        <v>25</v>
      </c>
      <c r="E802" t="s">
        <v>42</v>
      </c>
      <c r="F802" t="s">
        <v>1348</v>
      </c>
      <c r="G802" t="s">
        <v>2303</v>
      </c>
      <c r="H802">
        <v>9138</v>
      </c>
      <c r="I802">
        <v>9139</v>
      </c>
      <c r="J802" t="s">
        <v>2304</v>
      </c>
      <c r="K802" t="s">
        <v>645</v>
      </c>
      <c r="L802" t="s">
        <v>1846</v>
      </c>
      <c r="M802">
        <v>503</v>
      </c>
      <c r="N802">
        <v>13359</v>
      </c>
      <c r="O802" t="s">
        <v>167</v>
      </c>
      <c r="P802" t="s">
        <v>202</v>
      </c>
      <c r="Q802" t="s">
        <v>167</v>
      </c>
      <c r="R802" t="s">
        <v>50</v>
      </c>
      <c r="S802" t="s">
        <v>50</v>
      </c>
      <c r="T802">
        <v>6125</v>
      </c>
      <c r="U802" t="s">
        <v>51</v>
      </c>
      <c r="V802">
        <v>1446</v>
      </c>
      <c r="W802">
        <v>1615</v>
      </c>
      <c r="X802" t="s">
        <v>1906</v>
      </c>
      <c r="Y802" t="s">
        <v>255</v>
      </c>
      <c r="Z802" t="s">
        <v>455</v>
      </c>
      <c r="AA802" t="s">
        <v>648</v>
      </c>
      <c r="AB802">
        <v>7234</v>
      </c>
      <c r="AC802">
        <v>3878</v>
      </c>
      <c r="AD802">
        <v>1608</v>
      </c>
      <c r="AE802">
        <v>523</v>
      </c>
      <c r="AF802">
        <v>105</v>
      </c>
      <c r="AG802">
        <v>11</v>
      </c>
      <c r="AH802">
        <v>6719</v>
      </c>
      <c r="AI802">
        <v>101</v>
      </c>
      <c r="AJ802">
        <v>427</v>
      </c>
      <c r="AK802">
        <v>1753</v>
      </c>
      <c r="AL802">
        <v>146</v>
      </c>
      <c r="AM802">
        <v>25</v>
      </c>
      <c r="AN802" t="s">
        <v>304</v>
      </c>
      <c r="AO802">
        <f>AVERAGE(Tabla2[[#This Row],[total_kills]:[rating]])</f>
        <v>3360.7894736842104</v>
      </c>
      <c r="AP802" t="str">
        <f>VLOOKUP(Tabla2[[#This Row],[KPI]],$AS$2:$AT$5,2,1)</f>
        <v>Medio</v>
      </c>
    </row>
    <row r="803" spans="1:42" x14ac:dyDescent="0.3">
      <c r="A803">
        <v>9130</v>
      </c>
      <c r="B803" t="s">
        <v>2506</v>
      </c>
      <c r="C803" t="s">
        <v>2507</v>
      </c>
      <c r="D803">
        <v>24</v>
      </c>
      <c r="E803" t="s">
        <v>459</v>
      </c>
      <c r="F803" t="s">
        <v>3514</v>
      </c>
      <c r="G803" t="s">
        <v>2508</v>
      </c>
      <c r="H803">
        <v>8164</v>
      </c>
      <c r="I803">
        <v>8332</v>
      </c>
      <c r="J803" t="s">
        <v>2304</v>
      </c>
      <c r="K803" t="s">
        <v>776</v>
      </c>
      <c r="L803" t="s">
        <v>80</v>
      </c>
      <c r="M803">
        <v>454</v>
      </c>
      <c r="N803">
        <v>11841</v>
      </c>
      <c r="O803" t="s">
        <v>463</v>
      </c>
      <c r="P803" t="s">
        <v>202</v>
      </c>
      <c r="Q803" t="s">
        <v>905</v>
      </c>
      <c r="R803" t="s">
        <v>48</v>
      </c>
      <c r="S803" t="s">
        <v>67</v>
      </c>
      <c r="T803">
        <v>5472</v>
      </c>
      <c r="U803" t="s">
        <v>51</v>
      </c>
      <c r="V803">
        <v>1188</v>
      </c>
      <c r="W803">
        <v>1484</v>
      </c>
      <c r="X803" t="s">
        <v>94</v>
      </c>
      <c r="Y803" t="s">
        <v>472</v>
      </c>
      <c r="Z803" t="s">
        <v>1765</v>
      </c>
      <c r="AA803" t="s">
        <v>1030</v>
      </c>
      <c r="AB803">
        <v>6369</v>
      </c>
      <c r="AC803">
        <v>3454</v>
      </c>
      <c r="AD803">
        <v>1458</v>
      </c>
      <c r="AE803">
        <v>461</v>
      </c>
      <c r="AF803">
        <v>84</v>
      </c>
      <c r="AG803">
        <v>15</v>
      </c>
      <c r="AH803">
        <v>6059</v>
      </c>
      <c r="AI803">
        <v>84</v>
      </c>
      <c r="AJ803">
        <v>346</v>
      </c>
      <c r="AK803">
        <v>1573</v>
      </c>
      <c r="AL803">
        <v>80</v>
      </c>
      <c r="AM803">
        <v>32</v>
      </c>
      <c r="AN803" t="s">
        <v>285</v>
      </c>
      <c r="AO803">
        <f>AVERAGE(Tabla2[[#This Row],[total_kills]:[rating]])</f>
        <v>2997.3684210526317</v>
      </c>
      <c r="AP803" t="str">
        <f>VLOOKUP(Tabla2[[#This Row],[KPI]],$AS$2:$AT$5,2,1)</f>
        <v>Bajo</v>
      </c>
    </row>
    <row r="804" spans="1:42" x14ac:dyDescent="0.3">
      <c r="A804">
        <v>10761</v>
      </c>
      <c r="B804" t="s">
        <v>1652</v>
      </c>
      <c r="C804" t="s">
        <v>1653</v>
      </c>
      <c r="D804">
        <v>26</v>
      </c>
      <c r="E804" t="s">
        <v>467</v>
      </c>
      <c r="F804" t="s">
        <v>3514</v>
      </c>
      <c r="G804" t="s">
        <v>1654</v>
      </c>
      <c r="H804">
        <v>8697</v>
      </c>
      <c r="I804">
        <v>8268</v>
      </c>
      <c r="J804" t="s">
        <v>1655</v>
      </c>
      <c r="K804" t="s">
        <v>588</v>
      </c>
      <c r="L804" t="s">
        <v>46</v>
      </c>
      <c r="M804">
        <v>480</v>
      </c>
      <c r="N804">
        <v>12325</v>
      </c>
      <c r="O804" t="s">
        <v>646</v>
      </c>
      <c r="P804" t="s">
        <v>235</v>
      </c>
      <c r="Q804" t="s">
        <v>225</v>
      </c>
      <c r="R804" t="s">
        <v>50</v>
      </c>
      <c r="S804" t="s">
        <v>67</v>
      </c>
      <c r="T804">
        <v>5862</v>
      </c>
      <c r="U804" t="s">
        <v>51</v>
      </c>
      <c r="V804">
        <v>1052</v>
      </c>
      <c r="W804">
        <v>974</v>
      </c>
      <c r="X804" t="s">
        <v>277</v>
      </c>
      <c r="Y804" t="s">
        <v>472</v>
      </c>
      <c r="Z804" t="s">
        <v>1656</v>
      </c>
      <c r="AA804" t="s">
        <v>1083</v>
      </c>
      <c r="AB804">
        <v>6463</v>
      </c>
      <c r="AC804">
        <v>3740</v>
      </c>
      <c r="AD804">
        <v>1548</v>
      </c>
      <c r="AE804">
        <v>454</v>
      </c>
      <c r="AF804">
        <v>101</v>
      </c>
      <c r="AG804">
        <v>19</v>
      </c>
      <c r="AH804">
        <v>6093</v>
      </c>
      <c r="AI804">
        <v>210</v>
      </c>
      <c r="AJ804">
        <v>496</v>
      </c>
      <c r="AK804">
        <v>1808</v>
      </c>
      <c r="AL804">
        <v>92</v>
      </c>
      <c r="AM804">
        <v>25</v>
      </c>
      <c r="AN804" t="s">
        <v>464</v>
      </c>
      <c r="AO804">
        <f>AVERAGE(Tabla2[[#This Row],[total_kills]:[rating]])</f>
        <v>3089.8421052631579</v>
      </c>
      <c r="AP804" t="str">
        <f>VLOOKUP(Tabla2[[#This Row],[KPI]],$AS$2:$AT$5,2,1)</f>
        <v>Bajo</v>
      </c>
    </row>
    <row r="805" spans="1:42" x14ac:dyDescent="0.3">
      <c r="A805">
        <v>11716</v>
      </c>
      <c r="B805" t="s">
        <v>3227</v>
      </c>
      <c r="C805" t="s">
        <v>3228</v>
      </c>
      <c r="D805">
        <v>24</v>
      </c>
      <c r="E805" t="s">
        <v>3229</v>
      </c>
      <c r="F805" t="s">
        <v>1034</v>
      </c>
      <c r="G805" t="s">
        <v>3230</v>
      </c>
      <c r="H805">
        <v>12151</v>
      </c>
      <c r="I805">
        <v>13149</v>
      </c>
      <c r="J805" t="s">
        <v>3231</v>
      </c>
      <c r="K805" t="s">
        <v>2177</v>
      </c>
      <c r="L805" t="s">
        <v>80</v>
      </c>
      <c r="M805">
        <v>743</v>
      </c>
      <c r="N805">
        <v>19879</v>
      </c>
      <c r="O805" t="s">
        <v>49</v>
      </c>
      <c r="P805" t="s">
        <v>48</v>
      </c>
      <c r="Q805" t="s">
        <v>322</v>
      </c>
      <c r="R805" t="s">
        <v>50</v>
      </c>
      <c r="S805" t="s">
        <v>66</v>
      </c>
      <c r="T805">
        <v>8512</v>
      </c>
      <c r="U805" t="s">
        <v>51</v>
      </c>
      <c r="V805">
        <v>1651</v>
      </c>
      <c r="W805">
        <v>1881</v>
      </c>
      <c r="X805" t="s">
        <v>2315</v>
      </c>
      <c r="Y805" t="s">
        <v>1314</v>
      </c>
      <c r="Z805" t="s">
        <v>1462</v>
      </c>
      <c r="AA805" t="s">
        <v>1572</v>
      </c>
      <c r="AB805">
        <v>11367</v>
      </c>
      <c r="AC805">
        <v>5670</v>
      </c>
      <c r="AD805">
        <v>2155</v>
      </c>
      <c r="AE805">
        <v>584</v>
      </c>
      <c r="AF805">
        <v>96</v>
      </c>
      <c r="AG805">
        <v>7</v>
      </c>
      <c r="AH805">
        <v>8544</v>
      </c>
      <c r="AI805">
        <v>338</v>
      </c>
      <c r="AJ805">
        <v>1125</v>
      </c>
      <c r="AK805">
        <v>1997</v>
      </c>
      <c r="AL805">
        <v>152</v>
      </c>
      <c r="AM805">
        <v>29</v>
      </c>
      <c r="AN805" t="s">
        <v>503</v>
      </c>
      <c r="AO805">
        <f>AVERAGE(Tabla2[[#This Row],[total_kills]:[rating]])</f>
        <v>4738.4210526315792</v>
      </c>
      <c r="AP805" t="str">
        <f>VLOOKUP(Tabla2[[#This Row],[KPI]],$AS$2:$AT$5,2,1)</f>
        <v>Medio</v>
      </c>
    </row>
    <row r="806" spans="1:42" x14ac:dyDescent="0.3">
      <c r="A806">
        <v>10394</v>
      </c>
      <c r="B806" t="s">
        <v>498</v>
      </c>
      <c r="C806" t="s">
        <v>499</v>
      </c>
      <c r="D806">
        <v>22</v>
      </c>
      <c r="E806" t="s">
        <v>500</v>
      </c>
      <c r="F806" t="s">
        <v>447</v>
      </c>
      <c r="G806" t="s">
        <v>501</v>
      </c>
      <c r="H806">
        <v>26811</v>
      </c>
      <c r="I806">
        <v>22783</v>
      </c>
      <c r="J806" t="s">
        <v>502</v>
      </c>
      <c r="K806" t="s">
        <v>480</v>
      </c>
      <c r="L806" t="s">
        <v>93</v>
      </c>
      <c r="M806">
        <v>1394</v>
      </c>
      <c r="N806">
        <v>36637</v>
      </c>
      <c r="O806" t="s">
        <v>495</v>
      </c>
      <c r="P806" t="s">
        <v>67</v>
      </c>
      <c r="Q806" t="s">
        <v>144</v>
      </c>
      <c r="R806" t="s">
        <v>50</v>
      </c>
      <c r="S806" t="s">
        <v>48</v>
      </c>
      <c r="T806">
        <v>17685</v>
      </c>
      <c r="U806" t="s">
        <v>51</v>
      </c>
      <c r="V806">
        <v>3212</v>
      </c>
      <c r="W806">
        <v>2943</v>
      </c>
      <c r="X806" t="s">
        <v>295</v>
      </c>
      <c r="Y806" t="s">
        <v>503</v>
      </c>
      <c r="Z806" t="s">
        <v>137</v>
      </c>
      <c r="AA806" t="s">
        <v>247</v>
      </c>
      <c r="AB806">
        <v>18952</v>
      </c>
      <c r="AC806">
        <v>10984</v>
      </c>
      <c r="AD806">
        <v>4732</v>
      </c>
      <c r="AE806">
        <v>1563</v>
      </c>
      <c r="AF806">
        <v>356</v>
      </c>
      <c r="AG806">
        <v>50</v>
      </c>
      <c r="AH806">
        <v>19443</v>
      </c>
      <c r="AI806">
        <v>782</v>
      </c>
      <c r="AJ806">
        <v>1240</v>
      </c>
      <c r="AK806">
        <v>5120</v>
      </c>
      <c r="AL806">
        <v>239</v>
      </c>
      <c r="AM806">
        <v>65</v>
      </c>
      <c r="AN806" t="s">
        <v>362</v>
      </c>
      <c r="AO806">
        <f>AVERAGE(Tabla2[[#This Row],[total_kills]:[rating]])</f>
        <v>9210.0526315789466</v>
      </c>
      <c r="AP806" t="str">
        <f>VLOOKUP(Tabla2[[#This Row],[KPI]],$AS$2:$AT$5,2,1)</f>
        <v>Superior</v>
      </c>
    </row>
    <row r="807" spans="1:42" x14ac:dyDescent="0.3">
      <c r="A807">
        <v>11617</v>
      </c>
      <c r="B807" t="s">
        <v>1294</v>
      </c>
      <c r="C807" t="s">
        <v>1295</v>
      </c>
      <c r="D807">
        <v>19</v>
      </c>
      <c r="E807" t="s">
        <v>1296</v>
      </c>
      <c r="F807" t="s">
        <v>250</v>
      </c>
      <c r="G807" t="s">
        <v>1297</v>
      </c>
      <c r="H807">
        <v>10305</v>
      </c>
      <c r="I807">
        <v>9931</v>
      </c>
      <c r="J807" t="s">
        <v>1298</v>
      </c>
      <c r="K807" t="s">
        <v>200</v>
      </c>
      <c r="L807" t="s">
        <v>575</v>
      </c>
      <c r="M807">
        <v>537</v>
      </c>
      <c r="N807">
        <v>13737</v>
      </c>
      <c r="O807" t="s">
        <v>180</v>
      </c>
      <c r="P807" t="s">
        <v>48</v>
      </c>
      <c r="Q807" t="s">
        <v>311</v>
      </c>
      <c r="R807" t="s">
        <v>67</v>
      </c>
      <c r="S807" t="s">
        <v>67</v>
      </c>
      <c r="T807">
        <v>6684</v>
      </c>
      <c r="U807" t="s">
        <v>51</v>
      </c>
      <c r="V807">
        <v>1671</v>
      </c>
      <c r="W807">
        <v>1613</v>
      </c>
      <c r="X807" t="s">
        <v>407</v>
      </c>
      <c r="Y807" t="s">
        <v>277</v>
      </c>
      <c r="Z807" t="s">
        <v>1020</v>
      </c>
      <c r="AA807" t="s">
        <v>1122</v>
      </c>
      <c r="AB807">
        <v>7053</v>
      </c>
      <c r="AC807">
        <v>4037</v>
      </c>
      <c r="AD807">
        <v>1842</v>
      </c>
      <c r="AE807">
        <v>657</v>
      </c>
      <c r="AF807">
        <v>127</v>
      </c>
      <c r="AG807">
        <v>21</v>
      </c>
      <c r="AH807">
        <v>7535</v>
      </c>
      <c r="AI807">
        <v>60</v>
      </c>
      <c r="AJ807">
        <v>469</v>
      </c>
      <c r="AK807">
        <v>2111</v>
      </c>
      <c r="AL807">
        <v>139</v>
      </c>
      <c r="AM807">
        <v>16</v>
      </c>
      <c r="AN807" t="s">
        <v>561</v>
      </c>
      <c r="AO807">
        <f>AVERAGE(Tabla2[[#This Row],[total_kills]:[rating]])</f>
        <v>3607.6315789473683</v>
      </c>
      <c r="AP807" t="str">
        <f>VLOOKUP(Tabla2[[#This Row],[KPI]],$AS$2:$AT$5,2,1)</f>
        <v>Medio</v>
      </c>
    </row>
    <row r="808" spans="1:42" x14ac:dyDescent="0.3">
      <c r="A808">
        <v>16462</v>
      </c>
      <c r="B808" t="s">
        <v>3035</v>
      </c>
      <c r="C808" t="s">
        <v>3036</v>
      </c>
      <c r="D808">
        <v>24</v>
      </c>
      <c r="E808" t="s">
        <v>1070</v>
      </c>
      <c r="F808" t="s">
        <v>3514</v>
      </c>
      <c r="G808" t="s">
        <v>3037</v>
      </c>
      <c r="H808">
        <v>9973</v>
      </c>
      <c r="I808">
        <v>10752</v>
      </c>
      <c r="J808" t="s">
        <v>3038</v>
      </c>
      <c r="K808">
        <v>73</v>
      </c>
      <c r="L808" t="s">
        <v>1352</v>
      </c>
      <c r="M808">
        <v>554</v>
      </c>
      <c r="N808">
        <v>15106</v>
      </c>
      <c r="O808" t="s">
        <v>322</v>
      </c>
      <c r="P808" t="s">
        <v>48</v>
      </c>
      <c r="Q808" t="s">
        <v>646</v>
      </c>
      <c r="R808" t="s">
        <v>50</v>
      </c>
      <c r="S808" t="s">
        <v>96</v>
      </c>
      <c r="T808">
        <v>6711</v>
      </c>
      <c r="U808" t="s">
        <v>51</v>
      </c>
      <c r="V808">
        <v>1745</v>
      </c>
      <c r="W808">
        <v>1969</v>
      </c>
      <c r="X808" t="s">
        <v>1551</v>
      </c>
      <c r="Y808" t="s">
        <v>412</v>
      </c>
      <c r="Z808" t="s">
        <v>2434</v>
      </c>
      <c r="AA808" t="s">
        <v>376</v>
      </c>
      <c r="AB808">
        <v>8395</v>
      </c>
      <c r="AC808">
        <v>4275</v>
      </c>
      <c r="AD808">
        <v>1737</v>
      </c>
      <c r="AE808">
        <v>587</v>
      </c>
      <c r="AF808">
        <v>97</v>
      </c>
      <c r="AG808">
        <v>15</v>
      </c>
      <c r="AH808">
        <v>7147</v>
      </c>
      <c r="AI808">
        <v>188</v>
      </c>
      <c r="AJ808">
        <v>557</v>
      </c>
      <c r="AK808">
        <v>1908</v>
      </c>
      <c r="AL808">
        <v>150</v>
      </c>
      <c r="AM808">
        <v>47</v>
      </c>
      <c r="AN808">
        <v>1</v>
      </c>
      <c r="AO808">
        <f>AVERAGE(Tabla2[[#This Row],[total_kills]:[rating]])</f>
        <v>3427.9523809523807</v>
      </c>
      <c r="AP808" t="str">
        <f>VLOOKUP(Tabla2[[#This Row],[KPI]],$AS$2:$AT$5,2,1)</f>
        <v>Medio</v>
      </c>
    </row>
    <row r="809" spans="1:42" x14ac:dyDescent="0.3">
      <c r="A809">
        <v>9896</v>
      </c>
      <c r="B809" t="s">
        <v>2057</v>
      </c>
      <c r="C809" t="s">
        <v>2058</v>
      </c>
      <c r="D809">
        <v>22</v>
      </c>
      <c r="E809" t="s">
        <v>196</v>
      </c>
      <c r="F809" t="s">
        <v>3514</v>
      </c>
      <c r="G809" t="s">
        <v>2059</v>
      </c>
      <c r="H809">
        <v>25570</v>
      </c>
      <c r="I809">
        <v>25109</v>
      </c>
      <c r="J809" t="s">
        <v>2060</v>
      </c>
      <c r="K809" t="s">
        <v>1234</v>
      </c>
      <c r="L809" t="s">
        <v>164</v>
      </c>
      <c r="M809">
        <v>1411</v>
      </c>
      <c r="N809">
        <v>37302</v>
      </c>
      <c r="O809" t="s">
        <v>463</v>
      </c>
      <c r="P809" t="s">
        <v>67</v>
      </c>
      <c r="Q809" t="s">
        <v>225</v>
      </c>
      <c r="R809" t="s">
        <v>50</v>
      </c>
      <c r="S809" t="s">
        <v>50</v>
      </c>
      <c r="T809">
        <v>17053</v>
      </c>
      <c r="U809" t="s">
        <v>51</v>
      </c>
      <c r="V809">
        <v>3830</v>
      </c>
      <c r="W809">
        <v>4156</v>
      </c>
      <c r="X809" t="s">
        <v>1314</v>
      </c>
      <c r="Y809" t="s">
        <v>285</v>
      </c>
      <c r="Z809" t="s">
        <v>217</v>
      </c>
      <c r="AA809" t="s">
        <v>1030</v>
      </c>
      <c r="AB809">
        <v>20249</v>
      </c>
      <c r="AC809">
        <v>10732</v>
      </c>
      <c r="AD809">
        <v>4495</v>
      </c>
      <c r="AE809">
        <v>1492</v>
      </c>
      <c r="AF809">
        <v>298</v>
      </c>
      <c r="AG809">
        <v>36</v>
      </c>
      <c r="AH809">
        <v>19009</v>
      </c>
      <c r="AI809">
        <v>341</v>
      </c>
      <c r="AJ809">
        <v>1538</v>
      </c>
      <c r="AK809">
        <v>4280</v>
      </c>
      <c r="AL809">
        <v>371</v>
      </c>
      <c r="AM809">
        <v>93</v>
      </c>
      <c r="AN809" t="s">
        <v>255</v>
      </c>
      <c r="AO809">
        <f>AVERAGE(Tabla2[[#This Row],[total_kills]:[rating]])</f>
        <v>9335</v>
      </c>
      <c r="AP809" t="str">
        <f>VLOOKUP(Tabla2[[#This Row],[KPI]],$AS$2:$AT$5,2,1)</f>
        <v>Superior</v>
      </c>
    </row>
    <row r="810" spans="1:42" x14ac:dyDescent="0.3">
      <c r="A810">
        <v>15096</v>
      </c>
      <c r="B810" t="s">
        <v>2141</v>
      </c>
      <c r="C810" t="s">
        <v>2142</v>
      </c>
      <c r="D810">
        <v>22</v>
      </c>
      <c r="E810" t="s">
        <v>545</v>
      </c>
      <c r="F810" t="s">
        <v>878</v>
      </c>
      <c r="G810" t="s">
        <v>2143</v>
      </c>
      <c r="H810">
        <v>9112</v>
      </c>
      <c r="I810">
        <v>8874</v>
      </c>
      <c r="J810" t="s">
        <v>2144</v>
      </c>
      <c r="K810" t="s">
        <v>1499</v>
      </c>
      <c r="L810" t="s">
        <v>122</v>
      </c>
      <c r="M810">
        <v>490</v>
      </c>
      <c r="N810">
        <v>13084</v>
      </c>
      <c r="O810" t="s">
        <v>905</v>
      </c>
      <c r="P810" t="s">
        <v>67</v>
      </c>
      <c r="Q810" t="s">
        <v>167</v>
      </c>
      <c r="R810" t="s">
        <v>50</v>
      </c>
      <c r="S810" t="s">
        <v>67</v>
      </c>
      <c r="T810">
        <v>6202</v>
      </c>
      <c r="U810" t="s">
        <v>51</v>
      </c>
      <c r="V810">
        <v>1228</v>
      </c>
      <c r="W810">
        <v>1295</v>
      </c>
      <c r="X810" t="s">
        <v>820</v>
      </c>
      <c r="Y810" t="s">
        <v>503</v>
      </c>
      <c r="Z810" t="s">
        <v>278</v>
      </c>
      <c r="AA810" t="s">
        <v>888</v>
      </c>
      <c r="AB810">
        <v>6882</v>
      </c>
      <c r="AC810">
        <v>3973</v>
      </c>
      <c r="AD810">
        <v>1645</v>
      </c>
      <c r="AE810">
        <v>495</v>
      </c>
      <c r="AF810">
        <v>81</v>
      </c>
      <c r="AG810">
        <v>8</v>
      </c>
      <c r="AH810">
        <v>6985</v>
      </c>
      <c r="AI810">
        <v>141</v>
      </c>
      <c r="AJ810">
        <v>339</v>
      </c>
      <c r="AK810">
        <v>1592</v>
      </c>
      <c r="AL810">
        <v>68</v>
      </c>
      <c r="AM810">
        <v>15</v>
      </c>
      <c r="AN810" t="s">
        <v>407</v>
      </c>
      <c r="AO810">
        <f>AVERAGE(Tabla2[[#This Row],[total_kills]:[rating]])</f>
        <v>3289.9473684210525</v>
      </c>
      <c r="AP810" t="str">
        <f>VLOOKUP(Tabla2[[#This Row],[KPI]],$AS$2:$AT$5,2,1)</f>
        <v>Bajo</v>
      </c>
    </row>
    <row r="811" spans="1:42" x14ac:dyDescent="0.3">
      <c r="A811">
        <v>18987</v>
      </c>
      <c r="B811" t="s">
        <v>1210</v>
      </c>
      <c r="C811" t="s">
        <v>1211</v>
      </c>
      <c r="D811">
        <v>19</v>
      </c>
      <c r="E811" t="s">
        <v>59</v>
      </c>
      <c r="F811" t="s">
        <v>60</v>
      </c>
      <c r="G811" t="s">
        <v>1212</v>
      </c>
      <c r="H811">
        <v>8581</v>
      </c>
      <c r="I811">
        <v>7696</v>
      </c>
      <c r="J811" t="s">
        <v>1213</v>
      </c>
      <c r="K811" t="s">
        <v>588</v>
      </c>
      <c r="L811" t="s">
        <v>1170</v>
      </c>
      <c r="M811">
        <v>459</v>
      </c>
      <c r="N811">
        <v>12180</v>
      </c>
      <c r="O811" t="s">
        <v>905</v>
      </c>
      <c r="P811" t="s">
        <v>67</v>
      </c>
      <c r="Q811" t="s">
        <v>215</v>
      </c>
      <c r="R811" t="s">
        <v>96</v>
      </c>
      <c r="S811" t="s">
        <v>50</v>
      </c>
      <c r="T811">
        <v>5775</v>
      </c>
      <c r="U811" t="s">
        <v>51</v>
      </c>
      <c r="V811">
        <v>1447</v>
      </c>
      <c r="W811">
        <v>1257</v>
      </c>
      <c r="X811" t="s">
        <v>84</v>
      </c>
      <c r="Y811" t="s">
        <v>295</v>
      </c>
      <c r="Z811" t="s">
        <v>1214</v>
      </c>
      <c r="AA811" t="s">
        <v>994</v>
      </c>
      <c r="AB811">
        <v>6405</v>
      </c>
      <c r="AC811">
        <v>3653</v>
      </c>
      <c r="AD811">
        <v>1564</v>
      </c>
      <c r="AE811">
        <v>444</v>
      </c>
      <c r="AF811">
        <v>102</v>
      </c>
      <c r="AG811">
        <v>12</v>
      </c>
      <c r="AH811">
        <v>6519</v>
      </c>
      <c r="AI811">
        <v>202</v>
      </c>
      <c r="AJ811">
        <v>334</v>
      </c>
      <c r="AK811">
        <v>1443</v>
      </c>
      <c r="AL811">
        <v>82</v>
      </c>
      <c r="AM811">
        <v>33</v>
      </c>
      <c r="AN811" t="s">
        <v>370</v>
      </c>
      <c r="AO811">
        <f>AVERAGE(Tabla2[[#This Row],[total_kills]:[rating]])</f>
        <v>3062.5263157894738</v>
      </c>
      <c r="AP811" t="str">
        <f>VLOOKUP(Tabla2[[#This Row],[KPI]],$AS$2:$AT$5,2,1)</f>
        <v>Bajo</v>
      </c>
    </row>
    <row r="812" spans="1:42" x14ac:dyDescent="0.3">
      <c r="A812">
        <v>7390</v>
      </c>
      <c r="B812" t="s">
        <v>790</v>
      </c>
      <c r="C812" t="s">
        <v>791</v>
      </c>
      <c r="D812">
        <v>28</v>
      </c>
      <c r="E812" t="s">
        <v>792</v>
      </c>
      <c r="F812" t="s">
        <v>3514</v>
      </c>
      <c r="G812" t="s">
        <v>793</v>
      </c>
      <c r="H812">
        <v>27501</v>
      </c>
      <c r="I812">
        <v>24396</v>
      </c>
      <c r="J812" t="s">
        <v>794</v>
      </c>
      <c r="K812" t="s">
        <v>263</v>
      </c>
      <c r="L812" t="s">
        <v>541</v>
      </c>
      <c r="M812">
        <v>1430</v>
      </c>
      <c r="N812">
        <v>37087</v>
      </c>
      <c r="O812" t="s">
        <v>283</v>
      </c>
      <c r="P812" t="s">
        <v>48</v>
      </c>
      <c r="Q812" t="s">
        <v>322</v>
      </c>
      <c r="R812" t="s">
        <v>50</v>
      </c>
      <c r="S812" t="s">
        <v>67</v>
      </c>
      <c r="T812">
        <v>18175</v>
      </c>
      <c r="U812" t="s">
        <v>51</v>
      </c>
      <c r="V812">
        <v>3674</v>
      </c>
      <c r="W812">
        <v>3022</v>
      </c>
      <c r="X812" t="s">
        <v>114</v>
      </c>
      <c r="Y812" t="s">
        <v>412</v>
      </c>
      <c r="Z812" t="s">
        <v>795</v>
      </c>
      <c r="AA812" t="s">
        <v>724</v>
      </c>
      <c r="AB812">
        <v>18912</v>
      </c>
      <c r="AC812">
        <v>11244</v>
      </c>
      <c r="AD812">
        <v>4993</v>
      </c>
      <c r="AE812">
        <v>1557</v>
      </c>
      <c r="AF812">
        <v>342</v>
      </c>
      <c r="AG812">
        <v>39</v>
      </c>
      <c r="AH812">
        <v>20794</v>
      </c>
      <c r="AI812">
        <v>276</v>
      </c>
      <c r="AJ812">
        <v>987</v>
      </c>
      <c r="AK812">
        <v>5181</v>
      </c>
      <c r="AL812">
        <v>210</v>
      </c>
      <c r="AM812">
        <v>99</v>
      </c>
      <c r="AN812" t="s">
        <v>295</v>
      </c>
      <c r="AO812">
        <f>AVERAGE(Tabla2[[#This Row],[total_kills]:[rating]])</f>
        <v>9469.4210526315783</v>
      </c>
      <c r="AP812" t="str">
        <f>VLOOKUP(Tabla2[[#This Row],[KPI]],$AS$2:$AT$5,2,1)</f>
        <v>Superior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Introduccion</vt:lpstr>
      <vt:lpstr>DashBoard</vt:lpstr>
      <vt:lpstr>Tabla dinamica 1</vt:lpstr>
      <vt:lpstr>Tabla dinamica 2</vt:lpstr>
      <vt:lpstr>Dashboard 2</vt:lpstr>
      <vt:lpstr>Tabla dinamica 3|4</vt:lpstr>
      <vt:lpstr>Preguntas</vt:lpstr>
      <vt:lpstr>Dataset_original</vt:lpstr>
      <vt:lpstr>Dataset_Csplayers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Julian Barbaroy</cp:lastModifiedBy>
  <dcterms:created xsi:type="dcterms:W3CDTF">2025-04-21T10:50:59Z</dcterms:created>
  <dcterms:modified xsi:type="dcterms:W3CDTF">2026-09-15T15:32:26Z</dcterms:modified>
</cp:coreProperties>
</file>